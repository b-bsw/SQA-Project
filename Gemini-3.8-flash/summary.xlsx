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5b69cabd9c54d28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Dashboard" sheetId="1" ns1:id="Rfc64e3a905e743f9"/>
    <x:sheet name="Data" sheetId="2" ns1:id="R6fc9053988ab42f6"/>
  </x:sheets>
  <x:calcPr calcMode="auto" fullCalcOnLoad="1"/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0%"/>
    <x:numFmt numFmtId="202" formatCode="#,##0.00"/>
    <x:numFmt numFmtId="203" formatCode="0"/>
  </x:numFmts>
  <x:fonts count="6">
    <x:font>
      <x:sz val="11"/>
      <x:name val="Carlito"/>
    </x:font>
    <x:font>
      <x:sz val="11"/>
      <x:color rgb="FF20334D"/>
      <x:name val="Arial"/>
    </x:font>
    <x:font>
      <x:b/>
      <x:sz val="19"/>
      <x:color rgb="FF143552"/>
      <x:name val="Arial"/>
    </x:font>
    <x:font>
      <x:sz val="10"/>
      <x:color rgb="FF607389"/>
      <x:name val="Arial"/>
    </x:font>
    <x:font>
      <x:b/>
      <x:sz val="11"/>
      <x:color rgb="FFFFFFFF"/>
      <x:name val="Arial"/>
    </x:font>
    <x:font>
      <x:b/>
      <x:sz val="11"/>
      <x:color rgb="FF20334D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43552"/>
      </x:patternFill>
    </x:fill>
    <x:fill>
      <x:patternFill patternType="solid">
        <x:fgColor rgb="FFF0F4F8"/>
      </x:patternFill>
    </x:fill>
  </x:fills>
  <x:borders count="1">
    <x:border/>
  </x:borders>
  <x:cellStyleXfs count="1">
    <x:xf numFmtId="0" fontId="0" fillId="0" borderId="0"/>
  </x:cellStyleXfs>
  <x:cellXfs count="17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1" fillId="3" borderId="0" xfId="0" applyNumberFormat="1" applyFont="1" applyFill="1" applyBorder="1"/>
    <x:xf numFmtId="200" fontId="1" fillId="3" borderId="0" xfId="0" applyNumberFormat="1" applyFont="1" applyFill="1" applyBorder="1"/>
    <x:xf numFmtId="200" fontId="5" fillId="3" borderId="0" xfId="0" applyNumberFormat="1" applyFont="1" applyFill="1" applyBorder="1"/>
    <x:xf numFmtId="201" fontId="5" fillId="0" borderId="0" xfId="0" applyNumberFormat="1" applyFont="1" applyFill="1" applyBorder="1"/>
    <x:xf numFmtId="202" fontId="5" fillId="0" borderId="0" xfId="0" applyNumberFormat="1" applyFont="1" applyFill="1" applyBorder="1"/>
    <x:xf numFmtId="200" fontId="5" fillId="0" borderId="0" xfId="0" applyNumberFormat="1" applyFont="1" applyFill="1" applyBorder="1"/>
    <x:xf numFmtId="0" fontId="4" fillId="2" borderId="0" xfId="0" applyNumberFormat="1" applyFont="1" applyFill="1" applyBorder="1" applyAlignment="1">
      <x:alignment wrapText="1"/>
    </x:xf>
    <x:xf numFmtId="203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481b399e464242" /><Relationship Type="http://schemas.openxmlformats.org/officeDocument/2006/relationships/theme" Target="/xl/theme/theme1.xml" Id="R9adad3d1707f469a" /><Relationship Type="http://schemas.openxmlformats.org/officeDocument/2006/relationships/sharedStrings" Target="/xl/sharedStrings.xml" Id="Radd76ce8b39b4950" /><Relationship Type="http://schemas.openxmlformats.org/officeDocument/2006/relationships/worksheet" Target="/xl/worksheets/sheet1.xml" Id="Rfc64e3a905e743f9" /><Relationship Type="http://schemas.openxmlformats.org/officeDocument/2006/relationships/worksheet" Target="/xl/worksheets/sheet2.xml" Id="R6fc9053988ab42f6" /></Relationships>
</file>

<file path=xl/tables/table1.xml><?xml version="1.0" encoding="utf-8"?>
<x:table xmlns:x="http://schemas.openxmlformats.org/spreadsheetml/2006/main" id="1" name="ResultsData" displayName="ResultsData" ref="A1:N98" headerRowCount="1" totalsRowCount="0" totalsRowShown="0">
  <x:tableColumns count="14">
    <x:tableColumn id="1" name="row_type"/>
    <x:tableColumn id="2" name="round"/>
    <x:tableColumn id="3" name="target"/>
    <x:tableColumn id="4" name="verdict"/>
    <x:tableColumn id="5" name="line_coverage"/>
    <x:tableColumn id="6" name="revealed_count"/>
    <x:tableColumn id="7" name="total_tokens"/>
    <x:tableColumn id="8" name="generation_seconds"/>
    <x:tableColumn id="9" name="result_count"/>
    <x:tableColumn id="10" name="lines_total"/>
    <x:tableColumn id="11" name="lines_covered"/>
    <x:tableColumn id="12" name="conditions_total"/>
    <x:tableColumn id="13" name="conditions_covered"/>
    <x:tableColumn id="14" name="condition_coverag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ab56d35b51a4212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" hidden="0" customWidth="1"/>
    <x:col min="2" max="2" width="34" hidden="0" customWidth="1"/>
    <x:col min="3" max="3" width="22" hidden="0" customWidth="1"/>
    <x:col min="4" max="4" width="22" hidden="0" customWidth="1"/>
    <x:col min="5" max="5" width="2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</x:row>
    <x:row r="2" ht="38" customHeight="1">
      <x:c r="A2" s="1"/>
      <x:c r="B2" s="2" t="inlineStr">
        <x:is>
          <x:t>Gemini 3.8 Flash | Results dashboard</x:t>
        </x:is>
      </x:c>
      <x:c r="C2" s="2"/>
      <x:c r="D2" s="2"/>
      <x:c r="E2" s="2"/>
      <x:c r="F2" s="1"/>
      <x:c r="G2" s="1"/>
      <x:c r="H2" s="1"/>
      <x:c r="I2" s="1"/>
      <x:c r="J2" s="1"/>
    </x:row>
    <x:row r="3">
      <x:c r="A3" s="1"/>
      <x:c r="B3" s="3" t="inlineStr">
        <x:is>
          <x:t>Defects4J test execution and coverage results</x:t>
        </x:is>
      </x:c>
      <x:c r="C3" s="3"/>
      <x:c r="D3" s="3"/>
      <x:c r="E3" s="3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28" customHeight="1">
      <x:c r="A5" s="1"/>
      <x:c r="B5" s="8" t="str">
        <x:v>Metric</x:v>
      </x:c>
      <x:c r="C5" s="8" t="str">
        <x:v>Round1</x:v>
      </x:c>
      <x:c r="D5" s="8" t="str">
        <x:v>Round2</x:v>
      </x:c>
      <x:c r="E5" s="8" t="str">
        <x:v>All rounds</x:v>
      </x:c>
      <x:c r="F5" s="1"/>
      <x:c r="G5" s="1"/>
      <x:c r="H5" s="1"/>
      <x:c r="I5" s="1"/>
      <x:c r="J5" s="1"/>
    </x:row>
    <x:row r="6" ht="26" customHeight="1">
      <x:c r="A6" s="1"/>
      <x:c r="B6" s="9" t="str">
        <x:v>Results</x:v>
      </x:c>
      <x:c r="C6" s="10">
        <x:f>COUNTIF(Data!$B$2:$B$98,"Round1")</x:f>
        <x:v>97</x:v>
      </x:c>
      <x:c r="D6" s="10">
        <x:f>COUNTIF(Data!$B$2:$B$98,"Round2")</x:f>
        <x:v>0</x:v>
      </x:c>
      <x:c r="E6" s="11">
        <x:f>COUNTA(Data!$C$2:$C$98)</x:f>
        <x:v>97</x:v>
      </x:c>
      <x:c r="F6" s="1"/>
      <x:c r="G6" s="1"/>
      <x:c r="H6" s="1"/>
      <x:c r="I6" s="1"/>
      <x:c r="J6" s="1"/>
    </x:row>
    <x:row r="7" ht="26" customHeight="1">
      <x:c r="A7" s="1"/>
      <x:c r="B7" s="1" t="str">
        <x:v>Average line coverage</x:v>
      </x:c>
      <x:c r="C7" s="5">
        <x:f>IF(COUNTIFS(Data!$B$2:$B$98,"Round1",Data!$E$2:$E$98,"&lt;&gt;")=0,"",AVERAGEIF(Data!$B$2:$B$98,"Round1",Data!$E$2:$E$98))</x:f>
        <x:v>0.35690925925925926</x:v>
      </x:c>
      <x:c r="D7" s="5" t="str">
        <x:f>IF(COUNTIFS(Data!$B$2:$B$98,"Round2",Data!$E$2:$E$98,"&lt;&gt;")=0,"",AVERAGEIF(Data!$B$2:$B$98,"Round2",Data!$E$2:$E$98))</x:f>
        <x:v/>
      </x:c>
      <x:c r="E7" s="12">
        <x:f>IF(COUNT(Data!$E$2:$E$98)=0,"",AVERAGE(Data!$E$2:$E$98))</x:f>
        <x:v>0.35690925925925926</x:v>
      </x:c>
      <x:c r="F7" s="1"/>
      <x:c r="G7" s="1"/>
      <x:c r="H7" s="1"/>
      <x:c r="I7" s="1"/>
      <x:c r="J7" s="1"/>
    </x:row>
    <x:row r="8">
      <x:c r="A8" s="1"/>
      <x:c r="B8" s="1" t="inlineStr">
        <x:is>
          <x:t>Average condition coverage</x:t>
        </x:is>
      </x:c>
      <x:c r="C8" s="5">
        <x:f>IF(COUNTIFS(Data!$B$2:$B$98,"Round1",Data!$N$2:$N$98,"&lt;&gt;")=0,"",AVERAGEIF(Data!$B$2:$B$98,"Round1",Data!$N$2:$N$98))</x:f>
        <x:v>0.30040754716981133</x:v>
      </x:c>
      <x:c r="D8" s="5" t="str">
        <x:f>IF(COUNTIFS(Data!$B$2:$B$98,"Round2",Data!$N$2:$N$98,"&lt;&gt;")=0,"",AVERAGEIF(Data!$B$2:$B$98,"Round2",Data!$N$2:$N$98))</x:f>
        <x:v/>
      </x:c>
      <x:c r="E8" s="12">
        <x:f>IF(COUNT(Data!$N$2:$N$98)=0,"",AVERAGE(Data!$N$2:$N$98))</x:f>
        <x:v>0.30040754716981133</x:v>
      </x:c>
      <x:c r="F8" s="1"/>
      <x:c r="G8" s="1"/>
      <x:c r="H8" s="1"/>
      <x:c r="I8" s="1"/>
      <x:c r="J8" s="1"/>
    </x:row>
    <x:row r="9" ht="26" customHeight="1">
      <x:c r="A9" s="1"/>
      <x:c r="B9" s="9" t="str">
        <x:v>Revealing results</x:v>
      </x:c>
      <x:c r="C9" s="10">
        <x:f>SUMIF(Data!$B$2:$B$98,"Round1",Data!$F$2:$F$98)</x:f>
        <x:v>0</x:v>
      </x:c>
      <x:c r="D9" s="10">
        <x:f>SUMIF(Data!$B$2:$B$98,"Round2",Data!$F$2:$F$98)</x:f>
        <x:v>0</x:v>
      </x:c>
      <x:c r="E9" s="11">
        <x:f>SUM(Data!$F$2:$F$98)</x:f>
        <x:v>0</x:v>
      </x:c>
      <x:c r="F9" s="1"/>
      <x:c r="G9" s="1"/>
      <x:c r="H9" s="1"/>
      <x:c r="I9" s="1"/>
      <x:c r="J9" s="1"/>
    </x:row>
    <x:row r="10" ht="26" customHeight="1">
      <x:c r="A10" s="1"/>
      <x:c r="B10" s="1" t="str">
        <x:v>Revealing rate</x:v>
      </x:c>
      <x:c r="C10" s="5">
        <x:f>IF(C6=0,"",C9/C6)</x:f>
        <x:v>0.0</x:v>
      </x:c>
      <x:c r="D10" s="5" t="str">
        <x:f>IF(D6=0,"",D9/D6)</x:f>
        <x:v/>
      </x:c>
      <x:c r="E10" s="12">
        <x:f>IF(E6=0,"",E9/E6)</x:f>
        <x:v>0.0</x:v>
      </x:c>
      <x:c r="F10" s="1"/>
      <x:c r="G10" s="1"/>
      <x:c r="H10" s="1"/>
      <x:c r="I10" s="1"/>
      <x:c r="J10" s="1"/>
    </x:row>
    <x:row r="11" ht="26" customHeight="1">
      <x:c r="A11" s="1"/>
      <x:c r="B11" s="9" t="str">
        <x:v>Total tokens</x:v>
      </x:c>
      <x:c r="C11" s="10">
        <x:f>IF(COUNTIFS(Data!$B$2:$B$98,"Round1",Data!$G$2:$G$98,"&lt;&gt;")=0,"",SUMIF(Data!$B$2:$B$98,"Round1",Data!$G$2:$G$98))</x:f>
        <x:v>837908</x:v>
      </x:c>
      <x:c r="D11" s="10" t="str">
        <x:f>IF(COUNTIFS(Data!$B$2:$B$98,"Round2",Data!$G$2:$G$98,"&lt;&gt;")=0,"",SUMIF(Data!$B$2:$B$98,"Round2",Data!$G$2:$G$98))</x:f>
        <x:v/>
      </x:c>
      <x:c r="E11" s="11">
        <x:f>IF(COUNT(Data!$G$2:$G$98)=0,"",SUM(Data!$G$2:$G$98))</x:f>
        <x:v>837908</x:v>
      </x:c>
      <x:c r="F11" s="1"/>
      <x:c r="G11" s="1"/>
      <x:c r="H11" s="1"/>
      <x:c r="I11" s="1"/>
      <x:c r="J11" s="1"/>
    </x:row>
    <x:row r="12" ht="26" customHeight="1">
      <x:c r="A12" s="1"/>
      <x:c r="B12" s="1" t="str">
        <x:v>Generation time (seconds)</x:v>
      </x:c>
      <x:c r="C12" s="6">
        <x:f>IF(COUNTIFS(Data!$B$2:$B$98,"Round1",Data!$H$2:$H$98,"&lt;&gt;")=0,"",SUMIF(Data!$B$2:$B$98,"Round1",Data!$H$2:$H$98))</x:f>
        <x:v>3309.59</x:v>
      </x:c>
      <x:c r="D12" s="6" t="str">
        <x:f>IF(COUNTIFS(Data!$B$2:$B$98,"Round2",Data!$H$2:$H$98,"&lt;&gt;")=0,"",SUMIF(Data!$B$2:$B$98,"Round2",Data!$H$2:$H$98))</x:f>
        <x:v/>
      </x:c>
      <x:c r="E12" s="13">
        <x:f>IF(COUNT(Data!$H$2:$H$98)=0,"",SUM(Data!$H$2:$H$98))</x:f>
        <x:v>3309.59</x:v>
      </x:c>
      <x:c r="F12" s="1"/>
      <x:c r="G12" s="1"/>
      <x:c r="H12" s="1"/>
      <x:c r="I12" s="1"/>
      <x:c r="J12" s="1"/>
    </x:row>
    <x:row r="13" ht="26" customHeight="1">
      <x:c r="A13" s="1"/>
      <x:c r="B13" s="1" t="str">
        <x:v>Coverage records</x:v>
      </x:c>
      <x:c r="C13" s="4">
        <x:f>COUNTIFS(Data!$B$2:$B$98,"Round1",Data!$E$2:$E$98,"&lt;&gt;")</x:f>
        <x:v>54</x:v>
      </x:c>
      <x:c r="D13" s="4">
        <x:f>COUNTIFS(Data!$B$2:$B$98,"Round2",Data!$E$2:$E$98,"&lt;&gt;")</x:f>
        <x:v>0</x:v>
      </x:c>
      <x:c r="E13" s="14">
        <x:f>COUNT(Data!$E$2:$E$98)</x:f>
        <x:v>54</x:v>
      </x:c>
      <x:c r="F13" s="1"/>
      <x:c r="G13" s="1"/>
      <x:c r="H13" s="1"/>
      <x:c r="I13" s="1"/>
      <x:c r="J13" s="1"/>
    </x:row>
    <x:row r="14" ht="26" customHeight="1">
      <x:c r="A14" s="1"/>
      <x:c r="B14" s="9" t="inlineStr">
        <x:is>
          <x:t>Lines total</x:t>
        </x:is>
      </x:c>
      <x:c r="C14" s="4">
        <x:f>IF(COUNTIFS(Data!$B$2:$B$98,"Round1",Data!$J$2:$J$98,"&lt;&gt;")=0,"",SUMIF(Data!$B$2:$B$98,"Round1",Data!$J$2:$J$98))</x:f>
        <x:v>12721</x:v>
      </x:c>
      <x:c r="D14" s="4" t="str">
        <x:f>IF(COUNTIFS(Data!$B$2:$B$98,"Round2",Data!$J$2:$J$98,"&lt;&gt;")=0,"",SUMIF(Data!$B$2:$B$98,"Round2",Data!$J$2:$J$98))</x:f>
        <x:v/>
      </x:c>
      <x:c r="E14" s="4">
        <x:f>IF(COUNT(Data!$J$2:$J$98)=0,"",SUM(Data!$J$2:$J$98))</x:f>
        <x:v>12721</x:v>
      </x:c>
      <x:c r="F14" s="1"/>
      <x:c r="G14" s="1"/>
      <x:c r="H14" s="1"/>
      <x:c r="I14" s="1"/>
      <x:c r="J14" s="1"/>
    </x:row>
    <x:row r="15" ht="26" customHeight="1">
      <x:c r="A15" s="1"/>
      <x:c r="B15" s="9" t="inlineStr">
        <x:is>
          <x:t>Lines covered</x:t>
        </x:is>
      </x:c>
      <x:c r="C15" s="4">
        <x:f>IF(COUNTIFS(Data!$B$2:$B$98,"Round1",Data!$K$2:$K$98,"&lt;&gt;")=0,"",SUMIF(Data!$B$2:$B$98,"Round1",Data!$K$2:$K$98))</x:f>
        <x:v>5913</x:v>
      </x:c>
      <x:c r="D15" s="4" t="str">
        <x:f>IF(COUNTIFS(Data!$B$2:$B$98,"Round2",Data!$K$2:$K$98,"&lt;&gt;")=0,"",SUMIF(Data!$B$2:$B$98,"Round2",Data!$K$2:$K$98))</x:f>
        <x:v/>
      </x:c>
      <x:c r="E15" s="4">
        <x:f>IF(COUNT(Data!$K$2:$K$98)=0,"",SUM(Data!$K$2:$K$98))</x:f>
        <x:v>5913</x:v>
      </x:c>
      <x:c r="F15" s="1"/>
      <x:c r="G15" s="1"/>
      <x:c r="H15" s="1"/>
      <x:c r="I15" s="1"/>
      <x:c r="J15" s="1"/>
    </x:row>
    <x:row r="16" ht="26" customHeight="1">
      <x:c r="A16" s="1"/>
      <x:c r="B16" s="9" t="inlineStr">
        <x:is>
          <x:t>Conditions total</x:t>
        </x:is>
      </x:c>
      <x:c r="C16" s="4">
        <x:f>IF(COUNTIFS(Data!$B$2:$B$98,"Round1",Data!$L$2:$L$98,"&lt;&gt;")=0,"",SUMIF(Data!$B$2:$B$98,"Round1",Data!$L$2:$L$98))</x:f>
        <x:v>7008</x:v>
      </x:c>
      <x:c r="D16" s="4" t="str">
        <x:f>IF(COUNTIFS(Data!$B$2:$B$98,"Round2",Data!$L$2:$L$98,"&lt;&gt;")=0,"",SUMIF(Data!$B$2:$B$98,"Round2",Data!$L$2:$L$98))</x:f>
        <x:v/>
      </x:c>
      <x:c r="E16" s="4">
        <x:f>IF(COUNT(Data!$L$2:$L$98)=0,"",SUM(Data!$L$2:$L$98))</x:f>
        <x:v>7008</x:v>
      </x:c>
      <x:c r="F16" s="1"/>
      <x:c r="G16" s="1"/>
      <x:c r="H16" s="1"/>
      <x:c r="I16" s="1"/>
      <x:c r="J16" s="1"/>
    </x:row>
    <x:row r="17" ht="26" customHeight="1">
      <x:c r="A17" s="1"/>
      <x:c r="B17" s="9" t="inlineStr">
        <x:is>
          <x:t>Conditions covered</x:t>
        </x:is>
      </x:c>
      <x:c r="C17" s="4">
        <x:f>IF(COUNTIFS(Data!$B$2:$B$98,"Round1",Data!$M$2:$M$98,"&lt;&gt;")=0,"",SUMIF(Data!$B$2:$B$98,"Round1",Data!$M$2:$M$98))</x:f>
        <x:v>2443</x:v>
      </x:c>
      <x:c r="D17" s="4" t="str">
        <x:f>IF(COUNTIFS(Data!$B$2:$B$98,"Round2",Data!$M$2:$M$98,"&lt;&gt;")=0,"",SUMIF(Data!$B$2:$B$98,"Round2",Data!$M$2:$M$98))</x:f>
        <x:v/>
      </x:c>
      <x:c r="E17" s="4">
        <x:f>IF(COUNT(Data!$M$2:$M$98)=0,"",SUM(Data!$M$2:$M$98))</x:f>
        <x:v>2443</x:v>
      </x:c>
      <x:c r="F17" s="1"/>
      <x:c r="G17" s="1"/>
      <x:c r="H17" s="1"/>
      <x:c r="I17" s="1"/>
      <x:c r="J17" s="1"/>
    </x:row>
    <x:row r="18" ht="26" customHeight="1">
      <x:c r="A18" s="1"/>
      <x:c r="B18" s="8" t="str">
        <x:v>Verdict</x:v>
      </x:c>
      <x:c r="C18" s="8" t="str">
        <x:v>Round1</x:v>
      </x:c>
      <x:c r="D18" s="8" t="str">
        <x:v>Round2</x:v>
      </x:c>
      <x:c r="E18" s="8" t="str">
        <x:v>All rounds</x:v>
      </x:c>
      <x:c r="F18" s="1"/>
      <x:c r="G18" s="1"/>
      <x:c r="H18" s="1"/>
      <x:c r="I18" s="1"/>
      <x:c r="J18" s="1"/>
    </x:row>
    <x:row r="19" ht="26" customHeight="1">
      <x:c r="A19" s="1"/>
      <x:c r="B19" s="9" t="str">
        <x:v>REVEALING</x:v>
      </x:c>
      <x:c r="C19" s="9">
        <x:f>COUNTIFS(Data!$B$2:$B$98,"Round1",Data!$D$2:$D$98,"REVEALING")</x:f>
        <x:v>0</x:v>
      </x:c>
      <x:c r="D19" s="9">
        <x:f>COUNTIFS(Data!$B$2:$B$98,"Round2",Data!$D$2:$D$98,"REVEALING")</x:f>
        <x:v>0</x:v>
      </x:c>
      <x:c r="E19" s="9">
        <x:f>COUNTIF(Data!$D$2:$D$98,"REVEALING")</x:f>
        <x:v>0</x:v>
      </x:c>
      <x:c r="F19" s="1"/>
      <x:c r="G19" s="1"/>
      <x:c r="H19" s="1"/>
      <x:c r="I19" s="1"/>
      <x:c r="J19" s="1"/>
    </x:row>
    <x:row r="20" ht="26" customHeight="1">
      <x:c r="A20" s="1"/>
      <x:c r="B20" s="1" t="str">
        <x:v>NOT_REVEALING</x:v>
      </x:c>
      <x:c r="C20" s="1">
        <x:f>COUNTIFS(Data!$B$2:$B$98,"Round1",Data!$D$2:$D$98,"NOT_REVEALING")</x:f>
        <x:v>15</x:v>
      </x:c>
      <x:c r="D20" s="1">
        <x:f>COUNTIFS(Data!$B$2:$B$98,"Round2",Data!$D$2:$D$98,"NOT_REVEALING")</x:f>
        <x:v>0</x:v>
      </x:c>
      <x:c r="E20" s="1">
        <x:f>COUNTIF(Data!$D$2:$D$98,"NOT_REVEALING")</x:f>
        <x:v>15</x:v>
      </x:c>
      <x:c r="F20" s="1"/>
      <x:c r="G20" s="1"/>
      <x:c r="H20" s="1"/>
      <x:c r="I20" s="1"/>
      <x:c r="J20" s="1"/>
    </x:row>
    <x:row r="21" ht="26" customHeight="1">
      <x:c r="A21" s="1"/>
      <x:c r="B21" s="9" t="str">
        <x:v>NOT_AVAILABLE</x:v>
      </x:c>
      <x:c r="C21" s="9">
        <x:f>COUNTIFS(Data!$B$2:$B$98,"Round1",Data!$D$2:$D$98,"NOT_AVAILABLE")</x:f>
        <x:v>43</x:v>
      </x:c>
      <x:c r="D21" s="9">
        <x:f>COUNTIFS(Data!$B$2:$B$98,"Round2",Data!$D$2:$D$98,"NOT_AVAILABLE")</x:f>
        <x:v>0</x:v>
      </x:c>
      <x:c r="E21" s="9">
        <x:f>COUNTIF(Data!$D$2:$D$98,"NOT_AVAILABLE")</x:f>
        <x:v>43</x:v>
      </x:c>
      <x:c r="F21" s="1"/>
      <x:c r="G21" s="1"/>
      <x:c r="H21" s="1"/>
      <x:c r="I21" s="1"/>
      <x:c r="J21" s="1"/>
    </x:row>
    <x:row r="22" ht="26" customHeight="1">
      <x:c r="A22" s="1"/>
      <x:c r="B22" s="1" t="str">
        <x:v>INCONCLUSIVE</x:v>
      </x:c>
      <x:c r="C22" s="1">
        <x:f>COUNTIFS(Data!$B$2:$B$98,"Round1",Data!$D$2:$D$98,"INCONCLUSIVE")</x:f>
        <x:v>39</x:v>
      </x:c>
      <x:c r="D22" s="1">
        <x:f>COUNTIFS(Data!$B$2:$B$98,"Round2",Data!$D$2:$D$98,"INCONCLUSIVE")</x:f>
        <x:v>0</x:v>
      </x:c>
      <x:c r="E22" s="1">
        <x:f>COUNTIF(Data!$D$2:$D$98,"INCONCLUSIVE")</x:f>
        <x:v>39</x:v>
      </x:c>
      <x:c r="F22" s="1"/>
      <x:c r="G22" s="1"/>
      <x:c r="H22" s="1"/>
      <x:c r="I22" s="1"/>
      <x:c r="J22" s="1"/>
    </x:row>
    <x:row r="23">
      <x:c r="A23" s="1"/>
      <x:c r="B23" s="3" t="str">
        <x:v>Blank = unavailable. Coverage average uses only recorded coverage.</x:v>
      </x:c>
      <x:c r="C23" s="3"/>
      <x:c r="D23" s="3"/>
      <x:c r="E23" s="3"/>
      <x:c r="F23" s="1"/>
      <x:c r="G23" s="1"/>
      <x:c r="H23" s="1"/>
      <x:c r="I23" s="1"/>
      <x:c r="J23" s="1"/>
    </x:row>
    <x:row r="24">
      <x:c r="A24" s="1"/>
      <x:c r="B24" s="3" t="str">
        <x:v>Source: saved generation state and test results for both rounds.</x:v>
      </x:c>
      <x:c r="C24" s="3"/>
      <x:c r="D24" s="3"/>
      <x:c r="E24" s="3"/>
      <x:c r="F24" s="1"/>
      <x:c r="G24" s="1"/>
      <x:c r="H24" s="1"/>
      <x:c r="I24" s="1"/>
      <x:c r="J24" s="1"/>
    </x:row>
    <x:row r="25">
      <x:c r="A25" s="1"/>
      <x:c r="B25" s="3" t="inlineStr">
        <x:is>
          <x:t>Updated: 2026-09-30 05:39:44 +0700</x:t>
        </x:is>
      </x:c>
      <x:c r="C25" s="3"/>
      <x:c r="D25" s="3"/>
      <x:c r="E25" s="3"/>
      <x:c r="F25" s="1"/>
      <x:c r="G25" s="1"/>
      <x:c r="H25" s="1"/>
      <x:c r="I25" s="1"/>
      <x:c r="J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</x:row>
  </x:sheetData>
  <x:mergeCells>
    <x:mergeCell ref="B2:E2"/>
    <x:mergeCell ref="B3:E3"/>
    <x:mergeCell ref="B23:E23"/>
    <x:mergeCell ref="B24:E24"/>
    <x:mergeCell ref="B25:E25"/>
  </x:mergeCells>
  <x:conditionalFormatting sqref="C7:E7">
    <x:cfRule type="dataBar" priority="1">
      <x:dataBar>
        <x:cfvo type="min"/>
        <x:cfvo type="max"/>
        <x:color rgb="FF2B9294"/>
      </x:dataBar>
    </x:cfRule>
  </x:conditionalFormatting>
  <x:pageMargins left="0.7" right="0.7" top="0.75" bottom="0.75" header="0.3" footer="0.3"/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30" hidden="0" customWidth="1"/>
    <x:col min="4" max="4" width="2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  <x:col min="9" max="9" width="24" hidden="0" customWidth="1"/>
    <x:col min="10" max="10" width="24" hidden="0" customWidth="1"/>
    <x:col min="11" max="11" width="24" customWidth="1"/>
    <x:col min="12" max="12" width="24" customWidth="1"/>
    <x:col min="13" max="13" width="24" customWidth="1"/>
    <x:col min="14" max="14" width="24" customWidth="1"/>
  </x:cols>
  <x:sheetData>
    <x:row r="1" ht="34" customHeight="1">
      <x:c r="A1" s="15" t="str">
        <x:v>row_type</x:v>
      </x:c>
      <x:c r="B1" s="15" t="str">
        <x:v>round</x:v>
      </x:c>
      <x:c r="C1" s="15" t="str">
        <x:v>target</x:v>
      </x:c>
      <x:c r="D1" s="15" t="str">
        <x:v>verdict</x:v>
      </x:c>
      <x:c r="E1" s="15" t="str">
        <x:v>line_coverage</x:v>
      </x:c>
      <x:c r="F1" s="15" t="str">
        <x:v>revealed_count</x:v>
      </x:c>
      <x:c r="G1" s="15" t="str">
        <x:v>total_tokens</x:v>
      </x:c>
      <x:c r="H1" s="15" t="str">
        <x:v>generation_seconds</x:v>
      </x:c>
      <x:c r="I1" s="15" t="str">
        <x:v>result_count</x:v>
      </x:c>
      <x:c r="J1" s="15" t="inlineStr">
        <x:is>
          <x:t>lines_total</x:t>
        </x:is>
      </x:c>
      <x:c r="K1" s="15" t="inlineStr">
        <x:is>
          <x:t>lines_covered</x:t>
        </x:is>
      </x:c>
      <x:c r="L1" s="15" t="inlineStr">
        <x:is>
          <x:t>conditions_total</x:t>
        </x:is>
      </x:c>
      <x:c r="M1" s="15" t="inlineStr">
        <x:is>
          <x:t>conditions_covered</x:t>
        </x:is>
      </x:c>
      <x:c r="N1" s="15" t="inlineStr">
        <x:is>
          <x:t>condition_coverage</x:t>
        </x:is>
      </x:c>
    </x:row>
    <x:row r="2" ht="24" customHeight="1">
      <x:c r="A2" s="1" t="inlineStr">
        <x:is>
          <x:t>RESULT</x:t>
        </x:is>
      </x:c>
      <x:c r="B2" s="1" t="inlineStr">
        <x:is>
          <x:t>Round1</x:t>
        </x:is>
      </x:c>
      <x:c r="C2" s="1" t="inlineStr">
        <x:is>
          <x:t>Chart_1</x:t>
        </x:is>
      </x:c>
      <x:c r="D2" s="1" t="inlineStr">
        <x:is>
          <x:t>NOT_AVAILABLE</x:t>
        </x:is>
      </x:c>
      <x:c r="E2" s="5"/>
      <x:c r="F2" s="4">
        <x:v>0</x:v>
      </x:c>
      <x:c r="G2" s="4">
        <x:v>24186</x:v>
      </x:c>
      <x:c r="H2" s="6">
        <x:v>75.22</x:v>
      </x:c>
      <x:c r="I2" s="16">
        <x:v>1</x:v>
      </x:c>
      <x:c r="J2" s="0"/>
      <x:c r="K2" s="4"/>
      <x:c r="L2" s="4"/>
      <x:c r="M2" s="4"/>
      <x:c r="N2" s="5"/>
    </x:row>
    <x:row r="3" ht="24" customHeight="1">
      <x:c r="A3" s="1" t="inlineStr">
        <x:is>
          <x:t>RESULT</x:t>
        </x:is>
      </x:c>
      <x:c r="B3" s="1" t="inlineStr">
        <x:is>
          <x:t>Round1</x:t>
        </x:is>
      </x:c>
      <x:c r="C3" s="1" t="inlineStr">
        <x:is>
          <x:t>Chart_10</x:t>
        </x:is>
      </x:c>
      <x:c r="D3" s="1" t="inlineStr">
        <x:is>
          <x:t>INCONCLUSIVE</x:t>
        </x:is>
      </x:c>
      <x:c r="E3" s="5">
        <x:v>1.0</x:v>
      </x:c>
      <x:c r="F3" s="4">
        <x:v>0</x:v>
      </x:c>
      <x:c r="G3" s="4">
        <x:v>2664</x:v>
      </x:c>
      <x:c r="H3" s="6">
        <x:v>9.04</x:v>
      </x:c>
      <x:c r="I3" s="16">
        <x:v>1</x:v>
      </x:c>
      <x:c r="J3" s="0">
        <x:v>3</x:v>
      </x:c>
      <x:c r="K3" s="4">
        <x:v>3</x:v>
      </x:c>
      <x:c r="L3" s="4">
        <x:v>0</x:v>
      </x:c>
      <x:c r="M3" s="4">
        <x:v>0</x:v>
      </x:c>
      <x:c r="N3" s="5"/>
    </x:row>
    <x:row r="4" ht="24" customHeight="1">
      <x:c r="A4" s="1" t="inlineStr">
        <x:is>
          <x:t>RESULT</x:t>
        </x:is>
      </x:c>
      <x:c r="B4" s="1" t="inlineStr">
        <x:is>
          <x:t>Round1</x:t>
        </x:is>
      </x:c>
      <x:c r="C4" s="1" t="inlineStr">
        <x:is>
          <x:t>Chart_11</x:t>
        </x:is>
      </x:c>
      <x:c r="D4" s="1" t="inlineStr">
        <x:is>
          <x:t>NOT_AVAILABLE</x:t>
        </x:is>
      </x:c>
      <x:c r="E4" s="5"/>
      <x:c r="F4" s="4">
        <x:v>0</x:v>
      </x:c>
      <x:c r="G4" s="4"/>
      <x:c r="H4" s="6">
        <x:v>51.25</x:v>
      </x:c>
      <x:c r="I4" s="16">
        <x:v>1</x:v>
      </x:c>
      <x:c r="J4" s="0"/>
      <x:c r="K4" s="4"/>
      <x:c r="L4" s="4"/>
      <x:c r="M4" s="4"/>
      <x:c r="N4" s="5"/>
    </x:row>
    <x:row r="5" ht="24" customHeight="1">
      <x:c r="A5" s="1" t="inlineStr">
        <x:is>
          <x:t>RESULT</x:t>
        </x:is>
      </x:c>
      <x:c r="B5" s="1" t="inlineStr">
        <x:is>
          <x:t>Round1</x:t>
        </x:is>
      </x:c>
      <x:c r="C5" s="1" t="inlineStr">
        <x:is>
          <x:t>Chart_12</x:t>
        </x:is>
      </x:c>
      <x:c r="D5" s="1" t="inlineStr">
        <x:is>
          <x:t>NOT_REVEALING</x:t>
        </x:is>
      </x:c>
      <x:c r="E5" s="5">
        <x:v>0.9842</x:v>
      </x:c>
      <x:c r="F5" s="4">
        <x:v>0</x:v>
      </x:c>
      <x:c r="G5" s="4">
        <x:v>10072</x:v>
      </x:c>
      <x:c r="H5" s="6">
        <x:v>33.34</x:v>
      </x:c>
      <x:c r="I5" s="16">
        <x:v>1</x:v>
      </x:c>
      <x:c r="J5" s="0">
        <x:v>190</x:v>
      </x:c>
      <x:c r="K5" s="4">
        <x:v>187</x:v>
      </x:c>
      <x:c r="L5" s="4">
        <x:v>84</x:v>
      </x:c>
      <x:c r="M5" s="4">
        <x:v>78</x:v>
      </x:c>
      <x:c r="N5" s="5">
        <x:v>0.9286</x:v>
      </x:c>
    </x:row>
    <x:row r="6" ht="24" customHeight="1">
      <x:c r="A6" s="1" t="inlineStr">
        <x:is>
          <x:t>RESULT</x:t>
        </x:is>
      </x:c>
      <x:c r="B6" s="1" t="inlineStr">
        <x:is>
          <x:t>Round1</x:t>
        </x:is>
      </x:c>
      <x:c r="C6" s="1" t="inlineStr">
        <x:is>
          <x:t>Chart_13</x:t>
        </x:is>
      </x:c>
      <x:c r="D6" s="1" t="inlineStr">
        <x:is>
          <x:t>NOT_REVEALING</x:t>
        </x:is>
      </x:c>
      <x:c r="E6" s="5">
        <x:v>1.0</x:v>
      </x:c>
      <x:c r="F6" s="4">
        <x:v>0</x:v>
      </x:c>
      <x:c r="G6" s="4">
        <x:v>16066</x:v>
      </x:c>
      <x:c r="H6" s="6">
        <x:v>57.44</x:v>
      </x:c>
      <x:c r="I6" s="16">
        <x:v>1</x:v>
      </x:c>
      <x:c r="J6" s="0">
        <x:v>229</x:v>
      </x:c>
      <x:c r="K6" s="4">
        <x:v>229</x:v>
      </x:c>
      <x:c r="L6" s="4">
        <x:v>120</x:v>
      </x:c>
      <x:c r="M6" s="4">
        <x:v>114</x:v>
      </x:c>
      <x:c r="N6" s="5">
        <x:v>0.95</x:v>
      </x:c>
    </x:row>
    <x:row r="7" ht="24" customHeight="1">
      <x:c r="A7" s="1" t="inlineStr">
        <x:is>
          <x:t>RESULT</x:t>
        </x:is>
      </x:c>
      <x:c r="B7" s="1" t="inlineStr">
        <x:is>
          <x:t>Round1</x:t>
        </x:is>
      </x:c>
      <x:c r="C7" s="1" t="inlineStr">
        <x:is>
          <x:t>Chart_14</x:t>
        </x:is>
      </x:c>
      <x:c r="D7" s="1" t="inlineStr">
        <x:is>
          <x:t>NOT_REVEALING</x:t>
        </x:is>
      </x:c>
      <x:c r="E7" s="5">
        <x:v>0.5904</x:v>
      </x:c>
      <x:c r="F7" s="4">
        <x:v>0</x:v>
      </x:c>
      <x:c r="G7" s="4">
        <x:v>75767</x:v>
      </x:c>
      <x:c r="H7" s="6">
        <x:v>166.22</x:v>
      </x:c>
      <x:c r="I7" s="16">
        <x:v>1</x:v>
      </x:c>
      <x:c r="J7" s="0">
        <x:v>2722</x:v>
      </x:c>
      <x:c r="K7" s="4">
        <x:v>1607</x:v>
      </x:c>
      <x:c r="L7" s="4">
        <x:v>1436</x:v>
      </x:c>
      <x:c r="M7" s="4">
        <x:v>637</x:v>
      </x:c>
      <x:c r="N7" s="5">
        <x:v>0.4436</x:v>
      </x:c>
    </x:row>
    <x:row r="8" ht="24" customHeight="1">
      <x:c r="A8" s="1" t="inlineStr">
        <x:is>
          <x:t>RESULT</x:t>
        </x:is>
      </x:c>
      <x:c r="B8" s="1" t="inlineStr">
        <x:is>
          <x:t>Round1</x:t>
        </x:is>
      </x:c>
      <x:c r="C8" s="1" t="inlineStr">
        <x:is>
          <x:t>Chart_15</x:t>
        </x:is>
      </x:c>
      <x:c r="D8" s="1" t="inlineStr">
        <x:is>
          <x:t>NOT_AVAILABLE</x:t>
        </x:is>
      </x:c>
      <x:c r="E8" s="5"/>
      <x:c r="F8" s="4">
        <x:v>0</x:v>
      </x:c>
      <x:c r="G8" s="4"/>
      <x:c r="H8" s="6">
        <x:v>36.63</x:v>
      </x:c>
      <x:c r="I8" s="16">
        <x:v>1</x:v>
      </x:c>
      <x:c r="J8" s="0"/>
      <x:c r="K8" s="4"/>
      <x:c r="L8" s="4"/>
      <x:c r="M8" s="4"/>
      <x:c r="N8" s="5"/>
    </x:row>
    <x:row r="9" ht="24" customHeight="1">
      <x:c r="A9" s="1" t="inlineStr">
        <x:is>
          <x:t>RESULT</x:t>
        </x:is>
      </x:c>
      <x:c r="B9" s="1" t="inlineStr">
        <x:is>
          <x:t>Round1</x:t>
        </x:is>
      </x:c>
      <x:c r="C9" s="1" t="inlineStr">
        <x:is>
          <x:t>Chart_16</x:t>
        </x:is>
      </x:c>
      <x:c r="D9" s="1" t="inlineStr">
        <x:is>
          <x:t>NOT_REVEALING</x:t>
        </x:is>
      </x:c>
      <x:c r="E9" s="5">
        <x:v>0.22870000000000001</x:v>
      </x:c>
      <x:c r="F9" s="4">
        <x:v>0</x:v>
      </x:c>
      <x:c r="G9" s="4"/>
      <x:c r="H9" s="6"/>
      <x:c r="I9" s="16">
        <x:v>1</x:v>
      </x:c>
      <x:c r="J9" s="0">
        <x:v>188</x:v>
      </x:c>
      <x:c r="K9" s="4">
        <x:v>43</x:v>
      </x:c>
      <x:c r="L9" s="4">
        <x:v>128</x:v>
      </x:c>
      <x:c r="M9" s="4">
        <x:v>20</x:v>
      </x:c>
      <x:c r="N9" s="5">
        <x:v>0.1562</x:v>
      </x:c>
    </x:row>
    <x:row r="10" ht="24" customHeight="1">
      <x:c r="A10" s="1" t="inlineStr">
        <x:is>
          <x:t>RESULT</x:t>
        </x:is>
      </x:c>
      <x:c r="B10" s="1" t="inlineStr">
        <x:is>
          <x:t>Round1</x:t>
        </x:is>
      </x:c>
      <x:c r="C10" s="1" t="inlineStr">
        <x:is>
          <x:t>Chart_17</x:t>
        </x:is>
      </x:c>
      <x:c r="D10" s="1" t="inlineStr">
        <x:is>
          <x:t>NOT_AVAILABLE</x:t>
        </x:is>
      </x:c>
      <x:c r="E10" s="5"/>
      <x:c r="F10" s="4">
        <x:v>0</x:v>
      </x:c>
      <x:c r="G10" s="4"/>
      <x:c r="H10" s="6"/>
      <x:c r="I10" s="16">
        <x:v>1</x:v>
      </x:c>
      <x:c r="J10" s="0"/>
      <x:c r="K10" s="4"/>
      <x:c r="L10" s="4"/>
      <x:c r="M10" s="4"/>
      <x:c r="N10" s="5"/>
    </x:row>
    <x:row r="11" ht="24" customHeight="1">
      <x:c r="A11" s="1" t="inlineStr">
        <x:is>
          <x:t>RESULT</x:t>
        </x:is>
      </x:c>
      <x:c r="B11" s="1" t="inlineStr">
        <x:is>
          <x:t>Round1</x:t>
        </x:is>
      </x:c>
      <x:c r="C11" s="1" t="inlineStr">
        <x:is>
          <x:t>Chart_18</x:t>
        </x:is>
      </x:c>
      <x:c r="D11" s="1" t="inlineStr">
        <x:is>
          <x:t>NOT_REVEALING</x:t>
        </x:is>
      </x:c>
      <x:c r="E11" s="5">
        <x:v>0.2293</x:v>
      </x:c>
      <x:c r="F11" s="4">
        <x:v>0</x:v>
      </x:c>
      <x:c r="G11" s="4"/>
      <x:c r="H11" s="6"/>
      <x:c r="I11" s="16">
        <x:v>1</x:v>
      </x:c>
      <x:c r="J11" s="0">
        <x:v>266</x:v>
      </x:c>
      <x:c r="K11" s="4">
        <x:v>61</x:v>
      </x:c>
      <x:c r="L11" s="4">
        <x:v>122</x:v>
      </x:c>
      <x:c r="M11" s="4">
        <x:v>16</x:v>
      </x:c>
      <x:c r="N11" s="5">
        <x:v>0.1311</x:v>
      </x:c>
    </x:row>
    <x:row r="12" ht="24" customHeight="1">
      <x:c r="A12" s="1" t="inlineStr">
        <x:is>
          <x:t>RESULT</x:t>
        </x:is>
      </x:c>
      <x:c r="B12" s="1" t="inlineStr">
        <x:is>
          <x:t>Round1</x:t>
        </x:is>
      </x:c>
      <x:c r="C12" s="1" t="inlineStr">
        <x:is>
          <x:t>Chart_19</x:t>
        </x:is>
      </x:c>
      <x:c r="D12" s="1" t="inlineStr">
        <x:is>
          <x:t>NOT_AVAILABLE</x:t>
        </x:is>
      </x:c>
      <x:c r="E12" s="5"/>
      <x:c r="F12" s="4">
        <x:v>0</x:v>
      </x:c>
      <x:c r="G12" s="4"/>
      <x:c r="H12" s="6">
        <x:v>49.85</x:v>
      </x:c>
      <x:c r="I12" s="16">
        <x:v>1</x:v>
      </x:c>
      <x:c r="J12" s="0"/>
      <x:c r="K12" s="4"/>
      <x:c r="L12" s="4"/>
      <x:c r="M12" s="4"/>
      <x:c r="N12" s="5"/>
    </x:row>
    <x:row r="13" ht="24" customHeight="1">
      <x:c r="A13" s="1" t="inlineStr">
        <x:is>
          <x:t>RESULT</x:t>
        </x:is>
      </x:c>
      <x:c r="B13" s="1" t="inlineStr">
        <x:is>
          <x:t>Round1</x:t>
        </x:is>
      </x:c>
      <x:c r="C13" s="1" t="inlineStr">
        <x:is>
          <x:t>Chart_2</x:t>
        </x:is>
      </x:c>
      <x:c r="D13" s="1" t="inlineStr">
        <x:is>
          <x:t>NOT_AVAILABLE</x:t>
        </x:is>
      </x:c>
      <x:c r="E13" s="5"/>
      <x:c r="F13" s="4">
        <x:v>0</x:v>
      </x:c>
      <x:c r="G13" s="4"/>
      <x:c r="H13" s="6"/>
      <x:c r="I13" s="16">
        <x:v>1</x:v>
      </x:c>
      <x:c r="J13" s="0"/>
      <x:c r="K13" s="4"/>
      <x:c r="L13" s="4"/>
      <x:c r="M13" s="4"/>
      <x:c r="N13" s="5"/>
    </x:row>
    <x:row r="14" ht="24" customHeight="1">
      <x:c r="A14" s="1" t="inlineStr">
        <x:is>
          <x:t>RESULT</x:t>
        </x:is>
      </x:c>
      <x:c r="B14" s="1" t="inlineStr">
        <x:is>
          <x:t>Round1</x:t>
        </x:is>
      </x:c>
      <x:c r="C14" s="1" t="inlineStr">
        <x:is>
          <x:t>Chart_20</x:t>
        </x:is>
      </x:c>
      <x:c r="D14" s="1" t="inlineStr">
        <x:is>
          <x:t>INCONCLUSIVE</x:t>
        </x:is>
      </x:c>
      <x:c r="E14" s="5">
        <x:v>0.9545</x:v>
      </x:c>
      <x:c r="F14" s="4">
        <x:v>0</x:v>
      </x:c>
      <x:c r="G14" s="4">
        <x:v>6505</x:v>
      </x:c>
      <x:c r="H14" s="6">
        <x:v>36.75</x:v>
      </x:c>
      <x:c r="I14" s="16">
        <x:v>1</x:v>
      </x:c>
      <x:c r="J14" s="0">
        <x:v>22</x:v>
      </x:c>
      <x:c r="K14" s="4">
        <x:v>21</x:v>
      </x:c>
      <x:c r="L14" s="4">
        <x:v>8</x:v>
      </x:c>
      <x:c r="M14" s="4">
        <x:v>7</x:v>
      </x:c>
      <x:c r="N14" s="5">
        <x:v>0.875</x:v>
      </x:c>
    </x:row>
    <x:row r="15" ht="24" customHeight="1">
      <x:c r="A15" s="1" t="inlineStr">
        <x:is>
          <x:t>RESULT</x:t>
        </x:is>
      </x:c>
      <x:c r="B15" s="1" t="inlineStr">
        <x:is>
          <x:t>Round1</x:t>
        </x:is>
      </x:c>
      <x:c r="C15" s="1" t="inlineStr">
        <x:is>
          <x:t>Chart_21</x:t>
        </x:is>
      </x:c>
      <x:c r="D15" s="1" t="inlineStr">
        <x:is>
          <x:t>NOT_REVEALING</x:t>
        </x:is>
      </x:c>
      <x:c r="E15" s="5">
        <x:v>0.23600000000000002</x:v>
      </x:c>
      <x:c r="F15" s="4">
        <x:v>0</x:v>
      </x:c>
      <x:c r="G15" s="4"/>
      <x:c r="H15" s="6"/>
      <x:c r="I15" s="16">
        <x:v>1</x:v>
      </x:c>
      <x:c r="J15" s="0">
        <x:v>161</x:v>
      </x:c>
      <x:c r="K15" s="4">
        <x:v>38</x:v>
      </x:c>
      <x:c r="L15" s="4">
        <x:v>60</x:v>
      </x:c>
      <x:c r="M15" s="4">
        <x:v>6</x:v>
      </x:c>
      <x:c r="N15" s="5">
        <x:v>0.1</x:v>
      </x:c>
    </x:row>
    <x:row r="16" ht="24" customHeight="1">
      <x:c r="A16" s="1" t="inlineStr">
        <x:is>
          <x:t>RESULT</x:t>
        </x:is>
      </x:c>
      <x:c r="B16" s="1" t="inlineStr">
        <x:is>
          <x:t>Round1</x:t>
        </x:is>
      </x:c>
      <x:c r="C16" s="1" t="inlineStr">
        <x:is>
          <x:t>Chart_22</x:t>
        </x:is>
      </x:c>
      <x:c r="D16" s="1" t="inlineStr">
        <x:is>
          <x:t>NOT_REVEALING</x:t>
        </x:is>
      </x:c>
      <x:c r="E16" s="5">
        <x:v>0.22579999999999997</x:v>
      </x:c>
      <x:c r="F16" s="4">
        <x:v>0</x:v>
      </x:c>
      <x:c r="G16" s="4"/>
      <x:c r="H16" s="6"/>
      <x:c r="I16" s="16">
        <x:v>1</x:v>
      </x:c>
      <x:c r="J16" s="0">
        <x:v>124</x:v>
      </x:c>
      <x:c r="K16" s="4">
        <x:v>28</x:v>
      </x:c>
      <x:c r="L16" s="4">
        <x:v>58</x:v>
      </x:c>
      <x:c r="M16" s="4">
        <x:v>9</x:v>
      </x:c>
      <x:c r="N16" s="5">
        <x:v>0.1552</x:v>
      </x:c>
    </x:row>
    <x:row r="17" ht="24" customHeight="1">
      <x:c r="A17" s="1" t="inlineStr">
        <x:is>
          <x:t>RESULT</x:t>
        </x:is>
      </x:c>
      <x:c r="B17" s="1" t="inlineStr">
        <x:is>
          <x:t>Round1</x:t>
        </x:is>
      </x:c>
      <x:c r="C17" s="1" t="inlineStr">
        <x:is>
          <x:t>Chart_23</x:t>
        </x:is>
      </x:c>
      <x:c r="D17" s="1" t="inlineStr">
        <x:is>
          <x:t>NOT_REVEALING</x:t>
        </x:is>
      </x:c>
      <x:c r="E17" s="5">
        <x:v>0.9792000000000001</x:v>
      </x:c>
      <x:c r="F17" s="4">
        <x:v>0</x:v>
      </x:c>
      <x:c r="G17" s="4">
        <x:v>13997</x:v>
      </x:c>
      <x:c r="H17" s="6">
        <x:v>41.89</x:v>
      </x:c>
      <x:c r="I17" s="16">
        <x:v>1</x:v>
      </x:c>
      <x:c r="J17" s="0">
        <x:v>144</x:v>
      </x:c>
      <x:c r="K17" s="4">
        <x:v>141</x:v>
      </x:c>
      <x:c r="L17" s="4">
        <x:v>46</x:v>
      </x:c>
      <x:c r="M17" s="4">
        <x:v>41</x:v>
      </x:c>
      <x:c r="N17" s="5">
        <x:v>0.8913</x:v>
      </x:c>
    </x:row>
    <x:row r="18" ht="24" customHeight="1">
      <x:c r="A18" s="1" t="inlineStr">
        <x:is>
          <x:t>RESULT</x:t>
        </x:is>
      </x:c>
      <x:c r="B18" s="1" t="inlineStr">
        <x:is>
          <x:t>Round1</x:t>
        </x:is>
      </x:c>
      <x:c r="C18" s="1" t="inlineStr">
        <x:is>
          <x:t>Chart_24</x:t>
        </x:is>
      </x:c>
      <x:c r="D18" s="1" t="inlineStr">
        <x:is>
          <x:t>NOT_REVEALING</x:t>
        </x:is>
      </x:c>
      <x:c r="E18" s="5">
        <x:v>1.0</x:v>
      </x:c>
      <x:c r="F18" s="4">
        <x:v>0</x:v>
      </x:c>
      <x:c r="G18" s="4">
        <x:v>5446</x:v>
      </x:c>
      <x:c r="H18" s="6">
        <x:v>33.81</x:v>
      </x:c>
      <x:c r="I18" s="16">
        <x:v>1</x:v>
      </x:c>
      <x:c r="J18" s="0">
        <x:v>25</x:v>
      </x:c>
      <x:c r="K18" s="4">
        <x:v>25</x:v>
      </x:c>
      <x:c r="L18" s="4">
        <x:v>10</x:v>
      </x:c>
      <x:c r="M18" s="4">
        <x:v>10</x:v>
      </x:c>
      <x:c r="N18" s="5">
        <x:v>1.0</x:v>
      </x:c>
    </x:row>
    <x:row r="19" ht="24" customHeight="1">
      <x:c r="A19" s="1" t="inlineStr">
        <x:is>
          <x:t>RESULT</x:t>
        </x:is>
      </x:c>
      <x:c r="B19" s="1" t="inlineStr">
        <x:is>
          <x:t>Round1</x:t>
        </x:is>
      </x:c>
      <x:c r="C19" s="1" t="inlineStr">
        <x:is>
          <x:t>Chart_25</x:t>
        </x:is>
      </x:c>
      <x:c r="D19" s="1" t="inlineStr">
        <x:is>
          <x:t>NOT_AVAILABLE</x:t>
        </x:is>
      </x:c>
      <x:c r="E19" s="5"/>
      <x:c r="F19" s="4">
        <x:v>0</x:v>
      </x:c>
      <x:c r="G19" s="4"/>
      <x:c r="H19" s="6">
        <x:v>39.12</x:v>
      </x:c>
      <x:c r="I19" s="16">
        <x:v>1</x:v>
      </x:c>
      <x:c r="J19" s="0"/>
      <x:c r="K19" s="4"/>
      <x:c r="L19" s="4"/>
      <x:c r="M19" s="4"/>
      <x:c r="N19" s="5"/>
    </x:row>
    <x:row r="20" ht="24" customHeight="1">
      <x:c r="A20" s="1" t="inlineStr">
        <x:is>
          <x:t>RESULT</x:t>
        </x:is>
      </x:c>
      <x:c r="B20" s="1" t="inlineStr">
        <x:is>
          <x:t>Round1</x:t>
        </x:is>
      </x:c>
      <x:c r="C20" s="1" t="inlineStr">
        <x:is>
          <x:t>Chart_26</x:t>
        </x:is>
      </x:c>
      <x:c r="D20" s="1" t="inlineStr">
        <x:is>
          <x:t>INCONCLUSIVE</x:t>
        </x:is>
      </x:c>
      <x:c r="E20" s="5">
        <x:v>1.0</x:v>
      </x:c>
      <x:c r="F20" s="4">
        <x:v>0</x:v>
      </x:c>
      <x:c r="G20" s="4">
        <x:v>19686</x:v>
      </x:c>
      <x:c r="H20" s="6">
        <x:v>59.2</x:v>
      </x:c>
      <x:c r="I20" s="16">
        <x:v>1</x:v>
      </x:c>
      <x:c r="J20" s="0">
        <x:v>350</x:v>
      </x:c>
      <x:c r="K20" s="4">
        <x:v>350</x:v>
      </x:c>
      <x:c r="L20" s="4">
        <x:v>128</x:v>
      </x:c>
      <x:c r="M20" s="4">
        <x:v>124</x:v>
      </x:c>
      <x:c r="N20" s="5">
        <x:v>0.9688</x:v>
      </x:c>
    </x:row>
    <x:row r="21" ht="24" customHeight="1">
      <x:c r="A21" s="1" t="inlineStr">
        <x:is>
          <x:t>RESULT</x:t>
        </x:is>
      </x:c>
      <x:c r="B21" s="1" t="inlineStr">
        <x:is>
          <x:t>Round1</x:t>
        </x:is>
      </x:c>
      <x:c r="C21" s="1" t="inlineStr">
        <x:is>
          <x:t>Chart_3</x:t>
        </x:is>
      </x:c>
      <x:c r="D21" s="1" t="inlineStr">
        <x:is>
          <x:t>NOT_REVEALING</x:t>
        </x:is>
      </x:c>
      <x:c r="E21" s="5">
        <x:v>0.4763</x:v>
      </x:c>
      <x:c r="F21" s="4">
        <x:v>0</x:v>
      </x:c>
      <x:c r="G21" s="4"/>
      <x:c r="H21" s="6"/>
      <x:c r="I21" s="16">
        <x:v>1</x:v>
      </x:c>
      <x:c r="J21" s="0">
        <x:v>380</x:v>
      </x:c>
      <x:c r="K21" s="4">
        <x:v>181</x:v>
      </x:c>
      <x:c r="L21" s="4">
        <x:v>186</x:v>
      </x:c>
      <x:c r="M21" s="4">
        <x:v>66</x:v>
      </x:c>
      <x:c r="N21" s="5">
        <x:v>0.35479999999999995</x:v>
      </x:c>
    </x:row>
    <x:row r="22" ht="24" customHeight="1">
      <x:c r="A22" s="1" t="inlineStr">
        <x:is>
          <x:t>RESULT</x:t>
        </x:is>
      </x:c>
      <x:c r="B22" s="1" t="inlineStr">
        <x:is>
          <x:t>Round1</x:t>
        </x:is>
      </x:c>
      <x:c r="C22" s="1" t="inlineStr">
        <x:is>
          <x:t>Chart_4</x:t>
        </x:is>
      </x:c>
      <x:c r="D22" s="1" t="inlineStr">
        <x:is>
          <x:t>INCONCLUSIVE</x:t>
        </x:is>
      </x:c>
      <x:c r="E22" s="5">
        <x:v>0.8534</x:v>
      </x:c>
      <x:c r="F22" s="4">
        <x:v>0</x:v>
      </x:c>
      <x:c r="G22" s="4">
        <x:v>43604</x:v>
      </x:c>
      <x:c r="H22" s="6">
        <x:v>72.97</x:v>
      </x:c>
      <x:c r="I22" s="16">
        <x:v>1</x:v>
      </x:c>
      <x:c r="J22" s="0">
        <x:v>1808</x:v>
      </x:c>
      <x:c r="K22" s="4">
        <x:v>1543</x:v>
      </x:c>
      <x:c r="L22" s="4">
        <x:v>964</x:v>
      </x:c>
      <x:c r="M22" s="4">
        <x:v>636</x:v>
      </x:c>
      <x:c r="N22" s="5">
        <x:v>0.6598</x:v>
      </x:c>
    </x:row>
    <x:row r="23" ht="24" customHeight="1">
      <x:c r="A23" s="1" t="inlineStr">
        <x:is>
          <x:t>RESULT</x:t>
        </x:is>
      </x:c>
      <x:c r="B23" s="1" t="inlineStr">
        <x:is>
          <x:t>Round1</x:t>
        </x:is>
      </x:c>
      <x:c r="C23" s="1" t="inlineStr">
        <x:is>
          <x:t>Chart_5</x:t>
        </x:is>
      </x:c>
      <x:c r="D23" s="1" t="inlineStr">
        <x:is>
          <x:t>INCONCLUSIVE</x:t>
        </x:is>
      </x:c>
      <x:c r="E23" s="5">
        <x:v>0.593</x:v>
      </x:c>
      <x:c r="F23" s="4">
        <x:v>0</x:v>
      </x:c>
      <x:c r="G23" s="4"/>
      <x:c r="H23" s="6"/>
      <x:c r="I23" s="16">
        <x:v>1</x:v>
      </x:c>
      <x:c r="J23" s="0">
        <x:v>172</x:v>
      </x:c>
      <x:c r="K23" s="4">
        <x:v>102</x:v>
      </x:c>
      <x:c r="L23" s="4">
        <x:v>80</x:v>
      </x:c>
      <x:c r="M23" s="4">
        <x:v>45</x:v>
      </x:c>
      <x:c r="N23" s="5">
        <x:v>0.5625</x:v>
      </x:c>
    </x:row>
    <x:row r="24" ht="24" customHeight="1">
      <x:c r="A24" s="1" t="inlineStr">
        <x:is>
          <x:t>RESULT</x:t>
        </x:is>
      </x:c>
      <x:c r="B24" s="1" t="inlineStr">
        <x:is>
          <x:t>Round1</x:t>
        </x:is>
      </x:c>
      <x:c r="C24" s="1" t="inlineStr">
        <x:is>
          <x:t>Chart_6</x:t>
        </x:is>
      </x:c>
      <x:c r="D24" s="1" t="inlineStr">
        <x:is>
          <x:t>NOT_AVAILABLE</x:t>
        </x:is>
      </x:c>
      <x:c r="E24" s="5"/>
      <x:c r="F24" s="4">
        <x:v>0</x:v>
      </x:c>
      <x:c r="G24" s="4"/>
      <x:c r="H24" s="6">
        <x:v>14.32</x:v>
      </x:c>
      <x:c r="I24" s="16">
        <x:v>1</x:v>
      </x:c>
      <x:c r="J24" s="0"/>
      <x:c r="K24" s="4"/>
      <x:c r="L24" s="4"/>
      <x:c r="M24" s="4"/>
      <x:c r="N24" s="5"/>
    </x:row>
    <x:row r="25" ht="24" customHeight="1">
      <x:c r="A25" s="1" t="inlineStr">
        <x:is>
          <x:t>RESULT</x:t>
        </x:is>
      </x:c>
      <x:c r="B25" s="1" t="inlineStr">
        <x:is>
          <x:t>Round1</x:t>
        </x:is>
      </x:c>
      <x:c r="C25" s="1" t="inlineStr">
        <x:is>
          <x:t>Chart_7</x:t>
        </x:is>
      </x:c>
      <x:c r="D25" s="1" t="inlineStr">
        <x:is>
          <x:t>NOT_REVEALING</x:t>
        </x:is>
      </x:c>
      <x:c r="E25" s="5">
        <x:v>0.2516</x:v>
      </x:c>
      <x:c r="F25" s="4">
        <x:v>0</x:v>
      </x:c>
      <x:c r="G25" s="4"/>
      <x:c r="H25" s="6"/>
      <x:c r="I25" s="16">
        <x:v>1</x:v>
      </x:c>
      <x:c r="J25" s="0">
        <x:v>159</x:v>
      </x:c>
      <x:c r="K25" s="4">
        <x:v>40</x:v>
      </x:c>
      <x:c r="L25" s="4">
        <x:v>54</x:v>
      </x:c>
      <x:c r="M25" s="4">
        <x:v>7</x:v>
      </x:c>
      <x:c r="N25" s="5">
        <x:v>0.12960000000000002</x:v>
      </x:c>
    </x:row>
    <x:row r="26" ht="24" customHeight="1">
      <x:c r="A26" s="1" t="inlineStr">
        <x:is>
          <x:t>RESULT</x:t>
        </x:is>
      </x:c>
      <x:c r="B26" s="1" t="inlineStr">
        <x:is>
          <x:t>Round1</x:t>
        </x:is>
      </x:c>
      <x:c r="C26" s="1" t="inlineStr">
        <x:is>
          <x:t>Chart_8</x:t>
        </x:is>
      </x:c>
      <x:c r="D26" s="1" t="inlineStr">
        <x:is>
          <x:t>NOT_REVEALING</x:t>
        </x:is>
      </x:c>
      <x:c r="E26" s="5">
        <x:v>0.2593</x:v>
      </x:c>
      <x:c r="F26" s="4">
        <x:v>0</x:v>
      </x:c>
      <x:c r="G26" s="4"/>
      <x:c r="H26" s="6"/>
      <x:c r="I26" s="16">
        <x:v>1</x:v>
      </x:c>
      <x:c r="J26" s="0">
        <x:v>162</x:v>
      </x:c>
      <x:c r="K26" s="4">
        <x:v>42</x:v>
      </x:c>
      <x:c r="L26" s="4">
        <x:v>68</x:v>
      </x:c>
      <x:c r="M26" s="4">
        <x:v>4</x:v>
      </x:c>
      <x:c r="N26" s="5">
        <x:v>0.0588</x:v>
      </x:c>
    </x:row>
    <x:row r="27" ht="24" customHeight="1">
      <x:c r="A27" s="1" t="inlineStr">
        <x:is>
          <x:t>RESULT</x:t>
        </x:is>
      </x:c>
      <x:c r="B27" s="1" t="inlineStr">
        <x:is>
          <x:t>Round1</x:t>
        </x:is>
      </x:c>
      <x:c r="C27" s="1" t="inlineStr">
        <x:is>
          <x:t>Chart_9</x:t>
        </x:is>
      </x:c>
      <x:c r="D27" s="1" t="inlineStr">
        <x:is>
          <x:t>NOT_AVAILABLE</x:t>
        </x:is>
      </x:c>
      <x:c r="E27" s="5"/>
      <x:c r="F27" s="4">
        <x:v>0</x:v>
      </x:c>
      <x:c r="G27" s="4"/>
      <x:c r="H27" s="6"/>
      <x:c r="I27" s="16">
        <x:v>1</x:v>
      </x:c>
      <x:c r="J27" s="0"/>
      <x:c r="K27" s="4"/>
      <x:c r="L27" s="4"/>
      <x:c r="M27" s="4"/>
      <x:c r="N27" s="5"/>
    </x:row>
    <x:row r="28" ht="24" customHeight="1">
      <x:c r="A28" s="1" t="inlineStr">
        <x:is>
          <x:t>RESULT</x:t>
        </x:is>
      </x:c>
      <x:c r="B28" s="1" t="inlineStr">
        <x:is>
          <x:t>Round1</x:t>
        </x:is>
      </x:c>
      <x:c r="C28" s="1" t="inlineStr">
        <x:is>
          <x:t>Cli_1</x:t>
        </x:is>
      </x:c>
      <x:c r="D28" s="1" t="inlineStr">
        <x:is>
          <x:t>INCONCLUSIVE</x:t>
        </x:is>
      </x:c>
      <x:c r="E28" s="5">
        <x:v>0.0</x:v>
      </x:c>
      <x:c r="F28" s="4">
        <x:v>0</x:v>
      </x:c>
      <x:c r="G28" s="4">
        <x:v>14357</x:v>
      </x:c>
      <x:c r="H28" s="6">
        <x:v>63.6</x:v>
      </x:c>
      <x:c r="I28" s="16">
        <x:v>1</x:v>
      </x:c>
      <x:c r="J28" s="0">
        <x:v>45</x:v>
      </x:c>
      <x:c r="K28" s="4">
        <x:v>0</x:v>
      </x:c>
      <x:c r="L28" s="4">
        <x:v>14</x:v>
      </x:c>
      <x:c r="M28" s="4">
        <x:v>0</x:v>
      </x:c>
      <x:c r="N28" s="5">
        <x:v>0.0</x:v>
      </x:c>
    </x:row>
    <x:row r="29" ht="24" customHeight="1">
      <x:c r="A29" s="1" t="inlineStr">
        <x:is>
          <x:t>RESULT</x:t>
        </x:is>
      </x:c>
      <x:c r="B29" s="1" t="inlineStr">
        <x:is>
          <x:t>Round1</x:t>
        </x:is>
      </x:c>
      <x:c r="C29" s="1" t="inlineStr">
        <x:is>
          <x:t>Cli_10</x:t>
        </x:is>
      </x:c>
      <x:c r="D29" s="1" t="inlineStr">
        <x:is>
          <x:t>NOT_AVAILABLE</x:t>
        </x:is>
      </x:c>
      <x:c r="E29" s="5"/>
      <x:c r="F29" s="4">
        <x:v>0</x:v>
      </x:c>
      <x:c r="G29" s="4">
        <x:v>10074</x:v>
      </x:c>
      <x:c r="H29" s="6">
        <x:v>51.63</x:v>
      </x:c>
      <x:c r="I29" s="16">
        <x:v>1</x:v>
      </x:c>
      <x:c r="J29" s="0"/>
      <x:c r="K29" s="4"/>
      <x:c r="L29" s="4"/>
      <x:c r="M29" s="4"/>
      <x:c r="N29" s="5"/>
    </x:row>
    <x:row r="30" ht="24" customHeight="1">
      <x:c r="A30" s="1" t="inlineStr">
        <x:is>
          <x:t>RESULT</x:t>
        </x:is>
      </x:c>
      <x:c r="B30" s="1" t="inlineStr">
        <x:is>
          <x:t>Round1</x:t>
        </x:is>
      </x:c>
      <x:c r="C30" s="1" t="inlineStr">
        <x:is>
          <x:t>Cli_11</x:t>
        </x:is>
      </x:c>
      <x:c r="D30" s="1" t="inlineStr">
        <x:is>
          <x:t>INCONCLUSIVE</x:t>
        </x:is>
      </x:c>
      <x:c r="E30" s="5">
        <x:v>0.0</x:v>
      </x:c>
      <x:c r="F30" s="4">
        <x:v>0</x:v>
      </x:c>
      <x:c r="G30" s="4">
        <x:v>13431</x:v>
      </x:c>
      <x:c r="H30" s="6">
        <x:v>53.15</x:v>
      </x:c>
      <x:c r="I30" s="16">
        <x:v>1</x:v>
      </x:c>
      <x:c r="J30" s="0">
        <x:v>198</x:v>
      </x:c>
      <x:c r="K30" s="4">
        <x:v>0</x:v>
      </x:c>
      <x:c r="L30" s="4">
        <x:v>106</x:v>
      </x:c>
      <x:c r="M30" s="4">
        <x:v>0</x:v>
      </x:c>
      <x:c r="N30" s="5">
        <x:v>0.0</x:v>
      </x:c>
    </x:row>
    <x:row r="31" ht="24" customHeight="1">
      <x:c r="A31" s="1" t="inlineStr">
        <x:is>
          <x:t>RESULT</x:t>
        </x:is>
      </x:c>
      <x:c r="B31" s="1" t="inlineStr">
        <x:is>
          <x:t>Round1</x:t>
        </x:is>
      </x:c>
      <x:c r="C31" s="1" t="inlineStr">
        <x:is>
          <x:t>Cli_12</x:t>
        </x:is>
      </x:c>
      <x:c r="D31" s="1" t="inlineStr">
        <x:is>
          <x:t>NOT_AVAILABLE</x:t>
        </x:is>
      </x:c>
      <x:c r="E31" s="5"/>
      <x:c r="F31" s="4">
        <x:v>0</x:v>
      </x:c>
      <x:c r="G31" s="4"/>
      <x:c r="H31" s="6">
        <x:v>45.61</x:v>
      </x:c>
      <x:c r="I31" s="16">
        <x:v>1</x:v>
      </x:c>
      <x:c r="J31" s="0"/>
      <x:c r="K31" s="4"/>
      <x:c r="L31" s="4"/>
      <x:c r="M31" s="4"/>
      <x:c r="N31" s="5"/>
    </x:row>
    <x:row r="32" ht="24" customHeight="1">
      <x:c r="A32" s="1" t="inlineStr">
        <x:is>
          <x:t>RESULT</x:t>
        </x:is>
      </x:c>
      <x:c r="B32" s="1" t="inlineStr">
        <x:is>
          <x:t>Round1</x:t>
        </x:is>
      </x:c>
      <x:c r="C32" s="1" t="inlineStr">
        <x:is>
          <x:t>Cli_13</x:t>
        </x:is>
      </x:c>
      <x:c r="D32" s="1" t="inlineStr">
        <x:is>
          <x:t>NOT_AVAILABLE</x:t>
        </x:is>
      </x:c>
      <x:c r="E32" s="5"/>
      <x:c r="F32" s="4">
        <x:v>0</x:v>
      </x:c>
      <x:c r="G32" s="4">
        <x:v>32227</x:v>
      </x:c>
      <x:c r="H32" s="6">
        <x:v>201.0</x:v>
      </x:c>
      <x:c r="I32" s="16">
        <x:v>1</x:v>
      </x:c>
      <x:c r="J32" s="0"/>
      <x:c r="K32" s="4"/>
      <x:c r="L32" s="4"/>
      <x:c r="M32" s="4"/>
      <x:c r="N32" s="5"/>
    </x:row>
    <x:row r="33" ht="24" customHeight="1">
      <x:c r="A33" s="1" t="inlineStr">
        <x:is>
          <x:t>RESULT</x:t>
        </x:is>
      </x:c>
      <x:c r="B33" s="1" t="inlineStr">
        <x:is>
          <x:t>Round1</x:t>
        </x:is>
      </x:c>
      <x:c r="C33" s="1" t="inlineStr">
        <x:is>
          <x:t>Cli_14</x:t>
        </x:is>
      </x:c>
      <x:c r="D33" s="1" t="inlineStr">
        <x:is>
          <x:t>NOT_AVAILABLE</x:t>
        </x:is>
      </x:c>
      <x:c r="E33" s="5"/>
      <x:c r="F33" s="4">
        <x:v>0</x:v>
      </x:c>
      <x:c r="G33" s="4">
        <x:v>12906</x:v>
      </x:c>
      <x:c r="H33" s="6">
        <x:v>74.68</x:v>
      </x:c>
      <x:c r="I33" s="16">
        <x:v>1</x:v>
      </x:c>
      <x:c r="J33" s="0"/>
      <x:c r="K33" s="4"/>
      <x:c r="L33" s="4"/>
      <x:c r="M33" s="4"/>
      <x:c r="N33" s="5"/>
    </x:row>
    <x:row r="34" ht="24" customHeight="1">
      <x:c r="A34" s="1" t="inlineStr">
        <x:is>
          <x:t>RESULT</x:t>
        </x:is>
      </x:c>
      <x:c r="B34" s="1" t="inlineStr">
        <x:is>
          <x:t>Round1</x:t>
        </x:is>
      </x:c>
      <x:c r="C34" s="1" t="inlineStr">
        <x:is>
          <x:t>Cli_15</x:t>
        </x:is>
      </x:c>
      <x:c r="D34" s="1" t="inlineStr">
        <x:is>
          <x:t>INCONCLUSIVE</x:t>
        </x:is>
      </x:c>
      <x:c r="E34" s="5">
        <x:v>0.0</x:v>
      </x:c>
      <x:c r="F34" s="4">
        <x:v>0</x:v>
      </x:c>
      <x:c r="G34" s="4">
        <x:v>13614</x:v>
      </x:c>
      <x:c r="H34" s="6">
        <x:v>62.19</x:v>
      </x:c>
      <x:c r="I34" s="16">
        <x:v>1</x:v>
      </x:c>
      <x:c r="J34" s="0">
        <x:v>93</x:v>
      </x:c>
      <x:c r="K34" s="4">
        <x:v>0</x:v>
      </x:c>
      <x:c r="L34" s="4">
        <x:v>46</x:v>
      </x:c>
      <x:c r="M34" s="4">
        <x:v>0</x:v>
      </x:c>
      <x:c r="N34" s="5">
        <x:v>0.0</x:v>
      </x:c>
    </x:row>
    <x:row r="35" ht="24" customHeight="1">
      <x:c r="A35" s="1" t="inlineStr">
        <x:is>
          <x:t>RESULT</x:t>
        </x:is>
      </x:c>
      <x:c r="B35" s="1" t="inlineStr">
        <x:is>
          <x:t>Round1</x:t>
        </x:is>
      </x:c>
      <x:c r="C35" s="1" t="inlineStr">
        <x:is>
          <x:t>Cli_16</x:t>
        </x:is>
      </x:c>
      <x:c r="D35" s="1" t="inlineStr">
        <x:is>
          <x:t>NOT_AVAILABLE</x:t>
        </x:is>
      </x:c>
      <x:c r="E35" s="5"/>
      <x:c r="F35" s="4">
        <x:v>0</x:v>
      </x:c>
      <x:c r="G35" s="4">
        <x:v>46594</x:v>
      </x:c>
      <x:c r="H35" s="6">
        <x:v>205.57</x:v>
      </x:c>
      <x:c r="I35" s="16">
        <x:v>1</x:v>
      </x:c>
      <x:c r="J35" s="0"/>
      <x:c r="K35" s="4"/>
      <x:c r="L35" s="4"/>
      <x:c r="M35" s="4"/>
      <x:c r="N35" s="5"/>
    </x:row>
    <x:row r="36" ht="24" customHeight="1">
      <x:c r="A36" s="1" t="inlineStr">
        <x:is>
          <x:t>RESULT</x:t>
        </x:is>
      </x:c>
      <x:c r="B36" s="1" t="inlineStr">
        <x:is>
          <x:t>Round1</x:t>
        </x:is>
      </x:c>
      <x:c r="C36" s="1" t="inlineStr">
        <x:is>
          <x:t>Cli_17</x:t>
        </x:is>
      </x:c>
      <x:c r="D36" s="1" t="inlineStr">
        <x:is>
          <x:t>INCONCLUSIVE</x:t>
        </x:is>
      </x:c>
      <x:c r="E36" s="5">
        <x:v>0.0</x:v>
      </x:c>
      <x:c r="F36" s="4">
        <x:v>0</x:v>
      </x:c>
      <x:c r="G36" s="4">
        <x:v>9139</x:v>
      </x:c>
      <x:c r="H36" s="6">
        <x:v>33.38</x:v>
      </x:c>
      <x:c r="I36" s="16">
        <x:v>1</x:v>
      </x:c>
      <x:c r="J36" s="0">
        <x:v>67</x:v>
      </x:c>
      <x:c r="K36" s="4">
        <x:v>0</x:v>
      </x:c>
      <x:c r="L36" s="4">
        <x:v>42</x:v>
      </x:c>
      <x:c r="M36" s="4">
        <x:v>0</x:v>
      </x:c>
      <x:c r="N36" s="5">
        <x:v>0.0</x:v>
      </x:c>
    </x:row>
    <x:row r="37" ht="24" customHeight="1">
      <x:c r="A37" s="1" t="inlineStr">
        <x:is>
          <x:t>RESULT</x:t>
        </x:is>
      </x:c>
      <x:c r="B37" s="1" t="inlineStr">
        <x:is>
          <x:t>Round1</x:t>
        </x:is>
      </x:c>
      <x:c r="C37" s="1" t="inlineStr">
        <x:is>
          <x:t>Cli_18</x:t>
        </x:is>
      </x:c>
      <x:c r="D37" s="1" t="inlineStr">
        <x:is>
          <x:t>INCONCLUSIVE</x:t>
        </x:is>
      </x:c>
      <x:c r="E37" s="5">
        <x:v>0.0</x:v>
      </x:c>
      <x:c r="F37" s="4">
        <x:v>0</x:v>
      </x:c>
      <x:c r="G37" s="4">
        <x:v>8138</x:v>
      </x:c>
      <x:c r="H37" s="6">
        <x:v>36.55</x:v>
      </x:c>
      <x:c r="I37" s="16">
        <x:v>1</x:v>
      </x:c>
      <x:c r="J37" s="0">
        <x:v>66</x:v>
      </x:c>
      <x:c r="K37" s="4">
        <x:v>0</x:v>
      </x:c>
      <x:c r="L37" s="4">
        <x:v>42</x:v>
      </x:c>
      <x:c r="M37" s="4">
        <x:v>0</x:v>
      </x:c>
      <x:c r="N37" s="5">
        <x:v>0.0</x:v>
      </x:c>
    </x:row>
    <x:row r="38" ht="24" customHeight="1">
      <x:c r="A38" s="1" t="inlineStr">
        <x:is>
          <x:t>RESULT</x:t>
        </x:is>
      </x:c>
      <x:c r="B38" s="1" t="inlineStr">
        <x:is>
          <x:t>Round1</x:t>
        </x:is>
      </x:c>
      <x:c r="C38" s="1" t="inlineStr">
        <x:is>
          <x:t>Cli_19</x:t>
        </x:is>
      </x:c>
      <x:c r="D38" s="1" t="inlineStr">
        <x:is>
          <x:t>INCONCLUSIVE</x:t>
        </x:is>
      </x:c>
      <x:c r="E38" s="5">
        <x:v>0.0</x:v>
      </x:c>
      <x:c r="F38" s="4">
        <x:v>0</x:v>
      </x:c>
      <x:c r="G38" s="4">
        <x:v>6904</x:v>
      </x:c>
      <x:c r="H38" s="6">
        <x:v>47.91</x:v>
      </x:c>
      <x:c r="I38" s="16">
        <x:v>1</x:v>
      </x:c>
      <x:c r="J38" s="0">
        <x:v>65</x:v>
      </x:c>
      <x:c r="K38" s="4">
        <x:v>0</x:v>
      </x:c>
      <x:c r="L38" s="4">
        <x:v>42</x:v>
      </x:c>
      <x:c r="M38" s="4">
        <x:v>0</x:v>
      </x:c>
      <x:c r="N38" s="5">
        <x:v>0.0</x:v>
      </x:c>
    </x:row>
    <x:row r="39" ht="24" customHeight="1">
      <x:c r="A39" s="1" t="inlineStr">
        <x:is>
          <x:t>RESULT</x:t>
        </x:is>
      </x:c>
      <x:c r="B39" s="1" t="inlineStr">
        <x:is>
          <x:t>Round1</x:t>
        </x:is>
      </x:c>
      <x:c r="C39" s="1" t="inlineStr">
        <x:is>
          <x:t>Cli_2</x:t>
        </x:is>
      </x:c>
      <x:c r="D39" s="1" t="inlineStr">
        <x:is>
          <x:t>INCONCLUSIVE</x:t>
        </x:is>
      </x:c>
      <x:c r="E39" s="5">
        <x:v>0.0</x:v>
      </x:c>
      <x:c r="F39" s="4">
        <x:v>0</x:v>
      </x:c>
      <x:c r="G39" s="4">
        <x:v>10030</x:v>
      </x:c>
      <x:c r="H39" s="6">
        <x:v>37.59</x:v>
      </x:c>
      <x:c r="I39" s="16">
        <x:v>1</x:v>
      </x:c>
      <x:c r="J39" s="0">
        <x:v>68</x:v>
      </x:c>
      <x:c r="K39" s="4">
        <x:v>0</x:v>
      </x:c>
      <x:c r="L39" s="4">
        <x:v>42</x:v>
      </x:c>
      <x:c r="M39" s="4">
        <x:v>0</x:v>
      </x:c>
      <x:c r="N39" s="5">
        <x:v>0.0</x:v>
      </x:c>
    </x:row>
    <x:row r="40" ht="24" customHeight="1">
      <x:c r="A40" s="1" t="inlineStr">
        <x:is>
          <x:t>RESULT</x:t>
        </x:is>
      </x:c>
      <x:c r="B40" s="1" t="inlineStr">
        <x:is>
          <x:t>Round1</x:t>
        </x:is>
      </x:c>
      <x:c r="C40" s="1" t="inlineStr">
        <x:is>
          <x:t>Cli_20</x:t>
        </x:is>
      </x:c>
      <x:c r="D40" s="1" t="inlineStr">
        <x:is>
          <x:t>INCONCLUSIVE</x:t>
        </x:is>
      </x:c>
      <x:c r="E40" s="5">
        <x:v>0.0</x:v>
      </x:c>
      <x:c r="F40" s="4">
        <x:v>0</x:v>
      </x:c>
      <x:c r="G40" s="4">
        <x:v>9235</x:v>
      </x:c>
      <x:c r="H40" s="6">
        <x:v>33.36</x:v>
      </x:c>
      <x:c r="I40" s="16">
        <x:v>1</x:v>
      </x:c>
      <x:c r="J40" s="0">
        <x:v>64</x:v>
      </x:c>
      <x:c r="K40" s="4">
        <x:v>0</x:v>
      </x:c>
      <x:c r="L40" s="4">
        <x:v>42</x:v>
      </x:c>
      <x:c r="M40" s="4">
        <x:v>0</x:v>
      </x:c>
      <x:c r="N40" s="5">
        <x:v>0.0</x:v>
      </x:c>
    </x:row>
    <x:row r="41" ht="24" customHeight="1">
      <x:c r="A41" s="1" t="inlineStr">
        <x:is>
          <x:t>RESULT</x:t>
        </x:is>
      </x:c>
      <x:c r="B41" s="1" t="inlineStr">
        <x:is>
          <x:t>Round1</x:t>
        </x:is>
      </x:c>
      <x:c r="C41" s="1" t="inlineStr">
        <x:is>
          <x:t>Cli_21</x:t>
        </x:is>
      </x:c>
      <x:c r="D41" s="1" t="inlineStr">
        <x:is>
          <x:t>NOT_AVAILABLE</x:t>
        </x:is>
      </x:c>
      <x:c r="E41" s="5"/>
      <x:c r="F41" s="4">
        <x:v>0</x:v>
      </x:c>
      <x:c r="G41" s="4">
        <x:v>44499</x:v>
      </x:c>
      <x:c r="H41" s="6">
        <x:v>193.42</x:v>
      </x:c>
      <x:c r="I41" s="16">
        <x:v>1</x:v>
      </x:c>
      <x:c r="J41" s="0"/>
      <x:c r="K41" s="4"/>
      <x:c r="L41" s="4"/>
      <x:c r="M41" s="4"/>
      <x:c r="N41" s="5"/>
    </x:row>
    <x:row r="42" ht="24" customHeight="1">
      <x:c r="A42" s="1" t="inlineStr">
        <x:is>
          <x:t>RESULT</x:t>
        </x:is>
      </x:c>
      <x:c r="B42" s="1" t="inlineStr">
        <x:is>
          <x:t>Round1</x:t>
        </x:is>
      </x:c>
      <x:c r="C42" s="1" t="inlineStr">
        <x:is>
          <x:t>Cli_22</x:t>
        </x:is>
      </x:c>
      <x:c r="D42" s="1" t="inlineStr">
        <x:is>
          <x:t>INCONCLUSIVE</x:t>
        </x:is>
      </x:c>
      <x:c r="E42" s="5">
        <x:v>0.0</x:v>
      </x:c>
      <x:c r="F42" s="4">
        <x:v>0</x:v>
      </x:c>
      <x:c r="G42" s="4">
        <x:v>8943</x:v>
      </x:c>
      <x:c r="H42" s="6">
        <x:v>33.33</x:v>
      </x:c>
      <x:c r="I42" s="16">
        <x:v>1</x:v>
      </x:c>
      <x:c r="J42" s="0">
        <x:v>57</x:v>
      </x:c>
      <x:c r="K42" s="4">
        <x:v>0</x:v>
      </x:c>
      <x:c r="L42" s="4">
        <x:v>38</x:v>
      </x:c>
      <x:c r="M42" s="4">
        <x:v>0</x:v>
      </x:c>
      <x:c r="N42" s="5">
        <x:v>0.0</x:v>
      </x:c>
    </x:row>
    <x:row r="43" ht="24" customHeight="1">
      <x:c r="A43" s="1" t="inlineStr">
        <x:is>
          <x:t>RESULT</x:t>
        </x:is>
      </x:c>
      <x:c r="B43" s="1" t="inlineStr">
        <x:is>
          <x:t>Round1</x:t>
        </x:is>
      </x:c>
      <x:c r="C43" s="1" t="inlineStr">
        <x:is>
          <x:t>Cli_23</x:t>
        </x:is>
      </x:c>
      <x:c r="D43" s="1" t="inlineStr">
        <x:is>
          <x:t>INCONCLUSIVE</x:t>
        </x:is>
      </x:c>
      <x:c r="E43" s="5">
        <x:v>0.0</x:v>
      </x:c>
      <x:c r="F43" s="4">
        <x:v>0</x:v>
      </x:c>
      <x:c r="G43" s="4">
        <x:v>8536</x:v>
      </x:c>
      <x:c r="H43" s="6">
        <x:v>23.62</x:v>
      </x:c>
      <x:c r="I43" s="16">
        <x:v>1</x:v>
      </x:c>
      <x:c r="J43" s="0">
        <x:v>198</x:v>
      </x:c>
      <x:c r="K43" s="4">
        <x:v>0</x:v>
      </x:c>
      <x:c r="L43" s="4">
        <x:v>108</x:v>
      </x:c>
      <x:c r="M43" s="4">
        <x:v>0</x:v>
      </x:c>
      <x:c r="N43" s="5">
        <x:v>0.0</x:v>
      </x:c>
    </x:row>
    <x:row r="44" ht="24" customHeight="1">
      <x:c r="A44" s="1" t="inlineStr">
        <x:is>
          <x:t>RESULT</x:t>
        </x:is>
      </x:c>
      <x:c r="B44" s="1" t="inlineStr">
        <x:is>
          <x:t>Round1</x:t>
        </x:is>
      </x:c>
      <x:c r="C44" s="1" t="inlineStr">
        <x:is>
          <x:t>Cli_24</x:t>
        </x:is>
      </x:c>
      <x:c r="D44" s="1" t="inlineStr">
        <x:is>
          <x:t>INCONCLUSIVE</x:t>
        </x:is>
      </x:c>
      <x:c r="E44" s="5">
        <x:v>0.0</x:v>
      </x:c>
      <x:c r="F44" s="4">
        <x:v>0</x:v>
      </x:c>
      <x:c r="G44" s="4">
        <x:v>9526</x:v>
      </x:c>
      <x:c r="H44" s="6">
        <x:v>31.4</x:v>
      </x:c>
      <x:c r="I44" s="16">
        <x:v>1</x:v>
      </x:c>
      <x:c r="J44" s="0">
        <x:v>198</x:v>
      </x:c>
      <x:c r="K44" s="4">
        <x:v>0</x:v>
      </x:c>
      <x:c r="L44" s="4">
        <x:v>112</x:v>
      </x:c>
      <x:c r="M44" s="4">
        <x:v>0</x:v>
      </x:c>
      <x:c r="N44" s="5">
        <x:v>0.0</x:v>
      </x:c>
    </x:row>
    <x:row r="45" ht="24" customHeight="1">
      <x:c r="A45" s="1" t="inlineStr">
        <x:is>
          <x:t>RESULT</x:t>
        </x:is>
      </x:c>
      <x:c r="B45" s="1" t="inlineStr">
        <x:is>
          <x:t>Round1</x:t>
        </x:is>
      </x:c>
      <x:c r="C45" s="1" t="inlineStr">
        <x:is>
          <x:t>Cli_25</x:t>
        </x:is>
      </x:c>
      <x:c r="D45" s="1" t="inlineStr">
        <x:is>
          <x:t>INCONCLUSIVE</x:t>
        </x:is>
      </x:c>
      <x:c r="E45" s="5">
        <x:v>0.0</x:v>
      </x:c>
      <x:c r="F45" s="4">
        <x:v>0</x:v>
      </x:c>
      <x:c r="G45" s="4">
        <x:v>10582</x:v>
      </x:c>
      <x:c r="H45" s="6">
        <x:v>36.88</x:v>
      </x:c>
      <x:c r="I45" s="16">
        <x:v>1</x:v>
      </x:c>
      <x:c r="J45" s="0">
        <x:v>198</x:v>
      </x:c>
      <x:c r="K45" s="4">
        <x:v>0</x:v>
      </x:c>
      <x:c r="L45" s="4">
        <x:v>112</x:v>
      </x:c>
      <x:c r="M45" s="4">
        <x:v>0</x:v>
      </x:c>
      <x:c r="N45" s="5">
        <x:v>0.0</x:v>
      </x:c>
    </x:row>
    <x:row r="46" ht="24" customHeight="1">
      <x:c r="A46" s="1" t="inlineStr">
        <x:is>
          <x:t>RESULT</x:t>
        </x:is>
      </x:c>
      <x:c r="B46" s="1" t="inlineStr">
        <x:is>
          <x:t>Round1</x:t>
        </x:is>
      </x:c>
      <x:c r="C46" s="1" t="inlineStr">
        <x:is>
          <x:t>Cli_26</x:t>
        </x:is>
      </x:c>
      <x:c r="D46" s="1" t="inlineStr">
        <x:is>
          <x:t>INCONCLUSIVE</x:t>
        </x:is>
      </x:c>
      <x:c r="E46" s="5">
        <x:v>0.0</x:v>
      </x:c>
      <x:c r="F46" s="4">
        <x:v>0</x:v>
      </x:c>
      <x:c r="G46" s="4">
        <x:v>7169</x:v>
      </x:c>
      <x:c r="H46" s="6">
        <x:v>36.27</x:v>
      </x:c>
      <x:c r="I46" s="16">
        <x:v>1</x:v>
      </x:c>
      <x:c r="J46" s="0">
        <x:v>61</x:v>
      </x:c>
      <x:c r="K46" s="4">
        <x:v>0</x:v>
      </x:c>
      <x:c r="L46" s="4">
        <x:v>4</x:v>
      </x:c>
      <x:c r="M46" s="4">
        <x:v>0</x:v>
      </x:c>
      <x:c r="N46" s="5">
        <x:v>0.0</x:v>
      </x:c>
    </x:row>
    <x:row r="47" ht="24" customHeight="1">
      <x:c r="A47" s="1" t="inlineStr">
        <x:is>
          <x:t>RESULT</x:t>
        </x:is>
      </x:c>
      <x:c r="B47" s="1" t="inlineStr">
        <x:is>
          <x:t>Round1</x:t>
        </x:is>
      </x:c>
      <x:c r="C47" s="1" t="inlineStr">
        <x:is>
          <x:t>Cli_27</x:t>
        </x:is>
      </x:c>
      <x:c r="D47" s="1" t="inlineStr">
        <x:is>
          <x:t>INCONCLUSIVE</x:t>
        </x:is>
      </x:c>
      <x:c r="E47" s="5">
        <x:v>0.0</x:v>
      </x:c>
      <x:c r="F47" s="4">
        <x:v>0</x:v>
      </x:c>
      <x:c r="G47" s="4">
        <x:v>5223</x:v>
      </x:c>
      <x:c r="H47" s="6">
        <x:v>20.61</x:v>
      </x:c>
      <x:c r="I47" s="16">
        <x:v>1</x:v>
      </x:c>
      <x:c r="J47" s="0">
        <x:v>34</x:v>
      </x:c>
      <x:c r="K47" s="4">
        <x:v>0</x:v>
      </x:c>
      <x:c r="L47" s="4">
        <x:v>12</x:v>
      </x:c>
      <x:c r="M47" s="4">
        <x:v>0</x:v>
      </x:c>
      <x:c r="N47" s="5">
        <x:v>0.0</x:v>
      </x:c>
    </x:row>
    <x:row r="48" ht="24" customHeight="1">
      <x:c r="A48" s="1" t="inlineStr">
        <x:is>
          <x:t>RESULT</x:t>
        </x:is>
      </x:c>
      <x:c r="B48" s="1" t="inlineStr">
        <x:is>
          <x:t>Round1</x:t>
        </x:is>
      </x:c>
      <x:c r="C48" s="1" t="inlineStr">
        <x:is>
          <x:t>Cli_28</x:t>
        </x:is>
      </x:c>
      <x:c r="D48" s="1" t="inlineStr">
        <x:is>
          <x:t>INCONCLUSIVE</x:t>
        </x:is>
      </x:c>
      <x:c r="E48" s="5">
        <x:v>0.0</x:v>
      </x:c>
      <x:c r="F48" s="4">
        <x:v>0</x:v>
      </x:c>
      <x:c r="G48" s="4">
        <x:v>15637</x:v>
      </x:c>
      <x:c r="H48" s="6">
        <x:v>65.89</x:v>
      </x:c>
      <x:c r="I48" s="16">
        <x:v>1</x:v>
      </x:c>
      <x:c r="J48" s="0">
        <x:v>101</x:v>
      </x:c>
      <x:c r="K48" s="4">
        <x:v>0</x:v>
      </x:c>
      <x:c r="L48" s="4">
        <x:v>68</x:v>
      </x:c>
      <x:c r="M48" s="4">
        <x:v>0</x:v>
      </x:c>
      <x:c r="N48" s="5">
        <x:v>0.0</x:v>
      </x:c>
    </x:row>
    <x:row r="49" ht="24" customHeight="1">
      <x:c r="A49" s="1" t="inlineStr">
        <x:is>
          <x:t>RESULT</x:t>
        </x:is>
      </x:c>
      <x:c r="B49" s="1" t="inlineStr">
        <x:is>
          <x:t>Round1</x:t>
        </x:is>
      </x:c>
      <x:c r="C49" s="1" t="inlineStr">
        <x:is>
          <x:t>Cli_29</x:t>
        </x:is>
      </x:c>
      <x:c r="D49" s="1" t="inlineStr">
        <x:is>
          <x:t>INCONCLUSIVE</x:t>
        </x:is>
      </x:c>
      <x:c r="E49" s="5">
        <x:v>0.0</x:v>
      </x:c>
      <x:c r="F49" s="4">
        <x:v>0</x:v>
      </x:c>
      <x:c r="G49" s="4">
        <x:v>4304</x:v>
      </x:c>
      <x:c r="H49" s="6">
        <x:v>15.98</x:v>
      </x:c>
      <x:c r="I49" s="16">
        <x:v>1</x:v>
      </x:c>
      <x:c r="J49" s="0">
        <x:v>14</x:v>
      </x:c>
      <x:c r="K49" s="4">
        <x:v>0</x:v>
      </x:c>
      <x:c r="L49" s="4">
        <x:v>10</x:v>
      </x:c>
      <x:c r="M49" s="4">
        <x:v>0</x:v>
      </x:c>
      <x:c r="N49" s="5">
        <x:v>0.0</x:v>
      </x:c>
    </x:row>
    <x:row r="50" ht="24" customHeight="1">
      <x:c r="A50" s="1" t="inlineStr">
        <x:is>
          <x:t>RESULT</x:t>
        </x:is>
      </x:c>
      <x:c r="B50" s="1" t="inlineStr">
        <x:is>
          <x:t>Round1</x:t>
        </x:is>
      </x:c>
      <x:c r="C50" s="1" t="inlineStr">
        <x:is>
          <x:t>Cli_3</x:t>
        </x:is>
      </x:c>
      <x:c r="D50" s="1" t="inlineStr">
        <x:is>
          <x:t>INCONCLUSIVE</x:t>
        </x:is>
      </x:c>
      <x:c r="E50" s="5">
        <x:v>0.0</x:v>
      </x:c>
      <x:c r="F50" s="4">
        <x:v>0</x:v>
      </x:c>
      <x:c r="G50" s="4">
        <x:v>7513</x:v>
      </x:c>
      <x:c r="H50" s="6">
        <x:v>29.89</x:v>
      </x:c>
      <x:c r="I50" s="16">
        <x:v>1</x:v>
      </x:c>
      <x:c r="J50" s="0">
        <x:v>55</x:v>
      </x:c>
      <x:c r="K50" s="4">
        <x:v>0</x:v>
      </x:c>
      <x:c r="L50" s="4">
        <x:v>20</x:v>
      </x:c>
      <x:c r="M50" s="4">
        <x:v>0</x:v>
      </x:c>
      <x:c r="N50" s="5">
        <x:v>0.0</x:v>
      </x:c>
    </x:row>
    <x:row r="51" ht="24" customHeight="1">
      <x:c r="A51" s="1" t="inlineStr">
        <x:is>
          <x:t>RESULT</x:t>
        </x:is>
      </x:c>
      <x:c r="B51" s="1" t="inlineStr">
        <x:is>
          <x:t>Round1</x:t>
        </x:is>
      </x:c>
      <x:c r="C51" s="1" t="inlineStr">
        <x:is>
          <x:t>Cli_30</x:t>
        </x:is>
      </x:c>
      <x:c r="D51" s="1" t="inlineStr">
        <x:is>
          <x:t>INCONCLUSIVE</x:t>
        </x:is>
      </x:c>
      <x:c r="E51" s="5">
        <x:v>0.0</x:v>
      </x:c>
      <x:c r="F51" s="4">
        <x:v>0</x:v>
      </x:c>
      <x:c r="G51" s="4">
        <x:v>21749</x:v>
      </x:c>
      <x:c r="H51" s="6">
        <x:v>79.29</x:v>
      </x:c>
      <x:c r="I51" s="16">
        <x:v>1</x:v>
      </x:c>
      <x:c r="J51" s="0">
        <x:v>288</x:v>
      </x:c>
      <x:c r="K51" s="4">
        <x:v>0</x:v>
      </x:c>
      <x:c r="L51" s="4">
        <x:v>218</x:v>
      </x:c>
      <x:c r="M51" s="4">
        <x:v>0</x:v>
      </x:c>
      <x:c r="N51" s="5">
        <x:v>0.0</x:v>
      </x:c>
    </x:row>
    <x:row r="52" ht="24" customHeight="1">
      <x:c r="A52" s="1" t="inlineStr">
        <x:is>
          <x:t>RESULT</x:t>
        </x:is>
      </x:c>
      <x:c r="B52" s="1" t="inlineStr">
        <x:is>
          <x:t>Round1</x:t>
        </x:is>
      </x:c>
      <x:c r="C52" s="1" t="inlineStr">
        <x:is>
          <x:t>Cli_31</x:t>
        </x:is>
      </x:c>
      <x:c r="D52" s="1" t="inlineStr">
        <x:is>
          <x:t>INCONCLUSIVE</x:t>
        </x:is>
      </x:c>
      <x:c r="E52" s="5">
        <x:v>0.0</x:v>
      </x:c>
      <x:c r="F52" s="4">
        <x:v>0</x:v>
      </x:c>
      <x:c r="G52" s="4">
        <x:v>35718</x:v>
      </x:c>
      <x:c r="H52" s="6">
        <x:v>128.01</x:v>
      </x:c>
      <x:c r="I52" s="16">
        <x:v>1</x:v>
      </x:c>
      <x:c r="J52" s="0">
        <x:v>386</x:v>
      </x:c>
      <x:c r="K52" s="4">
        <x:v>0</x:v>
      </x:c>
      <x:c r="L52" s="4">
        <x:v>208</x:v>
      </x:c>
      <x:c r="M52" s="4">
        <x:v>0</x:v>
      </x:c>
      <x:c r="N52" s="5">
        <x:v>0.0</x:v>
      </x:c>
    </x:row>
    <x:row r="53" ht="24" customHeight="1">
      <x:c r="A53" s="1" t="inlineStr">
        <x:is>
          <x:t>RESULT</x:t>
        </x:is>
      </x:c>
      <x:c r="B53" s="1" t="inlineStr">
        <x:is>
          <x:t>Round1</x:t>
        </x:is>
      </x:c>
      <x:c r="C53" s="1" t="inlineStr">
        <x:is>
          <x:t>Cli_32</x:t>
        </x:is>
      </x:c>
      <x:c r="D53" s="1" t="inlineStr">
        <x:is>
          <x:t>INCONCLUSIVE</x:t>
        </x:is>
      </x:c>
      <x:c r="E53" s="5">
        <x:v>0.0</x:v>
      </x:c>
      <x:c r="F53" s="4">
        <x:v>0</x:v>
      </x:c>
      <x:c r="G53" s="4">
        <x:v>11747</x:v>
      </x:c>
      <x:c r="H53" s="6">
        <x:v>39.7</x:v>
      </x:c>
      <x:c r="I53" s="16">
        <x:v>1</x:v>
      </x:c>
      <x:c r="J53" s="0">
        <x:v>203</x:v>
      </x:c>
      <x:c r="K53" s="4">
        <x:v>0</x:v>
      </x:c>
      <x:c r="L53" s="4">
        <x:v>122</x:v>
      </x:c>
      <x:c r="M53" s="4">
        <x:v>0</x:v>
      </x:c>
      <x:c r="N53" s="5">
        <x:v>0.0</x:v>
      </x:c>
    </x:row>
    <x:row r="54" ht="24" customHeight="1">
      <x:c r="A54" s="1" t="inlineStr">
        <x:is>
          <x:t>RESULT</x:t>
        </x:is>
      </x:c>
      <x:c r="B54" s="1" t="inlineStr">
        <x:is>
          <x:t>Round1</x:t>
        </x:is>
      </x:c>
      <x:c r="C54" s="1" t="inlineStr">
        <x:is>
          <x:t>Cli_33</x:t>
        </x:is>
      </x:c>
      <x:c r="D54" s="1" t="inlineStr">
        <x:is>
          <x:t>INCONCLUSIVE</x:t>
        </x:is>
      </x:c>
      <x:c r="E54" s="5">
        <x:v>0.0</x:v>
      </x:c>
      <x:c r="F54" s="4">
        <x:v>0</x:v>
      </x:c>
      <x:c r="G54" s="4">
        <x:v>11599</x:v>
      </x:c>
      <x:c r="H54" s="6">
        <x:v>38.46</x:v>
      </x:c>
      <x:c r="I54" s="16">
        <x:v>1</x:v>
      </x:c>
      <x:c r="J54" s="0">
        <x:v>201</x:v>
      </x:c>
      <x:c r="K54" s="4">
        <x:v>0</x:v>
      </x:c>
      <x:c r="L54" s="4">
        <x:v>114</x:v>
      </x:c>
      <x:c r="M54" s="4">
        <x:v>0</x:v>
      </x:c>
      <x:c r="N54" s="5">
        <x:v>0.0</x:v>
      </x:c>
    </x:row>
    <x:row r="55" ht="24" customHeight="1">
      <x:c r="A55" s="1" t="inlineStr">
        <x:is>
          <x:t>RESULT</x:t>
        </x:is>
      </x:c>
      <x:c r="B55" s="1" t="inlineStr">
        <x:is>
          <x:t>Round1</x:t>
        </x:is>
      </x:c>
      <x:c r="C55" s="1" t="inlineStr">
        <x:is>
          <x:t>Cli_34</x:t>
        </x:is>
      </x:c>
      <x:c r="D55" s="1" t="inlineStr">
        <x:is>
          <x:t>INCONCLUSIVE</x:t>
        </x:is>
      </x:c>
      <x:c r="E55" s="5">
        <x:v>0.0</x:v>
      </x:c>
      <x:c r="F55" s="4">
        <x:v>0</x:v>
      </x:c>
      <x:c r="G55" s="4">
        <x:v>20618</x:v>
      </x:c>
      <x:c r="H55" s="6">
        <x:v>69.37</x:v>
      </x:c>
      <x:c r="I55" s="16">
        <x:v>1</x:v>
      </x:c>
      <x:c r="J55" s="0">
        <x:v>180</x:v>
      </x:c>
      <x:c r="K55" s="4">
        <x:v>0</x:v>
      </x:c>
      <x:c r="L55" s="4">
        <x:v>88</x:v>
      </x:c>
      <x:c r="M55" s="4">
        <x:v>0</x:v>
      </x:c>
      <x:c r="N55" s="5">
        <x:v>0.0</x:v>
      </x:c>
    </x:row>
    <x:row r="56" ht="24" customHeight="1">
      <x:c r="A56" s="1" t="inlineStr">
        <x:is>
          <x:t>RESULT</x:t>
        </x:is>
      </x:c>
      <x:c r="B56" s="1" t="inlineStr">
        <x:is>
          <x:t>Round1</x:t>
        </x:is>
      </x:c>
      <x:c r="C56" s="1" t="inlineStr">
        <x:is>
          <x:t>Cli_35</x:t>
        </x:is>
      </x:c>
      <x:c r="D56" s="1" t="inlineStr">
        <x:is>
          <x:t>INCONCLUSIVE</x:t>
        </x:is>
      </x:c>
      <x:c r="E56" s="5">
        <x:v>1.0</x:v>
      </x:c>
      <x:c r="F56" s="4">
        <x:v>0</x:v>
      </x:c>
      <x:c r="G56" s="4">
        <x:v>7863</x:v>
      </x:c>
      <x:c r="H56" s="6">
        <x:v>27.08</x:v>
      </x:c>
      <x:c r="I56" s="16">
        <x:v>1</x:v>
      </x:c>
      <x:c r="J56" s="0">
        <x:v>57</x:v>
      </x:c>
      <x:c r="K56" s="4">
        <x:v>57</x:v>
      </x:c>
      <x:c r="L56" s="4">
        <x:v>20</x:v>
      </x:c>
      <x:c r="M56" s="4">
        <x:v>20</x:v>
      </x:c>
      <x:c r="N56" s="5">
        <x:v>1.0</x:v>
      </x:c>
    </x:row>
    <x:row r="57" ht="24" customHeight="1">
      <x:c r="A57" s="1" t="inlineStr">
        <x:is>
          <x:t>RESULT</x:t>
        </x:is>
      </x:c>
      <x:c r="B57" s="1" t="inlineStr">
        <x:is>
          <x:t>Round1</x:t>
        </x:is>
      </x:c>
      <x:c r="C57" s="1" t="inlineStr">
        <x:is>
          <x:t>Cli_36</x:t>
        </x:is>
      </x:c>
      <x:c r="D57" s="1" t="inlineStr">
        <x:is>
          <x:t>NOT_REVEALING</x:t>
        </x:is>
      </x:c>
      <x:c r="E57" s="5">
        <x:v>1.0</x:v>
      </x:c>
      <x:c r="F57" s="4">
        <x:v>0</x:v>
      </x:c>
      <x:c r="G57" s="4">
        <x:v>13646</x:v>
      </x:c>
      <x:c r="H57" s="6">
        <x:v>53.17</x:v>
      </x:c>
      <x:c r="I57" s="16">
        <x:v>1</x:v>
      </x:c>
      <x:c r="J57" s="0">
        <x:v>94</x:v>
      </x:c>
      <x:c r="K57" s="4">
        <x:v>94</x:v>
      </x:c>
      <x:c r="L57" s="4">
        <x:v>36</x:v>
      </x:c>
      <x:c r="M57" s="4">
        <x:v>36</x:v>
      </x:c>
      <x:c r="N57" s="5">
        <x:v>1.0</x:v>
      </x:c>
    </x:row>
    <x:row r="58" ht="24" customHeight="1">
      <x:c r="A58" s="1" t="inlineStr">
        <x:is>
          <x:t>RESULT</x:t>
        </x:is>
      </x:c>
      <x:c r="B58" s="1" t="inlineStr">
        <x:is>
          <x:t>Round1</x:t>
        </x:is>
      </x:c>
      <x:c r="C58" s="1" t="inlineStr">
        <x:is>
          <x:t>Cli_37</x:t>
        </x:is>
      </x:c>
      <x:c r="D58" s="1" t="inlineStr">
        <x:is>
          <x:t>NOT_REVEALING</x:t>
        </x:is>
      </x:c>
      <x:c r="E58" s="5">
        <x:v>0.9571999999999999</x:v>
      </x:c>
      <x:c r="F58" s="4">
        <x:v>0</x:v>
      </x:c>
      <x:c r="G58" s="4">
        <x:v>11683</x:v>
      </x:c>
      <x:c r="H58" s="6">
        <x:v>44.57</x:v>
      </x:c>
      <x:c r="I58" s="16">
        <x:v>1</x:v>
      </x:c>
      <x:c r="J58" s="0">
        <x:v>187</x:v>
      </x:c>
      <x:c r="K58" s="4">
        <x:v>179</x:v>
      </x:c>
      <x:c r="L58" s="4">
        <x:v>158</x:v>
      </x:c>
      <x:c r="M58" s="4">
        <x:v>133</x:v>
      </x:c>
      <x:c r="N58" s="5">
        <x:v>0.8418000000000001</x:v>
      </x:c>
    </x:row>
    <x:row r="59" ht="24" customHeight="1">
      <x:c r="A59" s="1" t="inlineStr">
        <x:is>
          <x:t>RESULT</x:t>
        </x:is>
      </x:c>
      <x:c r="B59" s="1" t="inlineStr">
        <x:is>
          <x:t>Round1</x:t>
        </x:is>
      </x:c>
      <x:c r="C59" s="1" t="inlineStr">
        <x:is>
          <x:t>Cli_38</x:t>
        </x:is>
      </x:c>
      <x:c r="D59" s="1" t="inlineStr">
        <x:is>
          <x:t>INCONCLUSIVE</x:t>
        </x:is>
      </x:c>
      <x:c r="E59" s="5">
        <x:v>0.9372</x:v>
      </x:c>
      <x:c r="F59" s="4">
        <x:v>0</x:v>
      </x:c>
      <x:c r="G59" s="4">
        <x:v>16777</x:v>
      </x:c>
      <x:c r="H59" s="6">
        <x:v>74.76</x:v>
      </x:c>
      <x:c r="I59" s="16">
        <x:v>1</x:v>
      </x:c>
      <x:c r="J59" s="0">
        <x:v>191</x:v>
      </x:c>
      <x:c r="K59" s="4">
        <x:v>179</x:v>
      </x:c>
      <x:c r="L59" s="4">
        <x:v>158</x:v>
      </x:c>
      <x:c r="M59" s="4">
        <x:v>132</x:v>
      </x:c>
      <x:c r="N59" s="5">
        <x:v>0.8354</x:v>
      </x:c>
    </x:row>
    <x:row r="60" ht="24" customHeight="1">
      <x:c r="A60" s="1" t="inlineStr">
        <x:is>
          <x:t>RESULT</x:t>
        </x:is>
      </x:c>
      <x:c r="B60" s="1" t="inlineStr">
        <x:is>
          <x:t>Round1</x:t>
        </x:is>
      </x:c>
      <x:c r="C60" s="1" t="inlineStr">
        <x:is>
          <x:t>Cli_39</x:t>
        </x:is>
      </x:c>
      <x:c r="D60" s="1" t="inlineStr">
        <x:is>
          <x:t>INCONCLUSIVE</x:t>
        </x:is>
      </x:c>
      <x:c r="E60" s="5">
        <x:v>1.0</x:v>
      </x:c>
      <x:c r="F60" s="4">
        <x:v>0</x:v>
      </x:c>
      <x:c r="G60" s="4">
        <x:v>6785</x:v>
      </x:c>
      <x:c r="H60" s="6">
        <x:v>25.02</x:v>
      </x:c>
      <x:c r="I60" s="16">
        <x:v>1</x:v>
      </x:c>
      <x:c r="J60" s="0">
        <x:v>42</x:v>
      </x:c>
      <x:c r="K60" s="4">
        <x:v>42</x:v>
      </x:c>
      <x:c r="L60" s="4">
        <x:v>20</x:v>
      </x:c>
      <x:c r="M60" s="4">
        <x:v>20</x:v>
      </x:c>
      <x:c r="N60" s="5">
        <x:v>1.0</x:v>
      </x:c>
    </x:row>
    <x:row r="61" ht="24" customHeight="1">
      <x:c r="A61" s="1" t="inlineStr">
        <x:is>
          <x:t>RESULT</x:t>
        </x:is>
      </x:c>
      <x:c r="B61" s="1" t="inlineStr">
        <x:is>
          <x:t>Round1</x:t>
        </x:is>
      </x:c>
      <x:c r="C61" s="1" t="inlineStr">
        <x:is>
          <x:t>Cli_4</x:t>
        </x:is>
      </x:c>
      <x:c r="D61" s="1" t="inlineStr">
        <x:is>
          <x:t>INCONCLUSIVE</x:t>
        </x:is>
      </x:c>
      <x:c r="E61" s="5">
        <x:v>0.0</x:v>
      </x:c>
      <x:c r="F61" s="4">
        <x:v>0</x:v>
      </x:c>
      <x:c r="G61" s="4">
        <x:v>9748</x:v>
      </x:c>
      <x:c r="H61" s="6">
        <x:v>32.15</x:v>
      </x:c>
      <x:c r="I61" s="16">
        <x:v>1</x:v>
      </x:c>
      <x:c r="J61" s="0">
        <x:v>99</x:v>
      </x:c>
      <x:c r="K61" s="4">
        <x:v>0</x:v>
      </x:c>
      <x:c r="L61" s="4">
        <x:v>68</x:v>
      </x:c>
      <x:c r="M61" s="4">
        <x:v>0</x:v>
      </x:c>
      <x:c r="N61" s="5">
        <x:v>0.0</x:v>
      </x:c>
    </x:row>
    <x:row r="62" ht="24" customHeight="1">
      <x:c r="A62" s="1" t="inlineStr">
        <x:is>
          <x:t>RESULT</x:t>
        </x:is>
      </x:c>
      <x:c r="B62" s="1" t="inlineStr">
        <x:is>
          <x:t>Round1</x:t>
        </x:is>
      </x:c>
      <x:c r="C62" s="1" t="inlineStr">
        <x:is>
          <x:t>Cli_40</x:t>
        </x:is>
      </x:c>
      <x:c r="D62" s="1" t="inlineStr">
        <x:is>
          <x:t>NOT_AVAILABLE</x:t>
        </x:is>
      </x:c>
      <x:c r="E62" s="5"/>
      <x:c r="F62" s="4">
        <x:v>0</x:v>
      </x:c>
      <x:c r="G62" s="4">
        <x:v>7021</x:v>
      </x:c>
      <x:c r="H62" s="6">
        <x:v>24.33</x:v>
      </x:c>
      <x:c r="I62" s="16">
        <x:v>1</x:v>
      </x:c>
      <x:c r="J62" s="0"/>
      <x:c r="K62" s="4"/>
      <x:c r="L62" s="4"/>
      <x:c r="M62" s="4"/>
      <x:c r="N62" s="5"/>
    </x:row>
    <x:row r="63" ht="24" customHeight="1">
      <x:c r="A63" s="1" t="inlineStr">
        <x:is>
          <x:t>RESULT</x:t>
        </x:is>
      </x:c>
      <x:c r="B63" s="1" t="inlineStr">
        <x:is>
          <x:t>Round1</x:t>
        </x:is>
      </x:c>
      <x:c r="C63" s="1" t="inlineStr">
        <x:is>
          <x:t>Cli_5</x:t>
        </x:is>
      </x:c>
      <x:c r="D63" s="1" t="inlineStr">
        <x:is>
          <x:t>INCONCLUSIVE</x:t>
        </x:is>
      </x:c>
      <x:c r="E63" s="5">
        <x:v>0.0</x:v>
      </x:c>
      <x:c r="F63" s="4">
        <x:v>0</x:v>
      </x:c>
      <x:c r="G63" s="4">
        <x:v>4221</x:v>
      </x:c>
      <x:c r="H63" s="6">
        <x:v>17.32</x:v>
      </x:c>
      <x:c r="I63" s="16">
        <x:v>1</x:v>
      </x:c>
      <x:c r="J63" s="0">
        <x:v>11</x:v>
      </x:c>
      <x:c r="K63" s="4">
        <x:v>0</x:v>
      </x:c>
      <x:c r="L63" s="4">
        <x:v>8</x:v>
      </x:c>
      <x:c r="M63" s="4">
        <x:v>0</x:v>
      </x:c>
      <x:c r="N63" s="5">
        <x:v>0.0</x:v>
      </x:c>
    </x:row>
    <x:row r="64" ht="24" customHeight="1">
      <x:c r="A64" s="1" t="inlineStr">
        <x:is>
          <x:t>RESULT</x:t>
        </x:is>
      </x:c>
      <x:c r="B64" s="1" t="inlineStr">
        <x:is>
          <x:t>Round1</x:t>
        </x:is>
      </x:c>
      <x:c r="C64" s="1" t="inlineStr">
        <x:is>
          <x:t>Cli_7</x:t>
        </x:is>
      </x:c>
      <x:c r="D64" s="1" t="inlineStr">
        <x:is>
          <x:t>INCONCLUSIVE</x:t>
        </x:is>
      </x:c>
      <x:c r="E64" s="5">
        <x:v>0.0</x:v>
      </x:c>
      <x:c r="F64" s="4">
        <x:v>0</x:v>
      </x:c>
      <x:c r="G64" s="4">
        <x:v>6282</x:v>
      </x:c>
      <x:c r="H64" s="6">
        <x:v>23.46</x:v>
      </x:c>
      <x:c r="I64" s="16">
        <x:v>1</x:v>
      </x:c>
      <x:c r="J64" s="0">
        <x:v>68</x:v>
      </x:c>
      <x:c r="K64" s="4">
        <x:v>0</x:v>
      </x:c>
      <x:c r="L64" s="4">
        <x:v>27</x:v>
      </x:c>
      <x:c r="M64" s="4">
        <x:v>0</x:v>
      </x:c>
      <x:c r="N64" s="5">
        <x:v>0.0</x:v>
      </x:c>
    </x:row>
    <x:row r="65" ht="24" customHeight="1">
      <x:c r="A65" s="1" t="inlineStr">
        <x:is>
          <x:t>RESULT</x:t>
        </x:is>
      </x:c>
      <x:c r="B65" s="1" t="inlineStr">
        <x:is>
          <x:t>Round1</x:t>
        </x:is>
      </x:c>
      <x:c r="C65" s="1" t="inlineStr">
        <x:is>
          <x:t>Cli_8</x:t>
        </x:is>
      </x:c>
      <x:c r="D65" s="1" t="inlineStr">
        <x:is>
          <x:t>INCONCLUSIVE</x:t>
        </x:is>
      </x:c>
      <x:c r="E65" s="5">
        <x:v>0.0</x:v>
      </x:c>
      <x:c r="F65" s="4">
        <x:v>0</x:v>
      </x:c>
      <x:c r="G65" s="4">
        <x:v>10601</x:v>
      </x:c>
      <x:c r="H65" s="6">
        <x:v>36.83</x:v>
      </x:c>
      <x:c r="I65" s="16">
        <x:v>1</x:v>
      </x:c>
      <x:c r="J65" s="0">
        <x:v>192</x:v>
      </x:c>
      <x:c r="K65" s="4">
        <x:v>0</x:v>
      </x:c>
      <x:c r="L65" s="4">
        <x:v>104</x:v>
      </x:c>
      <x:c r="M65" s="4">
        <x:v>0</x:v>
      </x:c>
      <x:c r="N65" s="5">
        <x:v>0.0</x:v>
      </x:c>
    </x:row>
    <x:row r="66" ht="24" customHeight="1">
      <x:c r="A66" s="1" t="inlineStr">
        <x:is>
          <x:t>RESULT</x:t>
        </x:is>
      </x:c>
      <x:c r="B66" s="1" t="inlineStr">
        <x:is>
          <x:t>Round1</x:t>
        </x:is>
      </x:c>
      <x:c r="C66" s="1" t="inlineStr">
        <x:is>
          <x:t>Cli_9</x:t>
        </x:is>
      </x:c>
      <x:c r="D66" s="1" t="inlineStr">
        <x:is>
          <x:t>INCONCLUSIVE</x:t>
        </x:is>
      </x:c>
      <x:c r="E66" s="5">
        <x:v>0.0</x:v>
      </x:c>
      <x:c r="F66" s="4">
        <x:v>0</x:v>
      </x:c>
      <x:c r="G66" s="4">
        <x:v>12531</x:v>
      </x:c>
      <x:c r="H66" s="6">
        <x:v>50.14</x:v>
      </x:c>
      <x:c r="I66" s="16">
        <x:v>1</x:v>
      </x:c>
      <x:c r="J66" s="0">
        <x:v>105</x:v>
      </x:c>
      <x:c r="K66" s="4">
        <x:v>0</x:v>
      </x:c>
      <x:c r="L66" s="4">
        <x:v>70</x:v>
      </x:c>
      <x:c r="M66" s="4">
        <x:v>0</x:v>
      </x:c>
      <x:c r="N66" s="5">
        <x:v>0.0</x:v>
      </x:c>
    </x:row>
    <x:row r="67" ht="24" customHeight="1">
      <x:c r="A67" s="1" t="inlineStr">
        <x:is>
          <x:t>RESULT</x:t>
        </x:is>
      </x:c>
      <x:c r="B67" s="1" t="inlineStr">
        <x:is>
          <x:t>Round1</x:t>
        </x:is>
      </x:c>
      <x:c r="C67" s="1" t="inlineStr">
        <x:is>
          <x:t>Closure_1</x:t>
        </x:is>
      </x:c>
      <x:c r="D67" s="1" t="inlineStr">
        <x:is>
          <x:t>NOT_AVAILABLE</x:t>
        </x:is>
      </x:c>
      <x:c r="E67" s="5"/>
      <x:c r="F67" s="4">
        <x:v>0</x:v>
      </x:c>
      <x:c r="G67" s="4">
        <x:v>10591</x:v>
      </x:c>
      <x:c r="H67" s="6">
        <x:v>26.88</x:v>
      </x:c>
      <x:c r="I67" s="16">
        <x:v>1</x:v>
      </x:c>
      <x:c r="J67" s="0"/>
      <x:c r="K67" s="4"/>
      <x:c r="L67" s="4"/>
      <x:c r="M67" s="4"/>
      <x:c r="N67" s="5"/>
    </x:row>
    <x:row r="68" ht="24" customHeight="1">
      <x:c r="A68" s="1" t="inlineStr">
        <x:is>
          <x:t>RESULT</x:t>
        </x:is>
      </x:c>
      <x:c r="B68" s="1" t="inlineStr">
        <x:is>
          <x:t>Round1</x:t>
        </x:is>
      </x:c>
      <x:c r="C68" s="1" t="inlineStr">
        <x:is>
          <x:t>Closure_10</x:t>
        </x:is>
      </x:c>
      <x:c r="D68" s="1" t="inlineStr">
        <x:is>
          <x:t>NOT_AVAILABLE</x:t>
        </x:is>
      </x:c>
      <x:c r="E68" s="5"/>
      <x:c r="F68" s="4">
        <x:v>0</x:v>
      </x:c>
      <x:c r="G68" s="4">
        <x:v>35664</x:v>
      </x:c>
      <x:c r="H68" s="6">
        <x:v>84.09</x:v>
      </x:c>
      <x:c r="I68" s="16">
        <x:v>1</x:v>
      </x:c>
      <x:c r="J68" s="0"/>
      <x:c r="K68" s="4"/>
      <x:c r="L68" s="4"/>
      <x:c r="M68" s="4"/>
      <x:c r="N68" s="5"/>
    </x:row>
    <x:row r="69" ht="24" customHeight="1">
      <x:c r="A69" s="1" t="inlineStr">
        <x:is>
          <x:t>RESULT</x:t>
        </x:is>
      </x:c>
      <x:c r="B69" s="1" t="inlineStr">
        <x:is>
          <x:t>Round1</x:t>
        </x:is>
      </x:c>
      <x:c r="C69" s="1" t="inlineStr">
        <x:is>
          <x:t>Closure_11</x:t>
        </x:is>
      </x:c>
      <x:c r="D69" s="1" t="inlineStr">
        <x:is>
          <x:t>INCONCLUSIVE</x:t>
        </x:is>
      </x:c>
      <x:c r="E69" s="5">
        <x:v>0.5964</x:v>
      </x:c>
      <x:c r="F69" s="4">
        <x:v>0</x:v>
      </x:c>
      <x:c r="G69" s="4">
        <x:v>26544</x:v>
      </x:c>
      <x:c r="H69" s="6">
        <x:v>67.5</x:v>
      </x:c>
      <x:c r="I69" s="16">
        <x:v>1</x:v>
      </x:c>
      <x:c r="J69" s="0">
        <x:v>778</x:v>
      </x:c>
      <x:c r="K69" s="4">
        <x:v>464</x:v>
      </x:c>
      <x:c r="L69" s="4">
        <x:v>549</x:v>
      </x:c>
      <x:c r="M69" s="4">
        <x:v>173</x:v>
      </x:c>
      <x:c r="N69" s="5">
        <x:v>0.3151</x:v>
      </x:c>
    </x:row>
    <x:row r="70" ht="24" customHeight="1">
      <x:c r="A70" s="1" t="inlineStr">
        <x:is>
          <x:t>RESULT</x:t>
        </x:is>
      </x:c>
      <x:c r="B70" s="1" t="inlineStr">
        <x:is>
          <x:t>Round1</x:t>
        </x:is>
      </x:c>
      <x:c r="C70" s="1" t="inlineStr">
        <x:is>
          <x:t>Closure_12</x:t>
        </x:is>
      </x:c>
      <x:c r="D70" s="1" t="inlineStr">
        <x:is>
          <x:t>INCONCLUSIVE</x:t>
        </x:is>
      </x:c>
      <x:c r="E70" s="5">
        <x:v>0.9773000000000001</x:v>
      </x:c>
      <x:c r="F70" s="4">
        <x:v>0</x:v>
      </x:c>
      <x:c r="G70" s="4">
        <x:v>13861</x:v>
      </x:c>
      <x:c r="H70" s="6">
        <x:v>58.22</x:v>
      </x:c>
      <x:c r="I70" s="16">
        <x:v>1</x:v>
      </x:c>
      <x:c r="J70" s="0">
        <x:v>88</x:v>
      </x:c>
      <x:c r="K70" s="4">
        <x:v>86</x:v>
      </x:c>
      <x:c r="L70" s="4">
        <x:v>48</x:v>
      </x:c>
      <x:c r="M70" s="4">
        <x:v>38</x:v>
      </x:c>
      <x:c r="N70" s="5">
        <x:v>0.7917000000000001</x:v>
      </x:c>
    </x:row>
    <x:row r="71" ht="24" customHeight="1">
      <x:c r="A71" s="1" t="inlineStr">
        <x:is>
          <x:t>RESULT</x:t>
        </x:is>
      </x:c>
      <x:c r="B71" s="1" t="inlineStr">
        <x:is>
          <x:t>Round1</x:t>
        </x:is>
      </x:c>
      <x:c r="C71" s="1" t="inlineStr">
        <x:is>
          <x:t>Closure_13</x:t>
        </x:is>
      </x:c>
      <x:c r="D71" s="1" t="inlineStr">
        <x:is>
          <x:t>NOT_AVAILABLE</x:t>
        </x:is>
      </x:c>
      <x:c r="E71" s="5"/>
      <x:c r="F71" s="4">
        <x:v>0</x:v>
      </x:c>
      <x:c r="G71" s="4">
        <x:v>8950</x:v>
      </x:c>
      <x:c r="H71" s="6">
        <x:v>45.61</x:v>
      </x:c>
      <x:c r="I71" s="16">
        <x:v>1</x:v>
      </x:c>
      <x:c r="J71" s="0"/>
      <x:c r="K71" s="4"/>
      <x:c r="L71" s="4"/>
      <x:c r="M71" s="4"/>
      <x:c r="N71" s="5"/>
    </x:row>
    <x:row r="72" ht="24" customHeight="1">
      <x:c r="A72" s="1" t="inlineStr">
        <x:is>
          <x:t>RESULT</x:t>
        </x:is>
      </x:c>
      <x:c r="B72" s="1" t="inlineStr">
        <x:is>
          <x:t>Round1</x:t>
        </x:is>
      </x:c>
      <x:c r="C72" s="1" t="inlineStr">
        <x:is>
          <x:t>Closure_14</x:t>
        </x:is>
      </x:c>
      <x:c r="D72" s="1" t="inlineStr">
        <x:is>
          <x:t>NOT_AVAILABLE</x:t>
        </x:is>
      </x:c>
      <x:c r="E72" s="5"/>
      <x:c r="F72" s="4">
        <x:v>0</x:v>
      </x:c>
      <x:c r="G72" s="4"/>
      <x:c r="H72" s="6"/>
      <x:c r="I72" s="16">
        <x:v>1</x:v>
      </x:c>
      <x:c r="J72" s="0"/>
      <x:c r="K72" s="4"/>
      <x:c r="L72" s="4"/>
      <x:c r="M72" s="4"/>
      <x:c r="N72" s="5"/>
    </x:row>
    <x:row r="73" ht="24" customHeight="1">
      <x:c r="A73" s="1" t="inlineStr">
        <x:is>
          <x:t>RESULT</x:t>
        </x:is>
      </x:c>
      <x:c r="B73" s="1" t="inlineStr">
        <x:is>
          <x:t>Round1</x:t>
        </x:is>
      </x:c>
      <x:c r="C73" s="1" t="inlineStr">
        <x:is>
          <x:t>Closure_15</x:t>
        </x:is>
      </x:c>
      <x:c r="D73" s="1" t="inlineStr">
        <x:is>
          <x:t>NOT_AVAILABLE</x:t>
        </x:is>
      </x:c>
      <x:c r="E73" s="5"/>
      <x:c r="F73" s="4">
        <x:v>0</x:v>
      </x:c>
      <x:c r="G73" s="4"/>
      <x:c r="H73" s="6"/>
      <x:c r="I73" s="16">
        <x:v>1</x:v>
      </x:c>
      <x:c r="J73" s="0"/>
      <x:c r="K73" s="4"/>
      <x:c r="L73" s="4"/>
      <x:c r="M73" s="4"/>
      <x:c r="N73" s="5"/>
    </x:row>
    <x:row r="74" ht="24" customHeight="1">
      <x:c r="A74" s="1" t="inlineStr">
        <x:is>
          <x:t>RESULT</x:t>
        </x:is>
      </x:c>
      <x:c r="B74" s="1" t="inlineStr">
        <x:is>
          <x:t>Round1</x:t>
        </x:is>
      </x:c>
      <x:c r="C74" s="1" t="inlineStr">
        <x:is>
          <x:t>Closure_16</x:t>
        </x:is>
      </x:c>
      <x:c r="D74" s="1" t="inlineStr">
        <x:is>
          <x:t>NOT_AVAILABLE</x:t>
        </x:is>
      </x:c>
      <x:c r="E74" s="5"/>
      <x:c r="F74" s="4">
        <x:v>0</x:v>
      </x:c>
      <x:c r="G74" s="4"/>
      <x:c r="H74" s="6"/>
      <x:c r="I74" s="16">
        <x:v>1</x:v>
      </x:c>
      <x:c r="J74" s="0"/>
      <x:c r="K74" s="4"/>
      <x:c r="L74" s="4"/>
      <x:c r="M74" s="4"/>
      <x:c r="N74" s="5"/>
    </x:row>
    <x:row r="75" ht="24" customHeight="1">
      <x:c r="A75" s="1" t="inlineStr">
        <x:is>
          <x:t>RESULT</x:t>
        </x:is>
      </x:c>
      <x:c r="B75" s="1" t="inlineStr">
        <x:is>
          <x:t>Round1</x:t>
        </x:is>
      </x:c>
      <x:c r="C75" s="1" t="inlineStr">
        <x:is>
          <x:t>Closure_17</x:t>
        </x:is>
      </x:c>
      <x:c r="D75" s="1" t="inlineStr">
        <x:is>
          <x:t>NOT_AVAILABLE</x:t>
        </x:is>
      </x:c>
      <x:c r="E75" s="5"/>
      <x:c r="F75" s="4">
        <x:v>0</x:v>
      </x:c>
      <x:c r="G75" s="4"/>
      <x:c r="H75" s="6"/>
      <x:c r="I75" s="16">
        <x:v>1</x:v>
      </x:c>
      <x:c r="J75" s="0"/>
      <x:c r="K75" s="4"/>
      <x:c r="L75" s="4"/>
      <x:c r="M75" s="4"/>
      <x:c r="N75" s="5"/>
    </x:row>
    <x:row r="76" ht="24" customHeight="1">
      <x:c r="A76" s="1" t="inlineStr">
        <x:is>
          <x:t>RESULT</x:t>
        </x:is>
      </x:c>
      <x:c r="B76" s="1" t="inlineStr">
        <x:is>
          <x:t>Round1</x:t>
        </x:is>
      </x:c>
      <x:c r="C76" s="1" t="inlineStr">
        <x:is>
          <x:t>Closure_18</x:t>
        </x:is>
      </x:c>
      <x:c r="D76" s="1" t="inlineStr">
        <x:is>
          <x:t>NOT_AVAILABLE</x:t>
        </x:is>
      </x:c>
      <x:c r="E76" s="5"/>
      <x:c r="F76" s="4">
        <x:v>0</x:v>
      </x:c>
      <x:c r="G76" s="4"/>
      <x:c r="H76" s="6"/>
      <x:c r="I76" s="16">
        <x:v>1</x:v>
      </x:c>
      <x:c r="J76" s="0"/>
      <x:c r="K76" s="4"/>
      <x:c r="L76" s="4"/>
      <x:c r="M76" s="4"/>
      <x:c r="N76" s="5"/>
    </x:row>
    <x:row r="77" ht="24" customHeight="1">
      <x:c r="A77" s="1" t="inlineStr">
        <x:is>
          <x:t>RESULT</x:t>
        </x:is>
      </x:c>
      <x:c r="B77" s="1" t="inlineStr">
        <x:is>
          <x:t>Round1</x:t>
        </x:is>
      </x:c>
      <x:c r="C77" s="1" t="inlineStr">
        <x:is>
          <x:t>Closure_19</x:t>
        </x:is>
      </x:c>
      <x:c r="D77" s="1" t="inlineStr">
        <x:is>
          <x:t>NOT_AVAILABLE</x:t>
        </x:is>
      </x:c>
      <x:c r="E77" s="5"/>
      <x:c r="F77" s="4">
        <x:v>0</x:v>
      </x:c>
      <x:c r="G77" s="4"/>
      <x:c r="H77" s="6"/>
      <x:c r="I77" s="16">
        <x:v>1</x:v>
      </x:c>
      <x:c r="J77" s="0"/>
      <x:c r="K77" s="4"/>
      <x:c r="L77" s="4"/>
      <x:c r="M77" s="4"/>
      <x:c r="N77" s="5"/>
    </x:row>
    <x:row r="78" ht="24" customHeight="1">
      <x:c r="A78" s="1" t="inlineStr">
        <x:is>
          <x:t>RESULT</x:t>
        </x:is>
      </x:c>
      <x:c r="B78" s="1" t="inlineStr">
        <x:is>
          <x:t>Round1</x:t>
        </x:is>
      </x:c>
      <x:c r="C78" s="1" t="inlineStr">
        <x:is>
          <x:t>Closure_2</x:t>
        </x:is>
      </x:c>
      <x:c r="D78" s="1" t="inlineStr">
        <x:is>
          <x:t>NOT_AVAILABLE</x:t>
        </x:is>
      </x:c>
      <x:c r="E78" s="5"/>
      <x:c r="F78" s="4">
        <x:v>0</x:v>
      </x:c>
      <x:c r="G78" s="4"/>
      <x:c r="H78" s="6"/>
      <x:c r="I78" s="16">
        <x:v>1</x:v>
      </x:c>
      <x:c r="J78" s="0"/>
      <x:c r="K78" s="4"/>
      <x:c r="L78" s="4"/>
      <x:c r="M78" s="4"/>
      <x:c r="N78" s="5"/>
    </x:row>
    <x:row r="79" ht="24" customHeight="1">
      <x:c r="A79" s="1" t="inlineStr">
        <x:is>
          <x:t>RESULT</x:t>
        </x:is>
      </x:c>
      <x:c r="B79" s="1" t="inlineStr">
        <x:is>
          <x:t>Round1</x:t>
        </x:is>
      </x:c>
      <x:c r="C79" s="1" t="inlineStr">
        <x:is>
          <x:t>Closure_20</x:t>
        </x:is>
      </x:c>
      <x:c r="D79" s="1" t="inlineStr">
        <x:is>
          <x:t>INCONCLUSIVE</x:t>
        </x:is>
      </x:c>
      <x:c r="E79" s="5">
        <x:v>0.0981</x:v>
      </x:c>
      <x:c r="F79" s="4">
        <x:v>0</x:v>
      </x:c>
      <x:c r="G79" s="4"/>
      <x:c r="H79" s="6"/>
      <x:c r="I79" s="16">
        <x:v>1</x:v>
      </x:c>
      <x:c r="J79" s="0">
        <x:v>754</x:v>
      </x:c>
      <x:c r="K79" s="4">
        <x:v>74</x:v>
      </x:c>
      <x:c r="L79" s="4">
        <x:v>526</x:v>
      </x:c>
      <x:c r="M79" s="4">
        <x:v>32</x:v>
      </x:c>
      <x:c r="N79" s="5">
        <x:v>0.0608</x:v>
      </x:c>
    </x:row>
    <x:row r="80" ht="24" customHeight="1">
      <x:c r="A80" s="1" t="inlineStr">
        <x:is>
          <x:t>RESULT</x:t>
        </x:is>
      </x:c>
      <x:c r="B80" s="1" t="inlineStr">
        <x:is>
          <x:t>Round1</x:t>
        </x:is>
      </x:c>
      <x:c r="C80" s="1" t="inlineStr">
        <x:is>
          <x:t>Closure_21</x:t>
        </x:is>
      </x:c>
      <x:c r="D80" s="1" t="inlineStr">
        <x:is>
          <x:t>NOT_AVAILABLE</x:t>
        </x:is>
      </x:c>
      <x:c r="E80" s="5"/>
      <x:c r="F80" s="4">
        <x:v>0</x:v>
      </x:c>
      <x:c r="G80" s="4"/>
      <x:c r="H80" s="6"/>
      <x:c r="I80" s="16">
        <x:v>1</x:v>
      </x:c>
      <x:c r="J80" s="0"/>
      <x:c r="K80" s="4"/>
      <x:c r="L80" s="4"/>
      <x:c r="M80" s="4"/>
      <x:c r="N80" s="5"/>
    </x:row>
    <x:row r="81" ht="24" customHeight="1">
      <x:c r="A81" s="1" t="inlineStr">
        <x:is>
          <x:t>RESULT</x:t>
        </x:is>
      </x:c>
      <x:c r="B81" s="1" t="inlineStr">
        <x:is>
          <x:t>Round1</x:t>
        </x:is>
      </x:c>
      <x:c r="C81" s="1" t="inlineStr">
        <x:is>
          <x:t>Closure_22</x:t>
        </x:is>
      </x:c>
      <x:c r="D81" s="1" t="inlineStr">
        <x:is>
          <x:t>NOT_AVAILABLE</x:t>
        </x:is>
      </x:c>
      <x:c r="E81" s="5"/>
      <x:c r="F81" s="4">
        <x:v>0</x:v>
      </x:c>
      <x:c r="G81" s="4"/>
      <x:c r="H81" s="6"/>
      <x:c r="I81" s="16">
        <x:v>1</x:v>
      </x:c>
      <x:c r="J81" s="0"/>
      <x:c r="K81" s="4"/>
      <x:c r="L81" s="4"/>
      <x:c r="M81" s="4"/>
      <x:c r="N81" s="5"/>
    </x:row>
    <x:row r="82" ht="24" customHeight="1">
      <x:c r="A82" s="1" t="inlineStr">
        <x:is>
          <x:t>RESULT</x:t>
        </x:is>
      </x:c>
      <x:c r="B82" s="1" t="inlineStr">
        <x:is>
          <x:t>Round1</x:t>
        </x:is>
      </x:c>
      <x:c r="C82" s="1" t="inlineStr">
        <x:is>
          <x:t>Closure_23</x:t>
        </x:is>
      </x:c>
      <x:c r="D82" s="1" t="inlineStr">
        <x:is>
          <x:t>NOT_AVAILABLE</x:t>
        </x:is>
      </x:c>
      <x:c r="E82" s="5"/>
      <x:c r="F82" s="4">
        <x:v>0</x:v>
      </x:c>
      <x:c r="G82" s="4"/>
      <x:c r="H82" s="6"/>
      <x:c r="I82" s="16">
        <x:v>1</x:v>
      </x:c>
      <x:c r="J82" s="0"/>
      <x:c r="K82" s="4"/>
      <x:c r="L82" s="4"/>
      <x:c r="M82" s="4"/>
      <x:c r="N82" s="5"/>
    </x:row>
    <x:row r="83" ht="24" customHeight="1">
      <x:c r="A83" s="1" t="inlineStr">
        <x:is>
          <x:t>RESULT</x:t>
        </x:is>
      </x:c>
      <x:c r="B83" s="1" t="inlineStr">
        <x:is>
          <x:t>Round1</x:t>
        </x:is>
      </x:c>
      <x:c r="C83" s="1" t="inlineStr">
        <x:is>
          <x:t>Closure_24</x:t>
        </x:is>
      </x:c>
      <x:c r="D83" s="1" t="inlineStr">
        <x:is>
          <x:t>NOT_AVAILABLE</x:t>
        </x:is>
      </x:c>
      <x:c r="E83" s="5"/>
      <x:c r="F83" s="4">
        <x:v>0</x:v>
      </x:c>
      <x:c r="G83" s="4"/>
      <x:c r="H83" s="6"/>
      <x:c r="I83" s="16">
        <x:v>1</x:v>
      </x:c>
      <x:c r="J83" s="0"/>
      <x:c r="K83" s="4"/>
      <x:c r="L83" s="4"/>
      <x:c r="M83" s="4"/>
      <x:c r="N83" s="5"/>
    </x:row>
    <x:row r="84" ht="24" customHeight="1">
      <x:c r="A84" s="1" t="inlineStr">
        <x:is>
          <x:t>RESULT</x:t>
        </x:is>
      </x:c>
      <x:c r="B84" s="1" t="inlineStr">
        <x:is>
          <x:t>Round1</x:t>
        </x:is>
      </x:c>
      <x:c r="C84" s="1" t="inlineStr">
        <x:is>
          <x:t>Closure_25</x:t>
        </x:is>
      </x:c>
      <x:c r="D84" s="1" t="inlineStr">
        <x:is>
          <x:t>NOT_AVAILABLE</x:t>
        </x:is>
      </x:c>
      <x:c r="E84" s="5"/>
      <x:c r="F84" s="4">
        <x:v>0</x:v>
      </x:c>
      <x:c r="G84" s="4"/>
      <x:c r="H84" s="6"/>
      <x:c r="I84" s="16">
        <x:v>1</x:v>
      </x:c>
      <x:c r="J84" s="0"/>
      <x:c r="K84" s="4"/>
      <x:c r="L84" s="4"/>
      <x:c r="M84" s="4"/>
      <x:c r="N84" s="5"/>
    </x:row>
    <x:row r="85" ht="24" customHeight="1">
      <x:c r="A85" s="1" t="inlineStr">
        <x:is>
          <x:t>RESULT</x:t>
        </x:is>
      </x:c>
      <x:c r="B85" s="1" t="inlineStr">
        <x:is>
          <x:t>Round1</x:t>
        </x:is>
      </x:c>
      <x:c r="C85" s="1" t="inlineStr">
        <x:is>
          <x:t>Closure_26</x:t>
        </x:is>
      </x:c>
      <x:c r="D85" s="1" t="inlineStr">
        <x:is>
          <x:t>NOT_AVAILABLE</x:t>
        </x:is>
      </x:c>
      <x:c r="E85" s="5"/>
      <x:c r="F85" s="4">
        <x:v>0</x:v>
      </x:c>
      <x:c r="G85" s="4"/>
      <x:c r="H85" s="6"/>
      <x:c r="I85" s="16">
        <x:v>1</x:v>
      </x:c>
      <x:c r="J85" s="0"/>
      <x:c r="K85" s="4"/>
      <x:c r="L85" s="4"/>
      <x:c r="M85" s="4"/>
      <x:c r="N85" s="5"/>
    </x:row>
    <x:row r="86" ht="24" customHeight="1">
      <x:c r="A86" s="1" t="inlineStr">
        <x:is>
          <x:t>RESULT</x:t>
        </x:is>
      </x:c>
      <x:c r="B86" s="1" t="inlineStr">
        <x:is>
          <x:t>Round1</x:t>
        </x:is>
      </x:c>
      <x:c r="C86" s="1" t="inlineStr">
        <x:is>
          <x:t>Closure_27</x:t>
        </x:is>
      </x:c>
      <x:c r="D86" s="1" t="inlineStr">
        <x:is>
          <x:t>NOT_AVAILABLE</x:t>
        </x:is>
      </x:c>
      <x:c r="E86" s="5"/>
      <x:c r="F86" s="4">
        <x:v>0</x:v>
      </x:c>
      <x:c r="G86" s="4"/>
      <x:c r="H86" s="6"/>
      <x:c r="I86" s="16">
        <x:v>1</x:v>
      </x:c>
      <x:c r="J86" s="0"/>
      <x:c r="K86" s="4"/>
      <x:c r="L86" s="4"/>
      <x:c r="M86" s="4"/>
      <x:c r="N86" s="5"/>
    </x:row>
    <x:row r="87" ht="24" customHeight="1">
      <x:c r="A87" s="1" t="inlineStr">
        <x:is>
          <x:t>RESULT</x:t>
        </x:is>
      </x:c>
      <x:c r="B87" s="1" t="inlineStr">
        <x:is>
          <x:t>Round1</x:t>
        </x:is>
      </x:c>
      <x:c r="C87" s="1" t="inlineStr">
        <x:is>
          <x:t>Closure_28</x:t>
        </x:is>
      </x:c>
      <x:c r="D87" s="1" t="inlineStr">
        <x:is>
          <x:t>NOT_REVEALING</x:t>
        </x:is>
      </x:c>
      <x:c r="E87" s="5">
        <x:v>1.0</x:v>
      </x:c>
      <x:c r="F87" s="4">
        <x:v>0</x:v>
      </x:c>
      <x:c r="G87" s="4">
        <x:v>7135</x:v>
      </x:c>
      <x:c r="H87" s="6">
        <x:v>53.07</x:v>
      </x:c>
      <x:c r="I87" s="16">
        <x:v>1</x:v>
      </x:c>
      <x:c r="J87" s="0">
        <x:v>26</x:v>
      </x:c>
      <x:c r="K87" s="4">
        <x:v>26</x:v>
      </x:c>
      <x:c r="L87" s="4">
        <x:v>2</x:v>
      </x:c>
      <x:c r="M87" s="4">
        <x:v>2</x:v>
      </x:c>
      <x:c r="N87" s="5">
        <x:v>1.0</x:v>
      </x:c>
    </x:row>
    <x:row r="88" ht="24" customHeight="1">
      <x:c r="A88" s="1" t="inlineStr">
        <x:is>
          <x:t>RESULT</x:t>
        </x:is>
      </x:c>
      <x:c r="B88" s="1" t="inlineStr">
        <x:is>
          <x:t>Round1</x:t>
        </x:is>
      </x:c>
      <x:c r="C88" s="1" t="inlineStr">
        <x:is>
          <x:t>Closure_29</x:t>
        </x:is>
      </x:c>
      <x:c r="D88" s="1" t="inlineStr">
        <x:is>
          <x:t>NOT_AVAILABLE</x:t>
        </x:is>
      </x:c>
      <x:c r="E88" s="5"/>
      <x:c r="F88" s="4">
        <x:v>0</x:v>
      </x:c>
      <x:c r="G88" s="4"/>
      <x:c r="H88" s="6"/>
      <x:c r="I88" s="16">
        <x:v>1</x:v>
      </x:c>
      <x:c r="J88" s="0"/>
      <x:c r="K88" s="4"/>
      <x:c r="L88" s="4"/>
      <x:c r="M88" s="4"/>
      <x:c r="N88" s="5"/>
    </x:row>
    <x:row r="89" ht="24" customHeight="1">
      <x:c r="A89" s="1" t="inlineStr">
        <x:is>
          <x:t>RESULT</x:t>
        </x:is>
      </x:c>
      <x:c r="B89" s="1" t="inlineStr">
        <x:is>
          <x:t>Round1</x:t>
        </x:is>
      </x:c>
      <x:c r="C89" s="1" t="inlineStr">
        <x:is>
          <x:t>Closure_3</x:t>
        </x:is>
      </x:c>
      <x:c r="D89" s="1" t="inlineStr">
        <x:is>
          <x:t>NOT_AVAILABLE</x:t>
        </x:is>
      </x:c>
      <x:c r="E89" s="5"/>
      <x:c r="F89" s="4">
        <x:v>0</x:v>
      </x:c>
      <x:c r="G89" s="4"/>
      <x:c r="H89" s="6"/>
      <x:c r="I89" s="16">
        <x:v>1</x:v>
      </x:c>
      <x:c r="J89" s="0"/>
      <x:c r="K89" s="4"/>
      <x:c r="L89" s="4"/>
      <x:c r="M89" s="4"/>
      <x:c r="N89" s="5"/>
    </x:row>
    <x:row r="90" ht="24" customHeight="1">
      <x:c r="A90" s="1" t="inlineStr">
        <x:is>
          <x:t>RESULT</x:t>
        </x:is>
      </x:c>
      <x:c r="B90" s="1" t="inlineStr">
        <x:is>
          <x:t>Round1</x:t>
        </x:is>
      </x:c>
      <x:c r="C90" s="1" t="inlineStr">
        <x:is>
          <x:t>Closure_30</x:t>
        </x:is>
      </x:c>
      <x:c r="D90" s="1" t="inlineStr">
        <x:is>
          <x:t>NOT_AVAILABLE</x:t>
        </x:is>
      </x:c>
      <x:c r="E90" s="5"/>
      <x:c r="F90" s="4">
        <x:v>0</x:v>
      </x:c>
      <x:c r="G90" s="4"/>
      <x:c r="H90" s="6"/>
      <x:c r="I90" s="16">
        <x:v>1</x:v>
      </x:c>
      <x:c r="J90" s="0"/>
      <x:c r="K90" s="4"/>
      <x:c r="L90" s="4"/>
      <x:c r="M90" s="4"/>
      <x:c r="N90" s="5"/>
    </x:row>
    <x:row r="91" ht="24" customHeight="1">
      <x:c r="A91" s="1" t="inlineStr">
        <x:is>
          <x:t>RESULT</x:t>
        </x:is>
      </x:c>
      <x:c r="B91" s="1" t="inlineStr">
        <x:is>
          <x:t>Round1</x:t>
        </x:is>
      </x:c>
      <x:c r="C91" s="1" t="inlineStr">
        <x:is>
          <x:t>Closure_31</x:t>
        </x:is>
      </x:c>
      <x:c r="D91" s="1" t="inlineStr">
        <x:is>
          <x:t>NOT_AVAILABLE</x:t>
        </x:is>
      </x:c>
      <x:c r="E91" s="5"/>
      <x:c r="F91" s="4">
        <x:v>0</x:v>
      </x:c>
      <x:c r="G91" s="4"/>
      <x:c r="H91" s="6"/>
      <x:c r="I91" s="16">
        <x:v>1</x:v>
      </x:c>
      <x:c r="J91" s="0"/>
      <x:c r="K91" s="4"/>
      <x:c r="L91" s="4"/>
      <x:c r="M91" s="4"/>
      <x:c r="N91" s="5"/>
    </x:row>
    <x:row r="92" ht="24" customHeight="1">
      <x:c r="A92" s="1" t="inlineStr">
        <x:is>
          <x:t>RESULT</x:t>
        </x:is>
      </x:c>
      <x:c r="B92" s="1" t="inlineStr">
        <x:is>
          <x:t>Round1</x:t>
        </x:is>
      </x:c>
      <x:c r="C92" s="1" t="inlineStr">
        <x:is>
          <x:t>Closure_32</x:t>
        </x:is>
      </x:c>
      <x:c r="D92" s="1" t="inlineStr">
        <x:is>
          <x:t>NOT_AVAILABLE</x:t>
        </x:is>
      </x:c>
      <x:c r="E92" s="5"/>
      <x:c r="F92" s="4">
        <x:v>0</x:v>
      </x:c>
      <x:c r="G92" s="4"/>
      <x:c r="H92" s="6"/>
      <x:c r="I92" s="16">
        <x:v>1</x:v>
      </x:c>
      <x:c r="J92" s="0"/>
      <x:c r="K92" s="4"/>
      <x:c r="L92" s="4"/>
      <x:c r="M92" s="4"/>
      <x:c r="N92" s="5"/>
    </x:row>
    <x:row r="93" ht="24" customHeight="1">
      <x:c r="A93" s="1" t="inlineStr">
        <x:is>
          <x:t>RESULT</x:t>
        </x:is>
      </x:c>
      <x:c r="B93" s="1" t="inlineStr">
        <x:is>
          <x:t>Round1</x:t>
        </x:is>
      </x:c>
      <x:c r="C93" s="1" t="inlineStr">
        <x:is>
          <x:t>Closure_4</x:t>
        </x:is>
      </x:c>
      <x:c r="D93" s="1" t="inlineStr">
        <x:is>
          <x:t>NOT_AVAILABLE</x:t>
        </x:is>
      </x:c>
      <x:c r="E93" s="5"/>
      <x:c r="F93" s="4">
        <x:v>0</x:v>
      </x:c>
      <x:c r="G93" s="4"/>
      <x:c r="H93" s="6"/>
      <x:c r="I93" s="16">
        <x:v>1</x:v>
      </x:c>
      <x:c r="J93" s="0"/>
      <x:c r="K93" s="4"/>
      <x:c r="L93" s="4"/>
      <x:c r="M93" s="4"/>
      <x:c r="N93" s="5"/>
    </x:row>
    <x:row r="94" ht="24" customHeight="1">
      <x:c r="A94" s="1" t="inlineStr">
        <x:is>
          <x:t>RESULT</x:t>
        </x:is>
      </x:c>
      <x:c r="B94" s="1" t="inlineStr">
        <x:is>
          <x:t>Round1</x:t>
        </x:is>
      </x:c>
      <x:c r="C94" s="1" t="inlineStr">
        <x:is>
          <x:t>Closure_5</x:t>
        </x:is>
      </x:c>
      <x:c r="D94" s="1" t="inlineStr">
        <x:is>
          <x:t>NOT_AVAILABLE</x:t>
        </x:is>
      </x:c>
      <x:c r="E94" s="5"/>
      <x:c r="F94" s="4">
        <x:v>0</x:v>
      </x:c>
      <x:c r="G94" s="4"/>
      <x:c r="H94" s="6"/>
      <x:c r="I94" s="16">
        <x:v>1</x:v>
      </x:c>
      <x:c r="J94" s="0"/>
      <x:c r="K94" s="4"/>
      <x:c r="L94" s="4"/>
      <x:c r="M94" s="4"/>
      <x:c r="N94" s="5"/>
    </x:row>
    <x:row r="95" ht="24" customHeight="1">
      <x:c r="A95" s="1" t="inlineStr">
        <x:is>
          <x:t>RESULT</x:t>
        </x:is>
      </x:c>
      <x:c r="B95" s="1" t="inlineStr">
        <x:is>
          <x:t>Round1</x:t>
        </x:is>
      </x:c>
      <x:c r="C95" s="1" t="inlineStr">
        <x:is>
          <x:t>Closure_6</x:t>
        </x:is>
      </x:c>
      <x:c r="D95" s="1" t="inlineStr">
        <x:is>
          <x:t>NOT_AVAILABLE</x:t>
        </x:is>
      </x:c>
      <x:c r="E95" s="5"/>
      <x:c r="F95" s="4">
        <x:v>0</x:v>
      </x:c>
      <x:c r="G95" s="4"/>
      <x:c r="H95" s="6"/>
      <x:c r="I95" s="16">
        <x:v>1</x:v>
      </x:c>
      <x:c r="J95" s="0"/>
      <x:c r="K95" s="4"/>
      <x:c r="L95" s="4"/>
      <x:c r="M95" s="4"/>
      <x:c r="N95" s="5"/>
    </x:row>
    <x:row r="96" ht="24" customHeight="1">
      <x:c r="A96" s="1" t="inlineStr">
        <x:is>
          <x:t>RESULT</x:t>
        </x:is>
      </x:c>
      <x:c r="B96" s="1" t="inlineStr">
        <x:is>
          <x:t>Round1</x:t>
        </x:is>
      </x:c>
      <x:c r="C96" s="1" t="inlineStr">
        <x:is>
          <x:t>Closure_7</x:t>
        </x:is>
      </x:c>
      <x:c r="D96" s="1" t="inlineStr">
        <x:is>
          <x:t>NOT_AVAILABLE</x:t>
        </x:is>
      </x:c>
      <x:c r="E96" s="5"/>
      <x:c r="F96" s="4">
        <x:v>0</x:v>
      </x:c>
      <x:c r="G96" s="4"/>
      <x:c r="H96" s="6"/>
      <x:c r="I96" s="16">
        <x:v>1</x:v>
      </x:c>
      <x:c r="J96" s="0"/>
      <x:c r="K96" s="4"/>
      <x:c r="L96" s="4"/>
      <x:c r="M96" s="4"/>
      <x:c r="N96" s="5"/>
    </x:row>
    <x:row r="97" ht="24" customHeight="1">
      <x:c r="A97" s="1" t="inlineStr">
        <x:is>
          <x:t>RESULT</x:t>
        </x:is>
      </x:c>
      <x:c r="B97" s="1" t="inlineStr">
        <x:is>
          <x:t>Round1</x:t>
        </x:is>
      </x:c>
      <x:c r="C97" s="1" t="inlineStr">
        <x:is>
          <x:t>Closure_8</x:t>
        </x:is>
      </x:c>
      <x:c r="D97" s="1" t="inlineStr">
        <x:is>
          <x:t>INCONCLUSIVE</x:t>
        </x:is>
      </x:c>
      <x:c r="E97" s="5">
        <x:v>0.8452</x:v>
      </x:c>
      <x:c r="F97" s="4">
        <x:v>0</x:v>
      </x:c>
      <x:c r="G97" s="4"/>
      <x:c r="H97" s="6"/>
      <x:c r="I97" s="16">
        <x:v>1</x:v>
      </x:c>
      <x:c r="J97" s="0">
        <x:v>84</x:v>
      </x:c>
      <x:c r="K97" s="4">
        <x:v>71</x:v>
      </x:c>
      <x:c r="L97" s="4">
        <x:v>52</x:v>
      </x:c>
      <x:c r="M97" s="4">
        <x:v>37</x:v>
      </x:c>
      <x:c r="N97" s="5">
        <x:v>0.7115</x:v>
      </x:c>
    </x:row>
    <x:row r="98" ht="24" customHeight="1">
      <x:c r="A98" s="1" t="inlineStr">
        <x:is>
          <x:t>RESULT</x:t>
        </x:is>
      </x:c>
      <x:c r="B98" s="1" t="inlineStr">
        <x:is>
          <x:t>Round1</x:t>
        </x:is>
      </x:c>
      <x:c r="C98" s="1" t="inlineStr">
        <x:is>
          <x:t>Closure_9</x:t>
        </x:is>
      </x:c>
      <x:c r="D98" s="1" t="inlineStr">
        <x:is>
          <x:t>NOT_AVAILABLE</x:t>
        </x:is>
      </x:c>
      <x:c r="E98" s="5"/>
      <x:c r="F98" s="4">
        <x:v>0</x:v>
      </x:c>
      <x:c r="G98" s="4"/>
      <x:c r="H98" s="6"/>
      <x:c r="I98" s="16">
        <x:v>1</x:v>
      </x:c>
      <x:c r="J98" s="0"/>
      <x:c r="K98" s="4"/>
      <x:c r="L98" s="4"/>
      <x:c r="M98" s="4"/>
      <x:c r="N98" s="5"/>
    </x:row>
  </x:sheetData>
  <x:pageMargins left="0.7" right="0.7" top="0.75" bottom="0.75" header="0.3" footer="0.3"/>
  <x:tableParts count="1">
    <x:tablePart ns1:id="Rcab56d35b51a4212"/>
  </x:tableParts>
</x:worksheet>
</file>