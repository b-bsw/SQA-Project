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53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COUNTIF(Data!$B$2:$B$53,"Round1")</x:f>
        <x:v>52</x:v>
      </x:c>
      <x:c r="D6" s="10">
        <x:f>COUNTIF(Data!$B$2:$B$53,"Round2")</x:f>
        <x:v>0</x:v>
      </x:c>
      <x:c r="E6" s="11">
        <x:f>COUNTA(Data!$C$2:$C$53)</x:f>
        <x:v>52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IF(COUNTIFS(Data!$B$2:$B$53,"Round1",Data!$E$2:$E$53,"&lt;&gt;")=0,"",AVERAGEIF(Data!$B$2:$B$53,"Round1",Data!$E$2:$E$53))</x:f>
        <x:v>0.2935594594594595</x:v>
      </x:c>
      <x:c r="D7" s="5" t="str">
        <x:f>IF(COUNTIFS(Data!$B$2:$B$53,"Round2",Data!$E$2:$E$53,"&lt;&gt;")=0,"",AVERAGEIF(Data!$B$2:$B$53,"Round2",Data!$E$2:$E$53))</x:f>
        <x:v/>
      </x:c>
      <x:c r="E7" s="12">
        <x:f>IF(COUNT(Data!$E$2:$E$53)=0,"",AVERAGE(Data!$E$2:$E$53))</x:f>
        <x:v>0.2935594594594595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IF(COUNTIFS(Data!$B$2:$B$53,"Round1",Data!$N$2:$N$53,"&lt;&gt;")=0,"",AVERAGEIF(Data!$B$2:$B$53,"Round1",Data!$N$2:$N$53))</x:f>
        <x:v>0.23236944444444443</x:v>
      </x:c>
      <x:c r="D8" s="5" t="str">
        <x:f>IF(COUNTIFS(Data!$B$2:$B$53,"Round2",Data!$N$2:$N$53,"&lt;&gt;")=0,"",AVERAGEIF(Data!$B$2:$B$53,"Round2",Data!$N$2:$N$53))</x:f>
        <x:v/>
      </x:c>
      <x:c r="E8" s="12">
        <x:f>IF(COUNT(Data!$N$2:$N$53)=0,"",AVERAGE(Data!$N$2:$N$53))</x:f>
        <x:v>0.23236944444444443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SUMIF(Data!$B$2:$B$53,"Round1",Data!$F$2:$F$53)</x:f>
        <x:v>0</x:v>
      </x:c>
      <x:c r="D9" s="10">
        <x:f>SUMIF(Data!$B$2:$B$53,"Round2",Data!$F$2:$F$53)</x:f>
        <x:v>0</x:v>
      </x:c>
      <x:c r="E9" s="11">
        <x:f>SUM(Data!$F$2:$F$53)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</x:v>
      </x:c>
      <x:c r="D10" s="5" t="str">
        <x:f>IF(D6=0,"",D9/D6)</x:f>
        <x:v/>
      </x:c>
      <x:c r="E10" s="12">
        <x:f>IF(E6=0,"",E9/E6)</x:f>
        <x:v>0.0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IF(COUNTIFS(Data!$B$2:$B$53,"Round1",Data!$G$2:$G$53,"&lt;&gt;")=0,"",SUMIF(Data!$B$2:$B$53,"Round1",Data!$G$2:$G$53))</x:f>
        <x:v>550016</x:v>
      </x:c>
      <x:c r="D11" s="10" t="str">
        <x:f>IF(COUNTIFS(Data!$B$2:$B$53,"Round2",Data!$G$2:$G$53,"&lt;&gt;")=0,"",SUMIF(Data!$B$2:$B$53,"Round2",Data!$G$2:$G$53))</x:f>
        <x:v/>
      </x:c>
      <x:c r="E11" s="11">
        <x:f>IF(COUNT(Data!$G$2:$G$53)=0,"",SUM(Data!$G$2:$G$53))</x:f>
        <x:v>550016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IF(COUNTIFS(Data!$B$2:$B$53,"Round1",Data!$H$2:$H$53,"&lt;&gt;")=0,"",SUMIF(Data!$B$2:$B$53,"Round1",Data!$H$2:$H$53))</x:f>
        <x:v>2288.59</x:v>
      </x:c>
      <x:c r="D12" s="6" t="str">
        <x:f>IF(COUNTIFS(Data!$B$2:$B$53,"Round2",Data!$H$2:$H$53,"&lt;&gt;")=0,"",SUMIF(Data!$B$2:$B$53,"Round2",Data!$H$2:$H$53))</x:f>
        <x:v/>
      </x:c>
      <x:c r="E12" s="13">
        <x:f>IF(COUNT(Data!$H$2:$H$53)=0,"",SUM(Data!$H$2:$H$53))</x:f>
        <x:v>2288.59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COUNTIFS(Data!$B$2:$B$53,"Round1",Data!$E$2:$E$53,"&lt;&gt;")</x:f>
        <x:v>37</x:v>
      </x:c>
      <x:c r="D13" s="4">
        <x:f>COUNTIFS(Data!$B$2:$B$53,"Round2",Data!$E$2:$E$53,"&lt;&gt;")</x:f>
        <x:v>0</x:v>
      </x:c>
      <x:c r="E13" s="14">
        <x:f>COUNT(Data!$E$2:$E$53)</x:f>
        <x:v>37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IF(COUNTIFS(Data!$B$2:$B$53,"Round1",Data!$J$2:$J$53,"&lt;&gt;")=0,"",SUMIF(Data!$B$2:$B$53,"Round1",Data!$J$2:$J$53))</x:f>
        <x:v>9047</x:v>
      </x:c>
      <x:c r="D14" s="4" t="str">
        <x:f>IF(COUNTIFS(Data!$B$2:$B$53,"Round2",Data!$J$2:$J$53,"&lt;&gt;")=0,"",SUMIF(Data!$B$2:$B$53,"Round2",Data!$J$2:$J$53))</x:f>
        <x:v/>
      </x:c>
      <x:c r="E14" s="4">
        <x:f>IF(COUNT(Data!$J$2:$J$53)=0,"",SUM(Data!$J$2:$J$53))</x:f>
        <x:v>9047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IF(COUNTIFS(Data!$B$2:$B$53,"Round1",Data!$K$2:$K$53,"&lt;&gt;")=0,"",SUMIF(Data!$B$2:$B$53,"Round1",Data!$K$2:$K$53))</x:f>
        <x:v>4641</x:v>
      </x:c>
      <x:c r="D15" s="4" t="str">
        <x:f>IF(COUNTIFS(Data!$B$2:$B$53,"Round2",Data!$K$2:$K$53,"&lt;&gt;")=0,"",SUMIF(Data!$B$2:$B$53,"Round2",Data!$K$2:$K$53))</x:f>
        <x:v/>
      </x:c>
      <x:c r="E15" s="4">
        <x:f>IF(COUNT(Data!$K$2:$K$53)=0,"",SUM(Data!$K$2:$K$53))</x:f>
        <x:v>4641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IF(COUNTIFS(Data!$B$2:$B$53,"Round1",Data!$L$2:$L$53,"&lt;&gt;")=0,"",SUMIF(Data!$B$2:$B$53,"Round1",Data!$L$2:$L$53))</x:f>
        <x:v>4611</x:v>
      </x:c>
      <x:c r="D16" s="4" t="str">
        <x:f>IF(COUNTIFS(Data!$B$2:$B$53,"Round2",Data!$L$2:$L$53,"&lt;&gt;")=0,"",SUMIF(Data!$B$2:$B$53,"Round2",Data!$L$2:$L$53))</x:f>
        <x:v/>
      </x:c>
      <x:c r="E16" s="4">
        <x:f>IF(COUNT(Data!$L$2:$L$53)=0,"",SUM(Data!$L$2:$L$53))</x:f>
        <x:v>4611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IF(COUNTIFS(Data!$B$2:$B$53,"Round1",Data!$M$2:$M$53,"&lt;&gt;")=0,"",SUMIF(Data!$B$2:$B$53,"Round1",Data!$M$2:$M$53))</x:f>
        <x:v>1820</x:v>
      </x:c>
      <x:c r="D17" s="4" t="str">
        <x:f>IF(COUNTIFS(Data!$B$2:$B$53,"Round2",Data!$M$2:$M$53,"&lt;&gt;")=0,"",SUMIF(Data!$B$2:$B$53,"Round2",Data!$M$2:$M$53))</x:f>
        <x:v/>
      </x:c>
      <x:c r="E17" s="4">
        <x:f>IF(COUNT(Data!$M$2:$M$53)=0,"",SUM(Data!$M$2:$M$53))</x:f>
        <x:v>1820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COUNTIFS(Data!$B$2:$B$53,"Round1",Data!$D$2:$D$53,"REVEALING")</x:f>
        <x:v>0</x:v>
      </x:c>
      <x:c r="D19" s="9">
        <x:f>COUNTIFS(Data!$B$2:$B$53,"Round2",Data!$D$2:$D$53,"REVEALING")</x:f>
        <x:v>0</x:v>
      </x:c>
      <x:c r="E19" s="9">
        <x:f>COUNTIF(Data!$D$2:$D$53,"REVEALING")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COUNTIFS(Data!$B$2:$B$53,"Round1",Data!$D$2:$D$53,"NOT_REVEALING")</x:f>
        <x:v>12</x:v>
      </x:c>
      <x:c r="D20" s="1">
        <x:f>COUNTIFS(Data!$B$2:$B$53,"Round2",Data!$D$2:$D$53,"NOT_REVEALING")</x:f>
        <x:v>0</x:v>
      </x:c>
      <x:c r="E20" s="1">
        <x:f>COUNTIF(Data!$D$2:$D$53,"NOT_REVEALING")</x:f>
        <x:v>12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COUNTIFS(Data!$B$2:$B$53,"Round1",Data!$D$2:$D$53,"NOT_AVAILABLE")</x:f>
        <x:v>15</x:v>
      </x:c>
      <x:c r="D21" s="9">
        <x:f>COUNTIFS(Data!$B$2:$B$53,"Round2",Data!$D$2:$D$53,"NOT_AVAILABLE")</x:f>
        <x:v>0</x:v>
      </x:c>
      <x:c r="E21" s="9">
        <x:f>COUNTIF(Data!$D$2:$D$53,"NOT_AVAILABLE")</x:f>
        <x:v>15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COUNTIFS(Data!$B$2:$B$53,"Round1",Data!$D$2:$D$53,"INCONCLUSIVE")</x:f>
        <x:v>25</x:v>
      </x:c>
      <x:c r="D22" s="1">
        <x:f>COUNTIFS(Data!$B$2:$B$53,"Round2",Data!$D$2:$D$53,"INCONCLUSIVE")</x:f>
        <x:v>0</x:v>
      </x:c>
      <x:c r="E22" s="1">
        <x:f>COUNTIF(Data!$D$2:$D$53,"INCONCLUSIVE")</x:f>
        <x:v>25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05:25:49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Cli_3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7513</x:v>
      </x:c>
      <x:c r="H48" s="6">
        <x:v>29.89</x:v>
      </x:c>
      <x:c r="I48" s="16">
        <x:v>1</x:v>
      </x:c>
      <x:c r="J48" s="0">
        <x:v>55</x:v>
      </x:c>
      <x:c r="K48" s="4">
        <x:v>0</x:v>
      </x:c>
      <x:c r="L48" s="4">
        <x:v>20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Cli_4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9748</x:v>
      </x:c>
      <x:c r="H49" s="6">
        <x:v>32.15</x:v>
      </x:c>
      <x:c r="I49" s="16">
        <x:v>1</x:v>
      </x:c>
      <x:c r="J49" s="0">
        <x:v>99</x:v>
      </x:c>
      <x:c r="K49" s="4">
        <x:v>0</x:v>
      </x:c>
      <x:c r="L49" s="4">
        <x:v>68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Cli_5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4221</x:v>
      </x:c>
      <x:c r="H50" s="6">
        <x:v>17.32</x:v>
      </x:c>
      <x:c r="I50" s="16">
        <x:v>1</x:v>
      </x:c>
      <x:c r="J50" s="0">
        <x:v>11</x:v>
      </x:c>
      <x:c r="K50" s="4">
        <x:v>0</x:v>
      </x:c>
      <x:c r="L50" s="4">
        <x:v>8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Cli_7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6282</x:v>
      </x:c>
      <x:c r="H51" s="6">
        <x:v>23.46</x:v>
      </x:c>
      <x:c r="I51" s="16">
        <x:v>1</x:v>
      </x:c>
      <x:c r="J51" s="0">
        <x:v>68</x:v>
      </x:c>
      <x:c r="K51" s="4">
        <x:v>0</x:v>
      </x:c>
      <x:c r="L51" s="4">
        <x:v>27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Cli_8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10601</x:v>
      </x:c>
      <x:c r="H52" s="6">
        <x:v>36.83</x:v>
      </x:c>
      <x:c r="I52" s="16">
        <x:v>1</x:v>
      </x:c>
      <x:c r="J52" s="0">
        <x:v>192</x:v>
      </x:c>
      <x:c r="K52" s="4">
        <x:v>0</x:v>
      </x:c>
      <x:c r="L52" s="4">
        <x:v>104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Cli_9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12531</x:v>
      </x:c>
      <x:c r="H53" s="6">
        <x:v>50.14</x:v>
      </x:c>
      <x:c r="I53" s="16">
        <x:v>1</x:v>
      </x:c>
      <x:c r="J53" s="0">
        <x:v>105</x:v>
      </x:c>
      <x:c r="K53" s="4">
        <x:v>0</x:v>
      </x:c>
      <x:c r="L53" s="4">
        <x:v>70</x:v>
      </x:c>
      <x:c r="M53" s="4">
        <x:v>0</x:v>
      </x:c>
      <x:c r="N53" s="5">
        <x:v>0.0</x:v>
      </x:c>
    </x:row>
  </x:sheetData>
  <x:pageMargins left="0.7" right="0.7" top="0.75" bottom="0.75" header="0.3" footer="0.3"/>
  <x:tableParts count="1">
    <x:tablePart ns1:id="Rcab56d35b51a4212"/>
  </x:tableParts>
</x:worksheet>
</file>