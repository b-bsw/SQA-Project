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69cabd9c54d28" /></Relationships>
</file>

<file path=xl/workbook.xml><?xml version="1.0" encoding="utf-8"?>
<x:workbook xmlns:ns1="http://schemas.openxmlformats.org/officeDocument/2006/relationships" xmlns:x="http://schemas.openxmlformats.org/spreadsheetml/2006/main">
  <x:sheets>
    <x:sheet name="Dashboard" sheetId="1" ns1:id="Rfc64e3a905e743f9"/>
    <x:sheet name="Data" sheetId="2" ns1:id="R6fc9053988ab42f6"/>
  </x:sheets>
  <x:calcPr calcMode="auto"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#,##0.00"/>
    <x:numFmt numFmtId="203" formatCode="0"/>
  </x:numFmts>
  <x:fonts count="6">
    <x:font>
      <x:sz val="11"/>
      <x:name val="Carlito"/>
    </x:font>
    <x:font>
      <x:sz val="11"/>
      <x:color rgb="FF20334D"/>
      <x:name val="Arial"/>
    </x:font>
    <x:font>
      <x:b/>
      <x:sz val="19"/>
      <x:color rgb="FF143552"/>
      <x:name val="Arial"/>
    </x:font>
    <x:font>
      <x:sz val="10"/>
      <x:color rgb="FF607389"/>
      <x:name val="Arial"/>
    </x:font>
    <x:font>
      <x:b/>
      <x:sz val="11"/>
      <x:color rgb="FFFFFFFF"/>
      <x:name val="Arial"/>
    </x:font>
    <x:font>
      <x:b/>
      <x:sz val="11"/>
      <x:color rgb="FF2033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3552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5" fillId="3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81b399e464242" /><Relationship Type="http://schemas.openxmlformats.org/officeDocument/2006/relationships/theme" Target="/xl/theme/theme1.xml" Id="R9adad3d1707f469a" /><Relationship Type="http://schemas.openxmlformats.org/officeDocument/2006/relationships/sharedStrings" Target="/xl/sharedStrings.xml" Id="Radd76ce8b39b4950" /><Relationship Type="http://schemas.openxmlformats.org/officeDocument/2006/relationships/worksheet" Target="/xl/worksheets/sheet1.xml" Id="Rfc64e3a905e743f9" /><Relationship Type="http://schemas.openxmlformats.org/officeDocument/2006/relationships/worksheet" Target="/xl/worksheets/sheet2.xml" Id="R6fc9053988ab42f6" /></Relationships>
</file>

<file path=xl/tables/table1.xml><?xml version="1.0" encoding="utf-8"?>
<x:table xmlns:x="http://schemas.openxmlformats.org/spreadsheetml/2006/main" id="1" name="ResultsData" displayName="ResultsData" ref="A1:N41" headerRowCount="1" totalsRowCount="0" totalsRowShown="0">
  <x:tableColumns count="14">
    <x:tableColumn id="1" name="row_type"/>
    <x:tableColumn id="2" name="round"/>
    <x:tableColumn id="3" name="target"/>
    <x:tableColumn id="4" name="verdict"/>
    <x:tableColumn id="5" name="line_coverage"/>
    <x:tableColumn id="6" name="revealed_count"/>
    <x:tableColumn id="7" name="total_tokens"/>
    <x:tableColumn id="8" name="generation_seconds"/>
    <x:tableColumn id="9" name="result_count"/>
    <x:tableColumn id="10" name="lines_total"/>
    <x:tableColumn id="11" name="lines_covered"/>
    <x:tableColumn id="12" name="conditions_total"/>
    <x:tableColumn id="13" name="conditions_covered"/>
    <x:tableColumn id="14" name="condition_cover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b56d35b51a421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8" customHeight="1">
      <x:c r="A2" s="1"/>
      <x:c r="B2" s="2" t="inlineStr">
        <x:is>
          <x:t>Gemini 3.8 Flash | Results dashboard</x:t>
        </x:is>
      </x:c>
      <x:c r="C2" s="2"/>
      <x:c r="D2" s="2"/>
      <x:c r="E2" s="2"/>
      <x:c r="F2" s="1"/>
      <x:c r="G2" s="1"/>
      <x:c r="H2" s="1"/>
      <x:c r="I2" s="1"/>
      <x:c r="J2" s="1"/>
    </x:row>
    <x:row r="3">
      <x:c r="A3" s="1"/>
      <x:c r="B3" s="3" t="inlineStr">
        <x:is>
          <x:t>Defects4J test execution and coverage results</x:t>
        </x:is>
      </x:c>
      <x:c r="C3" s="3"/>
      <x:c r="D3" s="3"/>
      <x:c r="E3" s="3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8" customHeight="1">
      <x:c r="A5" s="1"/>
      <x:c r="B5" s="8" t="str">
        <x:v>Metric</x:v>
      </x:c>
      <x:c r="C5" s="8" t="str">
        <x:v>Round1</x:v>
      </x:c>
      <x:c r="D5" s="8" t="str">
        <x:v>Round2</x:v>
      </x:c>
      <x:c r="E5" s="8" t="str">
        <x:v>All rounds</x:v>
      </x:c>
      <x:c r="F5" s="1"/>
      <x:c r="G5" s="1"/>
      <x:c r="H5" s="1"/>
      <x:c r="I5" s="1"/>
      <x:c r="J5" s="1"/>
    </x:row>
    <x:row r="6" ht="26" customHeight="1">
      <x:c r="A6" s="1"/>
      <x:c r="B6" s="9" t="str">
        <x:v>Results</x:v>
      </x:c>
      <x:c r="C6" s="10">
        <x:f>COUNTIF(Data!$B$2:$B$41,"Round1")</x:f>
        <x:v>40</x:v>
      </x:c>
      <x:c r="D6" s="10">
        <x:f>COUNTIF(Data!$B$2:$B$41,"Round2")</x:f>
        <x:v>0</x:v>
      </x:c>
      <x:c r="E6" s="11">
        <x:f>COUNTA(Data!$C$2:$C$41)</x:f>
        <x:v>40</x:v>
      </x:c>
      <x:c r="F6" s="1"/>
      <x:c r="G6" s="1"/>
      <x:c r="H6" s="1"/>
      <x:c r="I6" s="1"/>
      <x:c r="J6" s="1"/>
    </x:row>
    <x:row r="7" ht="26" customHeight="1">
      <x:c r="A7" s="1"/>
      <x:c r="B7" s="1" t="str">
        <x:v>Average line coverage</x:v>
      </x:c>
      <x:c r="C7" s="5">
        <x:f>IF(COUNTIFS(Data!$B$2:$B$41,"Round1",Data!$E$2:$E$41,"&lt;&gt;")=0,"",AVERAGEIF(Data!$B$2:$B$41,"Round1",Data!$E$2:$E$41))</x:f>
        <x:v>0.41775769230769233</x:v>
      </x:c>
      <x:c r="D7" s="5" t="str">
        <x:f>IF(COUNTIFS(Data!$B$2:$B$41,"Round2",Data!$E$2:$E$41,"&lt;&gt;")=0,"",AVERAGEIF(Data!$B$2:$B$41,"Round2",Data!$E$2:$E$41))</x:f>
        <x:v/>
      </x:c>
      <x:c r="E7" s="12">
        <x:f>IF(COUNT(Data!$E$2:$E$41)=0,"",AVERAGE(Data!$E$2:$E$41))</x:f>
        <x:v>0.41775769230769233</x:v>
      </x:c>
      <x:c r="F7" s="1"/>
      <x:c r="G7" s="1"/>
      <x:c r="H7" s="1"/>
      <x:c r="I7" s="1"/>
      <x:c r="J7" s="1"/>
    </x:row>
    <x:row r="8">
      <x:c r="A8" s="1"/>
      <x:c r="B8" s="1" t="inlineStr">
        <x:is>
          <x:t>Average condition coverage</x:t>
        </x:is>
      </x:c>
      <x:c r="C8" s="5">
        <x:f>IF(COUNTIFS(Data!$B$2:$B$41,"Round1",Data!$N$2:$N$41,"&lt;&gt;")=0,"",AVERAGEIF(Data!$B$2:$B$41,"Round1",Data!$N$2:$N$41))</x:f>
        <x:v>0.33461199999999997</x:v>
      </x:c>
      <x:c r="D8" s="5" t="str">
        <x:f>IF(COUNTIFS(Data!$B$2:$B$41,"Round2",Data!$N$2:$N$41,"&lt;&gt;")=0,"",AVERAGEIF(Data!$B$2:$B$41,"Round2",Data!$N$2:$N$41))</x:f>
        <x:v/>
      </x:c>
      <x:c r="E8" s="12">
        <x:f>IF(COUNT(Data!$N$2:$N$41)=0,"",AVERAGE(Data!$N$2:$N$41))</x:f>
        <x:v>0.33461199999999997</x:v>
      </x:c>
      <x:c r="F8" s="1"/>
      <x:c r="G8" s="1"/>
      <x:c r="H8" s="1"/>
      <x:c r="I8" s="1"/>
      <x:c r="J8" s="1"/>
    </x:row>
    <x:row r="9" ht="26" customHeight="1">
      <x:c r="A9" s="1"/>
      <x:c r="B9" s="9" t="str">
        <x:v>Revealing results</x:v>
      </x:c>
      <x:c r="C9" s="10">
        <x:f>SUMIF(Data!$B$2:$B$41,"Round1",Data!$F$2:$F$41)</x:f>
        <x:v>0</x:v>
      </x:c>
      <x:c r="D9" s="10">
        <x:f>SUMIF(Data!$B$2:$B$41,"Round2",Data!$F$2:$F$41)</x:f>
        <x:v>0</x:v>
      </x:c>
      <x:c r="E9" s="11">
        <x:f>SUM(Data!$F$2:$F$41)</x:f>
        <x:v>0</x:v>
      </x:c>
      <x:c r="F9" s="1"/>
      <x:c r="G9" s="1"/>
      <x:c r="H9" s="1"/>
      <x:c r="I9" s="1"/>
      <x:c r="J9" s="1"/>
    </x:row>
    <x:row r="10" ht="26" customHeight="1">
      <x:c r="A10" s="1"/>
      <x:c r="B10" s="1" t="str">
        <x:v>Revealing rate</x:v>
      </x:c>
      <x:c r="C10" s="5">
        <x:f>IF(C6=0,"",C9/C6)</x:f>
        <x:v>0.0</x:v>
      </x:c>
      <x:c r="D10" s="5" t="str">
        <x:f>IF(D6=0,"",D9/D6)</x:f>
        <x:v/>
      </x:c>
      <x:c r="E10" s="12">
        <x:f>IF(E6=0,"",E9/E6)</x:f>
        <x:v>0.0</x:v>
      </x:c>
      <x:c r="F10" s="1"/>
      <x:c r="G10" s="1"/>
      <x:c r="H10" s="1"/>
      <x:c r="I10" s="1"/>
      <x:c r="J10" s="1"/>
    </x:row>
    <x:row r="11" ht="26" customHeight="1">
      <x:c r="A11" s="1"/>
      <x:c r="B11" s="9" t="str">
        <x:v>Total tokens</x:v>
      </x:c>
      <x:c r="C11" s="10">
        <x:f>IF(COUNTIFS(Data!$B$2:$B$41,"Round1",Data!$G$2:$G$41,"&lt;&gt;")=0,"",SUMIF(Data!$B$2:$B$41,"Round1",Data!$G$2:$G$41))</x:f>
        <x:v>408508</x:v>
      </x:c>
      <x:c r="D11" s="10" t="str">
        <x:f>IF(COUNTIFS(Data!$B$2:$B$41,"Round2",Data!$G$2:$G$41,"&lt;&gt;")=0,"",SUMIF(Data!$B$2:$B$41,"Round2",Data!$G$2:$G$41))</x:f>
        <x:v/>
      </x:c>
      <x:c r="E11" s="11">
        <x:f>IF(COUNT(Data!$G$2:$G$41)=0,"",SUM(Data!$G$2:$G$41))</x:f>
        <x:v>408508</x:v>
      </x:c>
      <x:c r="F11" s="1"/>
      <x:c r="G11" s="1"/>
      <x:c r="H11" s="1"/>
      <x:c r="I11" s="1"/>
      <x:c r="J11" s="1"/>
    </x:row>
    <x:row r="12" ht="26" customHeight="1">
      <x:c r="A12" s="1"/>
      <x:c r="B12" s="1" t="str">
        <x:v>Generation time (seconds)</x:v>
      </x:c>
      <x:c r="C12" s="6">
        <x:f>IF(COUNTIFS(Data!$B$2:$B$41,"Round1",Data!$H$2:$H$41,"&lt;&gt;")=0,"",SUMIF(Data!$B$2:$B$41,"Round1",Data!$H$2:$H$41))</x:f>
        <x:v>1699.67</x:v>
      </x:c>
      <x:c r="D12" s="6" t="str">
        <x:f>IF(COUNTIFS(Data!$B$2:$B$41,"Round2",Data!$H$2:$H$41,"&lt;&gt;")=0,"",SUMIF(Data!$B$2:$B$41,"Round2",Data!$H$2:$H$41))</x:f>
        <x:v/>
      </x:c>
      <x:c r="E12" s="13">
        <x:f>IF(COUNT(Data!$H$2:$H$41)=0,"",SUM(Data!$H$2:$H$41))</x:f>
        <x:v>1699.67</x:v>
      </x:c>
      <x:c r="F12" s="1"/>
      <x:c r="G12" s="1"/>
      <x:c r="H12" s="1"/>
      <x:c r="I12" s="1"/>
      <x:c r="J12" s="1"/>
    </x:row>
    <x:row r="13" ht="26" customHeight="1">
      <x:c r="A13" s="1"/>
      <x:c r="B13" s="1" t="str">
        <x:v>Coverage records</x:v>
      </x:c>
      <x:c r="C13" s="4">
        <x:f>COUNTIFS(Data!$B$2:$B$41,"Round1",Data!$E$2:$E$41,"&lt;&gt;")</x:f>
        <x:v>26</x:v>
      </x:c>
      <x:c r="D13" s="4">
        <x:f>COUNTIFS(Data!$B$2:$B$41,"Round2",Data!$E$2:$E$41,"&lt;&gt;")</x:f>
        <x:v>0</x:v>
      </x:c>
      <x:c r="E13" s="14">
        <x:f>COUNT(Data!$E$2:$E$41)</x:f>
        <x:v>26</x:v>
      </x:c>
      <x:c r="F13" s="1"/>
      <x:c r="G13" s="1"/>
      <x:c r="H13" s="1"/>
      <x:c r="I13" s="1"/>
      <x:c r="J13" s="1"/>
    </x:row>
    <x:row r="14" ht="26" customHeight="1">
      <x:c r="A14" s="1"/>
      <x:c r="B14" s="9" t="inlineStr">
        <x:is>
          <x:t>Lines total</x:t>
        </x:is>
      </x:c>
      <x:c r="C14" s="4">
        <x:f>IF(COUNTIFS(Data!$B$2:$B$41,"Round1",Data!$J$2:$J$41,"&lt;&gt;")=0,"",SUMIF(Data!$B$2:$B$41,"Round1",Data!$J$2:$J$41))</x:f>
        <x:v>7946</x:v>
      </x:c>
      <x:c r="D14" s="4" t="str">
        <x:f>IF(COUNTIFS(Data!$B$2:$B$41,"Round2",Data!$J$2:$J$41,"&lt;&gt;")=0,"",SUMIF(Data!$B$2:$B$41,"Round2",Data!$J$2:$J$41))</x:f>
        <x:v/>
      </x:c>
      <x:c r="E14" s="4">
        <x:f>IF(COUNT(Data!$J$2:$J$41)=0,"",SUM(Data!$J$2:$J$41))</x:f>
        <x:v>7946</x:v>
      </x:c>
      <x:c r="F14" s="1"/>
      <x:c r="G14" s="1"/>
      <x:c r="H14" s="1"/>
      <x:c r="I14" s="1"/>
      <x:c r="J14" s="1"/>
    </x:row>
    <x:row r="15" ht="26" customHeight="1">
      <x:c r="A15" s="1"/>
      <x:c r="B15" s="9" t="inlineStr">
        <x:is>
          <x:t>Lines covered</x:t>
        </x:is>
      </x:c>
      <x:c r="C15" s="4">
        <x:f>IF(COUNTIFS(Data!$B$2:$B$41,"Round1",Data!$K$2:$K$41,"&lt;&gt;")=0,"",SUMIF(Data!$B$2:$B$41,"Round1",Data!$K$2:$K$41))</x:f>
        <x:v>4641</x:v>
      </x:c>
      <x:c r="D15" s="4" t="str">
        <x:f>IF(COUNTIFS(Data!$B$2:$B$41,"Round2",Data!$K$2:$K$41,"&lt;&gt;")=0,"",SUMIF(Data!$B$2:$B$41,"Round2",Data!$K$2:$K$41))</x:f>
        <x:v/>
      </x:c>
      <x:c r="E15" s="4">
        <x:f>IF(COUNT(Data!$K$2:$K$41)=0,"",SUM(Data!$K$2:$K$41))</x:f>
        <x:v>4641</x:v>
      </x:c>
      <x:c r="F15" s="1"/>
      <x:c r="G15" s="1"/>
      <x:c r="H15" s="1"/>
      <x:c r="I15" s="1"/>
      <x:c r="J15" s="1"/>
    </x:row>
    <x:row r="16" ht="26" customHeight="1">
      <x:c r="A16" s="1"/>
      <x:c r="B16" s="9" t="inlineStr">
        <x:is>
          <x:t>Conditions total</x:t>
        </x:is>
      </x:c>
      <x:c r="C16" s="4">
        <x:f>IF(COUNTIFS(Data!$B$2:$B$41,"Round1",Data!$L$2:$L$41,"&lt;&gt;")=0,"",SUMIF(Data!$B$2:$B$41,"Round1",Data!$L$2:$L$41))</x:f>
        <x:v>4011</x:v>
      </x:c>
      <x:c r="D16" s="4" t="str">
        <x:f>IF(COUNTIFS(Data!$B$2:$B$41,"Round2",Data!$L$2:$L$41,"&lt;&gt;")=0,"",SUMIF(Data!$B$2:$B$41,"Round2",Data!$L$2:$L$41))</x:f>
        <x:v/>
      </x:c>
      <x:c r="E16" s="4">
        <x:f>IF(COUNT(Data!$L$2:$L$41)=0,"",SUM(Data!$L$2:$L$41))</x:f>
        <x:v>4011</x:v>
      </x:c>
      <x:c r="F16" s="1"/>
      <x:c r="G16" s="1"/>
      <x:c r="H16" s="1"/>
      <x:c r="I16" s="1"/>
      <x:c r="J16" s="1"/>
    </x:row>
    <x:row r="17" ht="26" customHeight="1">
      <x:c r="A17" s="1"/>
      <x:c r="B17" s="9" t="inlineStr">
        <x:is>
          <x:t>Conditions covered</x:t>
        </x:is>
      </x:c>
      <x:c r="C17" s="4">
        <x:f>IF(COUNTIFS(Data!$B$2:$B$41,"Round1",Data!$M$2:$M$41,"&lt;&gt;")=0,"",SUMIF(Data!$B$2:$B$41,"Round1",Data!$M$2:$M$41))</x:f>
        <x:v>1820</x:v>
      </x:c>
      <x:c r="D17" s="4" t="str">
        <x:f>IF(COUNTIFS(Data!$B$2:$B$41,"Round2",Data!$M$2:$M$41,"&lt;&gt;")=0,"",SUMIF(Data!$B$2:$B$41,"Round2",Data!$M$2:$M$41))</x:f>
        <x:v/>
      </x:c>
      <x:c r="E17" s="4">
        <x:f>IF(COUNT(Data!$M$2:$M$41)=0,"",SUM(Data!$M$2:$M$41))</x:f>
        <x:v>1820</x:v>
      </x:c>
      <x:c r="F17" s="1"/>
      <x:c r="G17" s="1"/>
      <x:c r="H17" s="1"/>
      <x:c r="I17" s="1"/>
      <x:c r="J17" s="1"/>
    </x:row>
    <x:row r="18" ht="26" customHeight="1">
      <x:c r="A18" s="1"/>
      <x:c r="B18" s="8" t="str">
        <x:v>Verdict</x:v>
      </x:c>
      <x:c r="C18" s="8" t="str">
        <x:v>Round1</x:v>
      </x:c>
      <x:c r="D18" s="8" t="str">
        <x:v>Round2</x:v>
      </x:c>
      <x:c r="E18" s="8" t="str">
        <x:v>All rounds</x:v>
      </x:c>
      <x:c r="F18" s="1"/>
      <x:c r="G18" s="1"/>
      <x:c r="H18" s="1"/>
      <x:c r="I18" s="1"/>
      <x:c r="J18" s="1"/>
    </x:row>
    <x:row r="19" ht="26" customHeight="1">
      <x:c r="A19" s="1"/>
      <x:c r="B19" s="9" t="str">
        <x:v>REVEALING</x:v>
      </x:c>
      <x:c r="C19" s="9">
        <x:f>COUNTIFS(Data!$B$2:$B$41,"Round1",Data!$D$2:$D$41,"REVEALING")</x:f>
        <x:v>0</x:v>
      </x:c>
      <x:c r="D19" s="9">
        <x:f>COUNTIFS(Data!$B$2:$B$41,"Round2",Data!$D$2:$D$41,"REVEALING")</x:f>
        <x:v>0</x:v>
      </x:c>
      <x:c r="E19" s="9">
        <x:f>COUNTIF(Data!$D$2:$D$41,"REVEALING")</x:f>
        <x:v>0</x:v>
      </x:c>
      <x:c r="F19" s="1"/>
      <x:c r="G19" s="1"/>
      <x:c r="H19" s="1"/>
      <x:c r="I19" s="1"/>
      <x:c r="J19" s="1"/>
    </x:row>
    <x:row r="20" ht="26" customHeight="1">
      <x:c r="A20" s="1"/>
      <x:c r="B20" s="1" t="str">
        <x:v>NOT_REVEALING</x:v>
      </x:c>
      <x:c r="C20" s="1">
        <x:f>COUNTIFS(Data!$B$2:$B$41,"Round1",Data!$D$2:$D$41,"NOT_REVEALING")</x:f>
        <x:v>12</x:v>
      </x:c>
      <x:c r="D20" s="1">
        <x:f>COUNTIFS(Data!$B$2:$B$41,"Round2",Data!$D$2:$D$41,"NOT_REVEALING")</x:f>
        <x:v>0</x:v>
      </x:c>
      <x:c r="E20" s="1">
        <x:f>COUNTIF(Data!$D$2:$D$41,"NOT_REVEALING")</x:f>
        <x:v>12</x:v>
      </x:c>
      <x:c r="F20" s="1"/>
      <x:c r="G20" s="1"/>
      <x:c r="H20" s="1"/>
      <x:c r="I20" s="1"/>
      <x:c r="J20" s="1"/>
    </x:row>
    <x:row r="21" ht="26" customHeight="1">
      <x:c r="A21" s="1"/>
      <x:c r="B21" s="9" t="str">
        <x:v>NOT_AVAILABLE</x:v>
      </x:c>
      <x:c r="C21" s="9">
        <x:f>COUNTIFS(Data!$B$2:$B$41,"Round1",Data!$D$2:$D$41,"NOT_AVAILABLE")</x:f>
        <x:v>14</x:v>
      </x:c>
      <x:c r="D21" s="9">
        <x:f>COUNTIFS(Data!$B$2:$B$41,"Round2",Data!$D$2:$D$41,"NOT_AVAILABLE")</x:f>
        <x:v>0</x:v>
      </x:c>
      <x:c r="E21" s="9">
        <x:f>COUNTIF(Data!$D$2:$D$41,"NOT_AVAILABLE")</x:f>
        <x:v>14</x:v>
      </x:c>
      <x:c r="F21" s="1"/>
      <x:c r="G21" s="1"/>
      <x:c r="H21" s="1"/>
      <x:c r="I21" s="1"/>
      <x:c r="J21" s="1"/>
    </x:row>
    <x:row r="22" ht="26" customHeight="1">
      <x:c r="A22" s="1"/>
      <x:c r="B22" s="1" t="str">
        <x:v>INCONCLUSIVE</x:v>
      </x:c>
      <x:c r="C22" s="1">
        <x:f>COUNTIFS(Data!$B$2:$B$41,"Round1",Data!$D$2:$D$41,"INCONCLUSIVE")</x:f>
        <x:v>14</x:v>
      </x:c>
      <x:c r="D22" s="1">
        <x:f>COUNTIFS(Data!$B$2:$B$41,"Round2",Data!$D$2:$D$41,"INCONCLUSIVE")</x:f>
        <x:v>0</x:v>
      </x:c>
      <x:c r="E22" s="1">
        <x:f>COUNTIF(Data!$D$2:$D$41,"INCONCLUSIVE")</x:f>
        <x:v>14</x:v>
      </x:c>
      <x:c r="F22" s="1"/>
      <x:c r="G22" s="1"/>
      <x:c r="H22" s="1"/>
      <x:c r="I22" s="1"/>
      <x:c r="J22" s="1"/>
    </x:row>
    <x:row r="23">
      <x:c r="A23" s="1"/>
      <x:c r="B23" s="3" t="str">
        <x:v>Blank = unavailable. Coverage average uses only recorded coverage.</x:v>
      </x:c>
      <x:c r="C23" s="3"/>
      <x:c r="D23" s="3"/>
      <x:c r="E23" s="3"/>
      <x:c r="F23" s="1"/>
      <x:c r="G23" s="1"/>
      <x:c r="H23" s="1"/>
      <x:c r="I23" s="1"/>
      <x:c r="J23" s="1"/>
    </x:row>
    <x:row r="24">
      <x:c r="A24" s="1"/>
      <x:c r="B24" s="3" t="str">
        <x:v>Source: saved generation state and test results for both rounds.</x:v>
      </x:c>
      <x:c r="C24" s="3"/>
      <x:c r="D24" s="3"/>
      <x:c r="E24" s="3"/>
      <x:c r="F24" s="1"/>
      <x:c r="G24" s="1"/>
      <x:c r="H24" s="1"/>
      <x:c r="I24" s="1"/>
      <x:c r="J24" s="1"/>
    </x:row>
    <x:row r="25">
      <x:c r="A25" s="1"/>
      <x:c r="B25" s="3" t="inlineStr">
        <x:is>
          <x:t>Updated: 2026-09-30 05:25:08 +0700</x:t>
        </x:is>
      </x:c>
      <x:c r="C25" s="3"/>
      <x:c r="D25" s="3"/>
      <x:c r="E25" s="3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B2:E2"/>
    <x:mergeCell ref="B3:E3"/>
    <x:mergeCell ref="B23:E23"/>
    <x:mergeCell ref="B24:E24"/>
    <x:mergeCell ref="B25:E25"/>
  </x:mergeCells>
  <x:conditionalFormatting sqref="C7:E7">
    <x:cfRule type="dataBar" priority="1">
      <x:dataBar>
        <x:cfvo type="min"/>
        <x:cfvo type="max"/>
        <x:color rgb="FF2B9294"/>
      </x:dataBar>
    </x:cfRule>
  </x:conditionalFormatting>
  <x:pageMargins left="0.7" right="0.7" top="0.75" bottom="0.75" header="0.3" footer="0.3"/>
</x:worksheet>
</file>

<file path=xl/worksheets/sheet2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5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customWidth="1"/>
    <x:col min="12" max="12" width="24" customWidth="1"/>
    <x:col min="13" max="13" width="24" customWidth="1"/>
    <x:col min="14" max="14" width="24" customWidth="1"/>
  </x:cols>
  <x:sheetData>
    <x:row r="1" ht="34" customHeight="1">
      <x:c r="A1" s="15" t="str">
        <x:v>row_type</x:v>
      </x:c>
      <x:c r="B1" s="15" t="str">
        <x:v>round</x:v>
      </x:c>
      <x:c r="C1" s="15" t="str">
        <x:v>target</x:v>
      </x:c>
      <x:c r="D1" s="15" t="str">
        <x:v>verdict</x:v>
      </x:c>
      <x:c r="E1" s="15" t="str">
        <x:v>line_coverage</x:v>
      </x:c>
      <x:c r="F1" s="15" t="str">
        <x:v>revealed_count</x:v>
      </x:c>
      <x:c r="G1" s="15" t="str">
        <x:v>total_tokens</x:v>
      </x:c>
      <x:c r="H1" s="15" t="str">
        <x:v>generation_seconds</x:v>
      </x:c>
      <x:c r="I1" s="15" t="str">
        <x:v>result_count</x:v>
      </x:c>
      <x:c r="J1" s="15" t="inlineStr">
        <x:is>
          <x:t>lines_total</x:t>
        </x:is>
      </x:c>
      <x:c r="K1" s="15" t="inlineStr">
        <x:is>
          <x:t>lines_covered</x:t>
        </x:is>
      </x:c>
      <x:c r="L1" s="15" t="inlineStr">
        <x:is>
          <x:t>conditions_total</x:t>
        </x:is>
      </x:c>
      <x:c r="M1" s="15" t="inlineStr">
        <x:is>
          <x:t>conditions_covered</x:t>
        </x:is>
      </x:c>
      <x:c r="N1" s="15" t="inlineStr">
        <x:is>
          <x:t>condition_coverage</x:t>
        </x:is>
      </x:c>
    </x:row>
    <x:row r="2" ht="24" customHeight="1">
      <x:c r="A2" s="1" t="inlineStr">
        <x:is>
          <x:t>RESULT</x:t>
        </x:is>
      </x:c>
      <x:c r="B2" s="1" t="inlineStr">
        <x:is>
          <x:t>Round1</x:t>
        </x:is>
      </x:c>
      <x:c r="C2" s="1" t="inlineStr">
        <x:is>
          <x:t>Chart_1</x:t>
        </x:is>
      </x:c>
      <x:c r="D2" s="1" t="inlineStr">
        <x:is>
          <x:t>NOT_AVAILABLE</x:t>
        </x:is>
      </x:c>
      <x:c r="E2" s="5"/>
      <x:c r="F2" s="4">
        <x:v>0</x:v>
      </x:c>
      <x:c r="G2" s="4">
        <x:v>24186</x:v>
      </x:c>
      <x:c r="H2" s="6">
        <x:v>75.22</x:v>
      </x:c>
      <x:c r="I2" s="16">
        <x:v>1</x:v>
      </x:c>
      <x:c r="J2" s="0"/>
      <x:c r="K2" s="4"/>
      <x:c r="L2" s="4"/>
      <x:c r="M2" s="4"/>
      <x:c r="N2" s="5"/>
    </x:row>
    <x:row r="3" ht="24" customHeight="1">
      <x:c r="A3" s="1" t="inlineStr">
        <x:is>
          <x:t>RESULT</x:t>
        </x:is>
      </x:c>
      <x:c r="B3" s="1" t="inlineStr">
        <x:is>
          <x:t>Round1</x:t>
        </x:is>
      </x:c>
      <x:c r="C3" s="1" t="inlineStr">
        <x:is>
          <x:t>Chart_10</x:t>
        </x:is>
      </x:c>
      <x:c r="D3" s="1" t="inlineStr">
        <x:is>
          <x:t>INCONCLUSIVE</x:t>
        </x:is>
      </x:c>
      <x:c r="E3" s="5">
        <x:v>1.0</x:v>
      </x:c>
      <x:c r="F3" s="4">
        <x:v>0</x:v>
      </x:c>
      <x:c r="G3" s="4">
        <x:v>2664</x:v>
      </x:c>
      <x:c r="H3" s="6">
        <x:v>9.04</x:v>
      </x:c>
      <x:c r="I3" s="16">
        <x:v>1</x:v>
      </x:c>
      <x:c r="J3" s="0">
        <x:v>3</x:v>
      </x:c>
      <x:c r="K3" s="4">
        <x:v>3</x:v>
      </x:c>
      <x:c r="L3" s="4">
        <x:v>0</x:v>
      </x:c>
      <x:c r="M3" s="4">
        <x:v>0</x:v>
      </x:c>
      <x:c r="N3" s="5"/>
    </x:row>
    <x:row r="4" ht="24" customHeight="1">
      <x:c r="A4" s="1" t="inlineStr">
        <x:is>
          <x:t>RESULT</x:t>
        </x:is>
      </x:c>
      <x:c r="B4" s="1" t="inlineStr">
        <x:is>
          <x:t>Round1</x:t>
        </x:is>
      </x:c>
      <x:c r="C4" s="1" t="inlineStr">
        <x:is>
          <x:t>Chart_11</x:t>
        </x:is>
      </x:c>
      <x:c r="D4" s="1" t="inlineStr">
        <x:is>
          <x:t>NOT_AVAILABLE</x:t>
        </x:is>
      </x:c>
      <x:c r="E4" s="5"/>
      <x:c r="F4" s="4">
        <x:v>0</x:v>
      </x:c>
      <x:c r="G4" s="4"/>
      <x:c r="H4" s="6">
        <x:v>51.25</x:v>
      </x:c>
      <x:c r="I4" s="16">
        <x:v>1</x:v>
      </x:c>
      <x:c r="J4" s="0"/>
      <x:c r="K4" s="4"/>
      <x:c r="L4" s="4"/>
      <x:c r="M4" s="4"/>
      <x:c r="N4" s="5"/>
    </x:row>
    <x:row r="5" ht="24" customHeight="1">
      <x:c r="A5" s="1" t="inlineStr">
        <x:is>
          <x:t>RESULT</x:t>
        </x:is>
      </x:c>
      <x:c r="B5" s="1" t="inlineStr">
        <x:is>
          <x:t>Round1</x:t>
        </x:is>
      </x:c>
      <x:c r="C5" s="1" t="inlineStr">
        <x:is>
          <x:t>Chart_12</x:t>
        </x:is>
      </x:c>
      <x:c r="D5" s="1" t="inlineStr">
        <x:is>
          <x:t>NOT_REVEALING</x:t>
        </x:is>
      </x:c>
      <x:c r="E5" s="5">
        <x:v>0.9842</x:v>
      </x:c>
      <x:c r="F5" s="4">
        <x:v>0</x:v>
      </x:c>
      <x:c r="G5" s="4">
        <x:v>10072</x:v>
      </x:c>
      <x:c r="H5" s="6">
        <x:v>33.34</x:v>
      </x:c>
      <x:c r="I5" s="16">
        <x:v>1</x:v>
      </x:c>
      <x:c r="J5" s="0">
        <x:v>190</x:v>
      </x:c>
      <x:c r="K5" s="4">
        <x:v>187</x:v>
      </x:c>
      <x:c r="L5" s="4">
        <x:v>84</x:v>
      </x:c>
      <x:c r="M5" s="4">
        <x:v>78</x:v>
      </x:c>
      <x:c r="N5" s="5">
        <x:v>0.9286</x:v>
      </x:c>
    </x:row>
    <x:row r="6" ht="24" customHeight="1">
      <x:c r="A6" s="1" t="inlineStr">
        <x:is>
          <x:t>RESULT</x:t>
        </x:is>
      </x:c>
      <x:c r="B6" s="1" t="inlineStr">
        <x:is>
          <x:t>Round1</x:t>
        </x:is>
      </x:c>
      <x:c r="C6" s="1" t="inlineStr">
        <x:is>
          <x:t>Chart_13</x:t>
        </x:is>
      </x:c>
      <x:c r="D6" s="1" t="inlineStr">
        <x:is>
          <x:t>NOT_REVEALING</x:t>
        </x:is>
      </x:c>
      <x:c r="E6" s="5">
        <x:v>1.0</x:v>
      </x:c>
      <x:c r="F6" s="4">
        <x:v>0</x:v>
      </x:c>
      <x:c r="G6" s="4">
        <x:v>16066</x:v>
      </x:c>
      <x:c r="H6" s="6">
        <x:v>57.44</x:v>
      </x:c>
      <x:c r="I6" s="16">
        <x:v>1</x:v>
      </x:c>
      <x:c r="J6" s="0">
        <x:v>229</x:v>
      </x:c>
      <x:c r="K6" s="4">
        <x:v>229</x:v>
      </x:c>
      <x:c r="L6" s="4">
        <x:v>120</x:v>
      </x:c>
      <x:c r="M6" s="4">
        <x:v>114</x:v>
      </x:c>
      <x:c r="N6" s="5">
        <x:v>0.95</x:v>
      </x:c>
    </x:row>
    <x:row r="7" ht="24" customHeight="1">
      <x:c r="A7" s="1" t="inlineStr">
        <x:is>
          <x:t>RESULT</x:t>
        </x:is>
      </x:c>
      <x:c r="B7" s="1" t="inlineStr">
        <x:is>
          <x:t>Round1</x:t>
        </x:is>
      </x:c>
      <x:c r="C7" s="1" t="inlineStr">
        <x:is>
          <x:t>Chart_14</x:t>
        </x:is>
      </x:c>
      <x:c r="D7" s="1" t="inlineStr">
        <x:is>
          <x:t>NOT_REVEALING</x:t>
        </x:is>
      </x:c>
      <x:c r="E7" s="5">
        <x:v>0.5904</x:v>
      </x:c>
      <x:c r="F7" s="4">
        <x:v>0</x:v>
      </x:c>
      <x:c r="G7" s="4">
        <x:v>75767</x:v>
      </x:c>
      <x:c r="H7" s="6">
        <x:v>166.22</x:v>
      </x:c>
      <x:c r="I7" s="16">
        <x:v>1</x:v>
      </x:c>
      <x:c r="J7" s="0">
        <x:v>2722</x:v>
      </x:c>
      <x:c r="K7" s="4">
        <x:v>1607</x:v>
      </x:c>
      <x:c r="L7" s="4">
        <x:v>1436</x:v>
      </x:c>
      <x:c r="M7" s="4">
        <x:v>637</x:v>
      </x:c>
      <x:c r="N7" s="5">
        <x:v>0.4436</x:v>
      </x:c>
    </x:row>
    <x:row r="8" ht="24" customHeight="1">
      <x:c r="A8" s="1" t="inlineStr">
        <x:is>
          <x:t>RESULT</x:t>
        </x:is>
      </x:c>
      <x:c r="B8" s="1" t="inlineStr">
        <x:is>
          <x:t>Round1</x:t>
        </x:is>
      </x:c>
      <x:c r="C8" s="1" t="inlineStr">
        <x:is>
          <x:t>Chart_15</x:t>
        </x:is>
      </x:c>
      <x:c r="D8" s="1" t="inlineStr">
        <x:is>
          <x:t>NOT_AVAILABLE</x:t>
        </x:is>
      </x:c>
      <x:c r="E8" s="5"/>
      <x:c r="F8" s="4">
        <x:v>0</x:v>
      </x:c>
      <x:c r="G8" s="4"/>
      <x:c r="H8" s="6">
        <x:v>36.63</x:v>
      </x:c>
      <x:c r="I8" s="16">
        <x:v>1</x:v>
      </x:c>
      <x:c r="J8" s="0"/>
      <x:c r="K8" s="4"/>
      <x:c r="L8" s="4"/>
      <x:c r="M8" s="4"/>
      <x:c r="N8" s="5"/>
    </x:row>
    <x:row r="9" ht="24" customHeight="1">
      <x:c r="A9" s="1" t="inlineStr">
        <x:is>
          <x:t>RESULT</x:t>
        </x:is>
      </x:c>
      <x:c r="B9" s="1" t="inlineStr">
        <x:is>
          <x:t>Round1</x:t>
        </x:is>
      </x:c>
      <x:c r="C9" s="1" t="inlineStr">
        <x:is>
          <x:t>Chart_16</x:t>
        </x:is>
      </x:c>
      <x:c r="D9" s="1" t="inlineStr">
        <x:is>
          <x:t>NOT_REVEALING</x:t>
        </x:is>
      </x:c>
      <x:c r="E9" s="5">
        <x:v>0.22870000000000001</x:v>
      </x:c>
      <x:c r="F9" s="4">
        <x:v>0</x:v>
      </x:c>
      <x:c r="G9" s="4"/>
      <x:c r="H9" s="6"/>
      <x:c r="I9" s="16">
        <x:v>1</x:v>
      </x:c>
      <x:c r="J9" s="0">
        <x:v>188</x:v>
      </x:c>
      <x:c r="K9" s="4">
        <x:v>43</x:v>
      </x:c>
      <x:c r="L9" s="4">
        <x:v>128</x:v>
      </x:c>
      <x:c r="M9" s="4">
        <x:v>20</x:v>
      </x:c>
      <x:c r="N9" s="5">
        <x:v>0.1562</x:v>
      </x:c>
    </x:row>
    <x:row r="10" ht="24" customHeight="1">
      <x:c r="A10" s="1" t="inlineStr">
        <x:is>
          <x:t>RESULT</x:t>
        </x:is>
      </x:c>
      <x:c r="B10" s="1" t="inlineStr">
        <x:is>
          <x:t>Round1</x:t>
        </x:is>
      </x:c>
      <x:c r="C10" s="1" t="inlineStr">
        <x:is>
          <x:t>Chart_17</x:t>
        </x:is>
      </x:c>
      <x:c r="D10" s="1" t="inlineStr">
        <x:is>
          <x:t>NOT_AVAILABLE</x:t>
        </x:is>
      </x:c>
      <x:c r="E10" s="5"/>
      <x:c r="F10" s="4">
        <x:v>0</x:v>
      </x:c>
      <x:c r="G10" s="4"/>
      <x:c r="H10" s="6"/>
      <x:c r="I10" s="16">
        <x:v>1</x:v>
      </x:c>
      <x:c r="J10" s="0"/>
      <x:c r="K10" s="4"/>
      <x:c r="L10" s="4"/>
      <x:c r="M10" s="4"/>
      <x:c r="N10" s="5"/>
    </x:row>
    <x:row r="11" ht="24" customHeight="1">
      <x:c r="A11" s="1" t="inlineStr">
        <x:is>
          <x:t>RESULT</x:t>
        </x:is>
      </x:c>
      <x:c r="B11" s="1" t="inlineStr">
        <x:is>
          <x:t>Round1</x:t>
        </x:is>
      </x:c>
      <x:c r="C11" s="1" t="inlineStr">
        <x:is>
          <x:t>Chart_18</x:t>
        </x:is>
      </x:c>
      <x:c r="D11" s="1" t="inlineStr">
        <x:is>
          <x:t>NOT_REVEALING</x:t>
        </x:is>
      </x:c>
      <x:c r="E11" s="5">
        <x:v>0.2293</x:v>
      </x:c>
      <x:c r="F11" s="4">
        <x:v>0</x:v>
      </x:c>
      <x:c r="G11" s="4"/>
      <x:c r="H11" s="6"/>
      <x:c r="I11" s="16">
        <x:v>1</x:v>
      </x:c>
      <x:c r="J11" s="0">
        <x:v>266</x:v>
      </x:c>
      <x:c r="K11" s="4">
        <x:v>61</x:v>
      </x:c>
      <x:c r="L11" s="4">
        <x:v>122</x:v>
      </x:c>
      <x:c r="M11" s="4">
        <x:v>16</x:v>
      </x:c>
      <x:c r="N11" s="5">
        <x:v>0.1311</x:v>
      </x:c>
    </x:row>
    <x:row r="12" ht="24" customHeight="1">
      <x:c r="A12" s="1" t="inlineStr">
        <x:is>
          <x:t>RESULT</x:t>
        </x:is>
      </x:c>
      <x:c r="B12" s="1" t="inlineStr">
        <x:is>
          <x:t>Round1</x:t>
        </x:is>
      </x:c>
      <x:c r="C12" s="1" t="inlineStr">
        <x:is>
          <x:t>Chart_19</x:t>
        </x:is>
      </x:c>
      <x:c r="D12" s="1" t="inlineStr">
        <x:is>
          <x:t>NOT_AVAILABLE</x:t>
        </x:is>
      </x:c>
      <x:c r="E12" s="5"/>
      <x:c r="F12" s="4">
        <x:v>0</x:v>
      </x:c>
      <x:c r="G12" s="4"/>
      <x:c r="H12" s="6">
        <x:v>49.85</x:v>
      </x:c>
      <x:c r="I12" s="16">
        <x:v>1</x:v>
      </x:c>
      <x:c r="J12" s="0"/>
      <x:c r="K12" s="4"/>
      <x:c r="L12" s="4"/>
      <x:c r="M12" s="4"/>
      <x:c r="N12" s="5"/>
    </x:row>
    <x:row r="13" ht="24" customHeight="1">
      <x:c r="A13" s="1" t="inlineStr">
        <x:is>
          <x:t>RESULT</x:t>
        </x:is>
      </x:c>
      <x:c r="B13" s="1" t="inlineStr">
        <x:is>
          <x:t>Round1</x:t>
        </x:is>
      </x:c>
      <x:c r="C13" s="1" t="inlineStr">
        <x:is>
          <x:t>Chart_2</x:t>
        </x:is>
      </x:c>
      <x:c r="D13" s="1" t="inlineStr">
        <x:is>
          <x:t>NOT_AVAILABLE</x:t>
        </x:is>
      </x:c>
      <x:c r="E13" s="5"/>
      <x:c r="F13" s="4">
        <x:v>0</x:v>
      </x:c>
      <x:c r="G13" s="4"/>
      <x:c r="H13" s="6"/>
      <x:c r="I13" s="16">
        <x:v>1</x:v>
      </x:c>
      <x:c r="J13" s="0"/>
      <x:c r="K13" s="4"/>
      <x:c r="L13" s="4"/>
      <x:c r="M13" s="4"/>
      <x:c r="N13" s="5"/>
    </x:row>
    <x:row r="14" ht="24" customHeight="1">
      <x:c r="A14" s="1" t="inlineStr">
        <x:is>
          <x:t>RESULT</x:t>
        </x:is>
      </x:c>
      <x:c r="B14" s="1" t="inlineStr">
        <x:is>
          <x:t>Round1</x:t>
        </x:is>
      </x:c>
      <x:c r="C14" s="1" t="inlineStr">
        <x:is>
          <x:t>Chart_20</x:t>
        </x:is>
      </x:c>
      <x:c r="D14" s="1" t="inlineStr">
        <x:is>
          <x:t>INCONCLUSIVE</x:t>
        </x:is>
      </x:c>
      <x:c r="E14" s="5">
        <x:v>0.9545</x:v>
      </x:c>
      <x:c r="F14" s="4">
        <x:v>0</x:v>
      </x:c>
      <x:c r="G14" s="4">
        <x:v>6505</x:v>
      </x:c>
      <x:c r="H14" s="6">
        <x:v>36.75</x:v>
      </x:c>
      <x:c r="I14" s="16">
        <x:v>1</x:v>
      </x:c>
      <x:c r="J14" s="0">
        <x:v>22</x:v>
      </x:c>
      <x:c r="K14" s="4">
        <x:v>21</x:v>
      </x:c>
      <x:c r="L14" s="4">
        <x:v>8</x:v>
      </x:c>
      <x:c r="M14" s="4">
        <x:v>7</x:v>
      </x:c>
      <x:c r="N14" s="5">
        <x:v>0.875</x:v>
      </x:c>
    </x:row>
    <x:row r="15" ht="24" customHeight="1">
      <x:c r="A15" s="1" t="inlineStr">
        <x:is>
          <x:t>RESULT</x:t>
        </x:is>
      </x:c>
      <x:c r="B15" s="1" t="inlineStr">
        <x:is>
          <x:t>Round1</x:t>
        </x:is>
      </x:c>
      <x:c r="C15" s="1" t="inlineStr">
        <x:is>
          <x:t>Chart_21</x:t>
        </x:is>
      </x:c>
      <x:c r="D15" s="1" t="inlineStr">
        <x:is>
          <x:t>NOT_REVEALING</x:t>
        </x:is>
      </x:c>
      <x:c r="E15" s="5">
        <x:v>0.23600000000000002</x:v>
      </x:c>
      <x:c r="F15" s="4">
        <x:v>0</x:v>
      </x:c>
      <x:c r="G15" s="4"/>
      <x:c r="H15" s="6"/>
      <x:c r="I15" s="16">
        <x:v>1</x:v>
      </x:c>
      <x:c r="J15" s="0">
        <x:v>161</x:v>
      </x:c>
      <x:c r="K15" s="4">
        <x:v>38</x:v>
      </x:c>
      <x:c r="L15" s="4">
        <x:v>60</x:v>
      </x:c>
      <x:c r="M15" s="4">
        <x:v>6</x:v>
      </x:c>
      <x:c r="N15" s="5">
        <x:v>0.1</x:v>
      </x:c>
    </x:row>
    <x:row r="16" ht="24" customHeight="1">
      <x:c r="A16" s="1" t="inlineStr">
        <x:is>
          <x:t>RESULT</x:t>
        </x:is>
      </x:c>
      <x:c r="B16" s="1" t="inlineStr">
        <x:is>
          <x:t>Round1</x:t>
        </x:is>
      </x:c>
      <x:c r="C16" s="1" t="inlineStr">
        <x:is>
          <x:t>Chart_22</x:t>
        </x:is>
      </x:c>
      <x:c r="D16" s="1" t="inlineStr">
        <x:is>
          <x:t>NOT_REVEALING</x:t>
        </x:is>
      </x:c>
      <x:c r="E16" s="5">
        <x:v>0.22579999999999997</x:v>
      </x:c>
      <x:c r="F16" s="4">
        <x:v>0</x:v>
      </x:c>
      <x:c r="G16" s="4"/>
      <x:c r="H16" s="6"/>
      <x:c r="I16" s="16">
        <x:v>1</x:v>
      </x:c>
      <x:c r="J16" s="0">
        <x:v>124</x:v>
      </x:c>
      <x:c r="K16" s="4">
        <x:v>28</x:v>
      </x:c>
      <x:c r="L16" s="4">
        <x:v>58</x:v>
      </x:c>
      <x:c r="M16" s="4">
        <x:v>9</x:v>
      </x:c>
      <x:c r="N16" s="5">
        <x:v>0.1552</x:v>
      </x:c>
    </x:row>
    <x:row r="17" ht="24" customHeight="1">
      <x:c r="A17" s="1" t="inlineStr">
        <x:is>
          <x:t>RESULT</x:t>
        </x:is>
      </x:c>
      <x:c r="B17" s="1" t="inlineStr">
        <x:is>
          <x:t>Round1</x:t>
        </x:is>
      </x:c>
      <x:c r="C17" s="1" t="inlineStr">
        <x:is>
          <x:t>Chart_23</x:t>
        </x:is>
      </x:c>
      <x:c r="D17" s="1" t="inlineStr">
        <x:is>
          <x:t>NOT_REVEALING</x:t>
        </x:is>
      </x:c>
      <x:c r="E17" s="5">
        <x:v>0.9792000000000001</x:v>
      </x:c>
      <x:c r="F17" s="4">
        <x:v>0</x:v>
      </x:c>
      <x:c r="G17" s="4">
        <x:v>13997</x:v>
      </x:c>
      <x:c r="H17" s="6">
        <x:v>41.89</x:v>
      </x:c>
      <x:c r="I17" s="16">
        <x:v>1</x:v>
      </x:c>
      <x:c r="J17" s="0">
        <x:v>144</x:v>
      </x:c>
      <x:c r="K17" s="4">
        <x:v>141</x:v>
      </x:c>
      <x:c r="L17" s="4">
        <x:v>46</x:v>
      </x:c>
      <x:c r="M17" s="4">
        <x:v>41</x:v>
      </x:c>
      <x:c r="N17" s="5">
        <x:v>0.8913</x:v>
      </x:c>
    </x:row>
    <x:row r="18" ht="24" customHeight="1">
      <x:c r="A18" s="1" t="inlineStr">
        <x:is>
          <x:t>RESULT</x:t>
        </x:is>
      </x:c>
      <x:c r="B18" s="1" t="inlineStr">
        <x:is>
          <x:t>Round1</x:t>
        </x:is>
      </x:c>
      <x:c r="C18" s="1" t="inlineStr">
        <x:is>
          <x:t>Chart_24</x:t>
        </x:is>
      </x:c>
      <x:c r="D18" s="1" t="inlineStr">
        <x:is>
          <x:t>NOT_REVEALING</x:t>
        </x:is>
      </x:c>
      <x:c r="E18" s="5">
        <x:v>1.0</x:v>
      </x:c>
      <x:c r="F18" s="4">
        <x:v>0</x:v>
      </x:c>
      <x:c r="G18" s="4">
        <x:v>5446</x:v>
      </x:c>
      <x:c r="H18" s="6">
        <x:v>33.81</x:v>
      </x:c>
      <x:c r="I18" s="16">
        <x:v>1</x:v>
      </x:c>
      <x:c r="J18" s="0">
        <x:v>25</x:v>
      </x:c>
      <x:c r="K18" s="4">
        <x:v>25</x:v>
      </x:c>
      <x:c r="L18" s="4">
        <x:v>10</x:v>
      </x:c>
      <x:c r="M18" s="4">
        <x:v>10</x:v>
      </x:c>
      <x:c r="N18" s="5">
        <x:v>1.0</x:v>
      </x:c>
    </x:row>
    <x:row r="19" ht="24" customHeight="1">
      <x:c r="A19" s="1" t="inlineStr">
        <x:is>
          <x:t>RESULT</x:t>
        </x:is>
      </x:c>
      <x:c r="B19" s="1" t="inlineStr">
        <x:is>
          <x:t>Round1</x:t>
        </x:is>
      </x:c>
      <x:c r="C19" s="1" t="inlineStr">
        <x:is>
          <x:t>Chart_25</x:t>
        </x:is>
      </x:c>
      <x:c r="D19" s="1" t="inlineStr">
        <x:is>
          <x:t>NOT_AVAILABLE</x:t>
        </x:is>
      </x:c>
      <x:c r="E19" s="5"/>
      <x:c r="F19" s="4">
        <x:v>0</x:v>
      </x:c>
      <x:c r="G19" s="4"/>
      <x:c r="H19" s="6">
        <x:v>39.12</x:v>
      </x:c>
      <x:c r="I19" s="16">
        <x:v>1</x:v>
      </x:c>
      <x:c r="J19" s="0"/>
      <x:c r="K19" s="4"/>
      <x:c r="L19" s="4"/>
      <x:c r="M19" s="4"/>
      <x:c r="N19" s="5"/>
    </x:row>
    <x:row r="20" ht="24" customHeight="1">
      <x:c r="A20" s="1" t="inlineStr">
        <x:is>
          <x:t>RESULT</x:t>
        </x:is>
      </x:c>
      <x:c r="B20" s="1" t="inlineStr">
        <x:is>
          <x:t>Round1</x:t>
        </x:is>
      </x:c>
      <x:c r="C20" s="1" t="inlineStr">
        <x:is>
          <x:t>Chart_26</x:t>
        </x:is>
      </x:c>
      <x:c r="D20" s="1" t="inlineStr">
        <x:is>
          <x:t>INCONCLUSIVE</x:t>
        </x:is>
      </x:c>
      <x:c r="E20" s="5">
        <x:v>1.0</x:v>
      </x:c>
      <x:c r="F20" s="4">
        <x:v>0</x:v>
      </x:c>
      <x:c r="G20" s="4">
        <x:v>19686</x:v>
      </x:c>
      <x:c r="H20" s="6">
        <x:v>59.2</x:v>
      </x:c>
      <x:c r="I20" s="16">
        <x:v>1</x:v>
      </x:c>
      <x:c r="J20" s="0">
        <x:v>350</x:v>
      </x:c>
      <x:c r="K20" s="4">
        <x:v>350</x:v>
      </x:c>
      <x:c r="L20" s="4">
        <x:v>128</x:v>
      </x:c>
      <x:c r="M20" s="4">
        <x:v>124</x:v>
      </x:c>
      <x:c r="N20" s="5">
        <x:v>0.9688</x:v>
      </x:c>
    </x:row>
    <x:row r="21" ht="24" customHeight="1">
      <x:c r="A21" s="1" t="inlineStr">
        <x:is>
          <x:t>RESULT</x:t>
        </x:is>
      </x:c>
      <x:c r="B21" s="1" t="inlineStr">
        <x:is>
          <x:t>Round1</x:t>
        </x:is>
      </x:c>
      <x:c r="C21" s="1" t="inlineStr">
        <x:is>
          <x:t>Chart_3</x:t>
        </x:is>
      </x:c>
      <x:c r="D21" s="1" t="inlineStr">
        <x:is>
          <x:t>NOT_REVEALING</x:t>
        </x:is>
      </x:c>
      <x:c r="E21" s="5">
        <x:v>0.4763</x:v>
      </x:c>
      <x:c r="F21" s="4">
        <x:v>0</x:v>
      </x:c>
      <x:c r="G21" s="4"/>
      <x:c r="H21" s="6"/>
      <x:c r="I21" s="16">
        <x:v>1</x:v>
      </x:c>
      <x:c r="J21" s="0">
        <x:v>380</x:v>
      </x:c>
      <x:c r="K21" s="4">
        <x:v>181</x:v>
      </x:c>
      <x:c r="L21" s="4">
        <x:v>186</x:v>
      </x:c>
      <x:c r="M21" s="4">
        <x:v>66</x:v>
      </x:c>
      <x:c r="N21" s="5">
        <x:v>0.35479999999999995</x:v>
      </x:c>
    </x:row>
    <x:row r="22" ht="24" customHeight="1">
      <x:c r="A22" s="1" t="inlineStr">
        <x:is>
          <x:t>RESULT</x:t>
        </x:is>
      </x:c>
      <x:c r="B22" s="1" t="inlineStr">
        <x:is>
          <x:t>Round1</x:t>
        </x:is>
      </x:c>
      <x:c r="C22" s="1" t="inlineStr">
        <x:is>
          <x:t>Chart_4</x:t>
        </x:is>
      </x:c>
      <x:c r="D22" s="1" t="inlineStr">
        <x:is>
          <x:t>INCONCLUSIVE</x:t>
        </x:is>
      </x:c>
      <x:c r="E22" s="5">
        <x:v>0.8534</x:v>
      </x:c>
      <x:c r="F22" s="4">
        <x:v>0</x:v>
      </x:c>
      <x:c r="G22" s="4">
        <x:v>43604</x:v>
      </x:c>
      <x:c r="H22" s="6">
        <x:v>72.97</x:v>
      </x:c>
      <x:c r="I22" s="16">
        <x:v>1</x:v>
      </x:c>
      <x:c r="J22" s="0">
        <x:v>1808</x:v>
      </x:c>
      <x:c r="K22" s="4">
        <x:v>1543</x:v>
      </x:c>
      <x:c r="L22" s="4">
        <x:v>964</x:v>
      </x:c>
      <x:c r="M22" s="4">
        <x:v>636</x:v>
      </x:c>
      <x:c r="N22" s="5">
        <x:v>0.6598</x:v>
      </x:c>
    </x:row>
    <x:row r="23" ht="24" customHeight="1">
      <x:c r="A23" s="1" t="inlineStr">
        <x:is>
          <x:t>RESULT</x:t>
        </x:is>
      </x:c>
      <x:c r="B23" s="1" t="inlineStr">
        <x:is>
          <x:t>Round1</x:t>
        </x:is>
      </x:c>
      <x:c r="C23" s="1" t="inlineStr">
        <x:is>
          <x:t>Chart_5</x:t>
        </x:is>
      </x:c>
      <x:c r="D23" s="1" t="inlineStr">
        <x:is>
          <x:t>INCONCLUSIVE</x:t>
        </x:is>
      </x:c>
      <x:c r="E23" s="5">
        <x:v>0.593</x:v>
      </x:c>
      <x:c r="F23" s="4">
        <x:v>0</x:v>
      </x:c>
      <x:c r="G23" s="4"/>
      <x:c r="H23" s="6"/>
      <x:c r="I23" s="16">
        <x:v>1</x:v>
      </x:c>
      <x:c r="J23" s="0">
        <x:v>172</x:v>
      </x:c>
      <x:c r="K23" s="4">
        <x:v>102</x:v>
      </x:c>
      <x:c r="L23" s="4">
        <x:v>80</x:v>
      </x:c>
      <x:c r="M23" s="4">
        <x:v>45</x:v>
      </x:c>
      <x:c r="N23" s="5">
        <x:v>0.5625</x:v>
      </x:c>
    </x:row>
    <x:row r="24" ht="24" customHeight="1">
      <x:c r="A24" s="1" t="inlineStr">
        <x:is>
          <x:t>RESULT</x:t>
        </x:is>
      </x:c>
      <x:c r="B24" s="1" t="inlineStr">
        <x:is>
          <x:t>Round1</x:t>
        </x:is>
      </x:c>
      <x:c r="C24" s="1" t="inlineStr">
        <x:is>
          <x:t>Chart_6</x:t>
        </x:is>
      </x:c>
      <x:c r="D24" s="1" t="inlineStr">
        <x:is>
          <x:t>NOT_AVAILABLE</x:t>
        </x:is>
      </x:c>
      <x:c r="E24" s="5"/>
      <x:c r="F24" s="4">
        <x:v>0</x:v>
      </x:c>
      <x:c r="G24" s="4"/>
      <x:c r="H24" s="6">
        <x:v>14.32</x:v>
      </x:c>
      <x:c r="I24" s="16">
        <x:v>1</x:v>
      </x:c>
      <x:c r="J24" s="0"/>
      <x:c r="K24" s="4"/>
      <x:c r="L24" s="4"/>
      <x:c r="M24" s="4"/>
      <x:c r="N24" s="5"/>
    </x:row>
    <x:row r="25" ht="24" customHeight="1">
      <x:c r="A25" s="1" t="inlineStr">
        <x:is>
          <x:t>RESULT</x:t>
        </x:is>
      </x:c>
      <x:c r="B25" s="1" t="inlineStr">
        <x:is>
          <x:t>Round1</x:t>
        </x:is>
      </x:c>
      <x:c r="C25" s="1" t="inlineStr">
        <x:is>
          <x:t>Chart_7</x:t>
        </x:is>
      </x:c>
      <x:c r="D25" s="1" t="inlineStr">
        <x:is>
          <x:t>NOT_REVEALING</x:t>
        </x:is>
      </x:c>
      <x:c r="E25" s="5">
        <x:v>0.2516</x:v>
      </x:c>
      <x:c r="F25" s="4">
        <x:v>0</x:v>
      </x:c>
      <x:c r="G25" s="4"/>
      <x:c r="H25" s="6"/>
      <x:c r="I25" s="16">
        <x:v>1</x:v>
      </x:c>
      <x:c r="J25" s="0">
        <x:v>159</x:v>
      </x:c>
      <x:c r="K25" s="4">
        <x:v>40</x:v>
      </x:c>
      <x:c r="L25" s="4">
        <x:v>54</x:v>
      </x:c>
      <x:c r="M25" s="4">
        <x:v>7</x:v>
      </x:c>
      <x:c r="N25" s="5">
        <x:v>0.12960000000000002</x:v>
      </x:c>
    </x:row>
    <x:row r="26" ht="24" customHeight="1">
      <x:c r="A26" s="1" t="inlineStr">
        <x:is>
          <x:t>RESULT</x:t>
        </x:is>
      </x:c>
      <x:c r="B26" s="1" t="inlineStr">
        <x:is>
          <x:t>Round1</x:t>
        </x:is>
      </x:c>
      <x:c r="C26" s="1" t="inlineStr">
        <x:is>
          <x:t>Chart_8</x:t>
        </x:is>
      </x:c>
      <x:c r="D26" s="1" t="inlineStr">
        <x:is>
          <x:t>NOT_REVEALING</x:t>
        </x:is>
      </x:c>
      <x:c r="E26" s="5">
        <x:v>0.2593</x:v>
      </x:c>
      <x:c r="F26" s="4">
        <x:v>0</x:v>
      </x:c>
      <x:c r="G26" s="4"/>
      <x:c r="H26" s="6"/>
      <x:c r="I26" s="16">
        <x:v>1</x:v>
      </x:c>
      <x:c r="J26" s="0">
        <x:v>162</x:v>
      </x:c>
      <x:c r="K26" s="4">
        <x:v>42</x:v>
      </x:c>
      <x:c r="L26" s="4">
        <x:v>68</x:v>
      </x:c>
      <x:c r="M26" s="4">
        <x:v>4</x:v>
      </x:c>
      <x:c r="N26" s="5">
        <x:v>0.0588</x:v>
      </x:c>
    </x:row>
    <x:row r="27" ht="24" customHeight="1">
      <x:c r="A27" s="1" t="inlineStr">
        <x:is>
          <x:t>RESULT</x:t>
        </x:is>
      </x:c>
      <x:c r="B27" s="1" t="inlineStr">
        <x:is>
          <x:t>Round1</x:t>
        </x:is>
      </x:c>
      <x:c r="C27" s="1" t="inlineStr">
        <x:is>
          <x:t>Chart_9</x:t>
        </x:is>
      </x:c>
      <x:c r="D27" s="1" t="inlineStr">
        <x:is>
          <x:t>NOT_AVAILABLE</x:t>
        </x:is>
      </x:c>
      <x:c r="E27" s="5"/>
      <x:c r="F27" s="4">
        <x:v>0</x:v>
      </x:c>
      <x:c r="G27" s="4"/>
      <x:c r="H27" s="6"/>
      <x:c r="I27" s="16">
        <x:v>1</x:v>
      </x:c>
      <x:c r="J27" s="0"/>
      <x:c r="K27" s="4"/>
      <x:c r="L27" s="4"/>
      <x:c r="M27" s="4"/>
      <x:c r="N27" s="5"/>
    </x:row>
    <x:row r="28" ht="24" customHeight="1">
      <x:c r="A28" s="1" t="inlineStr">
        <x:is>
          <x:t>RESULT</x:t>
        </x:is>
      </x:c>
      <x:c r="B28" s="1" t="inlineStr">
        <x:is>
          <x:t>Round1</x:t>
        </x:is>
      </x:c>
      <x:c r="C28" s="1" t="inlineStr">
        <x:is>
          <x:t>Cli_1</x:t>
        </x:is>
      </x:c>
      <x:c r="D28" s="1" t="inlineStr">
        <x:is>
          <x:t>INCONCLUSIVE</x:t>
        </x:is>
      </x:c>
      <x:c r="E28" s="5">
        <x:v>0.0</x:v>
      </x:c>
      <x:c r="F28" s="4">
        <x:v>0</x:v>
      </x:c>
      <x:c r="G28" s="4">
        <x:v>14357</x:v>
      </x:c>
      <x:c r="H28" s="6">
        <x:v>63.6</x:v>
      </x:c>
      <x:c r="I28" s="16">
        <x:v>1</x:v>
      </x:c>
      <x:c r="J28" s="0">
        <x:v>45</x:v>
      </x:c>
      <x:c r="K28" s="4">
        <x:v>0</x:v>
      </x:c>
      <x:c r="L28" s="4">
        <x:v>14</x:v>
      </x:c>
      <x:c r="M28" s="4">
        <x:v>0</x:v>
      </x:c>
      <x:c r="N28" s="5">
        <x:v>0.0</x:v>
      </x:c>
    </x:row>
    <x:row r="29" ht="24" customHeight="1">
      <x:c r="A29" s="1" t="inlineStr">
        <x:is>
          <x:t>RESULT</x:t>
        </x:is>
      </x:c>
      <x:c r="B29" s="1" t="inlineStr">
        <x:is>
          <x:t>Round1</x:t>
        </x:is>
      </x:c>
      <x:c r="C29" s="1" t="inlineStr">
        <x:is>
          <x:t>Cli_10</x:t>
        </x:is>
      </x:c>
      <x:c r="D29" s="1" t="inlineStr">
        <x:is>
          <x:t>NOT_AVAILABLE</x:t>
        </x:is>
      </x:c>
      <x:c r="E29" s="5"/>
      <x:c r="F29" s="4">
        <x:v>0</x:v>
      </x:c>
      <x:c r="G29" s="4">
        <x:v>10074</x:v>
      </x:c>
      <x:c r="H29" s="6">
        <x:v>51.63</x:v>
      </x:c>
      <x:c r="I29" s="16">
        <x:v>1</x:v>
      </x:c>
      <x:c r="J29" s="0"/>
      <x:c r="K29" s="4"/>
      <x:c r="L29" s="4"/>
      <x:c r="M29" s="4"/>
      <x:c r="N29" s="5"/>
    </x:row>
    <x:row r="30" ht="24" customHeight="1">
      <x:c r="A30" s="1" t="inlineStr">
        <x:is>
          <x:t>RESULT</x:t>
        </x:is>
      </x:c>
      <x:c r="B30" s="1" t="inlineStr">
        <x:is>
          <x:t>Round1</x:t>
        </x:is>
      </x:c>
      <x:c r="C30" s="1" t="inlineStr">
        <x:is>
          <x:t>Cli_11</x:t>
        </x:is>
      </x:c>
      <x:c r="D30" s="1" t="inlineStr">
        <x:is>
          <x:t>INCONCLUSIVE</x:t>
        </x:is>
      </x:c>
      <x:c r="E30" s="5">
        <x:v>0.0</x:v>
      </x:c>
      <x:c r="F30" s="4">
        <x:v>0</x:v>
      </x:c>
      <x:c r="G30" s="4">
        <x:v>13431</x:v>
      </x:c>
      <x:c r="H30" s="6">
        <x:v>53.15</x:v>
      </x:c>
      <x:c r="I30" s="16">
        <x:v>1</x:v>
      </x:c>
      <x:c r="J30" s="0">
        <x:v>198</x:v>
      </x:c>
      <x:c r="K30" s="4">
        <x:v>0</x:v>
      </x:c>
      <x:c r="L30" s="4">
        <x:v>106</x:v>
      </x:c>
      <x:c r="M30" s="4">
        <x:v>0</x:v>
      </x:c>
      <x:c r="N30" s="5">
        <x:v>0.0</x:v>
      </x:c>
    </x:row>
    <x:row r="31" ht="24" customHeight="1">
      <x:c r="A31" s="1" t="inlineStr">
        <x:is>
          <x:t>RESULT</x:t>
        </x:is>
      </x:c>
      <x:c r="B31" s="1" t="inlineStr">
        <x:is>
          <x:t>Round1</x:t>
        </x:is>
      </x:c>
      <x:c r="C31" s="1" t="inlineStr">
        <x:is>
          <x:t>Cli_12</x:t>
        </x:is>
      </x:c>
      <x:c r="D31" s="1" t="inlineStr">
        <x:is>
          <x:t>NOT_AVAILABLE</x:t>
        </x:is>
      </x:c>
      <x:c r="E31" s="5"/>
      <x:c r="F31" s="4">
        <x:v>0</x:v>
      </x:c>
      <x:c r="G31" s="4"/>
      <x:c r="H31" s="6">
        <x:v>45.61</x:v>
      </x:c>
      <x:c r="I31" s="16">
        <x:v>1</x:v>
      </x:c>
      <x:c r="J31" s="0"/>
      <x:c r="K31" s="4"/>
      <x:c r="L31" s="4"/>
      <x:c r="M31" s="4"/>
      <x:c r="N31" s="5"/>
    </x:row>
    <x:row r="32" ht="24" customHeight="1">
      <x:c r="A32" s="1" t="inlineStr">
        <x:is>
          <x:t>RESULT</x:t>
        </x:is>
      </x:c>
      <x:c r="B32" s="1" t="inlineStr">
        <x:is>
          <x:t>Round1</x:t>
        </x:is>
      </x:c>
      <x:c r="C32" s="1" t="inlineStr">
        <x:is>
          <x:t>Cli_13</x:t>
        </x:is>
      </x:c>
      <x:c r="D32" s="1" t="inlineStr">
        <x:is>
          <x:t>NOT_AVAILABLE</x:t>
        </x:is>
      </x:c>
      <x:c r="E32" s="5"/>
      <x:c r="F32" s="4">
        <x:v>0</x:v>
      </x:c>
      <x:c r="G32" s="4">
        <x:v>32227</x:v>
      </x:c>
      <x:c r="H32" s="6">
        <x:v>201.0</x:v>
      </x:c>
      <x:c r="I32" s="16">
        <x:v>1</x:v>
      </x:c>
      <x:c r="J32" s="0"/>
      <x:c r="K32" s="4"/>
      <x:c r="L32" s="4"/>
      <x:c r="M32" s="4"/>
      <x:c r="N32" s="5"/>
    </x:row>
    <x:row r="33" ht="24" customHeight="1">
      <x:c r="A33" s="1" t="inlineStr">
        <x:is>
          <x:t>RESULT</x:t>
        </x:is>
      </x:c>
      <x:c r="B33" s="1" t="inlineStr">
        <x:is>
          <x:t>Round1</x:t>
        </x:is>
      </x:c>
      <x:c r="C33" s="1" t="inlineStr">
        <x:is>
          <x:t>Cli_14</x:t>
        </x:is>
      </x:c>
      <x:c r="D33" s="1" t="inlineStr">
        <x:is>
          <x:t>NOT_AVAILABLE</x:t>
        </x:is>
      </x:c>
      <x:c r="E33" s="5"/>
      <x:c r="F33" s="4">
        <x:v>0</x:v>
      </x:c>
      <x:c r="G33" s="4">
        <x:v>12906</x:v>
      </x:c>
      <x:c r="H33" s="6">
        <x:v>74.68</x:v>
      </x:c>
      <x:c r="I33" s="16">
        <x:v>1</x:v>
      </x:c>
      <x:c r="J33" s="0"/>
      <x:c r="K33" s="4"/>
      <x:c r="L33" s="4"/>
      <x:c r="M33" s="4"/>
      <x:c r="N33" s="5"/>
    </x:row>
    <x:row r="34" ht="24" customHeight="1">
      <x:c r="A34" s="1" t="inlineStr">
        <x:is>
          <x:t>RESULT</x:t>
        </x:is>
      </x:c>
      <x:c r="B34" s="1" t="inlineStr">
        <x:is>
          <x:t>Round1</x:t>
        </x:is>
      </x:c>
      <x:c r="C34" s="1" t="inlineStr">
        <x:is>
          <x:t>Cli_16</x:t>
        </x:is>
      </x:c>
      <x:c r="D34" s="1" t="inlineStr">
        <x:is>
          <x:t>NOT_AVAILABLE</x:t>
        </x:is>
      </x:c>
      <x:c r="E34" s="5"/>
      <x:c r="F34" s="4">
        <x:v>0</x:v>
      </x:c>
      <x:c r="G34" s="4">
        <x:v>46594</x:v>
      </x:c>
      <x:c r="H34" s="6">
        <x:v>205.57</x:v>
      </x:c>
      <x:c r="I34" s="16">
        <x:v>1</x:v>
      </x:c>
      <x:c r="J34" s="0"/>
      <x:c r="K34" s="4"/>
      <x:c r="L34" s="4"/>
      <x:c r="M34" s="4"/>
      <x:c r="N34" s="5"/>
    </x:row>
    <x:row r="35" ht="24" customHeight="1">
      <x:c r="A35" s="1" t="inlineStr">
        <x:is>
          <x:t>RESULT</x:t>
        </x:is>
      </x:c>
      <x:c r="B35" s="1" t="inlineStr">
        <x:is>
          <x:t>Round1</x:t>
        </x:is>
      </x:c>
      <x:c r="C35" s="1" t="inlineStr">
        <x:is>
          <x:t>Cli_2</x:t>
        </x:is>
      </x:c>
      <x:c r="D35" s="1" t="inlineStr">
        <x:is>
          <x:t>INCONCLUSIVE</x:t>
        </x:is>
      </x:c>
      <x:c r="E35" s="5">
        <x:v>0.0</x:v>
      </x:c>
      <x:c r="F35" s="4">
        <x:v>0</x:v>
      </x:c>
      <x:c r="G35" s="4">
        <x:v>10030</x:v>
      </x:c>
      <x:c r="H35" s="6">
        <x:v>37.59</x:v>
      </x:c>
      <x:c r="I35" s="16">
        <x:v>1</x:v>
      </x:c>
      <x:c r="J35" s="0">
        <x:v>68</x:v>
      </x:c>
      <x:c r="K35" s="4">
        <x:v>0</x:v>
      </x:c>
      <x:c r="L35" s="4">
        <x:v>42</x:v>
      </x:c>
      <x:c r="M35" s="4">
        <x:v>0</x:v>
      </x:c>
      <x:c r="N35" s="5">
        <x:v>0.0</x:v>
      </x:c>
    </x:row>
    <x:row r="36" ht="24" customHeight="1">
      <x:c r="A36" s="1" t="inlineStr">
        <x:is>
          <x:t>RESULT</x:t>
        </x:is>
      </x:c>
      <x:c r="B36" s="1" t="inlineStr">
        <x:is>
          <x:t>Round1</x:t>
        </x:is>
      </x:c>
      <x:c r="C36" s="1" t="inlineStr">
        <x:is>
          <x:t>Cli_3</x:t>
        </x:is>
      </x:c>
      <x:c r="D36" s="1" t="inlineStr">
        <x:is>
          <x:t>INCONCLUSIVE</x:t>
        </x:is>
      </x:c>
      <x:c r="E36" s="5">
        <x:v>0.0</x:v>
      </x:c>
      <x:c r="F36" s="4">
        <x:v>0</x:v>
      </x:c>
      <x:c r="G36" s="4">
        <x:v>7513</x:v>
      </x:c>
      <x:c r="H36" s="6">
        <x:v>29.89</x:v>
      </x:c>
      <x:c r="I36" s="16">
        <x:v>1</x:v>
      </x:c>
      <x:c r="J36" s="0">
        <x:v>55</x:v>
      </x:c>
      <x:c r="K36" s="4">
        <x:v>0</x:v>
      </x:c>
      <x:c r="L36" s="4">
        <x:v>20</x:v>
      </x:c>
      <x:c r="M36" s="4">
        <x:v>0</x:v>
      </x:c>
      <x:c r="N36" s="5">
        <x:v>0.0</x:v>
      </x:c>
    </x:row>
    <x:row r="37" ht="24" customHeight="1">
      <x:c r="A37" s="1" t="inlineStr">
        <x:is>
          <x:t>RESULT</x:t>
        </x:is>
      </x:c>
      <x:c r="B37" s="1" t="inlineStr">
        <x:is>
          <x:t>Round1</x:t>
        </x:is>
      </x:c>
      <x:c r="C37" s="1" t="inlineStr">
        <x:is>
          <x:t>Cli_4</x:t>
        </x:is>
      </x:c>
      <x:c r="D37" s="1" t="inlineStr">
        <x:is>
          <x:t>INCONCLUSIVE</x:t>
        </x:is>
      </x:c>
      <x:c r="E37" s="5">
        <x:v>0.0</x:v>
      </x:c>
      <x:c r="F37" s="4">
        <x:v>0</x:v>
      </x:c>
      <x:c r="G37" s="4">
        <x:v>9748</x:v>
      </x:c>
      <x:c r="H37" s="6">
        <x:v>32.15</x:v>
      </x:c>
      <x:c r="I37" s="16">
        <x:v>1</x:v>
      </x:c>
      <x:c r="J37" s="0">
        <x:v>99</x:v>
      </x:c>
      <x:c r="K37" s="4">
        <x:v>0</x:v>
      </x:c>
      <x:c r="L37" s="4">
        <x:v>68</x:v>
      </x:c>
      <x:c r="M37" s="4">
        <x:v>0</x:v>
      </x:c>
      <x:c r="N37" s="5">
        <x:v>0.0</x:v>
      </x:c>
    </x:row>
    <x:row r="38" ht="24" customHeight="1">
      <x:c r="A38" s="1" t="inlineStr">
        <x:is>
          <x:t>RESULT</x:t>
        </x:is>
      </x:c>
      <x:c r="B38" s="1" t="inlineStr">
        <x:is>
          <x:t>Round1</x:t>
        </x:is>
      </x:c>
      <x:c r="C38" s="1" t="inlineStr">
        <x:is>
          <x:t>Cli_5</x:t>
        </x:is>
      </x:c>
      <x:c r="D38" s="1" t="inlineStr">
        <x:is>
          <x:t>INCONCLUSIVE</x:t>
        </x:is>
      </x:c>
      <x:c r="E38" s="5">
        <x:v>0.0</x:v>
      </x:c>
      <x:c r="F38" s="4">
        <x:v>0</x:v>
      </x:c>
      <x:c r="G38" s="4">
        <x:v>4221</x:v>
      </x:c>
      <x:c r="H38" s="6">
        <x:v>17.32</x:v>
      </x:c>
      <x:c r="I38" s="16">
        <x:v>1</x:v>
      </x:c>
      <x:c r="J38" s="0">
        <x:v>11</x:v>
      </x:c>
      <x:c r="K38" s="4">
        <x:v>0</x:v>
      </x:c>
      <x:c r="L38" s="4">
        <x:v>8</x:v>
      </x:c>
      <x:c r="M38" s="4">
        <x:v>0</x:v>
      </x:c>
      <x:c r="N38" s="5">
        <x:v>0.0</x:v>
      </x:c>
    </x:row>
    <x:row r="39" ht="24" customHeight="1">
      <x:c r="A39" s="1" t="inlineStr">
        <x:is>
          <x:t>RESULT</x:t>
        </x:is>
      </x:c>
      <x:c r="B39" s="1" t="inlineStr">
        <x:is>
          <x:t>Round1</x:t>
        </x:is>
      </x:c>
      <x:c r="C39" s="1" t="inlineStr">
        <x:is>
          <x:t>Cli_7</x:t>
        </x:is>
      </x:c>
      <x:c r="D39" s="1" t="inlineStr">
        <x:is>
          <x:t>INCONCLUSIVE</x:t>
        </x:is>
      </x:c>
      <x:c r="E39" s="5">
        <x:v>0.0</x:v>
      </x:c>
      <x:c r="F39" s="4">
        <x:v>0</x:v>
      </x:c>
      <x:c r="G39" s="4">
        <x:v>6282</x:v>
      </x:c>
      <x:c r="H39" s="6">
        <x:v>23.46</x:v>
      </x:c>
      <x:c r="I39" s="16">
        <x:v>1</x:v>
      </x:c>
      <x:c r="J39" s="0">
        <x:v>68</x:v>
      </x:c>
      <x:c r="K39" s="4">
        <x:v>0</x:v>
      </x:c>
      <x:c r="L39" s="4">
        <x:v>27</x:v>
      </x:c>
      <x:c r="M39" s="4">
        <x:v>0</x:v>
      </x:c>
      <x:c r="N39" s="5">
        <x:v>0.0</x:v>
      </x:c>
    </x:row>
    <x:row r="40" ht="24" customHeight="1">
      <x:c r="A40" s="1" t="inlineStr">
        <x:is>
          <x:t>RESULT</x:t>
        </x:is>
      </x:c>
      <x:c r="B40" s="1" t="inlineStr">
        <x:is>
          <x:t>Round1</x:t>
        </x:is>
      </x:c>
      <x:c r="C40" s="1" t="inlineStr">
        <x:is>
          <x:t>Cli_8</x:t>
        </x:is>
      </x:c>
      <x:c r="D40" s="1" t="inlineStr">
        <x:is>
          <x:t>INCONCLUSIVE</x:t>
        </x:is>
      </x:c>
      <x:c r="E40" s="5">
        <x:v>0.0</x:v>
      </x:c>
      <x:c r="F40" s="4">
        <x:v>0</x:v>
      </x:c>
      <x:c r="G40" s="4">
        <x:v>10601</x:v>
      </x:c>
      <x:c r="H40" s="6">
        <x:v>36.83</x:v>
      </x:c>
      <x:c r="I40" s="16">
        <x:v>1</x:v>
      </x:c>
      <x:c r="J40" s="0">
        <x:v>192</x:v>
      </x:c>
      <x:c r="K40" s="4">
        <x:v>0</x:v>
      </x:c>
      <x:c r="L40" s="4">
        <x:v>104</x:v>
      </x:c>
      <x:c r="M40" s="4">
        <x:v>0</x:v>
      </x:c>
      <x:c r="N40" s="5">
        <x:v>0.0</x:v>
      </x:c>
    </x:row>
    <x:row r="41" ht="24" customHeight="1">
      <x:c r="A41" s="1" t="inlineStr">
        <x:is>
          <x:t>RESULT</x:t>
        </x:is>
      </x:c>
      <x:c r="B41" s="1" t="inlineStr">
        <x:is>
          <x:t>Round1</x:t>
        </x:is>
      </x:c>
      <x:c r="C41" s="1" t="inlineStr">
        <x:is>
          <x:t>Cli_9</x:t>
        </x:is>
      </x:c>
      <x:c r="D41" s="1" t="inlineStr">
        <x:is>
          <x:t>INCONCLUSIVE</x:t>
        </x:is>
      </x:c>
      <x:c r="E41" s="5">
        <x:v>0.0</x:v>
      </x:c>
      <x:c r="F41" s="4">
        <x:v>0</x:v>
      </x:c>
      <x:c r="G41" s="4">
        <x:v>12531</x:v>
      </x:c>
      <x:c r="H41" s="6">
        <x:v>50.14</x:v>
      </x:c>
      <x:c r="I41" s="16">
        <x:v>1</x:v>
      </x:c>
      <x:c r="J41" s="0">
        <x:v>105</x:v>
      </x:c>
      <x:c r="K41" s="4">
        <x:v>0</x:v>
      </x:c>
      <x:c r="L41" s="4">
        <x:v>70</x:v>
      </x:c>
      <x:c r="M41" s="4">
        <x:v>0</x:v>
      </x:c>
      <x:c r="N41" s="5">
        <x:v>0.0</x:v>
      </x:c>
    </x:row>
  </x:sheetData>
  <x:pageMargins left="0.7" right="0.7" top="0.75" bottom="0.75" header="0.3" footer="0.3"/>
  <x:tableParts count="1">
    <x:tablePart ns1:id="Rcab56d35b51a4212"/>
  </x:tableParts>
</x:worksheet>
</file>