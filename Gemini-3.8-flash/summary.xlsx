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234541c2494d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fabc5f30a7440c1"/>
    <x:sheet xmlns:r="http://schemas.openxmlformats.org/officeDocument/2006/relationships" name="Data" sheetId="2" r:id="R67442702aa7e40eb"/>
    <x:sheet xmlns:r="http://schemas.openxmlformats.org/officeDocument/2006/relationships" name="ResourceCheck" sheetId="3" r:id="R868a8fbb66c14afd"/>
    <x:sheet xmlns:r="http://schemas.openxmlformats.org/officeDocument/2006/relationships" name="BugResults" sheetId="4" r:id="Rfac93231293f4c6d"/>
    <x:sheet xmlns:r="http://schemas.openxmlformats.org/officeDocument/2006/relationships" name="Verdicts" sheetId="5" r:id="R3bd6585a803440d4"/>
    <x:sheet xmlns:r="http://schemas.openxmlformats.org/officeDocument/2006/relationships" name="StatusChecks" sheetId="6" r:id="R711d763fc5be41c4"/>
    <x:sheet xmlns:r="http://schemas.openxmlformats.org/officeDocument/2006/relationships" name="UnavailableCauses" sheetId="7" r:id="R53c02f551a0d469c"/>
    <x:sheet xmlns:r="http://schemas.openxmlformats.org/officeDocument/2006/relationships" name="Coverage" sheetId="8" r:id="Rcce5a9227a5b4472"/>
    <x:sheet xmlns:r="http://schemas.openxmlformats.org/officeDocument/2006/relationships" name="CoverageCases" sheetId="9" r:id="R55e5c28f12ba4fb4"/>
    <x:sheet xmlns:r="http://schemas.openxmlformats.org/officeDocument/2006/relationships" name="Intersection" sheetId="10" r:id="Rae44e5ddab9442b8"/>
    <x:sheet xmlns:r="http://schemas.openxmlformats.org/officeDocument/2006/relationships" name="ReportNotes" sheetId="11" r:id="R960155c64f0f441f"/>
    <x:sheet xmlns:r="http://schemas.openxmlformats.org/officeDocument/2006/relationships" name="StatusChanges" sheetId="12" r:id="Rc1929b19cc2e47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%"/>
    <x:numFmt numFmtId="202" formatCode="#,##0.00"/>
    <x:numFmt numFmtId="203" formatCode="0"/>
    <x:numFmt numFmtId="204" formatCode="0.00"/>
    <x:numFmt numFmtId="205" formatCode="General"/>
  </x:numFmts>
  <x:fonts count="14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  <x:font>
      <x:sz val="11"/>
      <x:color rgb="FF18263B"/>
      <x:name val="Arial"/>
    </x:font>
    <x:font>
      <x:b/>
      <x:sz val="11"/>
      <x:color rgb="FF18263B"/>
      <x:name val="Arial"/>
    </x:font>
    <x:font>
      <x:b/>
      <x:sz val="16"/>
      <x:color rgb="FF18263B"/>
      <x:name val="Arial"/>
    </x:font>
    <x:font>
      <x:sz val="10"/>
      <x:color rgb="FF4C627B"/>
      <x:name val="Arial"/>
    </x:font>
    <x:font>
      <x:sz val="10"/>
      <x:color rgb="FF18263B"/>
      <x:name val="Arial"/>
    </x:font>
    <x:font>
      <x:b/>
      <x:sz val="10"/>
      <x:color rgb="FFFFFFFF"/>
      <x:name val="Arial"/>
    </x:font>
    <x:font>
      <x:b/>
      <x:sz val="14"/>
      <x:color rgb="FF18263B"/>
      <x:name val="Arial"/>
    </x:font>
    <x:font>
      <x:sz val="11"/>
      <x:color rgb="FF4C627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  <x:fill>
      <x:patternFill patternType="solid">
        <x:fgColor rgb="FF172B49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/>
    <x:xf numFmtId="201" fontId="6" fillId="0" borderId="0" xfId="0" applyNumberFormat="1" applyFont="1" applyFill="1" applyBorder="1" applyAlignment="1">
      <x:alignment horizontal="right"/>
    </x:xf>
    <x:xf numFmtId="0" fontId="1" fillId="5" borderId="0" xfId="0" applyNumberFormat="1" applyFont="1" applyFill="1" applyBorder="1"/>
    <x:xf numFmtId="0" fontId="10" fillId="0" borderId="0" xfId="0" applyNumberFormat="1" applyFont="1" applyFill="1" applyBorder="1"/>
    <x:xf numFmtId="0" fontId="10" fillId="4" borderId="0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204" fontId="10" fillId="0" borderId="0" xfId="0" applyNumberFormat="1" applyFont="1" applyFill="1" applyBorder="1"/>
    <x:xf numFmtId="200" fontId="6" fillId="0" borderId="0" xfId="0" applyNumberFormat="1" applyFont="1" applyFill="1" applyBorder="1"/>
    <x:xf numFmtId="0" fontId="12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4" fillId="4" borderId="0" xfId="0" applyNumberFormat="1" applyFont="1" applyFill="1" applyBorder="1" applyAlignment="1">
      <x:alignment wrapText="1"/>
    </x:xf>
    <x:xf numFmtId="205" fontId="4" fillId="4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/>
    <x:xf numFmtId="204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f5d12e045043a8" /><Relationship Type="http://schemas.openxmlformats.org/officeDocument/2006/relationships/theme" Target="/xl/theme/theme1.xml" Id="R07a556da04ea4635" /><Relationship Type="http://schemas.microsoft.com/office/2022/11/relationships/FeaturePropertyBag" Target="/xl/featurePropertyBag/featurePropertyBag.xml" Id="R0dd04bcaa29945c6" /><Relationship Type="http://schemas.openxmlformats.org/officeDocument/2006/relationships/sharedStrings" Target="/xl/sharedStrings.xml" Id="R0ac44b04abb84b43" /><Relationship Type="http://schemas.openxmlformats.org/officeDocument/2006/relationships/worksheet" Target="/xl/worksheets/sheet1.xml" Id="R4fabc5f30a7440c1" /><Relationship Type="http://schemas.openxmlformats.org/officeDocument/2006/relationships/worksheet" Target="/xl/worksheets/sheet2.xml" Id="R67442702aa7e40eb" /><Relationship Type="http://schemas.openxmlformats.org/officeDocument/2006/relationships/worksheet" Target="/xl/worksheets/sheet3.xml" Id="R868a8fbb66c14afd" /><Relationship Type="http://schemas.openxmlformats.org/officeDocument/2006/relationships/worksheet" Target="/xl/worksheets/sheet4.xml" Id="Rfac93231293f4c6d" /><Relationship Type="http://schemas.openxmlformats.org/officeDocument/2006/relationships/worksheet" Target="/xl/worksheets/sheet5.xml" Id="R3bd6585a803440d4" /><Relationship Type="http://schemas.openxmlformats.org/officeDocument/2006/relationships/worksheet" Target="/xl/worksheets/sheet6.xml" Id="R711d763fc5be41c4" /><Relationship Type="http://schemas.openxmlformats.org/officeDocument/2006/relationships/worksheet" Target="/xl/worksheets/sheet7.xml" Id="R53c02f551a0d469c" /><Relationship Type="http://schemas.openxmlformats.org/officeDocument/2006/relationships/worksheet" Target="/xl/worksheets/sheet8.xml" Id="Rcce5a9227a5b4472" /><Relationship Type="http://schemas.openxmlformats.org/officeDocument/2006/relationships/worksheet" Target="/xl/worksheets/sheet9.xml" Id="R55e5c28f12ba4fb4" /><Relationship Type="http://schemas.openxmlformats.org/officeDocument/2006/relationships/worksheet" Target="/xl/worksheets/sheet10.xml" Id="Rae44e5ddab9442b8" /><Relationship Type="http://schemas.openxmlformats.org/officeDocument/2006/relationships/worksheet" Target="/xl/worksheets/sheet11.xml" Id="R960155c64f0f441f" /><Relationship Type="http://schemas.openxmlformats.org/officeDocument/2006/relationships/worksheet" Target="/xl/worksheets/sheet12.xml" Id="Rc1929b19cc2e47f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sultsData" displayName="ResultsData" ref="A1:N855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gResultsTable" displayName="BugResultsTable" ref="A1:V855" headerRowCount="1" totalsRowCount="0" totalsRowShown="0">
  <x:autoFilter ref="A1:V855"/>
  <x:tableColumns count="22">
    <x:tableColumn id="1" name="project"/>
    <x:tableColumn id="2" name="bug_id"/>
    <x:tableColumn id="3" name="round"/>
    <x:tableColumn id="4" name="status"/>
    <x:tableColumn id="5" name="partial_generation"/>
    <x:tableColumn id="6" name="notes"/>
    <x:tableColumn id="7" name="partial_generation_known"/>
    <x:tableColumn id="8" name="previous_status"/>
    <x:tableColumn id="9" name="buggy_result"/>
    <x:tableColumn id="10" name="fixed_result"/>
    <x:tableColumn id="11" name="java_files"/>
    <x:tableColumn id="12" name="latest_generation_failed"/>
    <x:tableColumn id="13" name="generation_source"/>
    <x:tableColumn id="14" name="validation_source"/>
    <x:tableColumn id="15" name="coverage_source"/>
    <x:tableColumn id="16" name="not_available_cause"/>
    <x:tableColumn id="17" name="generation_failed_tasks"/>
    <x:tableColumn id="18" name="failed_generation_classes"/>
    <x:tableColumn id="19" name="missing_generation_classes"/>
    <x:tableColumn id="20" name="stale_generation_failure"/>
    <x:tableColumn id="21" name="has_test_methods"/>
    <x:tableColumn id="22" name="status_chang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verageCasesTable" displayName="CoverageCasesTable" ref="A1:Q1709" headerRowCount="1" totalsRowCount="0" totalsRowShown="0">
  <x:autoFilter ref="A1:Q1709"/>
  <x:tableColumns count="17">
    <x:tableColumn id="1" name="Method"/>
    <x:tableColumn id="2" name="Project"/>
    <x:tableColumn id="3" name="Round"/>
    <x:tableColumn id="4" name="Target"/>
    <x:tableColumn id="5" name="Metric"/>
    <x:tableColumn id="6" name="Measurable total"/>
    <x:tableColumn id="7" name="Class"/>
    <x:tableColumn id="8" name="Raw coverage (%)"/>
    <x:tableColumn id="9" name="Coverage status"/>
    <x:tableColumn id="10" name="Compile"/>
    <x:tableColumn id="11" name="Test compile"/>
    <x:tableColumn id="12" name="Buggy result"/>
    <x:tableColumn id="13" name="Reason"/>
    <x:tableColumn id="14" name="Coverage source"/>
    <x:tableColumn id="15" name="Eligible coverage (%)"/>
    <x:tableColumn id="16" name="Latest verdict"/>
    <x:tableColumn id="17" name="Verdict 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tatusChangesTable" displayName="StatusChangesTable" ref="B6:J8" headerRowCount="1" totalsRowCount="0" totalsRowShown="0">
  <x:autoFilter ref="B6:J8"/>
  <x:tableColumns count="9">
    <x:tableColumn id="1" name="Project"/>
    <x:tableColumn id="2" name="Bug"/>
    <x:tableColumn id="3" name="Round"/>
    <x:tableColumn id="4" name="Saved verdict"/>
    <x:tableColumn id="5" name="Current verdict"/>
    <x:tableColumn id="6" name="Reason"/>
    <x:tableColumn id="7" name="Generation source"/>
    <x:tableColumn id="8" name="Validation source"/>
    <x:tableColumn id="9" name="Coverage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b579216d1a40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9f172f92f65420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3.xml" Id="R42e1107bbe2c4d4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c8e7527fce2849b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 xml:space="preserve"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 xml:space="preserve"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 t="n">
        <x:f>COUNTIF(Data!$B$2:$B$855,"Round1")</x:f>
        <x:v>854</x:v>
      </x:c>
      <x:c r="D6" s="10" t="n">
        <x:f>COUNTIF(Data!$B$2:$B$855,"Round2")</x:f>
        <x:v>0</x:v>
      </x:c>
      <x:c r="E6" s="11" t="n">
        <x:f>COUNTA(Data!$C$2:$C$855)</x:f>
        <x:v>854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 t="n">
        <x:f>'Coverage'!J9</x:f>
        <x:v>0.4899936991869922</x:v>
      </x:c>
      <x:c r="D7" s="5" t="str">
        <x:f>'Coverage'!J11</x:f>
        <x:v>—</x:v>
      </x:c>
      <x:c r="E7" s="12" t="n">
        <x:f>'Coverage'!J7</x:f>
        <x:v>0.4899936991869922</x:v>
      </x:c>
      <x:c r="F7" s="1"/>
      <x:c r="G7" s="1"/>
      <x:c r="H7" s="1"/>
      <x:c r="I7" s="1"/>
      <x:c r="J7" s="1"/>
    </x:row>
    <x:row r="8">
      <x:c r="A8" s="1"/>
      <x:c r="B8" s="1" t="inlineStr">
        <x:is>
          <x:t xml:space="preserve">Average condition coverage</x:t>
        </x:is>
      </x:c>
      <x:c r="C8" s="5" t="n">
        <x:f>'Coverage'!J10</x:f>
        <x:v>0.4375950819672129</x:v>
      </x:c>
      <x:c r="D8" s="5" t="str">
        <x:f>'Coverage'!J12</x:f>
        <x:v>—</x:v>
      </x:c>
      <x:c r="E8" s="12" t="n">
        <x:f>'Coverage'!J8</x:f>
        <x:v>0.4375950819672129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 t="n">
        <x:f>'Verdicts'!E12</x:f>
        <x:v>6</x:v>
      </x:c>
      <x:c r="D9" s="10" t="n">
        <x:f>'Verdicts'!E17</x:f>
        <x:v>0</x:v>
      </x:c>
      <x:c r="E9" s="11" t="n">
        <x:f>'Verdicts'!E7</x:f>
        <x:v>6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 t="n">
        <x:f>IF(C6=0,"—",C9/C6)</x:f>
        <x:v>0.00702576112412178</x:v>
      </x:c>
      <x:c r="D10" s="5" t="str">
        <x:f>IF(D6=0,"—",D9/D6)</x:f>
        <x:v>—</x:v>
      </x:c>
      <x:c r="E10" s="12" t="n">
        <x:f>IF(E6=0,"—",E9/E6)</x:f>
        <x:v>0.00702576112412178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 t="n">
        <x:f>IF(COUNTIFS(Data!$B$2:$B$855,"Round1",Data!$G$2:$G$855,"&lt;&gt;")=0,"",SUMIF(Data!$B$2:$B$855,"Round1",Data!$G$2:$G$855))</x:f>
        <x:v>5376431</x:v>
      </x:c>
      <x:c r="D11" s="10" t="str">
        <x:f>IF(COUNTIFS(Data!$B$2:$B$855,"Round2",Data!$G$2:$G$855,"&lt;&gt;")=0,"",SUMIF(Data!$B$2:$B$855,"Round2",Data!$G$2:$G$855))</x:f>
      </x:c>
      <x:c r="E11" s="11" t="n">
        <x:f>IF(COUNT(Data!$G$2:$G$855)=0,"",SUM(Data!$G$2:$G$855))</x:f>
        <x:v>5376431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 t="n">
        <x:f>IF(COUNTIFS(Data!$B$2:$B$855,"Round1",Data!$H$2:$H$855,"&lt;&gt;")=0,"",SUMIF(Data!$B$2:$B$855,"Round1",Data!$H$2:$H$855))</x:f>
        <x:v>23501.649999999987</x:v>
      </x:c>
      <x:c r="D12" s="6" t="str">
        <x:f>IF(COUNTIFS(Data!$B$2:$B$855,"Round2",Data!$H$2:$H$855,"&lt;&gt;")=0,"",SUMIF(Data!$B$2:$B$855,"Round2",Data!$H$2:$H$855))</x:f>
      </x:c>
      <x:c r="E12" s="13" t="n">
        <x:f>IF(COUNT(Data!$H$2:$H$855)=0,"",SUM(Data!$H$2:$H$855))</x:f>
        <x:v>23501.649999999987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 t="n">
        <x:f>COUNTIFS(Data!$B$2:$B$855,"Round1",Data!$E$2:$E$855,"&lt;&gt;")</x:f>
        <x:v>492</x:v>
      </x:c>
      <x:c r="D13" s="4" t="n">
        <x:f>COUNTIFS(Data!$B$2:$B$855,"Round2",Data!$E$2:$E$855,"&lt;&gt;")</x:f>
        <x:v>0</x:v>
      </x:c>
      <x:c r="E13" s="14" t="n">
        <x:f>COUNT(Data!$E$2:$E$855)</x:f>
        <x:v>492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 xml:space="preserve">Lines total</x:t>
        </x:is>
      </x:c>
      <x:c r="C14" s="4" t="n">
        <x:f>IF(COUNTIFS(Data!$B$2:$B$855,"Round1",Data!$J$2:$J$855,"&lt;&gt;")=0,"",SUMIF(Data!$B$2:$B$855,"Round1",Data!$J$2:$J$855))</x:f>
        <x:v>134561</x:v>
      </x:c>
      <x:c r="D14" s="4" t="str">
        <x:f>IF(COUNTIFS(Data!$B$2:$B$855,"Round2",Data!$J$2:$J$855,"&lt;&gt;")=0,"",SUMIF(Data!$B$2:$B$855,"Round2",Data!$J$2:$J$855))</x:f>
      </x:c>
      <x:c r="E14" s="4" t="n">
        <x:f>IF(COUNT(Data!$J$2:$J$855)=0,"",SUM(Data!$J$2:$J$855))</x:f>
        <x:v>134561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 xml:space="preserve">Lines covered</x:t>
        </x:is>
      </x:c>
      <x:c r="C15" s="4" t="n">
        <x:f>IF(COUNTIFS(Data!$B$2:$B$855,"Round1",Data!$K$2:$K$855,"&lt;&gt;")=0,"",SUMIF(Data!$B$2:$B$855,"Round1",Data!$K$2:$K$855))</x:f>
        <x:v>47781</x:v>
      </x:c>
      <x:c r="D15" s="4" t="str">
        <x:f>IF(COUNTIFS(Data!$B$2:$B$855,"Round2",Data!$K$2:$K$855,"&lt;&gt;")=0,"",SUMIF(Data!$B$2:$B$855,"Round2",Data!$K$2:$K$855))</x:f>
      </x:c>
      <x:c r="E15" s="4" t="n">
        <x:f>IF(COUNT(Data!$K$2:$K$855)=0,"",SUM(Data!$K$2:$K$855))</x:f>
        <x:v>47781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 xml:space="preserve">Conditions total</x:t>
        </x:is>
      </x:c>
      <x:c r="C16" s="4" t="n">
        <x:f>IF(COUNTIFS(Data!$B$2:$B$855,"Round1",Data!$L$2:$L$855,"&lt;&gt;")=0,"",SUMIF(Data!$B$2:$B$855,"Round1",Data!$L$2:$L$855))</x:f>
        <x:v>81741</x:v>
      </x:c>
      <x:c r="D16" s="4" t="str">
        <x:f>IF(COUNTIFS(Data!$B$2:$B$855,"Round2",Data!$L$2:$L$855,"&lt;&gt;")=0,"",SUMIF(Data!$B$2:$B$855,"Round2",Data!$L$2:$L$855))</x:f>
      </x:c>
      <x:c r="E16" s="4" t="n">
        <x:f>IF(COUNT(Data!$L$2:$L$855)=0,"",SUM(Data!$L$2:$L$855))</x:f>
        <x:v>81741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 xml:space="preserve">Conditions covered</x:t>
        </x:is>
      </x:c>
      <x:c r="C17" s="4" t="n">
        <x:f>IF(COUNTIFS(Data!$B$2:$B$855,"Round1",Data!$M$2:$M$855,"&lt;&gt;")=0,"",SUMIF(Data!$B$2:$B$855,"Round1",Data!$M$2:$M$855))</x:f>
        <x:v>24199</x:v>
      </x:c>
      <x:c r="D17" s="4" t="str">
        <x:f>IF(COUNTIFS(Data!$B$2:$B$855,"Round2",Data!$M$2:$M$855,"&lt;&gt;")=0,"",SUMIF(Data!$B$2:$B$855,"Round2",Data!$M$2:$M$855))</x:f>
      </x:c>
      <x:c r="E17" s="4" t="n">
        <x:f>IF(COUNT(Data!$M$2:$M$855)=0,"",SUM(Data!$M$2:$M$855))</x:f>
        <x:v>24199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34"/>
      <x:c r="H18" s="34"/>
      <x:c r="I18" s="34"/>
      <x:c r="J18" s="34"/>
    </x:row>
    <x:row r="19" ht="26" customHeight="1">
      <x:c r="A19" s="1"/>
      <x:c r="B19" s="9" t="str">
        <x:v>REVEALING</x:v>
      </x:c>
      <x:c r="C19" s="9" t="n">
        <x:f>'Verdicts'!E12</x:f>
        <x:v>6</x:v>
      </x:c>
      <x:c r="D19" s="9" t="n">
        <x:f>'Verdicts'!E17</x:f>
        <x:v>0</x:v>
      </x:c>
      <x:c r="E19" s="9" t="n">
        <x:f>'Verdicts'!E7</x:f>
        <x:v>6</x:v>
      </x:c>
      <x:c r="F19" s="1"/>
      <x:c r="G19" s="34"/>
      <x:c r="H19" s="34"/>
      <x:c r="I19" s="34"/>
      <x:c r="J19" s="34"/>
    </x:row>
    <x:row r="20" ht="26" customHeight="1">
      <x:c r="A20" s="1"/>
      <x:c r="B20" s="1" t="str">
        <x:v>NOT_REVEALING</x:v>
      </x:c>
      <x:c r="C20" s="1" t="n">
        <x:f>'Verdicts'!E13</x:f>
        <x:v>251</x:v>
      </x:c>
      <x:c r="D20" s="1" t="n">
        <x:f>'Verdicts'!E18</x:f>
        <x:v>0</x:v>
      </x:c>
      <x:c r="E20" s="1" t="n">
        <x:f>'Verdicts'!E8</x:f>
        <x:v>251</x:v>
      </x:c>
      <x:c r="F20" s="1"/>
      <x:c r="G20" s="34"/>
      <x:c r="H20" s="34"/>
      <x:c r="I20" s="34"/>
      <x:c r="J20" s="34"/>
    </x:row>
    <x:row r="21" ht="26" customHeight="1">
      <x:c r="A21" s="1"/>
      <x:c r="B21" s="9" t="str">
        <x:v>NOT_AVAILABLE</x:v>
      </x:c>
      <x:c r="C21" s="9" t="n">
        <x:f>'Verdicts'!E14</x:f>
        <x:v>363</x:v>
      </x:c>
      <x:c r="D21" s="9" t="n">
        <x:f>'Verdicts'!E19</x:f>
        <x:v>0</x:v>
      </x:c>
      <x:c r="E21" s="9" t="n">
        <x:f>'Verdicts'!E9</x:f>
        <x:v>363</x:v>
      </x:c>
      <x:c r="F21" s="1"/>
      <x:c r="G21" s="34"/>
      <x:c r="H21" s="34"/>
      <x:c r="I21" s="34"/>
      <x:c r="J21" s="34"/>
    </x:row>
    <x:row r="22" ht="26" customHeight="1">
      <x:c r="A22" s="1"/>
      <x:c r="B22" s="1" t="str">
        <x:v>INCONCLUSIVE</x:v>
      </x:c>
      <x:c r="C22" s="1" t="n">
        <x:f>'Verdicts'!E15</x:f>
        <x:v>232</x:v>
      </x:c>
      <x:c r="D22" s="1" t="n">
        <x:f>'Verdicts'!E20</x:f>
        <x:v>0</x:v>
      </x:c>
      <x:c r="E22" s="1" t="n">
        <x:f>'Verdicts'!E10</x:f>
        <x:v>232</x:v>
      </x:c>
      <x:c r="F22" s="1"/>
      <x:c r="G22" s="34"/>
      <x:c r="H22" s="34"/>
      <x:c r="I22" s="34"/>
      <x:c r="J22" s="34"/>
    </x:row>
    <x:row r="23" ht="24" customHeight="1">
      <x:c r="A23" s="1"/>
      <x:c r="B23" s="17" t="str">
        <x:v>FAIL</x:v>
      </x:c>
      <x:c r="C23" s="17" t="n">
        <x:f>'Verdicts'!E16</x:f>
        <x:v>2</x:v>
      </x:c>
      <x:c r="D23" s="17" t="n">
        <x:f>'Verdicts'!E21</x:f>
        <x:v>0</x:v>
      </x:c>
      <x:c r="E23" s="17" t="n">
        <x:f>'Verdicts'!E11</x:f>
        <x:v>2</x:v>
      </x:c>
      <x:c r="F23" s="1"/>
      <x:c r="G23" s="34"/>
      <x:c r="H23" s="34"/>
      <x:c r="I23" s="34"/>
      <x:c r="J23" s="34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 xml:space="preserve">Updated: 2026-10-04 07:18:41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 ht="32" customHeight="1">
      <x:c r="A26" s="1"/>
      <x:c r="B26" s="31" t="str">
        <x:v>One bug per round. Data retains original values; BugResults contains final verdicts. UnavailableCauses separates execution and coverage failures.</x:v>
      </x:c>
      <x:c r="C26" s="31"/>
      <x:c r="D26" s="31"/>
      <x:c r="E26" s="31"/>
      <x:c r="F26" s="31"/>
      <x:c r="G26" s="31"/>
      <x:c r="H26" s="31"/>
      <x:c r="I26" s="31"/>
      <x:c r="J26" s="3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48">
      <x:c r="B48" s="41" t="str">
        <x:v>Coverage — failures counted as zero; N/A excluded</x:v>
      </x:c>
    </x:row>
    <x:row r="49" ht="32" customHeight="1">
      <x:c r="B49" s="31" t="str">
        <x:v>Buggy coverage: sum / (total − N/A). Latest FAIL counts as zero; measured buggy coverage remains when paired verdict is NOT_AVAILABLE.</x:v>
      </x:c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</x:row>
    <x:row r="51" ht="42" customHeight="1">
      <x:c r="B51" s="20" t="str">
        <x:v>Project</x:v>
      </x:c>
      <x:c r="C51" s="20" t="str">
        <x:v>Round</x:v>
      </x:c>
      <x:c r="D51" s="20" t="str">
        <x:v>Metric</x:v>
      </x:c>
      <x:c r="E51" s="20" t="str">
        <x:v>Total</x:v>
      </x:c>
      <x:c r="F51" s="20" t="str">
        <x:v>Numeric</x:v>
      </x:c>
      <x:c r="G51" s="20" t="str">
        <x:v>A: failure</x:v>
      </x:c>
      <x:c r="H51" s="20" t="str">
        <x:v>B: N/A</x:v>
      </x:c>
      <x:c r="I51" s="20" t="str">
        <x:v>Unresolved</x:v>
      </x:c>
      <x:c r="J51" s="20" t="str">
        <x:v>Recorded only</x:v>
      </x:c>
      <x:c r="K51" s="20" t="str">
        <x:v>All applicable</x:v>
      </x:c>
      <x:c r="L51" s="20" t="str">
        <x:v>Runnable</x:v>
      </x:c>
      <x:c r="M51" s="20" t="str">
        <x:v>n all (total − B)</x:v>
      </x:c>
    </x:row>
    <x:row r="52" ht="23" customHeight="1">
      <x:c r="B52" s="17" t="str">
        <x:f>'Coverage'!B7</x:f>
        <x:v>All projects</x:v>
      </x:c>
      <x:c r="C52" s="17" t="str">
        <x:f>'Coverage'!C7</x:f>
        <x:v>All rounds</x:v>
      </x:c>
      <x:c r="D52" s="17" t="str">
        <x:f>'Coverage'!D7</x:f>
        <x:v>Line</x:v>
      </x:c>
      <x:c r="E52" s="40" t="n">
        <x:f>'Coverage'!E7</x:f>
        <x:v>854</x:v>
      </x:c>
      <x:c r="F52" s="40" t="n">
        <x:f>'Coverage'!F7</x:f>
        <x:v>492</x:v>
      </x:c>
      <x:c r="G52" s="40" t="n">
        <x:f>'Coverage'!G7</x:f>
        <x:v>362</x:v>
      </x:c>
      <x:c r="H52" s="40" t="n">
        <x:f>'Coverage'!H7</x:f>
        <x:v>0</x:v>
      </x:c>
      <x:c r="I52" s="40" t="n">
        <x:f>'Coverage'!I7</x:f>
        <x:v>0</x:v>
      </x:c>
      <x:c r="J52" s="32" t="n">
        <x:f>'Coverage'!J7</x:f>
        <x:v>0.4899936991869922</x:v>
      </x:c>
      <x:c r="K52" s="32" t="n">
        <x:f>'Coverage'!K7</x:f>
        <x:v>0.2822914519906325</x:v>
      </x:c>
      <x:c r="L52" s="32" t="n">
        <x:f>'Coverage'!L7</x:f>
        <x:v>0.5761124121779859</x:v>
      </x:c>
      <x:c r="M52" s="40" t="n">
        <x:f>'Coverage'!M7</x:f>
        <x:v>854</x:v>
      </x:c>
    </x:row>
    <x:row r="53" ht="23" customHeight="1">
      <x:c r="B53" s="17" t="str">
        <x:f>'Coverage'!B8</x:f>
        <x:v>All projects</x:v>
      </x:c>
      <x:c r="C53" s="17" t="str">
        <x:f>'Coverage'!C8</x:f>
        <x:v>All rounds</x:v>
      </x:c>
      <x:c r="D53" s="17" t="str">
        <x:f>'Coverage'!D8</x:f>
        <x:v>Condition</x:v>
      </x:c>
      <x:c r="E53" s="40" t="n">
        <x:f>'Coverage'!E8</x:f>
        <x:v>854</x:v>
      </x:c>
      <x:c r="F53" s="40" t="n">
        <x:f>'Coverage'!F8</x:f>
        <x:v>488</x:v>
      </x:c>
      <x:c r="G53" s="40" t="n">
        <x:f>'Coverage'!G8</x:f>
        <x:v>362</x:v>
      </x:c>
      <x:c r="H53" s="40" t="n">
        <x:f>'Coverage'!H8</x:f>
        <x:v>4</x:v>
      </x:c>
      <x:c r="I53" s="40" t="n">
        <x:f>'Coverage'!I8</x:f>
        <x:v>0</x:v>
      </x:c>
      <x:c r="J53" s="32" t="n">
        <x:f>'Coverage'!J8</x:f>
        <x:v>0.4375950819672129</x:v>
      </x:c>
      <x:c r="K53" s="32" t="n">
        <x:f>'Coverage'!K8</x:f>
        <x:v>0.2512310588235293</x:v>
      </x:c>
      <x:c r="L53" s="32" t="n">
        <x:f>'Coverage'!L8</x:f>
        <x:v>0.5761124121779859</x:v>
      </x:c>
      <x:c r="M53" s="40" t="n">
        <x:f>'Coverage'!M8</x:f>
        <x:v>850</x:v>
      </x:c>
    </x:row>
    <x:row r="54" ht="23" customHeight="1">
      <x:c r="B54" s="17" t="str">
        <x:f>'Coverage'!B9</x:f>
        <x:v>All projects</x:v>
      </x:c>
      <x:c r="C54" s="17" t="str">
        <x:f>'Coverage'!C9</x:f>
        <x:v>Round1</x:v>
      </x:c>
      <x:c r="D54" s="17" t="str">
        <x:f>'Coverage'!D9</x:f>
        <x:v>Line</x:v>
      </x:c>
      <x:c r="E54" s="40" t="n">
        <x:f>'Coverage'!E9</x:f>
        <x:v>854</x:v>
      </x:c>
      <x:c r="F54" s="40" t="n">
        <x:f>'Coverage'!F9</x:f>
        <x:v>492</x:v>
      </x:c>
      <x:c r="G54" s="40" t="n">
        <x:f>'Coverage'!G9</x:f>
        <x:v>362</x:v>
      </x:c>
      <x:c r="H54" s="40" t="n">
        <x:f>'Coverage'!H9</x:f>
        <x:v>0</x:v>
      </x:c>
      <x:c r="I54" s="40" t="n">
        <x:f>'Coverage'!I9</x:f>
        <x:v>0</x:v>
      </x:c>
      <x:c r="J54" s="32" t="n">
        <x:f>'Coverage'!J9</x:f>
        <x:v>0.4899936991869922</x:v>
      </x:c>
      <x:c r="K54" s="32" t="n">
        <x:f>'Coverage'!K9</x:f>
        <x:v>0.2822914519906325</x:v>
      </x:c>
      <x:c r="L54" s="32" t="n">
        <x:f>'Coverage'!L9</x:f>
        <x:v>0.5761124121779859</x:v>
      </x:c>
      <x:c r="M54" s="40" t="n">
        <x:f>'Coverage'!M9</x:f>
        <x:v>854</x:v>
      </x:c>
    </x:row>
    <x:row r="55" ht="23" customHeight="1">
      <x:c r="B55" s="17" t="str">
        <x:f>'Coverage'!B10</x:f>
        <x:v>All projects</x:v>
      </x:c>
      <x:c r="C55" s="17" t="str">
        <x:f>'Coverage'!C10</x:f>
        <x:v>Round1</x:v>
      </x:c>
      <x:c r="D55" s="17" t="str">
        <x:f>'Coverage'!D10</x:f>
        <x:v>Condition</x:v>
      </x:c>
      <x:c r="E55" s="40" t="n">
        <x:f>'Coverage'!E10</x:f>
        <x:v>854</x:v>
      </x:c>
      <x:c r="F55" s="40" t="n">
        <x:f>'Coverage'!F10</x:f>
        <x:v>488</x:v>
      </x:c>
      <x:c r="G55" s="40" t="n">
        <x:f>'Coverage'!G10</x:f>
        <x:v>362</x:v>
      </x:c>
      <x:c r="H55" s="40" t="n">
        <x:f>'Coverage'!H10</x:f>
        <x:v>4</x:v>
      </x:c>
      <x:c r="I55" s="40" t="n">
        <x:f>'Coverage'!I10</x:f>
        <x:v>0</x:v>
      </x:c>
      <x:c r="J55" s="32" t="n">
        <x:f>'Coverage'!J10</x:f>
        <x:v>0.4375950819672129</x:v>
      </x:c>
      <x:c r="K55" s="32" t="n">
        <x:f>'Coverage'!K10</x:f>
        <x:v>0.2512310588235293</x:v>
      </x:c>
      <x:c r="L55" s="32" t="n">
        <x:f>'Coverage'!L10</x:f>
        <x:v>0.5761124121779859</x:v>
      </x:c>
      <x:c r="M55" s="40" t="n">
        <x:f>'Coverage'!M10</x:f>
        <x:v>850</x:v>
      </x:c>
    </x:row>
    <x:row r="56" ht="23" customHeight="1">
      <x:c r="B56" s="17" t="str">
        <x:f>'Coverage'!B11</x:f>
        <x:v>All projects</x:v>
      </x:c>
      <x:c r="C56" s="17" t="str">
        <x:f>'Coverage'!C11</x:f>
        <x:v>Round2</x:v>
      </x:c>
      <x:c r="D56" s="17" t="str">
        <x:f>'Coverage'!D11</x:f>
        <x:v>Line</x:v>
      </x:c>
      <x:c r="E56" s="40" t="n">
        <x:f>'Coverage'!E11</x:f>
        <x:v>0</x:v>
      </x:c>
      <x:c r="F56" s="40" t="n">
        <x:f>'Coverage'!F11</x:f>
        <x:v>0</x:v>
      </x:c>
      <x:c r="G56" s="40" t="n">
        <x:f>'Coverage'!G11</x:f>
        <x:v>0</x:v>
      </x:c>
      <x:c r="H56" s="40" t="n">
        <x:f>'Coverage'!H11</x:f>
        <x:v>0</x:v>
      </x:c>
      <x:c r="I56" s="40" t="n">
        <x:f>'Coverage'!I11</x:f>
        <x:v>0</x:v>
      </x:c>
      <x:c r="J56" s="32" t="str">
        <x:f>'Coverage'!J11</x:f>
        <x:v>—</x:v>
      </x:c>
      <x:c r="K56" s="32" t="str">
        <x:f>'Coverage'!K11</x:f>
        <x:v>—</x:v>
      </x:c>
      <x:c r="L56" s="32" t="str">
        <x:f>'Coverage'!L11</x:f>
        <x:v>—</x:v>
      </x:c>
      <x:c r="M56" s="40" t="n">
        <x:f>'Coverage'!M11</x:f>
        <x:v>0</x:v>
      </x:c>
    </x:row>
    <x:row r="57" ht="23" customHeight="1">
      <x:c r="B57" s="17" t="str">
        <x:f>'Coverage'!B12</x:f>
        <x:v>All projects</x:v>
      </x:c>
      <x:c r="C57" s="17" t="str">
        <x:f>'Coverage'!C12</x:f>
        <x:v>Round2</x:v>
      </x:c>
      <x:c r="D57" s="17" t="str">
        <x:f>'Coverage'!D12</x:f>
        <x:v>Condition</x:v>
      </x:c>
      <x:c r="E57" s="40" t="n">
        <x:f>'Coverage'!E12</x:f>
        <x:v>0</x:v>
      </x:c>
      <x:c r="F57" s="40" t="n">
        <x:f>'Coverage'!F12</x:f>
        <x:v>0</x:v>
      </x:c>
      <x:c r="G57" s="40" t="n">
        <x:f>'Coverage'!G12</x:f>
        <x:v>0</x:v>
      </x:c>
      <x:c r="H57" s="40" t="n">
        <x:f>'Coverage'!H12</x:f>
        <x:v>0</x:v>
      </x:c>
      <x:c r="I57" s="40" t="n">
        <x:f>'Coverage'!I12</x:f>
        <x:v>0</x:v>
      </x:c>
      <x:c r="J57" s="32" t="str">
        <x:f>'Coverage'!J12</x:f>
        <x:v>—</x:v>
      </x:c>
      <x:c r="K57" s="32" t="str">
        <x:f>'Coverage'!K12</x:f>
        <x:v>—</x:v>
      </x:c>
      <x:c r="L57" s="32" t="str">
        <x:f>'Coverage'!L12</x:f>
        <x:v>—</x:v>
      </x:c>
      <x:c r="M57" s="40" t="n">
        <x:f>'Coverage'!M12</x:f>
        <x:v>0</x:v>
      </x:c>
    </x:row>
  </x:sheetData>
  <x:mergeCells>
    <x:mergeCell ref="B2:E2"/>
    <x:mergeCell ref="B3:E3"/>
    <x:mergeCell ref="B24:E24"/>
    <x:mergeCell ref="B25:E25"/>
    <x:mergeCell ref="B26:J26"/>
    <x:mergeCell ref="B48:L48"/>
    <x:mergeCell ref="B49:L49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str">
        <x:v>lines_total</x:v>
      </x:c>
      <x:c r="K1" s="15" t="str">
        <x:v>lines_covered</x:v>
      </x:c>
      <x:c r="L1" s="15" t="str">
        <x:v>conditions_total</x:v>
      </x:c>
      <x:c r="M1" s="15" t="str">
        <x:v>conditions_covered</x:v>
      </x:c>
      <x:c r="N1" s="15" t="str">
        <x:v>condition_coverage</x:v>
      </x:c>
    </x:row>
    <x:row r="2" ht="24" customHeight="1">
      <x:c r="A2" s="1" t="str">
        <x:v>RESULT</x:v>
      </x:c>
      <x:c r="B2" s="1" t="str">
        <x:v>Round1</x:v>
      </x:c>
      <x:c r="C2" s="1" t="str">
        <x:v>Chart_1</x:v>
      </x:c>
      <x:c r="D2" s="1" t="str">
        <x:v>NOT_AVAILABLE</x:v>
      </x:c>
      <x:c r="E2" s="5"/>
      <x:c r="F2" s="4" t="n">
        <x:v>0</x:v>
      </x:c>
      <x:c r="G2" s="4" t="n">
        <x:v>24186</x:v>
      </x:c>
      <x:c r="H2" s="6" t="n">
        <x:v>75.22</x:v>
      </x:c>
      <x:c r="I2" s="16" t="n">
        <x:v>1</x:v>
      </x:c>
      <x:c r="J2"/>
      <x:c r="K2" s="4"/>
      <x:c r="L2" s="4"/>
      <x:c r="M2" s="4"/>
      <x:c r="N2" s="5"/>
    </x:row>
    <x:row r="3" ht="24" customHeight="1">
      <x:c r="A3" s="1" t="str">
        <x:v>RESULT</x:v>
      </x:c>
      <x:c r="B3" s="1" t="str">
        <x:v>Round1</x:v>
      </x:c>
      <x:c r="C3" s="1" t="str">
        <x:v>Chart_10</x:v>
      </x:c>
      <x:c r="D3" s="1" t="str">
        <x:v>INCONCLUSIVE</x:v>
      </x:c>
      <x:c r="E3" s="5" t="n">
        <x:v>1</x:v>
      </x:c>
      <x:c r="F3" s="4" t="n">
        <x:v>0</x:v>
      </x:c>
      <x:c r="G3" s="4" t="n">
        <x:v>2664</x:v>
      </x:c>
      <x:c r="H3" s="6" t="n">
        <x:v>9.04</x:v>
      </x:c>
      <x:c r="I3" s="16" t="n">
        <x:v>1</x:v>
      </x:c>
      <x:c r="J3" t="n">
        <x:v>3</x:v>
      </x:c>
      <x:c r="K3" s="4" t="n">
        <x:v>3</x:v>
      </x:c>
      <x:c r="L3" s="4" t="n">
        <x:v>0</x:v>
      </x:c>
      <x:c r="M3" s="4" t="n">
        <x:v>0</x:v>
      </x:c>
      <x:c r="N3" s="5"/>
    </x:row>
    <x:row r="4" ht="24" customHeight="1">
      <x:c r="A4" s="1" t="str">
        <x:v>RESULT</x:v>
      </x:c>
      <x:c r="B4" s="1" t="str">
        <x:v>Round1</x:v>
      </x:c>
      <x:c r="C4" s="1" t="str">
        <x:v>Chart_11</x:v>
      </x:c>
      <x:c r="D4" s="1" t="str">
        <x:v>NOT_AVAILABLE</x:v>
      </x:c>
      <x:c r="E4" s="5"/>
      <x:c r="F4" s="4" t="n">
        <x:v>0</x:v>
      </x:c>
      <x:c r="G4" s="4"/>
      <x:c r="H4" s="6" t="n">
        <x:v>51.25</x:v>
      </x:c>
      <x:c r="I4" s="16" t="n">
        <x:v>1</x:v>
      </x:c>
      <x:c r="J4"/>
      <x:c r="K4" s="4"/>
      <x:c r="L4" s="4"/>
      <x:c r="M4" s="4"/>
      <x:c r="N4" s="5"/>
    </x:row>
    <x:row r="5" ht="24" customHeight="1">
      <x:c r="A5" s="1" t="str">
        <x:v>RESULT</x:v>
      </x:c>
      <x:c r="B5" s="1" t="str">
        <x:v>Round1</x:v>
      </x:c>
      <x:c r="C5" s="1" t="str">
        <x:v>Chart_12</x:v>
      </x:c>
      <x:c r="D5" s="1" t="str">
        <x:v>NOT_REVEALING</x:v>
      </x:c>
      <x:c r="E5" s="5" t="n">
        <x:v>0.9842</x:v>
      </x:c>
      <x:c r="F5" s="4" t="n">
        <x:v>0</x:v>
      </x:c>
      <x:c r="G5" s="4" t="n">
        <x:v>10072</x:v>
      </x:c>
      <x:c r="H5" s="6" t="n">
        <x:v>33.34</x:v>
      </x:c>
      <x:c r="I5" s="16" t="n">
        <x:v>1</x:v>
      </x:c>
      <x:c r="J5" t="n">
        <x:v>190</x:v>
      </x:c>
      <x:c r="K5" s="4" t="n">
        <x:v>187</x:v>
      </x:c>
      <x:c r="L5" s="4" t="n">
        <x:v>84</x:v>
      </x:c>
      <x:c r="M5" s="4" t="n">
        <x:v>78</x:v>
      </x:c>
      <x:c r="N5" s="5" t="n">
        <x:v>0.9286</x:v>
      </x:c>
    </x:row>
    <x:row r="6" ht="24" customHeight="1">
      <x:c r="A6" s="1" t="str">
        <x:v>RESULT</x:v>
      </x:c>
      <x:c r="B6" s="1" t="str">
        <x:v>Round1</x:v>
      </x:c>
      <x:c r="C6" s="1" t="str">
        <x:v>Chart_13</x:v>
      </x:c>
      <x:c r="D6" s="1" t="str">
        <x:v>NOT_REVEALING</x:v>
      </x:c>
      <x:c r="E6" s="5" t="n">
        <x:v>1</x:v>
      </x:c>
      <x:c r="F6" s="4" t="n">
        <x:v>0</x:v>
      </x:c>
      <x:c r="G6" s="4" t="n">
        <x:v>16066</x:v>
      </x:c>
      <x:c r="H6" s="6" t="n">
        <x:v>57.44</x:v>
      </x:c>
      <x:c r="I6" s="16" t="n">
        <x:v>1</x:v>
      </x:c>
      <x:c r="J6" t="n">
        <x:v>229</x:v>
      </x:c>
      <x:c r="K6" s="4" t="n">
        <x:v>229</x:v>
      </x:c>
      <x:c r="L6" s="4" t="n">
        <x:v>120</x:v>
      </x:c>
      <x:c r="M6" s="4" t="n">
        <x:v>114</x:v>
      </x:c>
      <x:c r="N6" s="5" t="n">
        <x:v>0.95</x:v>
      </x:c>
    </x:row>
    <x:row r="7" ht="24" customHeight="1">
      <x:c r="A7" s="1" t="str">
        <x:v>RESULT</x:v>
      </x:c>
      <x:c r="B7" s="1" t="str">
        <x:v>Round1</x:v>
      </x:c>
      <x:c r="C7" s="1" t="str">
        <x:v>Chart_14</x:v>
      </x:c>
      <x:c r="D7" s="1" t="str">
        <x:v>NOT_REVEALING</x:v>
      </x:c>
      <x:c r="E7" s="5" t="n">
        <x:v>0.5904</x:v>
      </x:c>
      <x:c r="F7" s="4" t="n">
        <x:v>0</x:v>
      </x:c>
      <x:c r="G7" s="4" t="n">
        <x:v>75767</x:v>
      </x:c>
      <x:c r="H7" s="6" t="n">
        <x:v>166.22</x:v>
      </x:c>
      <x:c r="I7" s="16" t="n">
        <x:v>1</x:v>
      </x:c>
      <x:c r="J7" t="n">
        <x:v>2722</x:v>
      </x:c>
      <x:c r="K7" s="4" t="n">
        <x:v>1607</x:v>
      </x:c>
      <x:c r="L7" s="4" t="n">
        <x:v>1436</x:v>
      </x:c>
      <x:c r="M7" s="4" t="n">
        <x:v>637</x:v>
      </x:c>
      <x:c r="N7" s="5" t="n">
        <x:v>0.4436</x:v>
      </x:c>
    </x:row>
    <x:row r="8" ht="24" customHeight="1">
      <x:c r="A8" s="1" t="str">
        <x:v>RESULT</x:v>
      </x:c>
      <x:c r="B8" s="1" t="str">
        <x:v>Round1</x:v>
      </x:c>
      <x:c r="C8" s="1" t="str">
        <x:v>Chart_15</x:v>
      </x:c>
      <x:c r="D8" s="1" t="str">
        <x:v>NOT_AVAILABLE</x:v>
      </x:c>
      <x:c r="E8" s="5"/>
      <x:c r="F8" s="4" t="n">
        <x:v>0</x:v>
      </x:c>
      <x:c r="G8" s="4"/>
      <x:c r="H8" s="6" t="n">
        <x:v>36.63</x:v>
      </x:c>
      <x:c r="I8" s="16" t="n">
        <x:v>1</x:v>
      </x:c>
      <x:c r="J8"/>
      <x:c r="K8" s="4"/>
      <x:c r="L8" s="4"/>
      <x:c r="M8" s="4"/>
      <x:c r="N8" s="5"/>
    </x:row>
    <x:row r="9" ht="24" customHeight="1">
      <x:c r="A9" s="1" t="str">
        <x:v>RESULT</x:v>
      </x:c>
      <x:c r="B9" s="1" t="str">
        <x:v>Round1</x:v>
      </x:c>
      <x:c r="C9" s="1" t="str">
        <x:v>Chart_16</x:v>
      </x:c>
      <x:c r="D9" s="1" t="str">
        <x:v>NOT_REVEALING</x:v>
      </x:c>
      <x:c r="E9" s="5" t="n">
        <x:v>0.22870000000000001</x:v>
      </x:c>
      <x:c r="F9" s="4" t="n">
        <x:v>0</x:v>
      </x:c>
      <x:c r="G9" s="4"/>
      <x:c r="H9" s="6"/>
      <x:c r="I9" s="16" t="n">
        <x:v>1</x:v>
      </x:c>
      <x:c r="J9" t="n">
        <x:v>188</x:v>
      </x:c>
      <x:c r="K9" s="4" t="n">
        <x:v>43</x:v>
      </x:c>
      <x:c r="L9" s="4" t="n">
        <x:v>128</x:v>
      </x:c>
      <x:c r="M9" s="4" t="n">
        <x:v>20</x:v>
      </x:c>
      <x:c r="N9" s="5" t="n">
        <x:v>0.1562</x:v>
      </x:c>
    </x:row>
    <x:row r="10" ht="24" customHeight="1">
      <x:c r="A10" s="1" t="str">
        <x:v>RESULT</x:v>
      </x:c>
      <x:c r="B10" s="1" t="str">
        <x:v>Round1</x:v>
      </x:c>
      <x:c r="C10" s="1" t="str">
        <x:v>Chart_17</x:v>
      </x:c>
      <x:c r="D10" s="1" t="str">
        <x:v>NOT_AVAILABLE</x:v>
      </x:c>
      <x:c r="E10" s="5"/>
      <x:c r="F10" s="4" t="n">
        <x:v>0</x:v>
      </x:c>
      <x:c r="G10" s="4"/>
      <x:c r="H10" s="6"/>
      <x:c r="I10" s="16" t="n">
        <x:v>1</x:v>
      </x:c>
      <x:c r="J10"/>
      <x:c r="K10" s="4"/>
      <x:c r="L10" s="4"/>
      <x:c r="M10" s="4"/>
      <x:c r="N10" s="5"/>
    </x:row>
    <x:row r="11" ht="24" customHeight="1">
      <x:c r="A11" s="1" t="str">
        <x:v>RESULT</x:v>
      </x:c>
      <x:c r="B11" s="1" t="str">
        <x:v>Round1</x:v>
      </x:c>
      <x:c r="C11" s="1" t="str">
        <x:v>Chart_18</x:v>
      </x:c>
      <x:c r="D11" s="1" t="str">
        <x:v>NOT_REVEALING</x:v>
      </x:c>
      <x:c r="E11" s="5" t="n">
        <x:v>0.2293</x:v>
      </x:c>
      <x:c r="F11" s="4" t="n">
        <x:v>0</x:v>
      </x:c>
      <x:c r="G11" s="4"/>
      <x:c r="H11" s="6"/>
      <x:c r="I11" s="16" t="n">
        <x:v>1</x:v>
      </x:c>
      <x:c r="J11" t="n">
        <x:v>266</x:v>
      </x:c>
      <x:c r="K11" s="4" t="n">
        <x:v>61</x:v>
      </x:c>
      <x:c r="L11" s="4" t="n">
        <x:v>122</x:v>
      </x:c>
      <x:c r="M11" s="4" t="n">
        <x:v>16</x:v>
      </x:c>
      <x:c r="N11" s="5" t="n">
        <x:v>0.1311</x:v>
      </x:c>
    </x:row>
    <x:row r="12" ht="24" customHeight="1">
      <x:c r="A12" s="1" t="str">
        <x:v>RESULT</x:v>
      </x:c>
      <x:c r="B12" s="1" t="str">
        <x:v>Round1</x:v>
      </x:c>
      <x:c r="C12" s="1" t="str">
        <x:v>Chart_19</x:v>
      </x:c>
      <x:c r="D12" s="1" t="str">
        <x:v>NOT_AVAILABLE</x:v>
      </x:c>
      <x:c r="E12" s="5"/>
      <x:c r="F12" s="4" t="n">
        <x:v>0</x:v>
      </x:c>
      <x:c r="G12" s="4"/>
      <x:c r="H12" s="6" t="n">
        <x:v>49.85</x:v>
      </x:c>
      <x:c r="I12" s="16" t="n">
        <x:v>1</x:v>
      </x:c>
      <x:c r="J12"/>
      <x:c r="K12" s="4"/>
      <x:c r="L12" s="4"/>
      <x:c r="M12" s="4"/>
      <x:c r="N12" s="5"/>
    </x:row>
    <x:row r="13" ht="24" customHeight="1">
      <x:c r="A13" s="1" t="str">
        <x:v>RESULT</x:v>
      </x:c>
      <x:c r="B13" s="1" t="str">
        <x:v>Round1</x:v>
      </x:c>
      <x:c r="C13" s="1" t="str">
        <x:v>Chart_2</x:v>
      </x:c>
      <x:c r="D13" s="1" t="str">
        <x:v>NOT_AVAILABLE</x:v>
      </x:c>
      <x:c r="E13" s="5"/>
      <x:c r="F13" s="4" t="n">
        <x:v>0</x:v>
      </x:c>
      <x:c r="G13" s="4"/>
      <x:c r="H13" s="6"/>
      <x:c r="I13" s="16" t="n">
        <x:v>1</x:v>
      </x:c>
      <x:c r="J13"/>
      <x:c r="K13" s="4"/>
      <x:c r="L13" s="4"/>
      <x:c r="M13" s="4"/>
      <x:c r="N13" s="5"/>
    </x:row>
    <x:row r="14" ht="24" customHeight="1">
      <x:c r="A14" s="1" t="str">
        <x:v>RESULT</x:v>
      </x:c>
      <x:c r="B14" s="1" t="str">
        <x:v>Round1</x:v>
      </x:c>
      <x:c r="C14" s="1" t="str">
        <x:v>Chart_20</x:v>
      </x:c>
      <x:c r="D14" s="1" t="str">
        <x:v>INCONCLUSIVE</x:v>
      </x:c>
      <x:c r="E14" s="5" t="n">
        <x:v>0.9545</x:v>
      </x:c>
      <x:c r="F14" s="4" t="n">
        <x:v>0</x:v>
      </x:c>
      <x:c r="G14" s="4" t="n">
        <x:v>6505</x:v>
      </x:c>
      <x:c r="H14" s="6" t="n">
        <x:v>36.75</x:v>
      </x:c>
      <x:c r="I14" s="16" t="n">
        <x:v>1</x:v>
      </x:c>
      <x:c r="J14" t="n">
        <x:v>22</x:v>
      </x:c>
      <x:c r="K14" s="4" t="n">
        <x:v>21</x:v>
      </x:c>
      <x:c r="L14" s="4" t="n">
        <x:v>8</x:v>
      </x:c>
      <x:c r="M14" s="4" t="n">
        <x:v>7</x:v>
      </x:c>
      <x:c r="N14" s="5" t="n">
        <x:v>0.875</x:v>
      </x:c>
    </x:row>
    <x:row r="15" ht="24" customHeight="1">
      <x:c r="A15" s="1" t="str">
        <x:v>RESULT</x:v>
      </x:c>
      <x:c r="B15" s="1" t="str">
        <x:v>Round1</x:v>
      </x:c>
      <x:c r="C15" s="1" t="str">
        <x:v>Chart_21</x:v>
      </x:c>
      <x:c r="D15" s="1" t="str">
        <x:v>NOT_REVEALING</x:v>
      </x:c>
      <x:c r="E15" s="5" t="n">
        <x:v>0.23600000000000002</x:v>
      </x:c>
      <x:c r="F15" s="4" t="n">
        <x:v>0</x:v>
      </x:c>
      <x:c r="G15" s="4"/>
      <x:c r="H15" s="6"/>
      <x:c r="I15" s="16" t="n">
        <x:v>1</x:v>
      </x:c>
      <x:c r="J15" t="n">
        <x:v>161</x:v>
      </x:c>
      <x:c r="K15" s="4" t="n">
        <x:v>38</x:v>
      </x:c>
      <x:c r="L15" s="4" t="n">
        <x:v>60</x:v>
      </x:c>
      <x:c r="M15" s="4" t="n">
        <x:v>6</x:v>
      </x:c>
      <x:c r="N15" s="5" t="n">
        <x:v>0.1</x:v>
      </x:c>
    </x:row>
    <x:row r="16" ht="24" customHeight="1">
      <x:c r="A16" s="1" t="str">
        <x:v>RESULT</x:v>
      </x:c>
      <x:c r="B16" s="1" t="str">
        <x:v>Round1</x:v>
      </x:c>
      <x:c r="C16" s="1" t="str">
        <x:v>Chart_22</x:v>
      </x:c>
      <x:c r="D16" s="1" t="str">
        <x:v>NOT_REVEALING</x:v>
      </x:c>
      <x:c r="E16" s="5" t="n">
        <x:v>0.22579999999999997</x:v>
      </x:c>
      <x:c r="F16" s="4" t="n">
        <x:v>0</x:v>
      </x:c>
      <x:c r="G16" s="4"/>
      <x:c r="H16" s="6"/>
      <x:c r="I16" s="16" t="n">
        <x:v>1</x:v>
      </x:c>
      <x:c r="J16" t="n">
        <x:v>124</x:v>
      </x:c>
      <x:c r="K16" s="4" t="n">
        <x:v>28</x:v>
      </x:c>
      <x:c r="L16" s="4" t="n">
        <x:v>58</x:v>
      </x:c>
      <x:c r="M16" s="4" t="n">
        <x:v>9</x:v>
      </x:c>
      <x:c r="N16" s="5" t="n">
        <x:v>0.1552</x:v>
      </x:c>
    </x:row>
    <x:row r="17" ht="24" customHeight="1">
      <x:c r="A17" s="1" t="str">
        <x:v>RESULT</x:v>
      </x:c>
      <x:c r="B17" s="1" t="str">
        <x:v>Round1</x:v>
      </x:c>
      <x:c r="C17" s="1" t="str">
        <x:v>Chart_23</x:v>
      </x:c>
      <x:c r="D17" s="1" t="str">
        <x:v>NOT_REVEALING</x:v>
      </x:c>
      <x:c r="E17" s="5" t="n">
        <x:v>0.9792000000000001</x:v>
      </x:c>
      <x:c r="F17" s="4" t="n">
        <x:v>0</x:v>
      </x:c>
      <x:c r="G17" s="4" t="n">
        <x:v>13997</x:v>
      </x:c>
      <x:c r="H17" s="6" t="n">
        <x:v>41.89</x:v>
      </x:c>
      <x:c r="I17" s="16" t="n">
        <x:v>1</x:v>
      </x:c>
      <x:c r="J17" t="n">
        <x:v>144</x:v>
      </x:c>
      <x:c r="K17" s="4" t="n">
        <x:v>141</x:v>
      </x:c>
      <x:c r="L17" s="4" t="n">
        <x:v>46</x:v>
      </x:c>
      <x:c r="M17" s="4" t="n">
        <x:v>41</x:v>
      </x:c>
      <x:c r="N17" s="5" t="n">
        <x:v>0.8913</x:v>
      </x:c>
    </x:row>
    <x:row r="18" ht="24" customHeight="1">
      <x:c r="A18" s="1" t="str">
        <x:v>RESULT</x:v>
      </x:c>
      <x:c r="B18" s="1" t="str">
        <x:v>Round1</x:v>
      </x:c>
      <x:c r="C18" s="1" t="str">
        <x:v>Chart_24</x:v>
      </x:c>
      <x:c r="D18" s="1" t="str">
        <x:v>NOT_REVEALING</x:v>
      </x:c>
      <x:c r="E18" s="5" t="n">
        <x:v>1</x:v>
      </x:c>
      <x:c r="F18" s="4" t="n">
        <x:v>0</x:v>
      </x:c>
      <x:c r="G18" s="4" t="n">
        <x:v>5446</x:v>
      </x:c>
      <x:c r="H18" s="6" t="n">
        <x:v>33.81</x:v>
      </x:c>
      <x:c r="I18" s="16" t="n">
        <x:v>1</x:v>
      </x:c>
      <x:c r="J18" t="n">
        <x:v>25</x:v>
      </x:c>
      <x:c r="K18" s="4" t="n">
        <x:v>25</x:v>
      </x:c>
      <x:c r="L18" s="4" t="n">
        <x:v>10</x:v>
      </x:c>
      <x:c r="M18" s="4" t="n">
        <x:v>10</x:v>
      </x:c>
      <x:c r="N18" s="5" t="n">
        <x:v>1</x:v>
      </x:c>
    </x:row>
    <x:row r="19" ht="24" customHeight="1">
      <x:c r="A19" s="1" t="str">
        <x:v>RESULT</x:v>
      </x:c>
      <x:c r="B19" s="1" t="str">
        <x:v>Round1</x:v>
      </x:c>
      <x:c r="C19" s="1" t="str">
        <x:v>Chart_25</x:v>
      </x:c>
      <x:c r="D19" s="1" t="str">
        <x:v>NOT_AVAILABLE</x:v>
      </x:c>
      <x:c r="E19" s="5"/>
      <x:c r="F19" s="4" t="n">
        <x:v>0</x:v>
      </x:c>
      <x:c r="G19" s="4"/>
      <x:c r="H19" s="6" t="n">
        <x:v>39.12</x:v>
      </x:c>
      <x:c r="I19" s="16" t="n">
        <x:v>1</x:v>
      </x:c>
      <x:c r="J19"/>
      <x:c r="K19" s="4"/>
      <x:c r="L19" s="4"/>
      <x:c r="M19" s="4"/>
      <x:c r="N19" s="5"/>
    </x:row>
    <x:row r="20" ht="24" customHeight="1">
      <x:c r="A20" s="1" t="str">
        <x:v>RESULT</x:v>
      </x:c>
      <x:c r="B20" s="1" t="str">
        <x:v>Round1</x:v>
      </x:c>
      <x:c r="C20" s="1" t="str">
        <x:v>Chart_26</x:v>
      </x:c>
      <x:c r="D20" s="1" t="str">
        <x:v>INCONCLUSIVE</x:v>
      </x:c>
      <x:c r="E20" s="5" t="n">
        <x:v>1</x:v>
      </x:c>
      <x:c r="F20" s="4" t="n">
        <x:v>0</x:v>
      </x:c>
      <x:c r="G20" s="4" t="n">
        <x:v>19686</x:v>
      </x:c>
      <x:c r="H20" s="6" t="n">
        <x:v>59.2</x:v>
      </x:c>
      <x:c r="I20" s="16" t="n">
        <x:v>1</x:v>
      </x:c>
      <x:c r="J20" t="n">
        <x:v>350</x:v>
      </x:c>
      <x:c r="K20" s="4" t="n">
        <x:v>350</x:v>
      </x:c>
      <x:c r="L20" s="4" t="n">
        <x:v>128</x:v>
      </x:c>
      <x:c r="M20" s="4" t="n">
        <x:v>124</x:v>
      </x:c>
      <x:c r="N20" s="5" t="n">
        <x:v>0.9688</x:v>
      </x:c>
    </x:row>
    <x:row r="21" ht="24" customHeight="1">
      <x:c r="A21" s="1" t="str">
        <x:v>RESULT</x:v>
      </x:c>
      <x:c r="B21" s="1" t="str">
        <x:v>Round1</x:v>
      </x:c>
      <x:c r="C21" s="1" t="str">
        <x:v>Chart_3</x:v>
      </x:c>
      <x:c r="D21" s="1" t="str">
        <x:v>NOT_REVEALING</x:v>
      </x:c>
      <x:c r="E21" s="5" t="n">
        <x:v>0.4763</x:v>
      </x:c>
      <x:c r="F21" s="4" t="n">
        <x:v>0</x:v>
      </x:c>
      <x:c r="G21" s="4"/>
      <x:c r="H21" s="6"/>
      <x:c r="I21" s="16" t="n">
        <x:v>1</x:v>
      </x:c>
      <x:c r="J21" t="n">
        <x:v>380</x:v>
      </x:c>
      <x:c r="K21" s="4" t="n">
        <x:v>181</x:v>
      </x:c>
      <x:c r="L21" s="4" t="n">
        <x:v>186</x:v>
      </x:c>
      <x:c r="M21" s="4" t="n">
        <x:v>66</x:v>
      </x:c>
      <x:c r="N21" s="5" t="n">
        <x:v>0.35479999999999995</x:v>
      </x:c>
    </x:row>
    <x:row r="22" ht="24" customHeight="1">
      <x:c r="A22" s="1" t="str">
        <x:v>RESULT</x:v>
      </x:c>
      <x:c r="B22" s="1" t="str">
        <x:v>Round1</x:v>
      </x:c>
      <x:c r="C22" s="1" t="str">
        <x:v>Chart_4</x:v>
      </x:c>
      <x:c r="D22" s="1" t="str">
        <x:v>INCONCLUSIVE</x:v>
      </x:c>
      <x:c r="E22" s="5" t="n">
        <x:v>0.8534</x:v>
      </x:c>
      <x:c r="F22" s="4" t="n">
        <x:v>0</x:v>
      </x:c>
      <x:c r="G22" s="4" t="n">
        <x:v>43604</x:v>
      </x:c>
      <x:c r="H22" s="6" t="n">
        <x:v>72.97</x:v>
      </x:c>
      <x:c r="I22" s="16" t="n">
        <x:v>1</x:v>
      </x:c>
      <x:c r="J22" t="n">
        <x:v>1808</x:v>
      </x:c>
      <x:c r="K22" s="4" t="n">
        <x:v>1543</x:v>
      </x:c>
      <x:c r="L22" s="4" t="n">
        <x:v>964</x:v>
      </x:c>
      <x:c r="M22" s="4" t="n">
        <x:v>636</x:v>
      </x:c>
      <x:c r="N22" s="5" t="n">
        <x:v>0.6598</x:v>
      </x:c>
    </x:row>
    <x:row r="23" ht="24" customHeight="1">
      <x:c r="A23" s="1" t="str">
        <x:v>RESULT</x:v>
      </x:c>
      <x:c r="B23" s="1" t="str">
        <x:v>Round1</x:v>
      </x:c>
      <x:c r="C23" s="1" t="str">
        <x:v>Chart_5</x:v>
      </x:c>
      <x:c r="D23" s="1" t="str">
        <x:v>INCONCLUSIVE</x:v>
      </x:c>
      <x:c r="E23" s="5" t="n">
        <x:v>0.593</x:v>
      </x:c>
      <x:c r="F23" s="4" t="n">
        <x:v>0</x:v>
      </x:c>
      <x:c r="G23" s="4"/>
      <x:c r="H23" s="6"/>
      <x:c r="I23" s="16" t="n">
        <x:v>1</x:v>
      </x:c>
      <x:c r="J23" t="n">
        <x:v>172</x:v>
      </x:c>
      <x:c r="K23" s="4" t="n">
        <x:v>102</x:v>
      </x:c>
      <x:c r="L23" s="4" t="n">
        <x:v>80</x:v>
      </x:c>
      <x:c r="M23" s="4" t="n">
        <x:v>45</x:v>
      </x:c>
      <x:c r="N23" s="5" t="n">
        <x:v>0.5625</x:v>
      </x:c>
    </x:row>
    <x:row r="24" ht="24" customHeight="1">
      <x:c r="A24" s="1" t="str">
        <x:v>RESULT</x:v>
      </x:c>
      <x:c r="B24" s="1" t="str">
        <x:v>Round1</x:v>
      </x:c>
      <x:c r="C24" s="1" t="str">
        <x:v>Chart_6</x:v>
      </x:c>
      <x:c r="D24" s="1" t="str">
        <x:v>NOT_AVAILABLE</x:v>
      </x:c>
      <x:c r="E24" s="5"/>
      <x:c r="F24" s="4" t="n">
        <x:v>0</x:v>
      </x:c>
      <x:c r="G24" s="4"/>
      <x:c r="H24" s="6" t="n">
        <x:v>14.32</x:v>
      </x:c>
      <x:c r="I24" s="16" t="n">
        <x:v>1</x:v>
      </x:c>
      <x:c r="J24"/>
      <x:c r="K24" s="4"/>
      <x:c r="L24" s="4"/>
      <x:c r="M24" s="4"/>
      <x:c r="N24" s="5"/>
    </x:row>
    <x:row r="25" ht="24" customHeight="1">
      <x:c r="A25" s="1" t="str">
        <x:v>RESULT</x:v>
      </x:c>
      <x:c r="B25" s="1" t="str">
        <x:v>Round1</x:v>
      </x:c>
      <x:c r="C25" s="1" t="str">
        <x:v>Chart_7</x:v>
      </x:c>
      <x:c r="D25" s="1" t="str">
        <x:v>NOT_REVEALING</x:v>
      </x:c>
      <x:c r="E25" s="5" t="n">
        <x:v>0.2516</x:v>
      </x:c>
      <x:c r="F25" s="4" t="n">
        <x:v>0</x:v>
      </x:c>
      <x:c r="G25" s="4"/>
      <x:c r="H25" s="6"/>
      <x:c r="I25" s="16" t="n">
        <x:v>1</x:v>
      </x:c>
      <x:c r="J25" t="n">
        <x:v>159</x:v>
      </x:c>
      <x:c r="K25" s="4" t="n">
        <x:v>40</x:v>
      </x:c>
      <x:c r="L25" s="4" t="n">
        <x:v>54</x:v>
      </x:c>
      <x:c r="M25" s="4" t="n">
        <x:v>7</x:v>
      </x:c>
      <x:c r="N25" s="5" t="n">
        <x:v>0.12960000000000002</x:v>
      </x:c>
    </x:row>
    <x:row r="26" ht="24" customHeight="1">
      <x:c r="A26" s="1" t="str">
        <x:v>RESULT</x:v>
      </x:c>
      <x:c r="B26" s="1" t="str">
        <x:v>Round1</x:v>
      </x:c>
      <x:c r="C26" s="1" t="str">
        <x:v>Chart_8</x:v>
      </x:c>
      <x:c r="D26" s="1" t="str">
        <x:v>NOT_REVEALING</x:v>
      </x:c>
      <x:c r="E26" s="5" t="n">
        <x:v>0.2593</x:v>
      </x:c>
      <x:c r="F26" s="4" t="n">
        <x:v>0</x:v>
      </x:c>
      <x:c r="G26" s="4"/>
      <x:c r="H26" s="6"/>
      <x:c r="I26" s="16" t="n">
        <x:v>1</x:v>
      </x:c>
      <x:c r="J26" t="n">
        <x:v>162</x:v>
      </x:c>
      <x:c r="K26" s="4" t="n">
        <x:v>42</x:v>
      </x:c>
      <x:c r="L26" s="4" t="n">
        <x:v>68</x:v>
      </x:c>
      <x:c r="M26" s="4" t="n">
        <x:v>4</x:v>
      </x:c>
      <x:c r="N26" s="5" t="n">
        <x:v>0.0588</x:v>
      </x:c>
    </x:row>
    <x:row r="27" ht="24" customHeight="1">
      <x:c r="A27" s="1" t="str">
        <x:v>RESULT</x:v>
      </x:c>
      <x:c r="B27" s="1" t="str">
        <x:v>Round1</x:v>
      </x:c>
      <x:c r="C27" s="1" t="str">
        <x:v>Chart_9</x:v>
      </x:c>
      <x:c r="D27" s="1" t="str">
        <x:v>NOT_AVAILABLE</x:v>
      </x:c>
      <x:c r="E27" s="5"/>
      <x:c r="F27" s="4" t="n">
        <x:v>0</x:v>
      </x:c>
      <x:c r="G27" s="4"/>
      <x:c r="H27" s="6"/>
      <x:c r="I27" s="16" t="n">
        <x:v>1</x:v>
      </x:c>
      <x:c r="J27"/>
      <x:c r="K27" s="4"/>
      <x:c r="L27" s="4"/>
      <x:c r="M27" s="4"/>
      <x:c r="N27" s="5"/>
    </x:row>
    <x:row r="28" ht="24" customHeight="1">
      <x:c r="A28" s="1" t="str">
        <x:v>RESULT</x:v>
      </x:c>
      <x:c r="B28" s="1" t="str">
        <x:v>Round1</x:v>
      </x:c>
      <x:c r="C28" s="1" t="str">
        <x:v>Cli_1</x:v>
      </x:c>
      <x:c r="D28" s="1" t="str">
        <x:v>INCONCLUSIVE</x:v>
      </x:c>
      <x:c r="E28" s="5" t="n">
        <x:v>0</x:v>
      </x:c>
      <x:c r="F28" s="4" t="n">
        <x:v>0</x:v>
      </x:c>
      <x:c r="G28" s="4" t="n">
        <x:v>14357</x:v>
      </x:c>
      <x:c r="H28" s="6" t="n">
        <x:v>63.6</x:v>
      </x:c>
      <x:c r="I28" s="16" t="n">
        <x:v>1</x:v>
      </x:c>
      <x:c r="J28" t="n">
        <x:v>45</x:v>
      </x:c>
      <x:c r="K28" s="4" t="n">
        <x:v>0</x:v>
      </x:c>
      <x:c r="L28" s="4" t="n">
        <x:v>14</x:v>
      </x:c>
      <x:c r="M28" s="4" t="n">
        <x:v>0</x:v>
      </x:c>
      <x:c r="N28" s="5" t="n">
        <x:v>0</x:v>
      </x:c>
    </x:row>
    <x:row r="29" ht="24" customHeight="1">
      <x:c r="A29" s="1" t="str">
        <x:v>RESULT</x:v>
      </x:c>
      <x:c r="B29" s="1" t="str">
        <x:v>Round1</x:v>
      </x:c>
      <x:c r="C29" s="1" t="str">
        <x:v>Cli_10</x:v>
      </x:c>
      <x:c r="D29" s="1" t="str">
        <x:v>NOT_AVAILABLE</x:v>
      </x:c>
      <x:c r="E29" s="5"/>
      <x:c r="F29" s="4" t="n">
        <x:v>0</x:v>
      </x:c>
      <x:c r="G29" s="4" t="n">
        <x:v>10074</x:v>
      </x:c>
      <x:c r="H29" s="6" t="n">
        <x:v>51.63</x:v>
      </x:c>
      <x:c r="I29" s="16" t="n">
        <x:v>1</x:v>
      </x:c>
      <x:c r="J29"/>
      <x:c r="K29" s="4"/>
      <x:c r="L29" s="4"/>
      <x:c r="M29" s="4"/>
      <x:c r="N29" s="5"/>
    </x:row>
    <x:row r="30" ht="24" customHeight="1">
      <x:c r="A30" s="1" t="str">
        <x:v>RESULT</x:v>
      </x:c>
      <x:c r="B30" s="1" t="str">
        <x:v>Round1</x:v>
      </x:c>
      <x:c r="C30" s="1" t="str">
        <x:v>Cli_11</x:v>
      </x:c>
      <x:c r="D30" s="1" t="str">
        <x:v>INCONCLUSIVE</x:v>
      </x:c>
      <x:c r="E30" s="5" t="n">
        <x:v>0</x:v>
      </x:c>
      <x:c r="F30" s="4" t="n">
        <x:v>0</x:v>
      </x:c>
      <x:c r="G30" s="4" t="n">
        <x:v>13431</x:v>
      </x:c>
      <x:c r="H30" s="6" t="n">
        <x:v>53.15</x:v>
      </x:c>
      <x:c r="I30" s="16" t="n">
        <x:v>1</x:v>
      </x:c>
      <x:c r="J30" t="n">
        <x:v>198</x:v>
      </x:c>
      <x:c r="K30" s="4" t="n">
        <x:v>0</x:v>
      </x:c>
      <x:c r="L30" s="4" t="n">
        <x:v>106</x:v>
      </x:c>
      <x:c r="M30" s="4" t="n">
        <x:v>0</x:v>
      </x:c>
      <x:c r="N30" s="5" t="n">
        <x:v>0</x:v>
      </x:c>
    </x:row>
    <x:row r="31" ht="24" customHeight="1">
      <x:c r="A31" s="1" t="str">
        <x:v>RESULT</x:v>
      </x:c>
      <x:c r="B31" s="1" t="str">
        <x:v>Round1</x:v>
      </x:c>
      <x:c r="C31" s="1" t="str">
        <x:v>Cli_12</x:v>
      </x:c>
      <x:c r="D31" s="1" t="str">
        <x:v>NOT_AVAILABLE</x:v>
      </x:c>
      <x:c r="E31" s="5"/>
      <x:c r="F31" s="4" t="n">
        <x:v>0</x:v>
      </x:c>
      <x:c r="G31" s="4"/>
      <x:c r="H31" s="6" t="n">
        <x:v>45.61</x:v>
      </x:c>
      <x:c r="I31" s="16" t="n">
        <x:v>1</x:v>
      </x:c>
      <x:c r="J31"/>
      <x:c r="K31" s="4"/>
      <x:c r="L31" s="4"/>
      <x:c r="M31" s="4"/>
      <x:c r="N31" s="5"/>
    </x:row>
    <x:row r="32" ht="24" customHeight="1">
      <x:c r="A32" s="1" t="str">
        <x:v>RESULT</x:v>
      </x:c>
      <x:c r="B32" s="1" t="str">
        <x:v>Round1</x:v>
      </x:c>
      <x:c r="C32" s="1" t="str">
        <x:v>Cli_13</x:v>
      </x:c>
      <x:c r="D32" s="1" t="str">
        <x:v>NOT_AVAILABLE</x:v>
      </x:c>
      <x:c r="E32" s="5"/>
      <x:c r="F32" s="4" t="n">
        <x:v>0</x:v>
      </x:c>
      <x:c r="G32" s="4" t="n">
        <x:v>32227</x:v>
      </x:c>
      <x:c r="H32" s="6" t="n">
        <x:v>201</x:v>
      </x:c>
      <x:c r="I32" s="16" t="n">
        <x:v>1</x:v>
      </x:c>
      <x:c r="J32"/>
      <x:c r="K32" s="4"/>
      <x:c r="L32" s="4"/>
      <x:c r="M32" s="4"/>
      <x:c r="N32" s="5"/>
    </x:row>
    <x:row r="33" ht="24" customHeight="1">
      <x:c r="A33" s="1" t="str">
        <x:v>RESULT</x:v>
      </x:c>
      <x:c r="B33" s="1" t="str">
        <x:v>Round1</x:v>
      </x:c>
      <x:c r="C33" s="1" t="str">
        <x:v>Cli_14</x:v>
      </x:c>
      <x:c r="D33" s="1" t="str">
        <x:v>NOT_AVAILABLE</x:v>
      </x:c>
      <x:c r="E33" s="5"/>
      <x:c r="F33" s="4" t="n">
        <x:v>0</x:v>
      </x:c>
      <x:c r="G33" s="4" t="n">
        <x:v>12906</x:v>
      </x:c>
      <x:c r="H33" s="6" t="n">
        <x:v>74.68</x:v>
      </x:c>
      <x:c r="I33" s="16" t="n">
        <x:v>1</x:v>
      </x:c>
      <x:c r="J33"/>
      <x:c r="K33" s="4"/>
      <x:c r="L33" s="4"/>
      <x:c r="M33" s="4"/>
      <x:c r="N33" s="5"/>
    </x:row>
    <x:row r="34" ht="24" customHeight="1">
      <x:c r="A34" s="1" t="str">
        <x:v>RESULT</x:v>
      </x:c>
      <x:c r="B34" s="1" t="str">
        <x:v>Round1</x:v>
      </x:c>
      <x:c r="C34" s="1" t="str">
        <x:v>Cli_15</x:v>
      </x:c>
      <x:c r="D34" s="1" t="str">
        <x:v>INCONCLUSIVE</x:v>
      </x:c>
      <x:c r="E34" s="5" t="n">
        <x:v>0</x:v>
      </x:c>
      <x:c r="F34" s="4" t="n">
        <x:v>0</x:v>
      </x:c>
      <x:c r="G34" s="4" t="n">
        <x:v>13614</x:v>
      </x:c>
      <x:c r="H34" s="6" t="n">
        <x:v>62.19</x:v>
      </x:c>
      <x:c r="I34" s="16" t="n">
        <x:v>1</x:v>
      </x:c>
      <x:c r="J34" t="n">
        <x:v>93</x:v>
      </x:c>
      <x:c r="K34" s="4" t="n">
        <x:v>0</x:v>
      </x:c>
      <x:c r="L34" s="4" t="n">
        <x:v>46</x:v>
      </x:c>
      <x:c r="M34" s="4" t="n">
        <x:v>0</x:v>
      </x:c>
      <x:c r="N34" s="5" t="n">
        <x:v>0</x:v>
      </x:c>
    </x:row>
    <x:row r="35" ht="24" customHeight="1">
      <x:c r="A35" s="1" t="str">
        <x:v>RESULT</x:v>
      </x:c>
      <x:c r="B35" s="1" t="str">
        <x:v>Round1</x:v>
      </x:c>
      <x:c r="C35" s="1" t="str">
        <x:v>Cli_16</x:v>
      </x:c>
      <x:c r="D35" s="1" t="str">
        <x:v>NOT_AVAILABLE</x:v>
      </x:c>
      <x:c r="E35" s="5"/>
      <x:c r="F35" s="4" t="n">
        <x:v>0</x:v>
      </x:c>
      <x:c r="G35" s="4" t="n">
        <x:v>46594</x:v>
      </x:c>
      <x:c r="H35" s="6" t="n">
        <x:v>205.57</x:v>
      </x:c>
      <x:c r="I35" s="16" t="n">
        <x:v>1</x:v>
      </x:c>
      <x:c r="J35"/>
      <x:c r="K35" s="4"/>
      <x:c r="L35" s="4"/>
      <x:c r="M35" s="4"/>
      <x:c r="N35" s="5"/>
    </x:row>
    <x:row r="36" ht="24" customHeight="1">
      <x:c r="A36" s="1" t="str">
        <x:v>RESULT</x:v>
      </x:c>
      <x:c r="B36" s="1" t="str">
        <x:v>Round1</x:v>
      </x:c>
      <x:c r="C36" s="1" t="str">
        <x:v>Cli_17</x:v>
      </x:c>
      <x:c r="D36" s="1" t="str">
        <x:v>INCONCLUSIVE</x:v>
      </x:c>
      <x:c r="E36" s="5" t="n">
        <x:v>0</x:v>
      </x:c>
      <x:c r="F36" s="4" t="n">
        <x:v>0</x:v>
      </x:c>
      <x:c r="G36" s="4" t="n">
        <x:v>9139</x:v>
      </x:c>
      <x:c r="H36" s="6" t="n">
        <x:v>33.38</x:v>
      </x:c>
      <x:c r="I36" s="16" t="n">
        <x:v>1</x:v>
      </x:c>
      <x:c r="J36" t="n">
        <x:v>67</x:v>
      </x:c>
      <x:c r="K36" s="4" t="n">
        <x:v>0</x:v>
      </x:c>
      <x:c r="L36" s="4" t="n">
        <x:v>42</x:v>
      </x:c>
      <x:c r="M36" s="4" t="n">
        <x:v>0</x:v>
      </x:c>
      <x:c r="N36" s="5" t="n">
        <x:v>0</x:v>
      </x:c>
    </x:row>
    <x:row r="37" ht="24" customHeight="1">
      <x:c r="A37" s="1" t="str">
        <x:v>RESULT</x:v>
      </x:c>
      <x:c r="B37" s="1" t="str">
        <x:v>Round1</x:v>
      </x:c>
      <x:c r="C37" s="1" t="str">
        <x:v>Cli_18</x:v>
      </x:c>
      <x:c r="D37" s="1" t="str">
        <x:v>INCONCLUSIVE</x:v>
      </x:c>
      <x:c r="E37" s="5" t="n">
        <x:v>0</x:v>
      </x:c>
      <x:c r="F37" s="4" t="n">
        <x:v>0</x:v>
      </x:c>
      <x:c r="G37" s="4" t="n">
        <x:v>8138</x:v>
      </x:c>
      <x:c r="H37" s="6" t="n">
        <x:v>36.55</x:v>
      </x:c>
      <x:c r="I37" s="16" t="n">
        <x:v>1</x:v>
      </x:c>
      <x:c r="J37" t="n">
        <x:v>66</x:v>
      </x:c>
      <x:c r="K37" s="4" t="n">
        <x:v>0</x:v>
      </x:c>
      <x:c r="L37" s="4" t="n">
        <x:v>42</x:v>
      </x:c>
      <x:c r="M37" s="4" t="n">
        <x:v>0</x:v>
      </x:c>
      <x:c r="N37" s="5" t="n">
        <x:v>0</x:v>
      </x:c>
    </x:row>
    <x:row r="38" ht="24" customHeight="1">
      <x:c r="A38" s="1" t="str">
        <x:v>RESULT</x:v>
      </x:c>
      <x:c r="B38" s="1" t="str">
        <x:v>Round1</x:v>
      </x:c>
      <x:c r="C38" s="1" t="str">
        <x:v>Cli_19</x:v>
      </x:c>
      <x:c r="D38" s="1" t="str">
        <x:v>INCONCLUSIVE</x:v>
      </x:c>
      <x:c r="E38" s="5" t="n">
        <x:v>0</x:v>
      </x:c>
      <x:c r="F38" s="4" t="n">
        <x:v>0</x:v>
      </x:c>
      <x:c r="G38" s="4" t="n">
        <x:v>6904</x:v>
      </x:c>
      <x:c r="H38" s="6" t="n">
        <x:v>47.91</x:v>
      </x:c>
      <x:c r="I38" s="16" t="n">
        <x:v>1</x:v>
      </x:c>
      <x:c r="J38" t="n">
        <x:v>65</x:v>
      </x:c>
      <x:c r="K38" s="4" t="n">
        <x:v>0</x:v>
      </x:c>
      <x:c r="L38" s="4" t="n">
        <x:v>42</x:v>
      </x:c>
      <x:c r="M38" s="4" t="n">
        <x:v>0</x:v>
      </x:c>
      <x:c r="N38" s="5" t="n">
        <x:v>0</x:v>
      </x:c>
    </x:row>
    <x:row r="39" ht="24" customHeight="1">
      <x:c r="A39" s="1" t="str">
        <x:v>RESULT</x:v>
      </x:c>
      <x:c r="B39" s="1" t="str">
        <x:v>Round1</x:v>
      </x:c>
      <x:c r="C39" s="1" t="str">
        <x:v>Cli_2</x:v>
      </x:c>
      <x:c r="D39" s="1" t="str">
        <x:v>INCONCLUSIVE</x:v>
      </x:c>
      <x:c r="E39" s="5" t="n">
        <x:v>0</x:v>
      </x:c>
      <x:c r="F39" s="4" t="n">
        <x:v>0</x:v>
      </x:c>
      <x:c r="G39" s="4" t="n">
        <x:v>10030</x:v>
      </x:c>
      <x:c r="H39" s="6" t="n">
        <x:v>37.59</x:v>
      </x:c>
      <x:c r="I39" s="16" t="n">
        <x:v>1</x:v>
      </x:c>
      <x:c r="J39" t="n">
        <x:v>68</x:v>
      </x:c>
      <x:c r="K39" s="4" t="n">
        <x:v>0</x:v>
      </x:c>
      <x:c r="L39" s="4" t="n">
        <x:v>42</x:v>
      </x:c>
      <x:c r="M39" s="4" t="n">
        <x:v>0</x:v>
      </x:c>
      <x:c r="N39" s="5" t="n">
        <x:v>0</x:v>
      </x:c>
    </x:row>
    <x:row r="40" ht="24" customHeight="1">
      <x:c r="A40" s="1" t="str">
        <x:v>RESULT</x:v>
      </x:c>
      <x:c r="B40" s="1" t="str">
        <x:v>Round1</x:v>
      </x:c>
      <x:c r="C40" s="1" t="str">
        <x:v>Cli_20</x:v>
      </x:c>
      <x:c r="D40" s="1" t="str">
        <x:v>INCONCLUSIVE</x:v>
      </x:c>
      <x:c r="E40" s="5" t="n">
        <x:v>0</x:v>
      </x:c>
      <x:c r="F40" s="4" t="n">
        <x:v>0</x:v>
      </x:c>
      <x:c r="G40" s="4" t="n">
        <x:v>9235</x:v>
      </x:c>
      <x:c r="H40" s="6" t="n">
        <x:v>33.36</x:v>
      </x:c>
      <x:c r="I40" s="16" t="n">
        <x:v>1</x:v>
      </x:c>
      <x:c r="J40" t="n">
        <x:v>64</x:v>
      </x:c>
      <x:c r="K40" s="4" t="n">
        <x:v>0</x:v>
      </x:c>
      <x:c r="L40" s="4" t="n">
        <x:v>42</x:v>
      </x:c>
      <x:c r="M40" s="4" t="n">
        <x:v>0</x:v>
      </x:c>
      <x:c r="N40" s="5" t="n">
        <x:v>0</x:v>
      </x:c>
    </x:row>
    <x:row r="41" ht="24" customHeight="1">
      <x:c r="A41" s="1" t="str">
        <x:v>RESULT</x:v>
      </x:c>
      <x:c r="B41" s="1" t="str">
        <x:v>Round1</x:v>
      </x:c>
      <x:c r="C41" s="1" t="str">
        <x:v>Cli_21</x:v>
      </x:c>
      <x:c r="D41" s="1" t="str">
        <x:v>NOT_AVAILABLE</x:v>
      </x:c>
      <x:c r="E41" s="5"/>
      <x:c r="F41" s="4" t="n">
        <x:v>0</x:v>
      </x:c>
      <x:c r="G41" s="4" t="n">
        <x:v>44499</x:v>
      </x:c>
      <x:c r="H41" s="6" t="n">
        <x:v>193.42</x:v>
      </x:c>
      <x:c r="I41" s="16" t="n">
        <x:v>1</x:v>
      </x:c>
      <x:c r="J41"/>
      <x:c r="K41" s="4"/>
      <x:c r="L41" s="4"/>
      <x:c r="M41" s="4"/>
      <x:c r="N41" s="5"/>
    </x:row>
    <x:row r="42" ht="24" customHeight="1">
      <x:c r="A42" s="1" t="str">
        <x:v>RESULT</x:v>
      </x:c>
      <x:c r="B42" s="1" t="str">
        <x:v>Round1</x:v>
      </x:c>
      <x:c r="C42" s="1" t="str">
        <x:v>Cli_22</x:v>
      </x:c>
      <x:c r="D42" s="1" t="str">
        <x:v>INCONCLUSIVE</x:v>
      </x:c>
      <x:c r="E42" s="5" t="n">
        <x:v>0</x:v>
      </x:c>
      <x:c r="F42" s="4" t="n">
        <x:v>0</x:v>
      </x:c>
      <x:c r="G42" s="4" t="n">
        <x:v>8943</x:v>
      </x:c>
      <x:c r="H42" s="6" t="n">
        <x:v>33.33</x:v>
      </x:c>
      <x:c r="I42" s="16" t="n">
        <x:v>1</x:v>
      </x:c>
      <x:c r="J42" t="n">
        <x:v>57</x:v>
      </x:c>
      <x:c r="K42" s="4" t="n">
        <x:v>0</x:v>
      </x:c>
      <x:c r="L42" s="4" t="n">
        <x:v>38</x:v>
      </x:c>
      <x:c r="M42" s="4" t="n">
        <x:v>0</x:v>
      </x:c>
      <x:c r="N42" s="5" t="n">
        <x:v>0</x:v>
      </x:c>
    </x:row>
    <x:row r="43" ht="24" customHeight="1">
      <x:c r="A43" s="1" t="str">
        <x:v>RESULT</x:v>
      </x:c>
      <x:c r="B43" s="1" t="str">
        <x:v>Round1</x:v>
      </x:c>
      <x:c r="C43" s="1" t="str">
        <x:v>Cli_23</x:v>
      </x:c>
      <x:c r="D43" s="1" t="str">
        <x:v>INCONCLUSIVE</x:v>
      </x:c>
      <x:c r="E43" s="5" t="n">
        <x:v>0</x:v>
      </x:c>
      <x:c r="F43" s="4" t="n">
        <x:v>0</x:v>
      </x:c>
      <x:c r="G43" s="4" t="n">
        <x:v>8536</x:v>
      </x:c>
      <x:c r="H43" s="6" t="n">
        <x:v>23.62</x:v>
      </x:c>
      <x:c r="I43" s="16" t="n">
        <x:v>1</x:v>
      </x:c>
      <x:c r="J43" t="n">
        <x:v>198</x:v>
      </x:c>
      <x:c r="K43" s="4" t="n">
        <x:v>0</x:v>
      </x:c>
      <x:c r="L43" s="4" t="n">
        <x:v>108</x:v>
      </x:c>
      <x:c r="M43" s="4" t="n">
        <x:v>0</x:v>
      </x:c>
      <x:c r="N43" s="5" t="n">
        <x:v>0</x:v>
      </x:c>
    </x:row>
    <x:row r="44" ht="24" customHeight="1">
      <x:c r="A44" s="1" t="str">
        <x:v>RESULT</x:v>
      </x:c>
      <x:c r="B44" s="1" t="str">
        <x:v>Round1</x:v>
      </x:c>
      <x:c r="C44" s="1" t="str">
        <x:v>Cli_24</x:v>
      </x:c>
      <x:c r="D44" s="1" t="str">
        <x:v>INCONCLUSIVE</x:v>
      </x:c>
      <x:c r="E44" s="5" t="n">
        <x:v>0</x:v>
      </x:c>
      <x:c r="F44" s="4" t="n">
        <x:v>0</x:v>
      </x:c>
      <x:c r="G44" s="4" t="n">
        <x:v>9526</x:v>
      </x:c>
      <x:c r="H44" s="6" t="n">
        <x:v>31.4</x:v>
      </x:c>
      <x:c r="I44" s="16" t="n">
        <x:v>1</x:v>
      </x:c>
      <x:c r="J44" t="n">
        <x:v>198</x:v>
      </x:c>
      <x:c r="K44" s="4" t="n">
        <x:v>0</x:v>
      </x:c>
      <x:c r="L44" s="4" t="n">
        <x:v>112</x:v>
      </x:c>
      <x:c r="M44" s="4" t="n">
        <x:v>0</x:v>
      </x:c>
      <x:c r="N44" s="5" t="n">
        <x:v>0</x:v>
      </x:c>
    </x:row>
    <x:row r="45" ht="24" customHeight="1">
      <x:c r="A45" s="1" t="str">
        <x:v>RESULT</x:v>
      </x:c>
      <x:c r="B45" s="1" t="str">
        <x:v>Round1</x:v>
      </x:c>
      <x:c r="C45" s="1" t="str">
        <x:v>Cli_25</x:v>
      </x:c>
      <x:c r="D45" s="1" t="str">
        <x:v>INCONCLUSIVE</x:v>
      </x:c>
      <x:c r="E45" s="5" t="n">
        <x:v>0</x:v>
      </x:c>
      <x:c r="F45" s="4" t="n">
        <x:v>0</x:v>
      </x:c>
      <x:c r="G45" s="4" t="n">
        <x:v>10582</x:v>
      </x:c>
      <x:c r="H45" s="6" t="n">
        <x:v>36.88</x:v>
      </x:c>
      <x:c r="I45" s="16" t="n">
        <x:v>1</x:v>
      </x:c>
      <x:c r="J45" t="n">
        <x:v>198</x:v>
      </x:c>
      <x:c r="K45" s="4" t="n">
        <x:v>0</x:v>
      </x:c>
      <x:c r="L45" s="4" t="n">
        <x:v>112</x:v>
      </x:c>
      <x:c r="M45" s="4" t="n">
        <x:v>0</x:v>
      </x:c>
      <x:c r="N45" s="5" t="n">
        <x:v>0</x:v>
      </x:c>
    </x:row>
    <x:row r="46" ht="24" customHeight="1">
      <x:c r="A46" s="1" t="str">
        <x:v>RESULT</x:v>
      </x:c>
      <x:c r="B46" s="1" t="str">
        <x:v>Round1</x:v>
      </x:c>
      <x:c r="C46" s="1" t="str">
        <x:v>Cli_26</x:v>
      </x:c>
      <x:c r="D46" s="1" t="str">
        <x:v>INCONCLUSIVE</x:v>
      </x:c>
      <x:c r="E46" s="5" t="n">
        <x:v>0</x:v>
      </x:c>
      <x:c r="F46" s="4" t="n">
        <x:v>0</x:v>
      </x:c>
      <x:c r="G46" s="4" t="n">
        <x:v>7169</x:v>
      </x:c>
      <x:c r="H46" s="6" t="n">
        <x:v>36.27</x:v>
      </x:c>
      <x:c r="I46" s="16" t="n">
        <x:v>1</x:v>
      </x:c>
      <x:c r="J46" t="n">
        <x:v>61</x:v>
      </x:c>
      <x:c r="K46" s="4" t="n">
        <x:v>0</x:v>
      </x:c>
      <x:c r="L46" s="4" t="n">
        <x:v>4</x:v>
      </x:c>
      <x:c r="M46" s="4" t="n">
        <x:v>0</x:v>
      </x:c>
      <x:c r="N46" s="5" t="n">
        <x:v>0</x:v>
      </x:c>
    </x:row>
    <x:row r="47" ht="24" customHeight="1">
      <x:c r="A47" s="1" t="str">
        <x:v>RESULT</x:v>
      </x:c>
      <x:c r="B47" s="1" t="str">
        <x:v>Round1</x:v>
      </x:c>
      <x:c r="C47" s="1" t="str">
        <x:v>Cli_27</x:v>
      </x:c>
      <x:c r="D47" s="1" t="str">
        <x:v>INCONCLUSIVE</x:v>
      </x:c>
      <x:c r="E47" s="5" t="n">
        <x:v>0</x:v>
      </x:c>
      <x:c r="F47" s="4" t="n">
        <x:v>0</x:v>
      </x:c>
      <x:c r="G47" s="4" t="n">
        <x:v>5223</x:v>
      </x:c>
      <x:c r="H47" s="6" t="n">
        <x:v>20.61</x:v>
      </x:c>
      <x:c r="I47" s="16" t="n">
        <x:v>1</x:v>
      </x:c>
      <x:c r="J47" t="n">
        <x:v>34</x:v>
      </x:c>
      <x:c r="K47" s="4" t="n">
        <x:v>0</x:v>
      </x:c>
      <x:c r="L47" s="4" t="n">
        <x:v>12</x:v>
      </x:c>
      <x:c r="M47" s="4" t="n">
        <x:v>0</x:v>
      </x:c>
      <x:c r="N47" s="5" t="n">
        <x:v>0</x:v>
      </x:c>
    </x:row>
    <x:row r="48" ht="24" customHeight="1">
      <x:c r="A48" s="1" t="str">
        <x:v>RESULT</x:v>
      </x:c>
      <x:c r="B48" s="1" t="str">
        <x:v>Round1</x:v>
      </x:c>
      <x:c r="C48" s="1" t="str">
        <x:v>Cli_28</x:v>
      </x:c>
      <x:c r="D48" s="1" t="str">
        <x:v>INCONCLUSIVE</x:v>
      </x:c>
      <x:c r="E48" s="5" t="n">
        <x:v>0</x:v>
      </x:c>
      <x:c r="F48" s="4" t="n">
        <x:v>0</x:v>
      </x:c>
      <x:c r="G48" s="4" t="n">
        <x:v>15637</x:v>
      </x:c>
      <x:c r="H48" s="6" t="n">
        <x:v>65.89</x:v>
      </x:c>
      <x:c r="I48" s="16" t="n">
        <x:v>1</x:v>
      </x:c>
      <x:c r="J48" t="n">
        <x:v>101</x:v>
      </x:c>
      <x:c r="K48" s="4" t="n">
        <x:v>0</x:v>
      </x:c>
      <x:c r="L48" s="4" t="n">
        <x:v>68</x:v>
      </x:c>
      <x:c r="M48" s="4" t="n">
        <x:v>0</x:v>
      </x:c>
      <x:c r="N48" s="5" t="n">
        <x:v>0</x:v>
      </x:c>
    </x:row>
    <x:row r="49" ht="24" customHeight="1">
      <x:c r="A49" s="1" t="str">
        <x:v>RESULT</x:v>
      </x:c>
      <x:c r="B49" s="1" t="str">
        <x:v>Round1</x:v>
      </x:c>
      <x:c r="C49" s="1" t="str">
        <x:v>Cli_29</x:v>
      </x:c>
      <x:c r="D49" s="1" t="str">
        <x:v>INCONCLUSIVE</x:v>
      </x:c>
      <x:c r="E49" s="5" t="n">
        <x:v>0</x:v>
      </x:c>
      <x:c r="F49" s="4" t="n">
        <x:v>0</x:v>
      </x:c>
      <x:c r="G49" s="4" t="n">
        <x:v>4304</x:v>
      </x:c>
      <x:c r="H49" s="6" t="n">
        <x:v>15.98</x:v>
      </x:c>
      <x:c r="I49" s="16" t="n">
        <x:v>1</x:v>
      </x:c>
      <x:c r="J49" t="n">
        <x:v>14</x:v>
      </x:c>
      <x:c r="K49" s="4" t="n">
        <x:v>0</x:v>
      </x:c>
      <x:c r="L49" s="4" t="n">
        <x:v>10</x:v>
      </x:c>
      <x:c r="M49" s="4" t="n">
        <x:v>0</x:v>
      </x:c>
      <x:c r="N49" s="5" t="n">
        <x:v>0</x:v>
      </x:c>
    </x:row>
    <x:row r="50" ht="24" customHeight="1">
      <x:c r="A50" s="1" t="str">
        <x:v>RESULT</x:v>
      </x:c>
      <x:c r="B50" s="1" t="str">
        <x:v>Round1</x:v>
      </x:c>
      <x:c r="C50" s="1" t="str">
        <x:v>Cli_3</x:v>
      </x:c>
      <x:c r="D50" s="1" t="str">
        <x:v>INCONCLUSIVE</x:v>
      </x:c>
      <x:c r="E50" s="5" t="n">
        <x:v>0</x:v>
      </x:c>
      <x:c r="F50" s="4" t="n">
        <x:v>0</x:v>
      </x:c>
      <x:c r="G50" s="4" t="n">
        <x:v>7513</x:v>
      </x:c>
      <x:c r="H50" s="6" t="n">
        <x:v>29.89</x:v>
      </x:c>
      <x:c r="I50" s="16" t="n">
        <x:v>1</x:v>
      </x:c>
      <x:c r="J50" t="n">
        <x:v>55</x:v>
      </x:c>
      <x:c r="K50" s="4" t="n">
        <x:v>0</x:v>
      </x:c>
      <x:c r="L50" s="4" t="n">
        <x:v>20</x:v>
      </x:c>
      <x:c r="M50" s="4" t="n">
        <x:v>0</x:v>
      </x:c>
      <x:c r="N50" s="5" t="n">
        <x:v>0</x:v>
      </x:c>
    </x:row>
    <x:row r="51" ht="24" customHeight="1">
      <x:c r="A51" s="1" t="str">
        <x:v>RESULT</x:v>
      </x:c>
      <x:c r="B51" s="1" t="str">
        <x:v>Round1</x:v>
      </x:c>
      <x:c r="C51" s="1" t="str">
        <x:v>Cli_30</x:v>
      </x:c>
      <x:c r="D51" s="1" t="str">
        <x:v>INCONCLUSIVE</x:v>
      </x:c>
      <x:c r="E51" s="5" t="n">
        <x:v>0</x:v>
      </x:c>
      <x:c r="F51" s="4" t="n">
        <x:v>0</x:v>
      </x:c>
      <x:c r="G51" s="4" t="n">
        <x:v>21749</x:v>
      </x:c>
      <x:c r="H51" s="6" t="n">
        <x:v>79.29</x:v>
      </x:c>
      <x:c r="I51" s="16" t="n">
        <x:v>1</x:v>
      </x:c>
      <x:c r="J51" t="n">
        <x:v>288</x:v>
      </x:c>
      <x:c r="K51" s="4" t="n">
        <x:v>0</x:v>
      </x:c>
      <x:c r="L51" s="4" t="n">
        <x:v>218</x:v>
      </x:c>
      <x:c r="M51" s="4" t="n">
        <x:v>0</x:v>
      </x:c>
      <x:c r="N51" s="5" t="n">
        <x:v>0</x:v>
      </x:c>
    </x:row>
    <x:row r="52" ht="24" customHeight="1">
      <x:c r="A52" s="1" t="str">
        <x:v>RESULT</x:v>
      </x:c>
      <x:c r="B52" s="1" t="str">
        <x:v>Round1</x:v>
      </x:c>
      <x:c r="C52" s="1" t="str">
        <x:v>Cli_31</x:v>
      </x:c>
      <x:c r="D52" s="1" t="str">
        <x:v>INCONCLUSIVE</x:v>
      </x:c>
      <x:c r="E52" s="5" t="n">
        <x:v>0</x:v>
      </x:c>
      <x:c r="F52" s="4" t="n">
        <x:v>0</x:v>
      </x:c>
      <x:c r="G52" s="4" t="n">
        <x:v>35718</x:v>
      </x:c>
      <x:c r="H52" s="6" t="n">
        <x:v>128.01</x:v>
      </x:c>
      <x:c r="I52" s="16" t="n">
        <x:v>1</x:v>
      </x:c>
      <x:c r="J52" t="n">
        <x:v>386</x:v>
      </x:c>
      <x:c r="K52" s="4" t="n">
        <x:v>0</x:v>
      </x:c>
      <x:c r="L52" s="4" t="n">
        <x:v>208</x:v>
      </x:c>
      <x:c r="M52" s="4" t="n">
        <x:v>0</x:v>
      </x:c>
      <x:c r="N52" s="5" t="n">
        <x:v>0</x:v>
      </x:c>
    </x:row>
    <x:row r="53" ht="24" customHeight="1">
      <x:c r="A53" s="1" t="str">
        <x:v>RESULT</x:v>
      </x:c>
      <x:c r="B53" s="1" t="str">
        <x:v>Round1</x:v>
      </x:c>
      <x:c r="C53" s="1" t="str">
        <x:v>Cli_32</x:v>
      </x:c>
      <x:c r="D53" s="1" t="str">
        <x:v>INCONCLUSIVE</x:v>
      </x:c>
      <x:c r="E53" s="5" t="n">
        <x:v>0</x:v>
      </x:c>
      <x:c r="F53" s="4" t="n">
        <x:v>0</x:v>
      </x:c>
      <x:c r="G53" s="4" t="n">
        <x:v>11747</x:v>
      </x:c>
      <x:c r="H53" s="6" t="n">
        <x:v>39.7</x:v>
      </x:c>
      <x:c r="I53" s="16" t="n">
        <x:v>1</x:v>
      </x:c>
      <x:c r="J53" t="n">
        <x:v>203</x:v>
      </x:c>
      <x:c r="K53" s="4" t="n">
        <x:v>0</x:v>
      </x:c>
      <x:c r="L53" s="4" t="n">
        <x:v>122</x:v>
      </x:c>
      <x:c r="M53" s="4" t="n">
        <x:v>0</x:v>
      </x:c>
      <x:c r="N53" s="5" t="n">
        <x:v>0</x:v>
      </x:c>
    </x:row>
    <x:row r="54" ht="24" customHeight="1">
      <x:c r="A54" s="1" t="str">
        <x:v>RESULT</x:v>
      </x:c>
      <x:c r="B54" s="1" t="str">
        <x:v>Round1</x:v>
      </x:c>
      <x:c r="C54" s="1" t="str">
        <x:v>Cli_33</x:v>
      </x:c>
      <x:c r="D54" s="1" t="str">
        <x:v>INCONCLUSIVE</x:v>
      </x:c>
      <x:c r="E54" s="5" t="n">
        <x:v>0</x:v>
      </x:c>
      <x:c r="F54" s="4" t="n">
        <x:v>0</x:v>
      </x:c>
      <x:c r="G54" s="4" t="n">
        <x:v>11599</x:v>
      </x:c>
      <x:c r="H54" s="6" t="n">
        <x:v>38.46</x:v>
      </x:c>
      <x:c r="I54" s="16" t="n">
        <x:v>1</x:v>
      </x:c>
      <x:c r="J54" t="n">
        <x:v>201</x:v>
      </x:c>
      <x:c r="K54" s="4" t="n">
        <x:v>0</x:v>
      </x:c>
      <x:c r="L54" s="4" t="n">
        <x:v>114</x:v>
      </x:c>
      <x:c r="M54" s="4" t="n">
        <x:v>0</x:v>
      </x:c>
      <x:c r="N54" s="5" t="n">
        <x:v>0</x:v>
      </x:c>
    </x:row>
    <x:row r="55" ht="24" customHeight="1">
      <x:c r="A55" s="1" t="str">
        <x:v>RESULT</x:v>
      </x:c>
      <x:c r="B55" s="1" t="str">
        <x:v>Round1</x:v>
      </x:c>
      <x:c r="C55" s="1" t="str">
        <x:v>Cli_34</x:v>
      </x:c>
      <x:c r="D55" s="1" t="str">
        <x:v>INCONCLUSIVE</x:v>
      </x:c>
      <x:c r="E55" s="5" t="n">
        <x:v>0</x:v>
      </x:c>
      <x:c r="F55" s="4" t="n">
        <x:v>0</x:v>
      </x:c>
      <x:c r="G55" s="4" t="n">
        <x:v>20618</x:v>
      </x:c>
      <x:c r="H55" s="6" t="n">
        <x:v>69.37</x:v>
      </x:c>
      <x:c r="I55" s="16" t="n">
        <x:v>1</x:v>
      </x:c>
      <x:c r="J55" t="n">
        <x:v>180</x:v>
      </x:c>
      <x:c r="K55" s="4" t="n">
        <x:v>0</x:v>
      </x:c>
      <x:c r="L55" s="4" t="n">
        <x:v>88</x:v>
      </x:c>
      <x:c r="M55" s="4" t="n">
        <x:v>0</x:v>
      </x:c>
      <x:c r="N55" s="5" t="n">
        <x:v>0</x:v>
      </x:c>
    </x:row>
    <x:row r="56" ht="24" customHeight="1">
      <x:c r="A56" s="1" t="str">
        <x:v>RESULT</x:v>
      </x:c>
      <x:c r="B56" s="1" t="str">
        <x:v>Round1</x:v>
      </x:c>
      <x:c r="C56" s="1" t="str">
        <x:v>Cli_35</x:v>
      </x:c>
      <x:c r="D56" s="1" t="str">
        <x:v>INCONCLUSIVE</x:v>
      </x:c>
      <x:c r="E56" s="5" t="n">
        <x:v>1</x:v>
      </x:c>
      <x:c r="F56" s="4" t="n">
        <x:v>0</x:v>
      </x:c>
      <x:c r="G56" s="4" t="n">
        <x:v>7863</x:v>
      </x:c>
      <x:c r="H56" s="6" t="n">
        <x:v>27.08</x:v>
      </x:c>
      <x:c r="I56" s="16" t="n">
        <x:v>1</x:v>
      </x:c>
      <x:c r="J56" t="n">
        <x:v>57</x:v>
      </x:c>
      <x:c r="K56" s="4" t="n">
        <x:v>57</x:v>
      </x:c>
      <x:c r="L56" s="4" t="n">
        <x:v>20</x:v>
      </x:c>
      <x:c r="M56" s="4" t="n">
        <x:v>20</x:v>
      </x:c>
      <x:c r="N56" s="5" t="n">
        <x:v>1</x:v>
      </x:c>
    </x:row>
    <x:row r="57" ht="24" customHeight="1">
      <x:c r="A57" s="1" t="str">
        <x:v>RESULT</x:v>
      </x:c>
      <x:c r="B57" s="1" t="str">
        <x:v>Round1</x:v>
      </x:c>
      <x:c r="C57" s="1" t="str">
        <x:v>Cli_36</x:v>
      </x:c>
      <x:c r="D57" s="1" t="str">
        <x:v>NOT_REVEALING</x:v>
      </x:c>
      <x:c r="E57" s="5" t="n">
        <x:v>1</x:v>
      </x:c>
      <x:c r="F57" s="4" t="n">
        <x:v>0</x:v>
      </x:c>
      <x:c r="G57" s="4" t="n">
        <x:v>13646</x:v>
      </x:c>
      <x:c r="H57" s="6" t="n">
        <x:v>53.17</x:v>
      </x:c>
      <x:c r="I57" s="16" t="n">
        <x:v>1</x:v>
      </x:c>
      <x:c r="J57" t="n">
        <x:v>94</x:v>
      </x:c>
      <x:c r="K57" s="4" t="n">
        <x:v>94</x:v>
      </x:c>
      <x:c r="L57" s="4" t="n">
        <x:v>36</x:v>
      </x:c>
      <x:c r="M57" s="4" t="n">
        <x:v>36</x:v>
      </x:c>
      <x:c r="N57" s="5" t="n">
        <x:v>1</x:v>
      </x:c>
    </x:row>
    <x:row r="58" ht="24" customHeight="1">
      <x:c r="A58" s="1" t="str">
        <x:v>RESULT</x:v>
      </x:c>
      <x:c r="B58" s="1" t="str">
        <x:v>Round1</x:v>
      </x:c>
      <x:c r="C58" s="1" t="str">
        <x:v>Cli_37</x:v>
      </x:c>
      <x:c r="D58" s="1" t="str">
        <x:v>NOT_REVEALING</x:v>
      </x:c>
      <x:c r="E58" s="5" t="n">
        <x:v>0.9571999999999999</x:v>
      </x:c>
      <x:c r="F58" s="4" t="n">
        <x:v>0</x:v>
      </x:c>
      <x:c r="G58" s="4" t="n">
        <x:v>11683</x:v>
      </x:c>
      <x:c r="H58" s="6" t="n">
        <x:v>44.57</x:v>
      </x:c>
      <x:c r="I58" s="16" t="n">
        <x:v>1</x:v>
      </x:c>
      <x:c r="J58" t="n">
        <x:v>187</x:v>
      </x:c>
      <x:c r="K58" s="4" t="n">
        <x:v>179</x:v>
      </x:c>
      <x:c r="L58" s="4" t="n">
        <x:v>158</x:v>
      </x:c>
      <x:c r="M58" s="4" t="n">
        <x:v>133</x:v>
      </x:c>
      <x:c r="N58" s="5" t="n">
        <x:v>0.8418000000000001</x:v>
      </x:c>
    </x:row>
    <x:row r="59" ht="24" customHeight="1">
      <x:c r="A59" s="1" t="str">
        <x:v>RESULT</x:v>
      </x:c>
      <x:c r="B59" s="1" t="str">
        <x:v>Round1</x:v>
      </x:c>
      <x:c r="C59" s="1" t="str">
        <x:v>Cli_38</x:v>
      </x:c>
      <x:c r="D59" s="1" t="str">
        <x:v>INCONCLUSIVE</x:v>
      </x:c>
      <x:c r="E59" s="5" t="n">
        <x:v>0.9372</x:v>
      </x:c>
      <x:c r="F59" s="4" t="n">
        <x:v>0</x:v>
      </x:c>
      <x:c r="G59" s="4" t="n">
        <x:v>16777</x:v>
      </x:c>
      <x:c r="H59" s="6" t="n">
        <x:v>74.76</x:v>
      </x:c>
      <x:c r="I59" s="16" t="n">
        <x:v>1</x:v>
      </x:c>
      <x:c r="J59" t="n">
        <x:v>191</x:v>
      </x:c>
      <x:c r="K59" s="4" t="n">
        <x:v>179</x:v>
      </x:c>
      <x:c r="L59" s="4" t="n">
        <x:v>158</x:v>
      </x:c>
      <x:c r="M59" s="4" t="n">
        <x:v>132</x:v>
      </x:c>
      <x:c r="N59" s="5" t="n">
        <x:v>0.8354</x:v>
      </x:c>
    </x:row>
    <x:row r="60" ht="24" customHeight="1">
      <x:c r="A60" s="1" t="str">
        <x:v>RESULT</x:v>
      </x:c>
      <x:c r="B60" s="1" t="str">
        <x:v>Round1</x:v>
      </x:c>
      <x:c r="C60" s="1" t="str">
        <x:v>Cli_39</x:v>
      </x:c>
      <x:c r="D60" s="1" t="str">
        <x:v>INCONCLUSIVE</x:v>
      </x:c>
      <x:c r="E60" s="5" t="n">
        <x:v>1</x:v>
      </x:c>
      <x:c r="F60" s="4" t="n">
        <x:v>0</x:v>
      </x:c>
      <x:c r="G60" s="4" t="n">
        <x:v>6785</x:v>
      </x:c>
      <x:c r="H60" s="6" t="n">
        <x:v>25.02</x:v>
      </x:c>
      <x:c r="I60" s="16" t="n">
        <x:v>1</x:v>
      </x:c>
      <x:c r="J60" t="n">
        <x:v>42</x:v>
      </x:c>
      <x:c r="K60" s="4" t="n">
        <x:v>42</x:v>
      </x:c>
      <x:c r="L60" s="4" t="n">
        <x:v>20</x:v>
      </x:c>
      <x:c r="M60" s="4" t="n">
        <x:v>20</x:v>
      </x:c>
      <x:c r="N60" s="5" t="n">
        <x:v>1</x:v>
      </x:c>
    </x:row>
    <x:row r="61" ht="24" customHeight="1">
      <x:c r="A61" s="1" t="str">
        <x:v>RESULT</x:v>
      </x:c>
      <x:c r="B61" s="1" t="str">
        <x:v>Round1</x:v>
      </x:c>
      <x:c r="C61" s="1" t="str">
        <x:v>Cli_4</x:v>
      </x:c>
      <x:c r="D61" s="1" t="str">
        <x:v>INCONCLUSIVE</x:v>
      </x:c>
      <x:c r="E61" s="5" t="n">
        <x:v>0</x:v>
      </x:c>
      <x:c r="F61" s="4" t="n">
        <x:v>0</x:v>
      </x:c>
      <x:c r="G61" s="4" t="n">
        <x:v>9748</x:v>
      </x:c>
      <x:c r="H61" s="6" t="n">
        <x:v>32.15</x:v>
      </x:c>
      <x:c r="I61" s="16" t="n">
        <x:v>1</x:v>
      </x:c>
      <x:c r="J61" t="n">
        <x:v>99</x:v>
      </x:c>
      <x:c r="K61" s="4" t="n">
        <x:v>0</x:v>
      </x:c>
      <x:c r="L61" s="4" t="n">
        <x:v>68</x:v>
      </x:c>
      <x:c r="M61" s="4" t="n">
        <x:v>0</x:v>
      </x:c>
      <x:c r="N61" s="5" t="n">
        <x:v>0</x:v>
      </x:c>
    </x:row>
    <x:row r="62" ht="24" customHeight="1">
      <x:c r="A62" s="1" t="str">
        <x:v>RESULT</x:v>
      </x:c>
      <x:c r="B62" s="1" t="str">
        <x:v>Round1</x:v>
      </x:c>
      <x:c r="C62" s="1" t="str">
        <x:v>Cli_40</x:v>
      </x:c>
      <x:c r="D62" s="1" t="str">
        <x:v>NOT_AVAILABLE</x:v>
      </x:c>
      <x:c r="E62" s="5"/>
      <x:c r="F62" s="4" t="n">
        <x:v>0</x:v>
      </x:c>
      <x:c r="G62" s="4" t="n">
        <x:v>7021</x:v>
      </x:c>
      <x:c r="H62" s="6" t="n">
        <x:v>24.33</x:v>
      </x:c>
      <x:c r="I62" s="16" t="n">
        <x:v>1</x:v>
      </x:c>
      <x:c r="J62"/>
      <x:c r="K62" s="4"/>
      <x:c r="L62" s="4"/>
      <x:c r="M62" s="4"/>
      <x:c r="N62" s="5"/>
    </x:row>
    <x:row r="63" ht="24" customHeight="1">
      <x:c r="A63" s="1" t="str">
        <x:v>RESULT</x:v>
      </x:c>
      <x:c r="B63" s="1" t="str">
        <x:v>Round1</x:v>
      </x:c>
      <x:c r="C63" s="1" t="str">
        <x:v>Cli_5</x:v>
      </x:c>
      <x:c r="D63" s="1" t="str">
        <x:v>INCONCLUSIVE</x:v>
      </x:c>
      <x:c r="E63" s="5" t="n">
        <x:v>0</x:v>
      </x:c>
      <x:c r="F63" s="4" t="n">
        <x:v>0</x:v>
      </x:c>
      <x:c r="G63" s="4" t="n">
        <x:v>4221</x:v>
      </x:c>
      <x:c r="H63" s="6" t="n">
        <x:v>17.32</x:v>
      </x:c>
      <x:c r="I63" s="16" t="n">
        <x:v>1</x:v>
      </x:c>
      <x:c r="J63" t="n">
        <x:v>11</x:v>
      </x:c>
      <x:c r="K63" s="4" t="n">
        <x:v>0</x:v>
      </x:c>
      <x:c r="L63" s="4" t="n">
        <x:v>8</x:v>
      </x:c>
      <x:c r="M63" s="4" t="n">
        <x:v>0</x:v>
      </x:c>
      <x:c r="N63" s="5" t="n">
        <x:v>0</x:v>
      </x:c>
    </x:row>
    <x:row r="64" ht="24" customHeight="1">
      <x:c r="A64" s="1" t="str">
        <x:v>RESULT</x:v>
      </x:c>
      <x:c r="B64" s="1" t="str">
        <x:v>Round1</x:v>
      </x:c>
      <x:c r="C64" s="1" t="str">
        <x:v>Cli_7</x:v>
      </x:c>
      <x:c r="D64" s="1" t="str">
        <x:v>INCONCLUSIVE</x:v>
      </x:c>
      <x:c r="E64" s="5" t="n">
        <x:v>0</x:v>
      </x:c>
      <x:c r="F64" s="4" t="n">
        <x:v>0</x:v>
      </x:c>
      <x:c r="G64" s="4" t="n">
        <x:v>6282</x:v>
      </x:c>
      <x:c r="H64" s="6" t="n">
        <x:v>23.46</x:v>
      </x:c>
      <x:c r="I64" s="16" t="n">
        <x:v>1</x:v>
      </x:c>
      <x:c r="J64" t="n">
        <x:v>68</x:v>
      </x:c>
      <x:c r="K64" s="4" t="n">
        <x:v>0</x:v>
      </x:c>
      <x:c r="L64" s="4" t="n">
        <x:v>27</x:v>
      </x:c>
      <x:c r="M64" s="4" t="n">
        <x:v>0</x:v>
      </x:c>
      <x:c r="N64" s="5" t="n">
        <x:v>0</x:v>
      </x:c>
    </x:row>
    <x:row r="65" ht="24" customHeight="1">
      <x:c r="A65" s="1" t="str">
        <x:v>RESULT</x:v>
      </x:c>
      <x:c r="B65" s="1" t="str">
        <x:v>Round1</x:v>
      </x:c>
      <x:c r="C65" s="1" t="str">
        <x:v>Cli_8</x:v>
      </x:c>
      <x:c r="D65" s="1" t="str">
        <x:v>INCONCLUSIVE</x:v>
      </x:c>
      <x:c r="E65" s="5" t="n">
        <x:v>0</x:v>
      </x:c>
      <x:c r="F65" s="4" t="n">
        <x:v>0</x:v>
      </x:c>
      <x:c r="G65" s="4" t="n">
        <x:v>10601</x:v>
      </x:c>
      <x:c r="H65" s="6" t="n">
        <x:v>36.83</x:v>
      </x:c>
      <x:c r="I65" s="16" t="n">
        <x:v>1</x:v>
      </x:c>
      <x:c r="J65" t="n">
        <x:v>192</x:v>
      </x:c>
      <x:c r="K65" s="4" t="n">
        <x:v>0</x:v>
      </x:c>
      <x:c r="L65" s="4" t="n">
        <x:v>104</x:v>
      </x:c>
      <x:c r="M65" s="4" t="n">
        <x:v>0</x:v>
      </x:c>
      <x:c r="N65" s="5" t="n">
        <x:v>0</x:v>
      </x:c>
    </x:row>
    <x:row r="66" ht="24" customHeight="1">
      <x:c r="A66" s="1" t="str">
        <x:v>RESULT</x:v>
      </x:c>
      <x:c r="B66" s="1" t="str">
        <x:v>Round1</x:v>
      </x:c>
      <x:c r="C66" s="1" t="str">
        <x:v>Cli_9</x:v>
      </x:c>
      <x:c r="D66" s="1" t="str">
        <x:v>INCONCLUSIVE</x:v>
      </x:c>
      <x:c r="E66" s="5" t="n">
        <x:v>0</x:v>
      </x:c>
      <x:c r="F66" s="4" t="n">
        <x:v>0</x:v>
      </x:c>
      <x:c r="G66" s="4" t="n">
        <x:v>12531</x:v>
      </x:c>
      <x:c r="H66" s="6" t="n">
        <x:v>50.14</x:v>
      </x:c>
      <x:c r="I66" s="16" t="n">
        <x:v>1</x:v>
      </x:c>
      <x:c r="J66" t="n">
        <x:v>105</x:v>
      </x:c>
      <x:c r="K66" s="4" t="n">
        <x:v>0</x:v>
      </x:c>
      <x:c r="L66" s="4" t="n">
        <x:v>70</x:v>
      </x:c>
      <x:c r="M66" s="4" t="n">
        <x:v>0</x:v>
      </x:c>
      <x:c r="N66" s="5" t="n">
        <x:v>0</x:v>
      </x:c>
    </x:row>
    <x:row r="67" ht="24" customHeight="1">
      <x:c r="A67" s="1" t="str">
        <x:v>RESULT</x:v>
      </x:c>
      <x:c r="B67" s="1" t="str">
        <x:v>Round1</x:v>
      </x:c>
      <x:c r="C67" s="1" t="str">
        <x:v>Closure_1</x:v>
      </x:c>
      <x:c r="D67" s="1" t="str">
        <x:v>NOT_AVAILABLE</x:v>
      </x:c>
      <x:c r="E67" s="5"/>
      <x:c r="F67" s="4" t="n">
        <x:v>0</x:v>
      </x:c>
      <x:c r="G67" s="4" t="n">
        <x:v>10591</x:v>
      </x:c>
      <x:c r="H67" s="6" t="n">
        <x:v>26.88</x:v>
      </x:c>
      <x:c r="I67" s="16" t="n">
        <x:v>1</x:v>
      </x:c>
      <x:c r="J67"/>
      <x:c r="K67" s="4"/>
      <x:c r="L67" s="4"/>
      <x:c r="M67" s="4"/>
      <x:c r="N67" s="5"/>
    </x:row>
    <x:row r="68" ht="24" customHeight="1">
      <x:c r="A68" s="1" t="str">
        <x:v>RESULT</x:v>
      </x:c>
      <x:c r="B68" s="1" t="str">
        <x:v>Round1</x:v>
      </x:c>
      <x:c r="C68" s="1" t="str">
        <x:v>Closure_10</x:v>
      </x:c>
      <x:c r="D68" s="1" t="str">
        <x:v>NOT_AVAILABLE</x:v>
      </x:c>
      <x:c r="E68" s="5"/>
      <x:c r="F68" s="4" t="n">
        <x:v>0</x:v>
      </x:c>
      <x:c r="G68" s="4" t="n">
        <x:v>35664</x:v>
      </x:c>
      <x:c r="H68" s="6" t="n">
        <x:v>84.09</x:v>
      </x:c>
      <x:c r="I68" s="16" t="n">
        <x:v>1</x:v>
      </x:c>
      <x:c r="J68"/>
      <x:c r="K68" s="4"/>
      <x:c r="L68" s="4"/>
      <x:c r="M68" s="4"/>
      <x:c r="N68" s="5"/>
    </x:row>
    <x:row r="69" ht="24" customHeight="1">
      <x:c r="A69" s="1" t="str">
        <x:v>RESULT</x:v>
      </x:c>
      <x:c r="B69" s="1" t="str">
        <x:v>Round1</x:v>
      </x:c>
      <x:c r="C69" s="1" t="str">
        <x:v>Closure_100</x:v>
      </x:c>
      <x:c r="D69" s="1" t="str">
        <x:v>NOT_AVAILABLE</x:v>
      </x:c>
      <x:c r="E69" s="5"/>
      <x:c r="F69" s="4" t="n">
        <x:v>0</x:v>
      </x:c>
      <x:c r="G69" s="4" t="n">
        <x:v>5313</x:v>
      </x:c>
      <x:c r="H69" s="6" t="n">
        <x:v>15.39</x:v>
      </x:c>
      <x:c r="I69" s="16" t="n">
        <x:v>1</x:v>
      </x:c>
      <x:c r="J69"/>
      <x:c r="K69" s="4"/>
      <x:c r="L69" s="4"/>
      <x:c r="M69" s="4"/>
      <x:c r="N69" s="5"/>
    </x:row>
    <x:row r="70" ht="24" customHeight="1">
      <x:c r="A70" s="1" t="str">
        <x:v>RESULT</x:v>
      </x:c>
      <x:c r="B70" s="1" t="str">
        <x:v>Round1</x:v>
      </x:c>
      <x:c r="C70" s="1" t="str">
        <x:v>Closure_101</x:v>
      </x:c>
      <x:c r="D70" s="1" t="str">
        <x:v>INCONCLUSIVE</x:v>
      </x:c>
      <x:c r="E70" s="5" t="n">
        <x:v>0.903</x:v>
      </x:c>
      <x:c r="F70" s="4" t="n">
        <x:v>0</x:v>
      </x:c>
      <x:c r="G70" s="4" t="n">
        <x:v>12402</x:v>
      </x:c>
      <x:c r="H70" s="6" t="n">
        <x:v>35.12</x:v>
      </x:c>
      <x:c r="I70" s="16" t="n">
        <x:v>1</x:v>
      </x:c>
      <x:c r="J70" t="n">
        <x:v>165</x:v>
      </x:c>
      <x:c r="K70" s="4" t="n">
        <x:v>149</x:v>
      </x:c>
      <x:c r="L70" s="4" t="n">
        <x:v>24</x:v>
      </x:c>
      <x:c r="M70" s="4" t="n">
        <x:v>21</x:v>
      </x:c>
      <x:c r="N70" s="5" t="n">
        <x:v>0.875</x:v>
      </x:c>
    </x:row>
    <x:row r="71" ht="24" customHeight="1">
      <x:c r="A71" s="1" t="str">
        <x:v>RESULT</x:v>
      </x:c>
      <x:c r="B71" s="1" t="str">
        <x:v>Round1</x:v>
      </x:c>
      <x:c r="C71" s="1" t="str">
        <x:v>Closure_102</x:v>
      </x:c>
      <x:c r="D71" s="1" t="str">
        <x:v>NOT_AVAILABLE</x:v>
      </x:c>
      <x:c r="E71" s="5"/>
      <x:c r="F71" s="4" t="n">
        <x:v>0</x:v>
      </x:c>
      <x:c r="G71" s="4" t="n">
        <x:v>12797</x:v>
      </x:c>
      <x:c r="H71" s="6" t="n">
        <x:v>36.3</x:v>
      </x:c>
      <x:c r="I71" s="16" t="n">
        <x:v>1</x:v>
      </x:c>
      <x:c r="J71"/>
      <x:c r="K71" s="4"/>
      <x:c r="L71" s="4"/>
      <x:c r="M71" s="4"/>
      <x:c r="N71" s="5"/>
    </x:row>
    <x:row r="72" ht="24" customHeight="1">
      <x:c r="A72" s="1" t="str">
        <x:v>RESULT</x:v>
      </x:c>
      <x:c r="B72" s="1" t="str">
        <x:v>Round1</x:v>
      </x:c>
      <x:c r="C72" s="1" t="str">
        <x:v>Closure_103</x:v>
      </x:c>
      <x:c r="D72" s="1" t="str">
        <x:v>NOT_AVAILABLE</x:v>
      </x:c>
      <x:c r="E72" s="5"/>
      <x:c r="F72" s="4" t="n">
        <x:v>0</x:v>
      </x:c>
      <x:c r="G72" s="4" t="n">
        <x:v>37111</x:v>
      </x:c>
      <x:c r="H72" s="6" t="n">
        <x:v>121.25</x:v>
      </x:c>
      <x:c r="I72" s="16" t="n">
        <x:v>1</x:v>
      </x:c>
      <x:c r="J72"/>
      <x:c r="K72" s="4"/>
      <x:c r="L72" s="4"/>
      <x:c r="M72" s="4"/>
      <x:c r="N72" s="5"/>
    </x:row>
    <x:row r="73" ht="24" customHeight="1">
      <x:c r="A73" s="1" t="str">
        <x:v>RESULT</x:v>
      </x:c>
      <x:c r="B73" s="1" t="str">
        <x:v>Round1</x:v>
      </x:c>
      <x:c r="C73" s="1" t="str">
        <x:v>Closure_104</x:v>
      </x:c>
      <x:c r="D73" s="1" t="str">
        <x:v>NOT_AVAILABLE</x:v>
      </x:c>
      <x:c r="E73" s="5"/>
      <x:c r="F73" s="4" t="n">
        <x:v>0</x:v>
      </x:c>
      <x:c r="G73" s="4" t="n">
        <x:v>11961</x:v>
      </x:c>
      <x:c r="H73" s="6" t="n">
        <x:v>30.95</x:v>
      </x:c>
      <x:c r="I73" s="16" t="n">
        <x:v>1</x:v>
      </x:c>
      <x:c r="J73"/>
      <x:c r="K73" s="4"/>
      <x:c r="L73" s="4"/>
      <x:c r="M73" s="4"/>
      <x:c r="N73" s="5"/>
    </x:row>
    <x:row r="74" ht="24" customHeight="1">
      <x:c r="A74" s="1" t="str">
        <x:v>RESULT</x:v>
      </x:c>
      <x:c r="B74" s="1" t="str">
        <x:v>Round1</x:v>
      </x:c>
      <x:c r="C74" s="1" t="str">
        <x:v>Closure_105</x:v>
      </x:c>
      <x:c r="D74" s="1" t="str">
        <x:v>INCONCLUSIVE</x:v>
      </x:c>
      <x:c r="E74" s="5" t="n">
        <x:v>0.4068</x:v>
      </x:c>
      <x:c r="F74" s="4" t="n">
        <x:v>0</x:v>
      </x:c>
      <x:c r="G74" s="4" t="n">
        <x:v>24602</x:v>
      </x:c>
      <x:c r="H74" s="6" t="n">
        <x:v>51.46</x:v>
      </x:c>
      <x:c r="I74" s="16" t="n">
        <x:v>1</x:v>
      </x:c>
      <x:c r="J74" t="n">
        <x:v>993</x:v>
      </x:c>
      <x:c r="K74" s="4" t="n">
        <x:v>404</x:v>
      </x:c>
      <x:c r="L74" s="4" t="n">
        <x:v>739</x:v>
      </x:c>
      <x:c r="M74" s="4" t="n">
        <x:v>248</x:v>
      </x:c>
      <x:c r="N74" s="5" t="n">
        <x:v>0.3356</x:v>
      </x:c>
    </x:row>
    <x:row r="75" ht="24" customHeight="1">
      <x:c r="A75" s="1" t="str">
        <x:v>RESULT</x:v>
      </x:c>
      <x:c r="B75" s="1" t="str">
        <x:v>Round1</x:v>
      </x:c>
      <x:c r="C75" s="1" t="str">
        <x:v>Closure_106</x:v>
      </x:c>
      <x:c r="D75" s="1" t="str">
        <x:v>NOT_AVAILABLE</x:v>
      </x:c>
      <x:c r="E75" s="5"/>
      <x:c r="F75" s="4" t="n">
        <x:v>0</x:v>
      </x:c>
      <x:c r="G75" s="4" t="n">
        <x:v>32252</x:v>
      </x:c>
      <x:c r="H75" s="6" t="n">
        <x:v>112.19</x:v>
      </x:c>
      <x:c r="I75" s="16" t="n">
        <x:v>1</x:v>
      </x:c>
      <x:c r="J75"/>
      <x:c r="K75" s="4"/>
      <x:c r="L75" s="4"/>
      <x:c r="M75" s="4"/>
      <x:c r="N75" s="5"/>
    </x:row>
    <x:row r="76" ht="24" customHeight="1">
      <x:c r="A76" s="1" t="str">
        <x:v>RESULT</x:v>
      </x:c>
      <x:c r="B76" s="1" t="str">
        <x:v>Round1</x:v>
      </x:c>
      <x:c r="C76" s="1" t="str">
        <x:v>Closure_107</x:v>
      </x:c>
      <x:c r="D76" s="1" t="str">
        <x:v>NOT_AVAILABLE</x:v>
      </x:c>
      <x:c r="E76" s="5"/>
      <x:c r="F76" s="4" t="n">
        <x:v>0</x:v>
      </x:c>
      <x:c r="G76" s="4" t="n">
        <x:v>16934</x:v>
      </x:c>
      <x:c r="H76" s="6" t="n">
        <x:v>44.16</x:v>
      </x:c>
      <x:c r="I76" s="16" t="n">
        <x:v>1</x:v>
      </x:c>
      <x:c r="J76"/>
      <x:c r="K76" s="4"/>
      <x:c r="L76" s="4"/>
      <x:c r="M76" s="4"/>
      <x:c r="N76" s="5"/>
    </x:row>
    <x:row r="77" ht="24" customHeight="1">
      <x:c r="A77" s="1" t="str">
        <x:v>RESULT</x:v>
      </x:c>
      <x:c r="B77" s="1" t="str">
        <x:v>Round1</x:v>
      </x:c>
      <x:c r="C77" s="1" t="str">
        <x:v>Closure_108</x:v>
      </x:c>
      <x:c r="D77" s="1" t="str">
        <x:v>INCONCLUSIVE</x:v>
      </x:c>
      <x:c r="E77" s="5" t="n">
        <x:v>0.7323000000000001</x:v>
      </x:c>
      <x:c r="F77" s="4" t="n">
        <x:v>0</x:v>
      </x:c>
      <x:c r="G77" s="4" t="n">
        <x:v>12810</x:v>
      </x:c>
      <x:c r="H77" s="6" t="n">
        <x:v>69.87</x:v>
      </x:c>
      <x:c r="I77" s="16" t="n">
        <x:v>1</x:v>
      </x:c>
      <x:c r="J77" t="n">
        <x:v>269</x:v>
      </x:c>
      <x:c r="K77" s="4" t="n">
        <x:v>197</x:v>
      </x:c>
      <x:c r="L77" s="4" t="n">
        <x:v>150</x:v>
      </x:c>
      <x:c r="M77" s="4" t="n">
        <x:v>106</x:v>
      </x:c>
      <x:c r="N77" s="5" t="n">
        <x:v>0.7067</x:v>
      </x:c>
    </x:row>
    <x:row r="78" ht="24" customHeight="1">
      <x:c r="A78" s="1" t="str">
        <x:v>RESULT</x:v>
      </x:c>
      <x:c r="B78" s="1" t="str">
        <x:v>Round1</x:v>
      </x:c>
      <x:c r="C78" s="1" t="str">
        <x:v>Closure_109</x:v>
      </x:c>
      <x:c r="D78" s="1" t="str">
        <x:v>NOT_AVAILABLE</x:v>
      </x:c>
      <x:c r="E78" s="5"/>
      <x:c r="F78" s="4" t="n">
        <x:v>0</x:v>
      </x:c>
      <x:c r="G78" s="4" t="n">
        <x:v>29449</x:v>
      </x:c>
      <x:c r="H78" s="6" t="n">
        <x:v>63.77</x:v>
      </x:c>
      <x:c r="I78" s="16" t="n">
        <x:v>1</x:v>
      </x:c>
      <x:c r="J78"/>
      <x:c r="K78" s="4"/>
      <x:c r="L78" s="4"/>
      <x:c r="M78" s="4"/>
      <x:c r="N78" s="5"/>
    </x:row>
    <x:row r="79" ht="24" customHeight="1">
      <x:c r="A79" s="1" t="str">
        <x:v>RESULT</x:v>
      </x:c>
      <x:c r="B79" s="1" t="str">
        <x:v>Round1</x:v>
      </x:c>
      <x:c r="C79" s="1" t="str">
        <x:v>Closure_11</x:v>
      </x:c>
      <x:c r="D79" s="1" t="str">
        <x:v>INCONCLUSIVE</x:v>
      </x:c>
      <x:c r="E79" s="5" t="n">
        <x:v>0.5964</x:v>
      </x:c>
      <x:c r="F79" s="4" t="n">
        <x:v>0</x:v>
      </x:c>
      <x:c r="G79" s="4" t="n">
        <x:v>26544</x:v>
      </x:c>
      <x:c r="H79" s="6" t="n">
        <x:v>67.5</x:v>
      </x:c>
      <x:c r="I79" s="16" t="n">
        <x:v>1</x:v>
      </x:c>
      <x:c r="J79" t="n">
        <x:v>778</x:v>
      </x:c>
      <x:c r="K79" s="4" t="n">
        <x:v>464</x:v>
      </x:c>
      <x:c r="L79" s="4" t="n">
        <x:v>549</x:v>
      </x:c>
      <x:c r="M79" s="4" t="n">
        <x:v>173</x:v>
      </x:c>
      <x:c r="N79" s="5" t="n">
        <x:v>0.3151</x:v>
      </x:c>
    </x:row>
    <x:row r="80" ht="24" customHeight="1">
      <x:c r="A80" s="1" t="str">
        <x:v>RESULT</x:v>
      </x:c>
      <x:c r="B80" s="1" t="str">
        <x:v>Round1</x:v>
      </x:c>
      <x:c r="C80" s="1" t="str">
        <x:v>Closure_110</x:v>
      </x:c>
      <x:c r="D80" s="1" t="str">
        <x:v>NOT_AVAILABLE</x:v>
      </x:c>
      <x:c r="E80" s="5"/>
      <x:c r="F80" s="4" t="n">
        <x:v>0</x:v>
      </x:c>
      <x:c r="G80" s="4" t="n">
        <x:v>10073</x:v>
      </x:c>
      <x:c r="H80" s="6" t="n">
        <x:v>106.57</x:v>
      </x:c>
      <x:c r="I80" s="16" t="n">
        <x:v>1</x:v>
      </x:c>
      <x:c r="J80"/>
      <x:c r="K80" s="4"/>
      <x:c r="L80" s="4"/>
      <x:c r="M80" s="4"/>
      <x:c r="N80" s="5"/>
    </x:row>
    <x:row r="81" ht="24" customHeight="1">
      <x:c r="A81" s="1" t="str">
        <x:v>RESULT</x:v>
      </x:c>
      <x:c r="B81" s="1" t="str">
        <x:v>Round1</x:v>
      </x:c>
      <x:c r="C81" s="1" t="str">
        <x:v>Closure_111</x:v>
      </x:c>
      <x:c r="D81" s="1" t="str">
        <x:v>NOT_AVAILABLE</x:v>
      </x:c>
      <x:c r="E81" s="5"/>
      <x:c r="F81" s="4" t="n">
        <x:v>0</x:v>
      </x:c>
      <x:c r="G81" s="4"/>
      <x:c r="H81" s="6"/>
      <x:c r="I81" s="16" t="n">
        <x:v>1</x:v>
      </x:c>
      <x:c r="J81"/>
      <x:c r="K81" s="4"/>
      <x:c r="L81" s="4"/>
      <x:c r="M81" s="4"/>
      <x:c r="N81" s="5"/>
    </x:row>
    <x:row r="82" ht="24" customHeight="1">
      <x:c r="A82" s="1" t="str">
        <x:v>RESULT</x:v>
      </x:c>
      <x:c r="B82" s="1" t="str">
        <x:v>Round1</x:v>
      </x:c>
      <x:c r="C82" s="1" t="str">
        <x:v>Closure_112</x:v>
      </x:c>
      <x:c r="D82" s="1" t="str">
        <x:v>NOT_AVAILABLE</x:v>
      </x:c>
      <x:c r="E82" s="5"/>
      <x:c r="F82" s="4" t="n">
        <x:v>0</x:v>
      </x:c>
      <x:c r="G82" s="4" t="n">
        <x:v>19293</x:v>
      </x:c>
      <x:c r="H82" s="6" t="n">
        <x:v>39.05</x:v>
      </x:c>
      <x:c r="I82" s="16" t="n">
        <x:v>1</x:v>
      </x:c>
      <x:c r="J82"/>
      <x:c r="K82" s="4"/>
      <x:c r="L82" s="4"/>
      <x:c r="M82" s="4"/>
      <x:c r="N82" s="5"/>
    </x:row>
    <x:row r="83" ht="24" customHeight="1">
      <x:c r="A83" s="1" t="str">
        <x:v>RESULT</x:v>
      </x:c>
      <x:c r="B83" s="1" t="str">
        <x:v>Round1</x:v>
      </x:c>
      <x:c r="C83" s="1" t="str">
        <x:v>Closure_113</x:v>
      </x:c>
      <x:c r="D83" s="1" t="str">
        <x:v>NOT_AVAILABLE</x:v>
      </x:c>
      <x:c r="E83" s="5"/>
      <x:c r="F83" s="4" t="n">
        <x:v>0</x:v>
      </x:c>
      <x:c r="G83" s="4" t="n">
        <x:v>17164</x:v>
      </x:c>
      <x:c r="H83" s="6" t="n">
        <x:v>52.68</x:v>
      </x:c>
      <x:c r="I83" s="16" t="n">
        <x:v>1</x:v>
      </x:c>
      <x:c r="J83"/>
      <x:c r="K83" s="4"/>
      <x:c r="L83" s="4"/>
      <x:c r="M83" s="4"/>
      <x:c r="N83" s="5"/>
    </x:row>
    <x:row r="84" ht="24" customHeight="1">
      <x:c r="A84" s="1" t="str">
        <x:v>RESULT</x:v>
      </x:c>
      <x:c r="B84" s="1" t="str">
        <x:v>Round1</x:v>
      </x:c>
      <x:c r="C84" s="1" t="str">
        <x:v>Closure_114</x:v>
      </x:c>
      <x:c r="D84" s="1" t="str">
        <x:v>NOT_AVAILABLE</x:v>
      </x:c>
      <x:c r="E84" s="5"/>
      <x:c r="F84" s="4" t="n">
        <x:v>0</x:v>
      </x:c>
      <x:c r="G84" s="4" t="n">
        <x:v>18018</x:v>
      </x:c>
      <x:c r="H84" s="6" t="n">
        <x:v>45.15</x:v>
      </x:c>
      <x:c r="I84" s="16" t="n">
        <x:v>1</x:v>
      </x:c>
      <x:c r="J84"/>
      <x:c r="K84" s="4"/>
      <x:c r="L84" s="4"/>
      <x:c r="M84" s="4"/>
      <x:c r="N84" s="5"/>
    </x:row>
    <x:row r="85" ht="24" customHeight="1">
      <x:c r="A85" s="1" t="str">
        <x:v>RESULT</x:v>
      </x:c>
      <x:c r="B85" s="1" t="str">
        <x:v>Round1</x:v>
      </x:c>
      <x:c r="C85" s="1" t="str">
        <x:v>Closure_115</x:v>
      </x:c>
      <x:c r="D85" s="1" t="str">
        <x:v>NOT_AVAILABLE</x:v>
      </x:c>
      <x:c r="E85" s="5"/>
      <x:c r="F85" s="4" t="n">
        <x:v>0</x:v>
      </x:c>
      <x:c r="G85" s="4" t="n">
        <x:v>14503</x:v>
      </x:c>
      <x:c r="H85" s="6" t="n">
        <x:v>45.64</x:v>
      </x:c>
      <x:c r="I85" s="16" t="n">
        <x:v>1</x:v>
      </x:c>
      <x:c r="J85"/>
      <x:c r="K85" s="4"/>
      <x:c r="L85" s="4"/>
      <x:c r="M85" s="4"/>
      <x:c r="N85" s="5"/>
    </x:row>
    <x:row r="86" ht="24" customHeight="1">
      <x:c r="A86" s="1" t="str">
        <x:v>RESULT</x:v>
      </x:c>
      <x:c r="B86" s="1" t="str">
        <x:v>Round1</x:v>
      </x:c>
      <x:c r="C86" s="1" t="str">
        <x:v>Closure_116</x:v>
      </x:c>
      <x:c r="D86" s="1" t="str">
        <x:v>NOT_AVAILABLE</x:v>
      </x:c>
      <x:c r="E86" s="5"/>
      <x:c r="F86" s="4" t="n">
        <x:v>0</x:v>
      </x:c>
      <x:c r="G86" s="4" t="n">
        <x:v>15340</x:v>
      </x:c>
      <x:c r="H86" s="6" t="n">
        <x:v>49.88</x:v>
      </x:c>
      <x:c r="I86" s="16" t="n">
        <x:v>1</x:v>
      </x:c>
      <x:c r="J86"/>
      <x:c r="K86" s="4"/>
      <x:c r="L86" s="4"/>
      <x:c r="M86" s="4"/>
      <x:c r="N86" s="5"/>
    </x:row>
    <x:row r="87" ht="24" customHeight="1">
      <x:c r="A87" s="1" t="str">
        <x:v>RESULT</x:v>
      </x:c>
      <x:c r="B87" s="1" t="str">
        <x:v>Round1</x:v>
      </x:c>
      <x:c r="C87" s="1" t="str">
        <x:v>Closure_117</x:v>
      </x:c>
      <x:c r="D87" s="1" t="str">
        <x:v>NOT_AVAILABLE</x:v>
      </x:c>
      <x:c r="E87" s="5"/>
      <x:c r="F87" s="4" t="n">
        <x:v>0</x:v>
      </x:c>
      <x:c r="G87" s="4" t="n">
        <x:v>18068</x:v>
      </x:c>
      <x:c r="H87" s="6" t="n">
        <x:v>68.43</x:v>
      </x:c>
      <x:c r="I87" s="16" t="n">
        <x:v>1</x:v>
      </x:c>
      <x:c r="J87"/>
      <x:c r="K87" s="4"/>
      <x:c r="L87" s="4"/>
      <x:c r="M87" s="4"/>
      <x:c r="N87" s="5"/>
    </x:row>
    <x:row r="88" ht="24" customHeight="1">
      <x:c r="A88" s="1" t="str">
        <x:v>RESULT</x:v>
      </x:c>
      <x:c r="B88" s="1" t="str">
        <x:v>Round1</x:v>
      </x:c>
      <x:c r="C88" s="1" t="str">
        <x:v>Closure_118</x:v>
      </x:c>
      <x:c r="D88" s="1" t="str">
        <x:v>NOT_AVAILABLE</x:v>
      </x:c>
      <x:c r="E88" s="5"/>
      <x:c r="F88" s="4" t="n">
        <x:v>0</x:v>
      </x:c>
      <x:c r="G88" s="4" t="n">
        <x:v>17959</x:v>
      </x:c>
      <x:c r="H88" s="6" t="n">
        <x:v>47.34</x:v>
      </x:c>
      <x:c r="I88" s="16" t="n">
        <x:v>1</x:v>
      </x:c>
      <x:c r="J88"/>
      <x:c r="K88" s="4"/>
      <x:c r="L88" s="4"/>
      <x:c r="M88" s="4"/>
      <x:c r="N88" s="5"/>
    </x:row>
    <x:row r="89" ht="24" customHeight="1">
      <x:c r="A89" s="1" t="str">
        <x:v>RESULT</x:v>
      </x:c>
      <x:c r="B89" s="1" t="str">
        <x:v>Round1</x:v>
      </x:c>
      <x:c r="C89" s="1" t="str">
        <x:v>Closure_119</x:v>
      </x:c>
      <x:c r="D89" s="1" t="str">
        <x:v>INCONCLUSIVE</x:v>
      </x:c>
      <x:c r="E89" s="5" t="n">
        <x:v>0.7016</x:v>
      </x:c>
      <x:c r="F89" s="4" t="n">
        <x:v>0</x:v>
      </x:c>
      <x:c r="G89" s="4" t="n">
        <x:v>14905</x:v>
      </x:c>
      <x:c r="H89" s="6" t="n">
        <x:v>33.97</x:v>
      </x:c>
      <x:c r="I89" s="16" t="n">
        <x:v>1</x:v>
      </x:c>
      <x:c r="J89" t="n">
        <x:v>496</x:v>
      </x:c>
      <x:c r="K89" s="4" t="n">
        <x:v>348</x:v>
      </x:c>
      <x:c r="L89" s="4" t="n">
        <x:v>346</x:v>
      </x:c>
      <x:c r="M89" s="4" t="n">
        <x:v>185</x:v>
      </x:c>
      <x:c r="N89" s="5" t="n">
        <x:v>0.5347</x:v>
      </x:c>
    </x:row>
    <x:row r="90" ht="24" customHeight="1">
      <x:c r="A90" s="1" t="str">
        <x:v>RESULT</x:v>
      </x:c>
      <x:c r="B90" s="1" t="str">
        <x:v>Round1</x:v>
      </x:c>
      <x:c r="C90" s="1" t="str">
        <x:v>Closure_12</x:v>
      </x:c>
      <x:c r="D90" s="1" t="str">
        <x:v>INCONCLUSIVE</x:v>
      </x:c>
      <x:c r="E90" s="5" t="n">
        <x:v>0.9773000000000001</x:v>
      </x:c>
      <x:c r="F90" s="4" t="n">
        <x:v>0</x:v>
      </x:c>
      <x:c r="G90" s="4" t="n">
        <x:v>13861</x:v>
      </x:c>
      <x:c r="H90" s="6" t="n">
        <x:v>58.22</x:v>
      </x:c>
      <x:c r="I90" s="16" t="n">
        <x:v>1</x:v>
      </x:c>
      <x:c r="J90" t="n">
        <x:v>88</x:v>
      </x:c>
      <x:c r="K90" s="4" t="n">
        <x:v>86</x:v>
      </x:c>
      <x:c r="L90" s="4" t="n">
        <x:v>48</x:v>
      </x:c>
      <x:c r="M90" s="4" t="n">
        <x:v>38</x:v>
      </x:c>
      <x:c r="N90" s="5" t="n">
        <x:v>0.7917000000000001</x:v>
      </x:c>
    </x:row>
    <x:row r="91" ht="24" customHeight="1">
      <x:c r="A91" s="1" t="str">
        <x:v>RESULT</x:v>
      </x:c>
      <x:c r="B91" s="1" t="str">
        <x:v>Round1</x:v>
      </x:c>
      <x:c r="C91" s="1" t="str">
        <x:v>Closure_120</x:v>
      </x:c>
      <x:c r="D91" s="1" t="str">
        <x:v>NOT_AVAILABLE</x:v>
      </x:c>
      <x:c r="E91" s="5"/>
      <x:c r="F91" s="4" t="n">
        <x:v>0</x:v>
      </x:c>
      <x:c r="G91" s="4"/>
      <x:c r="H91" s="6" t="n">
        <x:v>64.98</x:v>
      </x:c>
      <x:c r="I91" s="16" t="n">
        <x:v>1</x:v>
      </x:c>
      <x:c r="J91"/>
      <x:c r="K91" s="4"/>
      <x:c r="L91" s="4"/>
      <x:c r="M91" s="4"/>
      <x:c r="N91" s="5"/>
    </x:row>
    <x:row r="92" ht="24" customHeight="1">
      <x:c r="A92" s="1" t="str">
        <x:v>RESULT</x:v>
      </x:c>
      <x:c r="B92" s="1" t="str">
        <x:v>Round1</x:v>
      </x:c>
      <x:c r="C92" s="1" t="str">
        <x:v>Closure_121</x:v>
      </x:c>
      <x:c r="D92" s="1" t="str">
        <x:v>INCONCLUSIVE</x:v>
      </x:c>
      <x:c r="E92" s="5" t="n">
        <x:v>0.0774</x:v>
      </x:c>
      <x:c r="F92" s="4" t="n">
        <x:v>0</x:v>
      </x:c>
      <x:c r="G92" s="4"/>
      <x:c r="H92" s="6"/>
      <x:c r="I92" s="16" t="n">
        <x:v>1</x:v>
      </x:c>
      <x:c r="J92" t="n">
        <x:v>297</x:v>
      </x:c>
      <x:c r="K92" s="4" t="n">
        <x:v>23</x:v>
      </x:c>
      <x:c r="L92" s="4" t="n">
        <x:v>236</x:v>
      </x:c>
      <x:c r="M92" s="4" t="n">
        <x:v>3</x:v>
      </x:c>
      <x:c r="N92" s="5" t="n">
        <x:v>0.0127</x:v>
      </x:c>
    </x:row>
    <x:row r="93" ht="24" customHeight="1">
      <x:c r="A93" s="1" t="str">
        <x:v>RESULT</x:v>
      </x:c>
      <x:c r="B93" s="1" t="str">
        <x:v>Round1</x:v>
      </x:c>
      <x:c r="C93" s="1" t="str">
        <x:v>Closure_122</x:v>
      </x:c>
      <x:c r="D93" s="1" t="str">
        <x:v>NOT_AVAILABLE</x:v>
      </x:c>
      <x:c r="E93" s="5"/>
      <x:c r="F93" s="4" t="n">
        <x:v>0</x:v>
      </x:c>
      <x:c r="G93" s="4" t="n">
        <x:v>28248</x:v>
      </x:c>
      <x:c r="H93" s="6" t="n">
        <x:v>71.82</x:v>
      </x:c>
      <x:c r="I93" s="16" t="n">
        <x:v>1</x:v>
      </x:c>
      <x:c r="J93"/>
      <x:c r="K93" s="4"/>
      <x:c r="L93" s="4"/>
      <x:c r="M93" s="4"/>
      <x:c r="N93" s="5"/>
    </x:row>
    <x:row r="94" ht="24" customHeight="1">
      <x:c r="A94" s="1" t="str">
        <x:v>RESULT</x:v>
      </x:c>
      <x:c r="B94" s="1" t="str">
        <x:v>Round1</x:v>
      </x:c>
      <x:c r="C94" s="1" t="str">
        <x:v>Closure_123</x:v>
      </x:c>
      <x:c r="D94" s="1" t="str">
        <x:v>NOT_AVAILABLE</x:v>
      </x:c>
      <x:c r="E94" s="5"/>
      <x:c r="F94" s="4" t="n">
        <x:v>0</x:v>
      </x:c>
      <x:c r="G94" s="4" t="n">
        <x:v>28062</x:v>
      </x:c>
      <x:c r="H94" s="6" t="n">
        <x:v>92.48</x:v>
      </x:c>
      <x:c r="I94" s="16" t="n">
        <x:v>1</x:v>
      </x:c>
      <x:c r="J94"/>
      <x:c r="K94" s="4"/>
      <x:c r="L94" s="4"/>
      <x:c r="M94" s="4"/>
      <x:c r="N94" s="5"/>
    </x:row>
    <x:row r="95" ht="24" customHeight="1">
      <x:c r="A95" s="1" t="str">
        <x:v>RESULT</x:v>
      </x:c>
      <x:c r="B95" s="1" t="str">
        <x:v>Round1</x:v>
      </x:c>
      <x:c r="C95" s="1" t="str">
        <x:v>Closure_124</x:v>
      </x:c>
      <x:c r="D95" s="1" t="str">
        <x:v>NOT_AVAILABLE</x:v>
      </x:c>
      <x:c r="E95" s="5"/>
      <x:c r="F95" s="4" t="n">
        <x:v>0</x:v>
      </x:c>
      <x:c r="G95" s="4"/>
      <x:c r="H95" s="6"/>
      <x:c r="I95" s="16" t="n">
        <x:v>1</x:v>
      </x:c>
      <x:c r="J95"/>
      <x:c r="K95" s="4"/>
      <x:c r="L95" s="4"/>
      <x:c r="M95" s="4"/>
      <x:c r="N95" s="5"/>
    </x:row>
    <x:row r="96" ht="24" customHeight="1">
      <x:c r="A96" s="1" t="str">
        <x:v>RESULT</x:v>
      </x:c>
      <x:c r="B96" s="1" t="str">
        <x:v>Round1</x:v>
      </x:c>
      <x:c r="C96" s="1" t="str">
        <x:v>Closure_125</x:v>
      </x:c>
      <x:c r="D96" s="1" t="str">
        <x:v>NOT_AVAILABLE</x:v>
      </x:c>
      <x:c r="E96" s="5"/>
      <x:c r="F96" s="4" t="n">
        <x:v>0</x:v>
      </x:c>
      <x:c r="G96" s="4"/>
      <x:c r="H96" s="6"/>
      <x:c r="I96" s="16" t="n">
        <x:v>1</x:v>
      </x:c>
      <x:c r="J96"/>
      <x:c r="K96" s="4"/>
      <x:c r="L96" s="4"/>
      <x:c r="M96" s="4"/>
      <x:c r="N96" s="5"/>
    </x:row>
    <x:row r="97" ht="24" customHeight="1">
      <x:c r="A97" s="1" t="str">
        <x:v>RESULT</x:v>
      </x:c>
      <x:c r="B97" s="1" t="str">
        <x:v>Round1</x:v>
      </x:c>
      <x:c r="C97" s="1" t="str">
        <x:v>Closure_126</x:v>
      </x:c>
      <x:c r="D97" s="1" t="str">
        <x:v>NOT_AVAILABLE</x:v>
      </x:c>
      <x:c r="E97" s="5"/>
      <x:c r="F97" s="4" t="n">
        <x:v>0</x:v>
      </x:c>
      <x:c r="G97" s="4"/>
      <x:c r="H97" s="6"/>
      <x:c r="I97" s="16" t="n">
        <x:v>1</x:v>
      </x:c>
      <x:c r="J97"/>
      <x:c r="K97" s="4"/>
      <x:c r="L97" s="4"/>
      <x:c r="M97" s="4"/>
      <x:c r="N97" s="5"/>
    </x:row>
    <x:row r="98" ht="24" customHeight="1">
      <x:c r="A98" s="1" t="str">
        <x:v>RESULT</x:v>
      </x:c>
      <x:c r="B98" s="1" t="str">
        <x:v>Round1</x:v>
      </x:c>
      <x:c r="C98" s="1" t="str">
        <x:v>Closure_127</x:v>
      </x:c>
      <x:c r="D98" s="1" t="str">
        <x:v>NOT_AVAILABLE</x:v>
      </x:c>
      <x:c r="E98" s="5"/>
      <x:c r="F98" s="4" t="n">
        <x:v>0</x:v>
      </x:c>
      <x:c r="G98" s="4"/>
      <x:c r="H98" s="6"/>
      <x:c r="I98" s="16" t="n">
        <x:v>1</x:v>
      </x:c>
      <x:c r="J98"/>
      <x:c r="K98" s="4"/>
      <x:c r="L98" s="4"/>
      <x:c r="M98" s="4"/>
      <x:c r="N98" s="5"/>
    </x:row>
    <x:row r="99" ht="24" customHeight="1">
      <x:c r="A99" s="1" t="str">
        <x:v>RESULT</x:v>
      </x:c>
      <x:c r="B99" s="1" t="str">
        <x:v>Round1</x:v>
      </x:c>
      <x:c r="C99" s="1" t="str">
        <x:v>Closure_128</x:v>
      </x:c>
      <x:c r="D99" s="1" t="str">
        <x:v>NOT_AVAILABLE</x:v>
      </x:c>
      <x:c r="E99" s="5"/>
      <x:c r="F99" s="4" t="n">
        <x:v>0</x:v>
      </x:c>
      <x:c r="G99" s="4"/>
      <x:c r="H99" s="6"/>
      <x:c r="I99" s="16" t="n">
        <x:v>1</x:v>
      </x:c>
      <x:c r="J99"/>
      <x:c r="K99" s="4"/>
      <x:c r="L99" s="4"/>
      <x:c r="M99" s="4"/>
      <x:c r="N99" s="5"/>
    </x:row>
    <x:row r="100" ht="24" customHeight="1">
      <x:c r="A100" s="1" t="str">
        <x:v>RESULT</x:v>
      </x:c>
      <x:c r="B100" s="1" t="str">
        <x:v>Round1</x:v>
      </x:c>
      <x:c r="C100" s="1" t="str">
        <x:v>Closure_129</x:v>
      </x:c>
      <x:c r="D100" s="1" t="str">
        <x:v>NOT_AVAILABLE</x:v>
      </x:c>
      <x:c r="E100" s="5"/>
      <x:c r="F100" s="4" t="n">
        <x:v>0</x:v>
      </x:c>
      <x:c r="G100" s="4" t="n">
        <x:v>6422</x:v>
      </x:c>
      <x:c r="H100" s="6" t="n">
        <x:v>24.01</x:v>
      </x:c>
      <x:c r="I100" s="16" t="n">
        <x:v>1</x:v>
      </x:c>
      <x:c r="J100"/>
      <x:c r="K100" s="4"/>
      <x:c r="L100" s="4"/>
      <x:c r="M100" s="4"/>
      <x:c r="N100" s="5"/>
    </x:row>
    <x:row r="101" ht="24" customHeight="1">
      <x:c r="A101" s="1" t="str">
        <x:v>RESULT</x:v>
      </x:c>
      <x:c r="B101" s="1" t="str">
        <x:v>Round1</x:v>
      </x:c>
      <x:c r="C101" s="1" t="str">
        <x:v>Closure_13</x:v>
      </x:c>
      <x:c r="D101" s="1" t="str">
        <x:v>NOT_AVAILABLE</x:v>
      </x:c>
      <x:c r="E101" s="5"/>
      <x:c r="F101" s="4" t="n">
        <x:v>0</x:v>
      </x:c>
      <x:c r="G101" s="4" t="n">
        <x:v>8950</x:v>
      </x:c>
      <x:c r="H101" s="6" t="n">
        <x:v>45.61</x:v>
      </x:c>
      <x:c r="I101" s="16" t="n">
        <x:v>1</x:v>
      </x:c>
      <x:c r="J101"/>
      <x:c r="K101" s="4"/>
      <x:c r="L101" s="4"/>
      <x:c r="M101" s="4"/>
      <x:c r="N101" s="5"/>
    </x:row>
    <x:row r="102" ht="24" customHeight="1">
      <x:c r="A102" s="1" t="str">
        <x:v>RESULT</x:v>
      </x:c>
      <x:c r="B102" s="1" t="str">
        <x:v>Round1</x:v>
      </x:c>
      <x:c r="C102" s="1" t="str">
        <x:v>Closure_130</x:v>
      </x:c>
      <x:c r="D102" s="1" t="str">
        <x:v>NOT_AVAILABLE</x:v>
      </x:c>
      <x:c r="E102" s="5"/>
      <x:c r="F102" s="4" t="n">
        <x:v>0</x:v>
      </x:c>
      <x:c r="G102" s="4"/>
      <x:c r="H102" s="6"/>
      <x:c r="I102" s="16" t="n">
        <x:v>1</x:v>
      </x:c>
      <x:c r="J102"/>
      <x:c r="K102" s="4"/>
      <x:c r="L102" s="4"/>
      <x:c r="M102" s="4"/>
      <x:c r="N102" s="5"/>
    </x:row>
    <x:row r="103" ht="24" customHeight="1">
      <x:c r="A103" s="1" t="str">
        <x:v>RESULT</x:v>
      </x:c>
      <x:c r="B103" s="1" t="str">
        <x:v>Round1</x:v>
      </x:c>
      <x:c r="C103" s="1" t="str">
        <x:v>Closure_131</x:v>
      </x:c>
      <x:c r="D103" s="1" t="str">
        <x:v>REVEALING</x:v>
      </x:c>
      <x:c r="E103" s="5" t="n">
        <x:v>0.9912000000000001</x:v>
      </x:c>
      <x:c r="F103" s="4" t="n">
        <x:v>1</x:v>
      </x:c>
      <x:c r="G103" s="4"/>
      <x:c r="H103" s="6"/>
      <x:c r="I103" s="16" t="n">
        <x:v>1</x:v>
      </x:c>
      <x:c r="J103" t="n">
        <x:v>113</x:v>
      </x:c>
      <x:c r="K103" s="4" t="n">
        <x:v>112</x:v>
      </x:c>
      <x:c r="L103" s="4" t="n">
        <x:v>165</x:v>
      </x:c>
      <x:c r="M103" s="4" t="n">
        <x:v>138</x:v>
      </x:c>
      <x:c r="N103" s="5" t="n">
        <x:v>0.8364</x:v>
      </x:c>
    </x:row>
    <x:row r="104" ht="24" customHeight="1">
      <x:c r="A104" s="1" t="str">
        <x:v>RESULT</x:v>
      </x:c>
      <x:c r="B104" s="1" t="str">
        <x:v>Round1</x:v>
      </x:c>
      <x:c r="C104" s="1" t="str">
        <x:v>Closure_132</x:v>
      </x:c>
      <x:c r="D104" s="1" t="str">
        <x:v>NOT_AVAILABLE</x:v>
      </x:c>
      <x:c r="E104" s="5"/>
      <x:c r="F104" s="4" t="n">
        <x:v>0</x:v>
      </x:c>
      <x:c r="G104" s="4"/>
      <x:c r="H104" s="6"/>
      <x:c r="I104" s="16" t="n">
        <x:v>1</x:v>
      </x:c>
      <x:c r="J104"/>
      <x:c r="K104" s="4"/>
      <x:c r="L104" s="4"/>
      <x:c r="M104" s="4"/>
      <x:c r="N104" s="5"/>
    </x:row>
    <x:row r="105" ht="24" customHeight="1">
      <x:c r="A105" s="1" t="str">
        <x:v>RESULT</x:v>
      </x:c>
      <x:c r="B105" s="1" t="str">
        <x:v>Round1</x:v>
      </x:c>
      <x:c r="C105" s="1" t="str">
        <x:v>Closure_133</x:v>
      </x:c>
      <x:c r="D105" s="1" t="str">
        <x:v>NOT_AVAILABLE</x:v>
      </x:c>
      <x:c r="E105" s="5"/>
      <x:c r="F105" s="4" t="n">
        <x:v>0</x:v>
      </x:c>
      <x:c r="G105" s="4"/>
      <x:c r="H105" s="6"/>
      <x:c r="I105" s="16" t="n">
        <x:v>1</x:v>
      </x:c>
      <x:c r="J105"/>
      <x:c r="K105" s="4"/>
      <x:c r="L105" s="4"/>
      <x:c r="M105" s="4"/>
      <x:c r="N105" s="5"/>
    </x:row>
    <x:row r="106" ht="24" customHeight="1">
      <x:c r="A106" s="1" t="str">
        <x:v>RESULT</x:v>
      </x:c>
      <x:c r="B106" s="1" t="str">
        <x:v>Round1</x:v>
      </x:c>
      <x:c r="C106" s="1" t="str">
        <x:v>Closure_134</x:v>
      </x:c>
      <x:c r="D106" s="1" t="str">
        <x:v>NOT_AVAILABLE</x:v>
      </x:c>
      <x:c r="E106" s="5"/>
      <x:c r="F106" s="4" t="n">
        <x:v>0</x:v>
      </x:c>
      <x:c r="G106" s="4"/>
      <x:c r="H106" s="6"/>
      <x:c r="I106" s="16" t="n">
        <x:v>1</x:v>
      </x:c>
      <x:c r="J106"/>
      <x:c r="K106" s="4"/>
      <x:c r="L106" s="4"/>
      <x:c r="M106" s="4"/>
      <x:c r="N106" s="5"/>
    </x:row>
    <x:row r="107" ht="24" customHeight="1">
      <x:c r="A107" s="1" t="str">
        <x:v>RESULT</x:v>
      </x:c>
      <x:c r="B107" s="1" t="str">
        <x:v>Round1</x:v>
      </x:c>
      <x:c r="C107" s="1" t="str">
        <x:v>Closure_135</x:v>
      </x:c>
      <x:c r="D107" s="1" t="str">
        <x:v>NOT_AVAILABLE</x:v>
      </x:c>
      <x:c r="E107" s="5"/>
      <x:c r="F107" s="4" t="n">
        <x:v>0</x:v>
      </x:c>
      <x:c r="G107" s="4"/>
      <x:c r="H107" s="6"/>
      <x:c r="I107" s="16" t="n">
        <x:v>1</x:v>
      </x:c>
      <x:c r="J107"/>
      <x:c r="K107" s="4"/>
      <x:c r="L107" s="4"/>
      <x:c r="M107" s="4"/>
      <x:c r="N107" s="5"/>
    </x:row>
    <x:row r="108" ht="24" customHeight="1">
      <x:c r="A108" s="1" t="str">
        <x:v>RESULT</x:v>
      </x:c>
      <x:c r="B108" s="1" t="str">
        <x:v>Round1</x:v>
      </x:c>
      <x:c r="C108" s="1" t="str">
        <x:v>Closure_136</x:v>
      </x:c>
      <x:c r="D108" s="1" t="str">
        <x:v>NOT_AVAILABLE</x:v>
      </x:c>
      <x:c r="E108" s="5"/>
      <x:c r="F108" s="4" t="n">
        <x:v>0</x:v>
      </x:c>
      <x:c r="G108" s="4"/>
      <x:c r="H108" s="6"/>
      <x:c r="I108" s="16" t="n">
        <x:v>1</x:v>
      </x:c>
      <x:c r="J108"/>
      <x:c r="K108" s="4"/>
      <x:c r="L108" s="4"/>
      <x:c r="M108" s="4"/>
      <x:c r="N108" s="5"/>
    </x:row>
    <x:row r="109" ht="24" customHeight="1">
      <x:c r="A109" s="1" t="str">
        <x:v>RESULT</x:v>
      </x:c>
      <x:c r="B109" s="1" t="str">
        <x:v>Round1</x:v>
      </x:c>
      <x:c r="C109" s="1" t="str">
        <x:v>Closure_137</x:v>
      </x:c>
      <x:c r="D109" s="1" t="str">
        <x:v>NOT_AVAILABLE</x:v>
      </x:c>
      <x:c r="E109" s="5"/>
      <x:c r="F109" s="4" t="n">
        <x:v>0</x:v>
      </x:c>
      <x:c r="G109" s="4"/>
      <x:c r="H109" s="6"/>
      <x:c r="I109" s="16" t="n">
        <x:v>1</x:v>
      </x:c>
      <x:c r="J109"/>
      <x:c r="K109" s="4"/>
      <x:c r="L109" s="4"/>
      <x:c r="M109" s="4"/>
      <x:c r="N109" s="5"/>
    </x:row>
    <x:row r="110" ht="24" customHeight="1">
      <x:c r="A110" s="1" t="str">
        <x:v>RESULT</x:v>
      </x:c>
      <x:c r="B110" s="1" t="str">
        <x:v>Round1</x:v>
      </x:c>
      <x:c r="C110" s="1" t="str">
        <x:v>Closure_138</x:v>
      </x:c>
      <x:c r="D110" s="1" t="str">
        <x:v>NOT_AVAILABLE</x:v>
      </x:c>
      <x:c r="E110" s="5"/>
      <x:c r="F110" s="4" t="n">
        <x:v>0</x:v>
      </x:c>
      <x:c r="G110" s="4"/>
      <x:c r="H110" s="6"/>
      <x:c r="I110" s="16" t="n">
        <x:v>1</x:v>
      </x:c>
      <x:c r="J110"/>
      <x:c r="K110" s="4"/>
      <x:c r="L110" s="4"/>
      <x:c r="M110" s="4"/>
      <x:c r="N110" s="5"/>
    </x:row>
    <x:row r="111" ht="24" customHeight="1">
      <x:c r="A111" s="1" t="str">
        <x:v>RESULT</x:v>
      </x:c>
      <x:c r="B111" s="1" t="str">
        <x:v>Round1</x:v>
      </x:c>
      <x:c r="C111" s="1" t="str">
        <x:v>Closure_139</x:v>
      </x:c>
      <x:c r="D111" s="1" t="str">
        <x:v>NOT_AVAILABLE</x:v>
      </x:c>
      <x:c r="E111" s="5"/>
      <x:c r="F111" s="4" t="n">
        <x:v>0</x:v>
      </x:c>
      <x:c r="G111" s="4"/>
      <x:c r="H111" s="6"/>
      <x:c r="I111" s="16" t="n">
        <x:v>1</x:v>
      </x:c>
      <x:c r="J111"/>
      <x:c r="K111" s="4"/>
      <x:c r="L111" s="4"/>
      <x:c r="M111" s="4"/>
      <x:c r="N111" s="5"/>
    </x:row>
    <x:row r="112" ht="24" customHeight="1">
      <x:c r="A112" s="1" t="str">
        <x:v>RESULT</x:v>
      </x:c>
      <x:c r="B112" s="1" t="str">
        <x:v>Round1</x:v>
      </x:c>
      <x:c r="C112" s="1" t="str">
        <x:v>Closure_14</x:v>
      </x:c>
      <x:c r="D112" s="1" t="str">
        <x:v>NOT_AVAILABLE</x:v>
      </x:c>
      <x:c r="E112" s="5"/>
      <x:c r="F112" s="4" t="n">
        <x:v>0</x:v>
      </x:c>
      <x:c r="G112" s="4"/>
      <x:c r="H112" s="6"/>
      <x:c r="I112" s="16" t="n">
        <x:v>1</x:v>
      </x:c>
      <x:c r="J112"/>
      <x:c r="K112" s="4"/>
      <x:c r="L112" s="4"/>
      <x:c r="M112" s="4"/>
      <x:c r="N112" s="5"/>
    </x:row>
    <x:row r="113" ht="24" customHeight="1">
      <x:c r="A113" s="1" t="str">
        <x:v>RESULT</x:v>
      </x:c>
      <x:c r="B113" s="1" t="str">
        <x:v>Round1</x:v>
      </x:c>
      <x:c r="C113" s="1" t="str">
        <x:v>Closure_140</x:v>
      </x:c>
      <x:c r="D113" s="1" t="str">
        <x:v>NOT_AVAILABLE</x:v>
      </x:c>
      <x:c r="E113" s="5"/>
      <x:c r="F113" s="4" t="n">
        <x:v>0</x:v>
      </x:c>
      <x:c r="G113" s="4"/>
      <x:c r="H113" s="6"/>
      <x:c r="I113" s="16" t="n">
        <x:v>1</x:v>
      </x:c>
      <x:c r="J113"/>
      <x:c r="K113" s="4"/>
      <x:c r="L113" s="4"/>
      <x:c r="M113" s="4"/>
      <x:c r="N113" s="5"/>
    </x:row>
    <x:row r="114" ht="24" customHeight="1">
      <x:c r="A114" s="1" t="str">
        <x:v>RESULT</x:v>
      </x:c>
      <x:c r="B114" s="1" t="str">
        <x:v>Round1</x:v>
      </x:c>
      <x:c r="C114" s="1" t="str">
        <x:v>Closure_141</x:v>
      </x:c>
      <x:c r="D114" s="1" t="str">
        <x:v>NOT_AVAILABLE</x:v>
      </x:c>
      <x:c r="E114" s="5"/>
      <x:c r="F114" s="4" t="n">
        <x:v>0</x:v>
      </x:c>
      <x:c r="G114" s="4"/>
      <x:c r="H114" s="6"/>
      <x:c r="I114" s="16" t="n">
        <x:v>1</x:v>
      </x:c>
      <x:c r="J114"/>
      <x:c r="K114" s="4"/>
      <x:c r="L114" s="4"/>
      <x:c r="M114" s="4"/>
      <x:c r="N114" s="5"/>
    </x:row>
    <x:row r="115" ht="24" customHeight="1">
      <x:c r="A115" s="1" t="str">
        <x:v>RESULT</x:v>
      </x:c>
      <x:c r="B115" s="1" t="str">
        <x:v>Round1</x:v>
      </x:c>
      <x:c r="C115" s="1" t="str">
        <x:v>Closure_142</x:v>
      </x:c>
      <x:c r="D115" s="1" t="str">
        <x:v>NOT_AVAILABLE</x:v>
      </x:c>
      <x:c r="E115" s="5"/>
      <x:c r="F115" s="4" t="n">
        <x:v>0</x:v>
      </x:c>
      <x:c r="G115" s="4"/>
      <x:c r="H115" s="6"/>
      <x:c r="I115" s="16" t="n">
        <x:v>1</x:v>
      </x:c>
      <x:c r="J115"/>
      <x:c r="K115" s="4"/>
      <x:c r="L115" s="4"/>
      <x:c r="M115" s="4"/>
      <x:c r="N115" s="5"/>
    </x:row>
    <x:row r="116" ht="24" customHeight="1">
      <x:c r="A116" s="1" t="str">
        <x:v>RESULT</x:v>
      </x:c>
      <x:c r="B116" s="1" t="str">
        <x:v>Round1</x:v>
      </x:c>
      <x:c r="C116" s="1" t="str">
        <x:v>Closure_143</x:v>
      </x:c>
      <x:c r="D116" s="1" t="str">
        <x:v>NOT_REVEALING</x:v>
      </x:c>
      <x:c r="E116" s="5" t="n">
        <x:v>0.0677</x:v>
      </x:c>
      <x:c r="F116" s="4" t="n">
        <x:v>0</x:v>
      </x:c>
      <x:c r="G116" s="4" t="n">
        <x:v>7403</x:v>
      </x:c>
      <x:c r="H116" s="6" t="n">
        <x:v>30.16</x:v>
      </x:c>
      <x:c r="I116" s="16" t="n">
        <x:v>1</x:v>
      </x:c>
      <x:c r="J116" t="n">
        <x:v>502</x:v>
      </x:c>
      <x:c r="K116" s="4" t="n">
        <x:v>34</x:v>
      </x:c>
      <x:c r="L116" s="4" t="n">
        <x:v>206</x:v>
      </x:c>
      <x:c r="M116" s="4" t="n">
        <x:v>6</x:v>
      </x:c>
      <x:c r="N116" s="5" t="n">
        <x:v>0.0291</x:v>
      </x:c>
    </x:row>
    <x:row r="117" ht="24" customHeight="1">
      <x:c r="A117" s="1" t="str">
        <x:v>RESULT</x:v>
      </x:c>
      <x:c r="B117" s="1" t="str">
        <x:v>Round1</x:v>
      </x:c>
      <x:c r="C117" s="1" t="str">
        <x:v>Closure_144</x:v>
      </x:c>
      <x:c r="D117" s="1" t="str">
        <x:v>INCONCLUSIVE</x:v>
      </x:c>
      <x:c r="E117" s="5" t="n">
        <x:v>0.08349999999999999</x:v>
      </x:c>
      <x:c r="F117" s="4" t="n">
        <x:v>0</x:v>
      </x:c>
      <x:c r="G117" s="4" t="n">
        <x:v>10711</x:v>
      </x:c>
      <x:c r="H117" s="6" t="n">
        <x:v>49.67</x:v>
      </x:c>
      <x:c r="I117" s="16" t="n">
        <x:v>1</x:v>
      </x:c>
      <x:c r="J117" t="n">
        <x:v>1221</x:v>
      </x:c>
      <x:c r="K117" s="4" t="n">
        <x:v>102</x:v>
      </x:c>
      <x:c r="L117" s="4" t="n">
        <x:v>900</x:v>
      </x:c>
      <x:c r="M117" s="4" t="n">
        <x:v>35</x:v>
      </x:c>
      <x:c r="N117" s="5" t="n">
        <x:v>0.038900000000000004</x:v>
      </x:c>
    </x:row>
    <x:row r="118" ht="24" customHeight="1">
      <x:c r="A118" s="1" t="str">
        <x:v>RESULT</x:v>
      </x:c>
      <x:c r="B118" s="1" t="str">
        <x:v>Round1</x:v>
      </x:c>
      <x:c r="C118" s="1" t="str">
        <x:v>Closure_145</x:v>
      </x:c>
      <x:c r="D118" s="1" t="str">
        <x:v>NOT_AVAILABLE</x:v>
      </x:c>
      <x:c r="E118" s="5"/>
      <x:c r="F118" s="4" t="n">
        <x:v>0</x:v>
      </x:c>
      <x:c r="G118" s="4"/>
      <x:c r="H118" s="6"/>
      <x:c r="I118" s="16" t="n">
        <x:v>1</x:v>
      </x:c>
      <x:c r="J118"/>
      <x:c r="K118" s="4"/>
      <x:c r="L118" s="4"/>
      <x:c r="M118" s="4"/>
      <x:c r="N118" s="5"/>
    </x:row>
    <x:row r="119" ht="24" customHeight="1">
      <x:c r="A119" s="1" t="str">
        <x:v>RESULT</x:v>
      </x:c>
      <x:c r="B119" s="1" t="str">
        <x:v>Round1</x:v>
      </x:c>
      <x:c r="C119" s="1" t="str">
        <x:v>Closure_146</x:v>
      </x:c>
      <x:c r="D119" s="1" t="str">
        <x:v>NOT_AVAILABLE</x:v>
      </x:c>
      <x:c r="E119" s="5"/>
      <x:c r="F119" s="4" t="n">
        <x:v>0</x:v>
      </x:c>
      <x:c r="G119" s="4"/>
      <x:c r="H119" s="6"/>
      <x:c r="I119" s="16" t="n">
        <x:v>1</x:v>
      </x:c>
      <x:c r="J119"/>
      <x:c r="K119" s="4"/>
      <x:c r="L119" s="4"/>
      <x:c r="M119" s="4"/>
      <x:c r="N119" s="5"/>
    </x:row>
    <x:row r="120" ht="24" customHeight="1">
      <x:c r="A120" s="1" t="str">
        <x:v>RESULT</x:v>
      </x:c>
      <x:c r="B120" s="1" t="str">
        <x:v>Round1</x:v>
      </x:c>
      <x:c r="C120" s="1" t="str">
        <x:v>Closure_147</x:v>
      </x:c>
      <x:c r="D120" s="1" t="str">
        <x:v>NOT_AVAILABLE</x:v>
      </x:c>
      <x:c r="E120" s="5"/>
      <x:c r="F120" s="4" t="n">
        <x:v>0</x:v>
      </x:c>
      <x:c r="G120" s="4" t="n">
        <x:v>6812</x:v>
      </x:c>
      <x:c r="H120" s="6" t="n">
        <x:v>21.33</x:v>
      </x:c>
      <x:c r="I120" s="16" t="n">
        <x:v>1</x:v>
      </x:c>
      <x:c r="J120"/>
      <x:c r="K120" s="4"/>
      <x:c r="L120" s="4"/>
      <x:c r="M120" s="4"/>
      <x:c r="N120" s="5"/>
    </x:row>
    <x:row r="121" ht="24" customHeight="1">
      <x:c r="A121" s="1" t="str">
        <x:v>RESULT</x:v>
      </x:c>
      <x:c r="B121" s="1" t="str">
        <x:v>Round1</x:v>
      </x:c>
      <x:c r="C121" s="1" t="str">
        <x:v>Closure_148</x:v>
      </x:c>
      <x:c r="D121" s="1" t="str">
        <x:v>NOT_AVAILABLE</x:v>
      </x:c>
      <x:c r="E121" s="5"/>
      <x:c r="F121" s="4" t="n">
        <x:v>0</x:v>
      </x:c>
      <x:c r="G121" s="4"/>
      <x:c r="H121" s="6"/>
      <x:c r="I121" s="16" t="n">
        <x:v>1</x:v>
      </x:c>
      <x:c r="J121"/>
      <x:c r="K121" s="4"/>
      <x:c r="L121" s="4"/>
      <x:c r="M121" s="4"/>
      <x:c r="N121" s="5"/>
    </x:row>
    <x:row r="122" ht="24" customHeight="1">
      <x:c r="A122" s="1" t="str">
        <x:v>RESULT</x:v>
      </x:c>
      <x:c r="B122" s="1" t="str">
        <x:v>Round1</x:v>
      </x:c>
      <x:c r="C122" s="1" t="str">
        <x:v>Closure_149</x:v>
      </x:c>
      <x:c r="D122" s="1" t="str">
        <x:v>NOT_AVAILABLE</x:v>
      </x:c>
      <x:c r="E122" s="5"/>
      <x:c r="F122" s="4" t="n">
        <x:v>0</x:v>
      </x:c>
      <x:c r="G122" s="4"/>
      <x:c r="H122" s="6"/>
      <x:c r="I122" s="16" t="n">
        <x:v>1</x:v>
      </x:c>
      <x:c r="J122"/>
      <x:c r="K122" s="4"/>
      <x:c r="L122" s="4"/>
      <x:c r="M122" s="4"/>
      <x:c r="N122" s="5"/>
    </x:row>
    <x:row r="123" ht="24" customHeight="1">
      <x:c r="A123" s="1" t="str">
        <x:v>RESULT</x:v>
      </x:c>
      <x:c r="B123" s="1" t="str">
        <x:v>Round1</x:v>
      </x:c>
      <x:c r="C123" s="1" t="str">
        <x:v>Closure_15</x:v>
      </x:c>
      <x:c r="D123" s="1" t="str">
        <x:v>NOT_AVAILABLE</x:v>
      </x:c>
      <x:c r="E123" s="5"/>
      <x:c r="F123" s="4" t="n">
        <x:v>0</x:v>
      </x:c>
      <x:c r="G123" s="4"/>
      <x:c r="H123" s="6"/>
      <x:c r="I123" s="16" t="n">
        <x:v>1</x:v>
      </x:c>
      <x:c r="J123"/>
      <x:c r="K123" s="4"/>
      <x:c r="L123" s="4"/>
      <x:c r="M123" s="4"/>
      <x:c r="N123" s="5"/>
    </x:row>
    <x:row r="124" ht="24" customHeight="1">
      <x:c r="A124" s="1" t="str">
        <x:v>RESULT</x:v>
      </x:c>
      <x:c r="B124" s="1" t="str">
        <x:v>Round1</x:v>
      </x:c>
      <x:c r="C124" s="1" t="str">
        <x:v>Closure_150</x:v>
      </x:c>
      <x:c r="D124" s="1" t="str">
        <x:v>NOT_AVAILABLE</x:v>
      </x:c>
      <x:c r="E124" s="5"/>
      <x:c r="F124" s="4" t="n">
        <x:v>0</x:v>
      </x:c>
      <x:c r="G124" s="4"/>
      <x:c r="H124" s="6"/>
      <x:c r="I124" s="16" t="n">
        <x:v>1</x:v>
      </x:c>
      <x:c r="J124"/>
      <x:c r="K124" s="4"/>
      <x:c r="L124" s="4"/>
      <x:c r="M124" s="4"/>
      <x:c r="N124" s="5"/>
    </x:row>
    <x:row r="125" ht="24" customHeight="1">
      <x:c r="A125" s="1" t="str">
        <x:v>RESULT</x:v>
      </x:c>
      <x:c r="B125" s="1" t="str">
        <x:v>Round1</x:v>
      </x:c>
      <x:c r="C125" s="1" t="str">
        <x:v>Closure_151</x:v>
      </x:c>
      <x:c r="D125" s="1" t="str">
        <x:v>NOT_AVAILABLE</x:v>
      </x:c>
      <x:c r="E125" s="5"/>
      <x:c r="F125" s="4" t="n">
        <x:v>0</x:v>
      </x:c>
      <x:c r="G125" s="4"/>
      <x:c r="H125" s="6"/>
      <x:c r="I125" s="16" t="n">
        <x:v>1</x:v>
      </x:c>
      <x:c r="J125"/>
      <x:c r="K125" s="4"/>
      <x:c r="L125" s="4"/>
      <x:c r="M125" s="4"/>
      <x:c r="N125" s="5"/>
    </x:row>
    <x:row r="126" ht="24" customHeight="1">
      <x:c r="A126" s="1" t="str">
        <x:v>RESULT</x:v>
      </x:c>
      <x:c r="B126" s="1" t="str">
        <x:v>Round1</x:v>
      </x:c>
      <x:c r="C126" s="1" t="str">
        <x:v>Closure_152</x:v>
      </x:c>
      <x:c r="D126" s="1" t="str">
        <x:v>NOT_AVAILABLE</x:v>
      </x:c>
      <x:c r="E126" s="5"/>
      <x:c r="F126" s="4" t="n">
        <x:v>0</x:v>
      </x:c>
      <x:c r="G126" s="4"/>
      <x:c r="H126" s="6"/>
      <x:c r="I126" s="16" t="n">
        <x:v>1</x:v>
      </x:c>
      <x:c r="J126"/>
      <x:c r="K126" s="4"/>
      <x:c r="L126" s="4"/>
      <x:c r="M126" s="4"/>
      <x:c r="N126" s="5"/>
    </x:row>
    <x:row r="127" ht="24" customHeight="1">
      <x:c r="A127" s="1" t="str">
        <x:v>RESULT</x:v>
      </x:c>
      <x:c r="B127" s="1" t="str">
        <x:v>Round1</x:v>
      </x:c>
      <x:c r="C127" s="1" t="str">
        <x:v>Closure_153</x:v>
      </x:c>
      <x:c r="D127" s="1" t="str">
        <x:v>NOT_AVAILABLE</x:v>
      </x:c>
      <x:c r="E127" s="5"/>
      <x:c r="F127" s="4" t="n">
        <x:v>0</x:v>
      </x:c>
      <x:c r="G127" s="4"/>
      <x:c r="H127" s="6"/>
      <x:c r="I127" s="16" t="n">
        <x:v>1</x:v>
      </x:c>
      <x:c r="J127"/>
      <x:c r="K127" s="4"/>
      <x:c r="L127" s="4"/>
      <x:c r="M127" s="4"/>
      <x:c r="N127" s="5"/>
    </x:row>
    <x:row r="128" ht="24" customHeight="1">
      <x:c r="A128" s="1" t="str">
        <x:v>RESULT</x:v>
      </x:c>
      <x:c r="B128" s="1" t="str">
        <x:v>Round1</x:v>
      </x:c>
      <x:c r="C128" s="1" t="str">
        <x:v>Closure_154</x:v>
      </x:c>
      <x:c r="D128" s="1" t="str">
        <x:v>NOT_AVAILABLE</x:v>
      </x:c>
      <x:c r="E128" s="5"/>
      <x:c r="F128" s="4" t="n">
        <x:v>0</x:v>
      </x:c>
      <x:c r="G128" s="4"/>
      <x:c r="H128" s="6"/>
      <x:c r="I128" s="16" t="n">
        <x:v>1</x:v>
      </x:c>
      <x:c r="J128"/>
      <x:c r="K128" s="4"/>
      <x:c r="L128" s="4"/>
      <x:c r="M128" s="4"/>
      <x:c r="N128" s="5"/>
    </x:row>
    <x:row r="129" ht="24" customHeight="1">
      <x:c r="A129" s="1" t="str">
        <x:v>RESULT</x:v>
      </x:c>
      <x:c r="B129" s="1" t="str">
        <x:v>Round1</x:v>
      </x:c>
      <x:c r="C129" s="1" t="str">
        <x:v>Closure_155</x:v>
      </x:c>
      <x:c r="D129" s="1" t="str">
        <x:v>NOT_AVAILABLE</x:v>
      </x:c>
      <x:c r="E129" s="5"/>
      <x:c r="F129" s="4" t="n">
        <x:v>0</x:v>
      </x:c>
      <x:c r="G129" s="4"/>
      <x:c r="H129" s="6"/>
      <x:c r="I129" s="16" t="n">
        <x:v>1</x:v>
      </x:c>
      <x:c r="J129"/>
      <x:c r="K129" s="4"/>
      <x:c r="L129" s="4"/>
      <x:c r="M129" s="4"/>
      <x:c r="N129" s="5"/>
    </x:row>
    <x:row r="130" ht="24" customHeight="1">
      <x:c r="A130" s="1" t="str">
        <x:v>RESULT</x:v>
      </x:c>
      <x:c r="B130" s="1" t="str">
        <x:v>Round1</x:v>
      </x:c>
      <x:c r="C130" s="1" t="str">
        <x:v>Closure_156</x:v>
      </x:c>
      <x:c r="D130" s="1" t="str">
        <x:v>NOT_AVAILABLE</x:v>
      </x:c>
      <x:c r="E130" s="5"/>
      <x:c r="F130" s="4" t="n">
        <x:v>0</x:v>
      </x:c>
      <x:c r="G130" s="4"/>
      <x:c r="H130" s="6"/>
      <x:c r="I130" s="16" t="n">
        <x:v>1</x:v>
      </x:c>
      <x:c r="J130"/>
      <x:c r="K130" s="4"/>
      <x:c r="L130" s="4"/>
      <x:c r="M130" s="4"/>
      <x:c r="N130" s="5"/>
    </x:row>
    <x:row r="131" ht="24" customHeight="1">
      <x:c r="A131" s="1" t="str">
        <x:v>RESULT</x:v>
      </x:c>
      <x:c r="B131" s="1" t="str">
        <x:v>Round1</x:v>
      </x:c>
      <x:c r="C131" s="1" t="str">
        <x:v>Closure_157</x:v>
      </x:c>
      <x:c r="D131" s="1" t="str">
        <x:v>NOT_AVAILABLE</x:v>
      </x:c>
      <x:c r="E131" s="5"/>
      <x:c r="F131" s="4" t="n">
        <x:v>0</x:v>
      </x:c>
      <x:c r="G131" s="4"/>
      <x:c r="H131" s="6"/>
      <x:c r="I131" s="16" t="n">
        <x:v>1</x:v>
      </x:c>
      <x:c r="J131"/>
      <x:c r="K131" s="4"/>
      <x:c r="L131" s="4"/>
      <x:c r="M131" s="4"/>
      <x:c r="N131" s="5"/>
    </x:row>
    <x:row r="132" ht="24" customHeight="1">
      <x:c r="A132" s="1" t="str">
        <x:v>RESULT</x:v>
      </x:c>
      <x:c r="B132" s="1" t="str">
        <x:v>Round1</x:v>
      </x:c>
      <x:c r="C132" s="1" t="str">
        <x:v>Closure_158</x:v>
      </x:c>
      <x:c r="D132" s="1" t="str">
        <x:v>NOT_AVAILABLE</x:v>
      </x:c>
      <x:c r="E132" s="5"/>
      <x:c r="F132" s="4" t="n">
        <x:v>0</x:v>
      </x:c>
      <x:c r="G132" s="4"/>
      <x:c r="H132" s="6"/>
      <x:c r="I132" s="16" t="n">
        <x:v>1</x:v>
      </x:c>
      <x:c r="J132"/>
      <x:c r="K132" s="4"/>
      <x:c r="L132" s="4"/>
      <x:c r="M132" s="4"/>
      <x:c r="N132" s="5"/>
    </x:row>
    <x:row r="133" ht="24" customHeight="1">
      <x:c r="A133" s="1" t="str">
        <x:v>RESULT</x:v>
      </x:c>
      <x:c r="B133" s="1" t="str">
        <x:v>Round1</x:v>
      </x:c>
      <x:c r="C133" s="1" t="str">
        <x:v>Closure_159</x:v>
      </x:c>
      <x:c r="D133" s="1" t="str">
        <x:v>NOT_AVAILABLE</x:v>
      </x:c>
      <x:c r="E133" s="5"/>
      <x:c r="F133" s="4" t="n">
        <x:v>0</x:v>
      </x:c>
      <x:c r="G133" s="4"/>
      <x:c r="H133" s="6"/>
      <x:c r="I133" s="16" t="n">
        <x:v>1</x:v>
      </x:c>
      <x:c r="J133"/>
      <x:c r="K133" s="4"/>
      <x:c r="L133" s="4"/>
      <x:c r="M133" s="4"/>
      <x:c r="N133" s="5"/>
    </x:row>
    <x:row r="134" ht="24" customHeight="1">
      <x:c r="A134" s="1" t="str">
        <x:v>RESULT</x:v>
      </x:c>
      <x:c r="B134" s="1" t="str">
        <x:v>Round1</x:v>
      </x:c>
      <x:c r="C134" s="1" t="str">
        <x:v>Closure_16</x:v>
      </x:c>
      <x:c r="D134" s="1" t="str">
        <x:v>NOT_AVAILABLE</x:v>
      </x:c>
      <x:c r="E134" s="5"/>
      <x:c r="F134" s="4" t="n">
        <x:v>0</x:v>
      </x:c>
      <x:c r="G134" s="4"/>
      <x:c r="H134" s="6"/>
      <x:c r="I134" s="16" t="n">
        <x:v>1</x:v>
      </x:c>
      <x:c r="J134"/>
      <x:c r="K134" s="4"/>
      <x:c r="L134" s="4"/>
      <x:c r="M134" s="4"/>
      <x:c r="N134" s="5"/>
    </x:row>
    <x:row r="135" ht="24" customHeight="1">
      <x:c r="A135" s="1" t="str">
        <x:v>RESULT</x:v>
      </x:c>
      <x:c r="B135" s="1" t="str">
        <x:v>Round1</x:v>
      </x:c>
      <x:c r="C135" s="1" t="str">
        <x:v>Closure_160</x:v>
      </x:c>
      <x:c r="D135" s="1" t="str">
        <x:v>NOT_AVAILABLE</x:v>
      </x:c>
      <x:c r="E135" s="5"/>
      <x:c r="F135" s="4" t="n">
        <x:v>0</x:v>
      </x:c>
      <x:c r="G135" s="4"/>
      <x:c r="H135" s="6"/>
      <x:c r="I135" s="16" t="n">
        <x:v>1</x:v>
      </x:c>
      <x:c r="J135"/>
      <x:c r="K135" s="4"/>
      <x:c r="L135" s="4"/>
      <x:c r="M135" s="4"/>
      <x:c r="N135" s="5"/>
    </x:row>
    <x:row r="136" ht="24" customHeight="1">
      <x:c r="A136" s="1" t="str">
        <x:v>RESULT</x:v>
      </x:c>
      <x:c r="B136" s="1" t="str">
        <x:v>Round1</x:v>
      </x:c>
      <x:c r="C136" s="1" t="str">
        <x:v>Closure_161</x:v>
      </x:c>
      <x:c r="D136" s="1" t="str">
        <x:v>INCONCLUSIVE</x:v>
      </x:c>
      <x:c r="E136" s="5" t="n">
        <x:v>0.37420000000000003</x:v>
      </x:c>
      <x:c r="F136" s="4" t="n">
        <x:v>0</x:v>
      </x:c>
      <x:c r="G136" s="4"/>
      <x:c r="H136" s="6"/>
      <x:c r="I136" s="16" t="n">
        <x:v>1</x:v>
      </x:c>
      <x:c r="J136" t="n">
        <x:v>636</x:v>
      </x:c>
      <x:c r="K136" s="4" t="n">
        <x:v>238</x:v>
      </x:c>
      <x:c r="L136" s="4" t="n">
        <x:v>498</x:v>
      </x:c>
      <x:c r="M136" s="4" t="n">
        <x:v>153</x:v>
      </x:c>
      <x:c r="N136" s="5" t="n">
        <x:v>0.3072</x:v>
      </x:c>
    </x:row>
    <x:row r="137" ht="24" customHeight="1">
      <x:c r="A137" s="1" t="str">
        <x:v>RESULT</x:v>
      </x:c>
      <x:c r="B137" s="1" t="str">
        <x:v>Round1</x:v>
      </x:c>
      <x:c r="C137" s="1" t="str">
        <x:v>Closure_162</x:v>
      </x:c>
      <x:c r="D137" s="1" t="str">
        <x:v>NOT_AVAILABLE</x:v>
      </x:c>
      <x:c r="E137" s="5"/>
      <x:c r="F137" s="4" t="n">
        <x:v>0</x:v>
      </x:c>
      <x:c r="G137" s="4"/>
      <x:c r="H137" s="6"/>
      <x:c r="I137" s="16" t="n">
        <x:v>1</x:v>
      </x:c>
      <x:c r="J137"/>
      <x:c r="K137" s="4"/>
      <x:c r="L137" s="4"/>
      <x:c r="M137" s="4"/>
      <x:c r="N137" s="5"/>
    </x:row>
    <x:row r="138" ht="24" customHeight="1">
      <x:c r="A138" s="1" t="str">
        <x:v>RESULT</x:v>
      </x:c>
      <x:c r="B138" s="1" t="str">
        <x:v>Round1</x:v>
      </x:c>
      <x:c r="C138" s="1" t="str">
        <x:v>Closure_163</x:v>
      </x:c>
      <x:c r="D138" s="1" t="str">
        <x:v>NOT_AVAILABLE</x:v>
      </x:c>
      <x:c r="E138" s="5"/>
      <x:c r="F138" s="4" t="n">
        <x:v>0</x:v>
      </x:c>
      <x:c r="G138" s="4"/>
      <x:c r="H138" s="6"/>
      <x:c r="I138" s="16" t="n">
        <x:v>1</x:v>
      </x:c>
      <x:c r="J138"/>
      <x:c r="K138" s="4"/>
      <x:c r="L138" s="4"/>
      <x:c r="M138" s="4"/>
      <x:c r="N138" s="5"/>
    </x:row>
    <x:row r="139" ht="24" customHeight="1">
      <x:c r="A139" s="1" t="str">
        <x:v>RESULT</x:v>
      </x:c>
      <x:c r="B139" s="1" t="str">
        <x:v>Round1</x:v>
      </x:c>
      <x:c r="C139" s="1" t="str">
        <x:v>Closure_164</x:v>
      </x:c>
      <x:c r="D139" s="1" t="str">
        <x:v>NOT_AVAILABLE</x:v>
      </x:c>
      <x:c r="E139" s="5"/>
      <x:c r="F139" s="4" t="n">
        <x:v>0</x:v>
      </x:c>
      <x:c r="G139" s="4"/>
      <x:c r="H139" s="6"/>
      <x:c r="I139" s="16" t="n">
        <x:v>1</x:v>
      </x:c>
      <x:c r="J139"/>
      <x:c r="K139" s="4"/>
      <x:c r="L139" s="4"/>
      <x:c r="M139" s="4"/>
      <x:c r="N139" s="5"/>
    </x:row>
    <x:row r="140" ht="24" customHeight="1">
      <x:c r="A140" s="1" t="str">
        <x:v>RESULT</x:v>
      </x:c>
      <x:c r="B140" s="1" t="str">
        <x:v>Round1</x:v>
      </x:c>
      <x:c r="C140" s="1" t="str">
        <x:v>Closure_165</x:v>
      </x:c>
      <x:c r="D140" s="1" t="str">
        <x:v>NOT_REVEALING</x:v>
      </x:c>
      <x:c r="E140" s="5" t="n">
        <x:v>0.4157</x:v>
      </x:c>
      <x:c r="F140" s="4" t="n">
        <x:v>0</x:v>
      </x:c>
      <x:c r="G140" s="4" t="n">
        <x:v>6909</x:v>
      </x:c>
      <x:c r="H140" s="6" t="n">
        <x:v>43.15</x:v>
      </x:c>
      <x:c r="I140" s="16" t="n">
        <x:v>1</x:v>
      </x:c>
      <x:c r="J140" t="n">
        <x:v>830</x:v>
      </x:c>
      <x:c r="K140" s="4" t="n">
        <x:v>345</x:v>
      </x:c>
      <x:c r="L140" s="4" t="n">
        <x:v>287</x:v>
      </x:c>
      <x:c r="M140" s="4" t="n">
        <x:v>43</x:v>
      </x:c>
      <x:c r="N140" s="5" t="n">
        <x:v>0.14980000000000002</x:v>
      </x:c>
    </x:row>
    <x:row r="141" ht="24" customHeight="1">
      <x:c r="A141" s="1" t="str">
        <x:v>RESULT</x:v>
      </x:c>
      <x:c r="B141" s="1" t="str">
        <x:v>Round1</x:v>
      </x:c>
      <x:c r="C141" s="1" t="str">
        <x:v>Closure_166</x:v>
      </x:c>
      <x:c r="D141" s="1" t="str">
        <x:v>NOT_AVAILABLE</x:v>
      </x:c>
      <x:c r="E141" s="5"/>
      <x:c r="F141" s="4" t="n">
        <x:v>0</x:v>
      </x:c>
      <x:c r="G141" s="4"/>
      <x:c r="H141" s="6"/>
      <x:c r="I141" s="16" t="n">
        <x:v>1</x:v>
      </x:c>
      <x:c r="J141"/>
      <x:c r="K141" s="4"/>
      <x:c r="L141" s="4"/>
      <x:c r="M141" s="4"/>
      <x:c r="N141" s="5"/>
    </x:row>
    <x:row r="142" ht="24" customHeight="1">
      <x:c r="A142" s="1" t="str">
        <x:v>RESULT</x:v>
      </x:c>
      <x:c r="B142" s="1" t="str">
        <x:v>Round1</x:v>
      </x:c>
      <x:c r="C142" s="1" t="str">
        <x:v>Closure_167</x:v>
      </x:c>
      <x:c r="D142" s="1" t="str">
        <x:v>NOT_AVAILABLE</x:v>
      </x:c>
      <x:c r="E142" s="5"/>
      <x:c r="F142" s="4" t="n">
        <x:v>0</x:v>
      </x:c>
      <x:c r="G142" s="4"/>
      <x:c r="H142" s="6"/>
      <x:c r="I142" s="16" t="n">
        <x:v>1</x:v>
      </x:c>
      <x:c r="J142"/>
      <x:c r="K142" s="4"/>
      <x:c r="L142" s="4"/>
      <x:c r="M142" s="4"/>
      <x:c r="N142" s="5"/>
    </x:row>
    <x:row r="143" ht="24" customHeight="1">
      <x:c r="A143" s="1" t="str">
        <x:v>RESULT</x:v>
      </x:c>
      <x:c r="B143" s="1" t="str">
        <x:v>Round1</x:v>
      </x:c>
      <x:c r="C143" s="1" t="str">
        <x:v>Closure_168</x:v>
      </x:c>
      <x:c r="D143" s="1" t="str">
        <x:v>NOT_AVAILABLE</x:v>
      </x:c>
      <x:c r="E143" s="5"/>
      <x:c r="F143" s="4" t="n">
        <x:v>0</x:v>
      </x:c>
      <x:c r="G143" s="4"/>
      <x:c r="H143" s="6"/>
      <x:c r="I143" s="16" t="n">
        <x:v>1</x:v>
      </x:c>
      <x:c r="J143"/>
      <x:c r="K143" s="4"/>
      <x:c r="L143" s="4"/>
      <x:c r="M143" s="4"/>
      <x:c r="N143" s="5"/>
    </x:row>
    <x:row r="144" ht="24" customHeight="1">
      <x:c r="A144" s="1" t="str">
        <x:v>RESULT</x:v>
      </x:c>
      <x:c r="B144" s="1" t="str">
        <x:v>Round1</x:v>
      </x:c>
      <x:c r="C144" s="1" t="str">
        <x:v>Closure_169</x:v>
      </x:c>
      <x:c r="D144" s="1" t="str">
        <x:v>NOT_AVAILABLE</x:v>
      </x:c>
      <x:c r="E144" s="5"/>
      <x:c r="F144" s="4" t="n">
        <x:v>0</x:v>
      </x:c>
      <x:c r="G144" s="4"/>
      <x:c r="H144" s="6"/>
      <x:c r="I144" s="16" t="n">
        <x:v>1</x:v>
      </x:c>
      <x:c r="J144"/>
      <x:c r="K144" s="4"/>
      <x:c r="L144" s="4"/>
      <x:c r="M144" s="4"/>
      <x:c r="N144" s="5"/>
    </x:row>
    <x:row r="145" ht="24" customHeight="1">
      <x:c r="A145" s="1" t="str">
        <x:v>RESULT</x:v>
      </x:c>
      <x:c r="B145" s="1" t="str">
        <x:v>Round1</x:v>
      </x:c>
      <x:c r="C145" s="1" t="str">
        <x:v>Closure_17</x:v>
      </x:c>
      <x:c r="D145" s="1" t="str">
        <x:v>NOT_AVAILABLE</x:v>
      </x:c>
      <x:c r="E145" s="5"/>
      <x:c r="F145" s="4" t="n">
        <x:v>0</x:v>
      </x:c>
      <x:c r="G145" s="4"/>
      <x:c r="H145" s="6"/>
      <x:c r="I145" s="16" t="n">
        <x:v>1</x:v>
      </x:c>
      <x:c r="J145"/>
      <x:c r="K145" s="4"/>
      <x:c r="L145" s="4"/>
      <x:c r="M145" s="4"/>
      <x:c r="N145" s="5"/>
    </x:row>
    <x:row r="146" ht="24" customHeight="1">
      <x:c r="A146" s="1" t="str">
        <x:v>RESULT</x:v>
      </x:c>
      <x:c r="B146" s="1" t="str">
        <x:v>Round1</x:v>
      </x:c>
      <x:c r="C146" s="1" t="str">
        <x:v>Closure_170</x:v>
      </x:c>
      <x:c r="D146" s="1" t="str">
        <x:v>NOT_AVAILABLE</x:v>
      </x:c>
      <x:c r="E146" s="5"/>
      <x:c r="F146" s="4" t="n">
        <x:v>0</x:v>
      </x:c>
      <x:c r="G146" s="4"/>
      <x:c r="H146" s="6"/>
      <x:c r="I146" s="16" t="n">
        <x:v>1</x:v>
      </x:c>
      <x:c r="J146"/>
      <x:c r="K146" s="4"/>
      <x:c r="L146" s="4"/>
      <x:c r="M146" s="4"/>
      <x:c r="N146" s="5"/>
    </x:row>
    <x:row r="147" ht="24" customHeight="1">
      <x:c r="A147" s="1" t="str">
        <x:v>RESULT</x:v>
      </x:c>
      <x:c r="B147" s="1" t="str">
        <x:v>Round1</x:v>
      </x:c>
      <x:c r="C147" s="1" t="str">
        <x:v>Closure_171</x:v>
      </x:c>
      <x:c r="D147" s="1" t="str">
        <x:v>NOT_AVAILABLE</x:v>
      </x:c>
      <x:c r="E147" s="5"/>
      <x:c r="F147" s="4" t="n">
        <x:v>0</x:v>
      </x:c>
      <x:c r="G147" s="4"/>
      <x:c r="H147" s="6"/>
      <x:c r="I147" s="16" t="n">
        <x:v>1</x:v>
      </x:c>
      <x:c r="J147"/>
      <x:c r="K147" s="4"/>
      <x:c r="L147" s="4"/>
      <x:c r="M147" s="4"/>
      <x:c r="N147" s="5"/>
    </x:row>
    <x:row r="148" ht="24" customHeight="1">
      <x:c r="A148" s="1" t="str">
        <x:v>RESULT</x:v>
      </x:c>
      <x:c r="B148" s="1" t="str">
        <x:v>Round1</x:v>
      </x:c>
      <x:c r="C148" s="1" t="str">
        <x:v>Closure_172</x:v>
      </x:c>
      <x:c r="D148" s="1" t="str">
        <x:v>INCONCLUSIVE</x:v>
      </x:c>
      <x:c r="E148" s="5" t="n">
        <x:v>0</x:v>
      </x:c>
      <x:c r="F148" s="4" t="n">
        <x:v>0</x:v>
      </x:c>
      <x:c r="G148" s="4"/>
      <x:c r="H148" s="6"/>
      <x:c r="I148" s="16" t="n">
        <x:v>1</x:v>
      </x:c>
      <x:c r="J148" t="n">
        <x:v>951</x:v>
      </x:c>
      <x:c r="K148" s="4" t="n">
        <x:v>0</x:v>
      </x:c>
      <x:c r="L148" s="4" t="n">
        <x:v>762</x:v>
      </x:c>
      <x:c r="M148" s="4" t="n">
        <x:v>0</x:v>
      </x:c>
      <x:c r="N148" s="5" t="n">
        <x:v>0</x:v>
      </x:c>
    </x:row>
    <x:row r="149" ht="24" customHeight="1">
      <x:c r="A149" s="1" t="str">
        <x:v>RESULT</x:v>
      </x:c>
      <x:c r="B149" s="1" t="str">
        <x:v>Round1</x:v>
      </x:c>
      <x:c r="C149" s="1" t="str">
        <x:v>Closure_173</x:v>
      </x:c>
      <x:c r="D149" s="1" t="str">
        <x:v>NOT_AVAILABLE</x:v>
      </x:c>
      <x:c r="E149" s="5"/>
      <x:c r="F149" s="4" t="n">
        <x:v>0</x:v>
      </x:c>
      <x:c r="G149" s="4"/>
      <x:c r="H149" s="6"/>
      <x:c r="I149" s="16" t="n">
        <x:v>1</x:v>
      </x:c>
      <x:c r="J149"/>
      <x:c r="K149" s="4"/>
      <x:c r="L149" s="4"/>
      <x:c r="M149" s="4"/>
      <x:c r="N149" s="5"/>
    </x:row>
    <x:row r="150" ht="24" customHeight="1">
      <x:c r="A150" s="1" t="str">
        <x:v>RESULT</x:v>
      </x:c>
      <x:c r="B150" s="1" t="str">
        <x:v>Round1</x:v>
      </x:c>
      <x:c r="C150" s="1" t="str">
        <x:v>Closure_174</x:v>
      </x:c>
      <x:c r="D150" s="1" t="str">
        <x:v>INCONCLUSIVE</x:v>
      </x:c>
      <x:c r="E150" s="5" t="n">
        <x:v>0.0433</x:v>
      </x:c>
      <x:c r="F150" s="4" t="n">
        <x:v>0</x:v>
      </x:c>
      <x:c r="G150" s="4" t="n">
        <x:v>8030</x:v>
      </x:c>
      <x:c r="H150" s="6" t="n">
        <x:v>37.44</x:v>
      </x:c>
      <x:c r="I150" s="16" t="n">
        <x:v>1</x:v>
      </x:c>
      <x:c r="J150" t="n">
        <x:v>1385</x:v>
      </x:c>
      <x:c r="K150" s="4" t="n">
        <x:v>60</x:v>
      </x:c>
      <x:c r="L150" s="4" t="n">
        <x:v>1244</x:v>
      </x:c>
      <x:c r="M150" s="4" t="n">
        <x:v>14</x:v>
      </x:c>
      <x:c r="N150" s="5" t="n">
        <x:v>0.0113</x:v>
      </x:c>
    </x:row>
    <x:row r="151" ht="24" customHeight="1">
      <x:c r="A151" s="1" t="str">
        <x:v>RESULT</x:v>
      </x:c>
      <x:c r="B151" s="1" t="str">
        <x:v>Round1</x:v>
      </x:c>
      <x:c r="C151" s="1" t="str">
        <x:v>Closure_175</x:v>
      </x:c>
      <x:c r="D151" s="1" t="str">
        <x:v>NOT_AVAILABLE</x:v>
      </x:c>
      <x:c r="E151" s="5"/>
      <x:c r="F151" s="4" t="n">
        <x:v>0</x:v>
      </x:c>
      <x:c r="G151" s="4" t="n">
        <x:v>13185</x:v>
      </x:c>
      <x:c r="H151" s="6" t="n">
        <x:v>44.11</x:v>
      </x:c>
      <x:c r="I151" s="16" t="n">
        <x:v>1</x:v>
      </x:c>
      <x:c r="J151"/>
      <x:c r="K151" s="4"/>
      <x:c r="L151" s="4"/>
      <x:c r="M151" s="4"/>
      <x:c r="N151" s="5"/>
    </x:row>
    <x:row r="152" ht="24" customHeight="1">
      <x:c r="A152" s="1" t="str">
        <x:v>RESULT</x:v>
      </x:c>
      <x:c r="B152" s="1" t="str">
        <x:v>Round1</x:v>
      </x:c>
      <x:c r="C152" s="1" t="str">
        <x:v>Closure_176</x:v>
      </x:c>
      <x:c r="D152" s="1" t="str">
        <x:v>NOT_AVAILABLE</x:v>
      </x:c>
      <x:c r="E152" s="5"/>
      <x:c r="F152" s="4" t="n">
        <x:v>0</x:v>
      </x:c>
      <x:c r="G152" s="4"/>
      <x:c r="H152" s="6"/>
      <x:c r="I152" s="16" t="n">
        <x:v>1</x:v>
      </x:c>
      <x:c r="J152"/>
      <x:c r="K152" s="4"/>
      <x:c r="L152" s="4"/>
      <x:c r="M152" s="4"/>
      <x:c r="N152" s="5"/>
    </x:row>
    <x:row r="153" ht="24" customHeight="1">
      <x:c r="A153" s="1" t="str">
        <x:v>RESULT</x:v>
      </x:c>
      <x:c r="B153" s="1" t="str">
        <x:v>Round1</x:v>
      </x:c>
      <x:c r="C153" s="1" t="str">
        <x:v>Closure_18</x:v>
      </x:c>
      <x:c r="D153" s="1" t="str">
        <x:v>NOT_AVAILABLE</x:v>
      </x:c>
      <x:c r="E153" s="5"/>
      <x:c r="F153" s="4" t="n">
        <x:v>0</x:v>
      </x:c>
      <x:c r="G153" s="4"/>
      <x:c r="H153" s="6"/>
      <x:c r="I153" s="16" t="n">
        <x:v>1</x:v>
      </x:c>
      <x:c r="J153"/>
      <x:c r="K153" s="4"/>
      <x:c r="L153" s="4"/>
      <x:c r="M153" s="4"/>
      <x:c r="N153" s="5"/>
    </x:row>
    <x:row r="154" ht="24" customHeight="1">
      <x:c r="A154" s="1" t="str">
        <x:v>RESULT</x:v>
      </x:c>
      <x:c r="B154" s="1" t="str">
        <x:v>Round1</x:v>
      </x:c>
      <x:c r="C154" s="1" t="str">
        <x:v>Closure_19</x:v>
      </x:c>
      <x:c r="D154" s="1" t="str">
        <x:v>NOT_AVAILABLE</x:v>
      </x:c>
      <x:c r="E154" s="5"/>
      <x:c r="F154" s="4" t="n">
        <x:v>0</x:v>
      </x:c>
      <x:c r="G154" s="4"/>
      <x:c r="H154" s="6"/>
      <x:c r="I154" s="16" t="n">
        <x:v>1</x:v>
      </x:c>
      <x:c r="J154"/>
      <x:c r="K154" s="4"/>
      <x:c r="L154" s="4"/>
      <x:c r="M154" s="4"/>
      <x:c r="N154" s="5"/>
    </x:row>
    <x:row r="155" ht="24" customHeight="1">
      <x:c r="A155" s="1" t="str">
        <x:v>RESULT</x:v>
      </x:c>
      <x:c r="B155" s="1" t="str">
        <x:v>Round1</x:v>
      </x:c>
      <x:c r="C155" s="1" t="str">
        <x:v>Closure_2</x:v>
      </x:c>
      <x:c r="D155" s="1" t="str">
        <x:v>NOT_AVAILABLE</x:v>
      </x:c>
      <x:c r="E155" s="5"/>
      <x:c r="F155" s="4" t="n">
        <x:v>0</x:v>
      </x:c>
      <x:c r="G155" s="4"/>
      <x:c r="H155" s="6"/>
      <x:c r="I155" s="16" t="n">
        <x:v>1</x:v>
      </x:c>
      <x:c r="J155"/>
      <x:c r="K155" s="4"/>
      <x:c r="L155" s="4"/>
      <x:c r="M155" s="4"/>
      <x:c r="N155" s="5"/>
    </x:row>
    <x:row r="156" ht="24" customHeight="1">
      <x:c r="A156" s="1" t="str">
        <x:v>RESULT</x:v>
      </x:c>
      <x:c r="B156" s="1" t="str">
        <x:v>Round1</x:v>
      </x:c>
      <x:c r="C156" s="1" t="str">
        <x:v>Closure_20</x:v>
      </x:c>
      <x:c r="D156" s="1" t="str">
        <x:v>INCONCLUSIVE</x:v>
      </x:c>
      <x:c r="E156" s="5" t="n">
        <x:v>0.0981</x:v>
      </x:c>
      <x:c r="F156" s="4" t="n">
        <x:v>0</x:v>
      </x:c>
      <x:c r="G156" s="4"/>
      <x:c r="H156" s="6"/>
      <x:c r="I156" s="16" t="n">
        <x:v>1</x:v>
      </x:c>
      <x:c r="J156" t="n">
        <x:v>754</x:v>
      </x:c>
      <x:c r="K156" s="4" t="n">
        <x:v>74</x:v>
      </x:c>
      <x:c r="L156" s="4" t="n">
        <x:v>526</x:v>
      </x:c>
      <x:c r="M156" s="4" t="n">
        <x:v>32</x:v>
      </x:c>
      <x:c r="N156" s="5" t="n">
        <x:v>0.0608</x:v>
      </x:c>
    </x:row>
    <x:row r="157" ht="24" customHeight="1">
      <x:c r="A157" s="1" t="str">
        <x:v>RESULT</x:v>
      </x:c>
      <x:c r="B157" s="1" t="str">
        <x:v>Round1</x:v>
      </x:c>
      <x:c r="C157" s="1" t="str">
        <x:v>Closure_21</x:v>
      </x:c>
      <x:c r="D157" s="1" t="str">
        <x:v>NOT_AVAILABLE</x:v>
      </x:c>
      <x:c r="E157" s="5"/>
      <x:c r="F157" s="4" t="n">
        <x:v>0</x:v>
      </x:c>
      <x:c r="G157" s="4"/>
      <x:c r="H157" s="6"/>
      <x:c r="I157" s="16" t="n">
        <x:v>1</x:v>
      </x:c>
      <x:c r="J157"/>
      <x:c r="K157" s="4"/>
      <x:c r="L157" s="4"/>
      <x:c r="M157" s="4"/>
      <x:c r="N157" s="5"/>
    </x:row>
    <x:row r="158" ht="24" customHeight="1">
      <x:c r="A158" s="1" t="str">
        <x:v>RESULT</x:v>
      </x:c>
      <x:c r="B158" s="1" t="str">
        <x:v>Round1</x:v>
      </x:c>
      <x:c r="C158" s="1" t="str">
        <x:v>Closure_22</x:v>
      </x:c>
      <x:c r="D158" s="1" t="str">
        <x:v>NOT_AVAILABLE</x:v>
      </x:c>
      <x:c r="E158" s="5"/>
      <x:c r="F158" s="4" t="n">
        <x:v>0</x:v>
      </x:c>
      <x:c r="G158" s="4"/>
      <x:c r="H158" s="6"/>
      <x:c r="I158" s="16" t="n">
        <x:v>1</x:v>
      </x:c>
      <x:c r="J158"/>
      <x:c r="K158" s="4"/>
      <x:c r="L158" s="4"/>
      <x:c r="M158" s="4"/>
      <x:c r="N158" s="5"/>
    </x:row>
    <x:row r="159" ht="24" customHeight="1">
      <x:c r="A159" s="1" t="str">
        <x:v>RESULT</x:v>
      </x:c>
      <x:c r="B159" s="1" t="str">
        <x:v>Round1</x:v>
      </x:c>
      <x:c r="C159" s="1" t="str">
        <x:v>Closure_23</x:v>
      </x:c>
      <x:c r="D159" s="1" t="str">
        <x:v>NOT_AVAILABLE</x:v>
      </x:c>
      <x:c r="E159" s="5"/>
      <x:c r="F159" s="4" t="n">
        <x:v>0</x:v>
      </x:c>
      <x:c r="G159" s="4"/>
      <x:c r="H159" s="6"/>
      <x:c r="I159" s="16" t="n">
        <x:v>1</x:v>
      </x:c>
      <x:c r="J159"/>
      <x:c r="K159" s="4"/>
      <x:c r="L159" s="4"/>
      <x:c r="M159" s="4"/>
      <x:c r="N159" s="5"/>
    </x:row>
    <x:row r="160" ht="24" customHeight="1">
      <x:c r="A160" s="1" t="str">
        <x:v>RESULT</x:v>
      </x:c>
      <x:c r="B160" s="1" t="str">
        <x:v>Round1</x:v>
      </x:c>
      <x:c r="C160" s="1" t="str">
        <x:v>Closure_24</x:v>
      </x:c>
      <x:c r="D160" s="1" t="str">
        <x:v>NOT_AVAILABLE</x:v>
      </x:c>
      <x:c r="E160" s="5"/>
      <x:c r="F160" s="4" t="n">
        <x:v>0</x:v>
      </x:c>
      <x:c r="G160" s="4"/>
      <x:c r="H160" s="6"/>
      <x:c r="I160" s="16" t="n">
        <x:v>1</x:v>
      </x:c>
      <x:c r="J160"/>
      <x:c r="K160" s="4"/>
      <x:c r="L160" s="4"/>
      <x:c r="M160" s="4"/>
      <x:c r="N160" s="5"/>
    </x:row>
    <x:row r="161" ht="24" customHeight="1">
      <x:c r="A161" s="1" t="str">
        <x:v>RESULT</x:v>
      </x:c>
      <x:c r="B161" s="1" t="str">
        <x:v>Round1</x:v>
      </x:c>
      <x:c r="C161" s="1" t="str">
        <x:v>Closure_25</x:v>
      </x:c>
      <x:c r="D161" s="1" t="str">
        <x:v>NOT_AVAILABLE</x:v>
      </x:c>
      <x:c r="E161" s="5"/>
      <x:c r="F161" s="4" t="n">
        <x:v>0</x:v>
      </x:c>
      <x:c r="G161" s="4"/>
      <x:c r="H161" s="6"/>
      <x:c r="I161" s="16" t="n">
        <x:v>1</x:v>
      </x:c>
      <x:c r="J161"/>
      <x:c r="K161" s="4"/>
      <x:c r="L161" s="4"/>
      <x:c r="M161" s="4"/>
      <x:c r="N161" s="5"/>
    </x:row>
    <x:row r="162" ht="24" customHeight="1">
      <x:c r="A162" s="1" t="str">
        <x:v>RESULT</x:v>
      </x:c>
      <x:c r="B162" s="1" t="str">
        <x:v>Round1</x:v>
      </x:c>
      <x:c r="C162" s="1" t="str">
        <x:v>Closure_26</x:v>
      </x:c>
      <x:c r="D162" s="1" t="str">
        <x:v>NOT_AVAILABLE</x:v>
      </x:c>
      <x:c r="E162" s="5"/>
      <x:c r="F162" s="4" t="n">
        <x:v>0</x:v>
      </x:c>
      <x:c r="G162" s="4"/>
      <x:c r="H162" s="6"/>
      <x:c r="I162" s="16" t="n">
        <x:v>1</x:v>
      </x:c>
      <x:c r="J162"/>
      <x:c r="K162" s="4"/>
      <x:c r="L162" s="4"/>
      <x:c r="M162" s="4"/>
      <x:c r="N162" s="5"/>
    </x:row>
    <x:row r="163" ht="24" customHeight="1">
      <x:c r="A163" s="1" t="str">
        <x:v>RESULT</x:v>
      </x:c>
      <x:c r="B163" s="1" t="str">
        <x:v>Round1</x:v>
      </x:c>
      <x:c r="C163" s="1" t="str">
        <x:v>Closure_27</x:v>
      </x:c>
      <x:c r="D163" s="1" t="str">
        <x:v>NOT_AVAILABLE</x:v>
      </x:c>
      <x:c r="E163" s="5"/>
      <x:c r="F163" s="4" t="n">
        <x:v>0</x:v>
      </x:c>
      <x:c r="G163" s="4"/>
      <x:c r="H163" s="6"/>
      <x:c r="I163" s="16" t="n">
        <x:v>1</x:v>
      </x:c>
      <x:c r="J163"/>
      <x:c r="K163" s="4"/>
      <x:c r="L163" s="4"/>
      <x:c r="M163" s="4"/>
      <x:c r="N163" s="5"/>
    </x:row>
    <x:row r="164" ht="24" customHeight="1">
      <x:c r="A164" s="1" t="str">
        <x:v>RESULT</x:v>
      </x:c>
      <x:c r="B164" s="1" t="str">
        <x:v>Round1</x:v>
      </x:c>
      <x:c r="C164" s="1" t="str">
        <x:v>Closure_28</x:v>
      </x:c>
      <x:c r="D164" s="1" t="str">
        <x:v>NOT_REVEALING</x:v>
      </x:c>
      <x:c r="E164" s="5" t="n">
        <x:v>1</x:v>
      </x:c>
      <x:c r="F164" s="4" t="n">
        <x:v>0</x:v>
      </x:c>
      <x:c r="G164" s="4" t="n">
        <x:v>7135</x:v>
      </x:c>
      <x:c r="H164" s="6" t="n">
        <x:v>53.07</x:v>
      </x:c>
      <x:c r="I164" s="16" t="n">
        <x:v>1</x:v>
      </x:c>
      <x:c r="J164" t="n">
        <x:v>26</x:v>
      </x:c>
      <x:c r="K164" s="4" t="n">
        <x:v>26</x:v>
      </x:c>
      <x:c r="L164" s="4" t="n">
        <x:v>2</x:v>
      </x:c>
      <x:c r="M164" s="4" t="n">
        <x:v>2</x:v>
      </x:c>
      <x:c r="N164" s="5" t="n">
        <x:v>1</x:v>
      </x:c>
    </x:row>
    <x:row r="165" ht="24" customHeight="1">
      <x:c r="A165" s="1" t="str">
        <x:v>RESULT</x:v>
      </x:c>
      <x:c r="B165" s="1" t="str">
        <x:v>Round1</x:v>
      </x:c>
      <x:c r="C165" s="1" t="str">
        <x:v>Closure_29</x:v>
      </x:c>
      <x:c r="D165" s="1" t="str">
        <x:v>NOT_AVAILABLE</x:v>
      </x:c>
      <x:c r="E165" s="5"/>
      <x:c r="F165" s="4" t="n">
        <x:v>0</x:v>
      </x:c>
      <x:c r="G165" s="4"/>
      <x:c r="H165" s="6"/>
      <x:c r="I165" s="16" t="n">
        <x:v>1</x:v>
      </x:c>
      <x:c r="J165"/>
      <x:c r="K165" s="4"/>
      <x:c r="L165" s="4"/>
      <x:c r="M165" s="4"/>
      <x:c r="N165" s="5"/>
    </x:row>
    <x:row r="166" ht="24" customHeight="1">
      <x:c r="A166" s="1" t="str">
        <x:v>RESULT</x:v>
      </x:c>
      <x:c r="B166" s="1" t="str">
        <x:v>Round1</x:v>
      </x:c>
      <x:c r="C166" s="1" t="str">
        <x:v>Closure_3</x:v>
      </x:c>
      <x:c r="D166" s="1" t="str">
        <x:v>NOT_AVAILABLE</x:v>
      </x:c>
      <x:c r="E166" s="5"/>
      <x:c r="F166" s="4" t="n">
        <x:v>0</x:v>
      </x:c>
      <x:c r="G166" s="4"/>
      <x:c r="H166" s="6"/>
      <x:c r="I166" s="16" t="n">
        <x:v>1</x:v>
      </x:c>
      <x:c r="J166"/>
      <x:c r="K166" s="4"/>
      <x:c r="L166" s="4"/>
      <x:c r="M166" s="4"/>
      <x:c r="N166" s="5"/>
    </x:row>
    <x:row r="167" ht="24" customHeight="1">
      <x:c r="A167" s="1" t="str">
        <x:v>RESULT</x:v>
      </x:c>
      <x:c r="B167" s="1" t="str">
        <x:v>Round1</x:v>
      </x:c>
      <x:c r="C167" s="1" t="str">
        <x:v>Closure_30</x:v>
      </x:c>
      <x:c r="D167" s="1" t="str">
        <x:v>NOT_AVAILABLE</x:v>
      </x:c>
      <x:c r="E167" s="5"/>
      <x:c r="F167" s="4" t="n">
        <x:v>0</x:v>
      </x:c>
      <x:c r="G167" s="4"/>
      <x:c r="H167" s="6"/>
      <x:c r="I167" s="16" t="n">
        <x:v>1</x:v>
      </x:c>
      <x:c r="J167"/>
      <x:c r="K167" s="4"/>
      <x:c r="L167" s="4"/>
      <x:c r="M167" s="4"/>
      <x:c r="N167" s="5"/>
    </x:row>
    <x:row r="168" ht="24" customHeight="1">
      <x:c r="A168" s="1" t="str">
        <x:v>RESULT</x:v>
      </x:c>
      <x:c r="B168" s="1" t="str">
        <x:v>Round1</x:v>
      </x:c>
      <x:c r="C168" s="1" t="str">
        <x:v>Closure_31</x:v>
      </x:c>
      <x:c r="D168" s="1" t="str">
        <x:v>NOT_AVAILABLE</x:v>
      </x:c>
      <x:c r="E168" s="5"/>
      <x:c r="F168" s="4" t="n">
        <x:v>0</x:v>
      </x:c>
      <x:c r="G168" s="4"/>
      <x:c r="H168" s="6"/>
      <x:c r="I168" s="16" t="n">
        <x:v>1</x:v>
      </x:c>
      <x:c r="J168"/>
      <x:c r="K168" s="4"/>
      <x:c r="L168" s="4"/>
      <x:c r="M168" s="4"/>
      <x:c r="N168" s="5"/>
    </x:row>
    <x:row r="169" ht="24" customHeight="1">
      <x:c r="A169" s="1" t="str">
        <x:v>RESULT</x:v>
      </x:c>
      <x:c r="B169" s="1" t="str">
        <x:v>Round1</x:v>
      </x:c>
      <x:c r="C169" s="1" t="str">
        <x:v>Closure_32</x:v>
      </x:c>
      <x:c r="D169" s="1" t="str">
        <x:v>NOT_AVAILABLE</x:v>
      </x:c>
      <x:c r="E169" s="5"/>
      <x:c r="F169" s="4" t="n">
        <x:v>0</x:v>
      </x:c>
      <x:c r="G169" s="4"/>
      <x:c r="H169" s="6"/>
      <x:c r="I169" s="16" t="n">
        <x:v>1</x:v>
      </x:c>
      <x:c r="J169"/>
      <x:c r="K169" s="4"/>
      <x:c r="L169" s="4"/>
      <x:c r="M169" s="4"/>
      <x:c r="N169" s="5"/>
    </x:row>
    <x:row r="170" ht="24" customHeight="1">
      <x:c r="A170" s="1" t="str">
        <x:v>RESULT</x:v>
      </x:c>
      <x:c r="B170" s="1" t="str">
        <x:v>Round1</x:v>
      </x:c>
      <x:c r="C170" s="1" t="str">
        <x:v>Closure_33</x:v>
      </x:c>
      <x:c r="D170" s="1" t="str">
        <x:v>NOT_AVAILABLE</x:v>
      </x:c>
      <x:c r="E170" s="5"/>
      <x:c r="F170" s="4" t="n">
        <x:v>0</x:v>
      </x:c>
      <x:c r="G170" s="4"/>
      <x:c r="H170" s="6"/>
      <x:c r="I170" s="16" t="n">
        <x:v>1</x:v>
      </x:c>
      <x:c r="J170"/>
      <x:c r="K170" s="4"/>
      <x:c r="L170" s="4"/>
      <x:c r="M170" s="4"/>
      <x:c r="N170" s="5"/>
    </x:row>
    <x:row r="171" ht="24" customHeight="1">
      <x:c r="A171" s="1" t="str">
        <x:v>RESULT</x:v>
      </x:c>
      <x:c r="B171" s="1" t="str">
        <x:v>Round1</x:v>
      </x:c>
      <x:c r="C171" s="1" t="str">
        <x:v>Closure_34</x:v>
      </x:c>
      <x:c r="D171" s="1" t="str">
        <x:v>NOT_AVAILABLE</x:v>
      </x:c>
      <x:c r="E171" s="5"/>
      <x:c r="F171" s="4" t="n">
        <x:v>0</x:v>
      </x:c>
      <x:c r="G171" s="4"/>
      <x:c r="H171" s="6"/>
      <x:c r="I171" s="16" t="n">
        <x:v>1</x:v>
      </x:c>
      <x:c r="J171"/>
      <x:c r="K171" s="4"/>
      <x:c r="L171" s="4"/>
      <x:c r="M171" s="4"/>
      <x:c r="N171" s="5"/>
    </x:row>
    <x:row r="172" ht="24" customHeight="1">
      <x:c r="A172" s="1" t="str">
        <x:v>RESULT</x:v>
      </x:c>
      <x:c r="B172" s="1" t="str">
        <x:v>Round1</x:v>
      </x:c>
      <x:c r="C172" s="1" t="str">
        <x:v>Closure_35</x:v>
      </x:c>
      <x:c r="D172" s="1" t="str">
        <x:v>NOT_AVAILABLE</x:v>
      </x:c>
      <x:c r="E172" s="5"/>
      <x:c r="F172" s="4" t="n">
        <x:v>0</x:v>
      </x:c>
      <x:c r="G172" s="4"/>
      <x:c r="H172" s="6"/>
      <x:c r="I172" s="16" t="n">
        <x:v>1</x:v>
      </x:c>
      <x:c r="J172"/>
      <x:c r="K172" s="4"/>
      <x:c r="L172" s="4"/>
      <x:c r="M172" s="4"/>
      <x:c r="N172" s="5"/>
    </x:row>
    <x:row r="173" ht="24" customHeight="1">
      <x:c r="A173" s="1" t="str">
        <x:v>RESULT</x:v>
      </x:c>
      <x:c r="B173" s="1" t="str">
        <x:v>Round1</x:v>
      </x:c>
      <x:c r="C173" s="1" t="str">
        <x:v>Closure_36</x:v>
      </x:c>
      <x:c r="D173" s="1" t="str">
        <x:v>NOT_AVAILABLE</x:v>
      </x:c>
      <x:c r="E173" s="5"/>
      <x:c r="F173" s="4" t="n">
        <x:v>0</x:v>
      </x:c>
      <x:c r="G173" s="4"/>
      <x:c r="H173" s="6"/>
      <x:c r="I173" s="16" t="n">
        <x:v>1</x:v>
      </x:c>
      <x:c r="J173"/>
      <x:c r="K173" s="4"/>
      <x:c r="L173" s="4"/>
      <x:c r="M173" s="4"/>
      <x:c r="N173" s="5"/>
    </x:row>
    <x:row r="174" ht="24" customHeight="1">
      <x:c r="A174" s="1" t="str">
        <x:v>RESULT</x:v>
      </x:c>
      <x:c r="B174" s="1" t="str">
        <x:v>Round1</x:v>
      </x:c>
      <x:c r="C174" s="1" t="str">
        <x:v>Closure_37</x:v>
      </x:c>
      <x:c r="D174" s="1" t="str">
        <x:v>NOT_AVAILABLE</x:v>
      </x:c>
      <x:c r="E174" s="5"/>
      <x:c r="F174" s="4" t="n">
        <x:v>0</x:v>
      </x:c>
      <x:c r="G174" s="4"/>
      <x:c r="H174" s="6"/>
      <x:c r="I174" s="16" t="n">
        <x:v>1</x:v>
      </x:c>
      <x:c r="J174"/>
      <x:c r="K174" s="4"/>
      <x:c r="L174" s="4"/>
      <x:c r="M174" s="4"/>
      <x:c r="N174" s="5"/>
    </x:row>
    <x:row r="175" ht="24" customHeight="1">
      <x:c r="A175" s="1" t="str">
        <x:v>RESULT</x:v>
      </x:c>
      <x:c r="B175" s="1" t="str">
        <x:v>Round1</x:v>
      </x:c>
      <x:c r="C175" s="1" t="str">
        <x:v>Closure_38</x:v>
      </x:c>
      <x:c r="D175" s="1" t="str">
        <x:v>INCONCLUSIVE</x:v>
      </x:c>
      <x:c r="E175" s="5" t="n">
        <x:v>0.6875</x:v>
      </x:c>
      <x:c r="F175" s="4" t="n">
        <x:v>0</x:v>
      </x:c>
      <x:c r="G175" s="4"/>
      <x:c r="H175" s="6"/>
      <x:c r="I175" s="16" t="n">
        <x:v>1</x:v>
      </x:c>
      <x:c r="J175" t="n">
        <x:v>112</x:v>
      </x:c>
      <x:c r="K175" s="4" t="n">
        <x:v>77</x:v>
      </x:c>
      <x:c r="L175" s="4" t="n">
        <x:v>64</x:v>
      </x:c>
      <x:c r="M175" s="4" t="n">
        <x:v>43</x:v>
      </x:c>
      <x:c r="N175" s="5" t="n">
        <x:v>0.6718999999999999</x:v>
      </x:c>
    </x:row>
    <x:row r="176" ht="24" customHeight="1">
      <x:c r="A176" s="1" t="str">
        <x:v>RESULT</x:v>
      </x:c>
      <x:c r="B176" s="1" t="str">
        <x:v>Round1</x:v>
      </x:c>
      <x:c r="C176" s="1" t="str">
        <x:v>Closure_39</x:v>
      </x:c>
      <x:c r="D176" s="1" t="str">
        <x:v>NOT_AVAILABLE</x:v>
      </x:c>
      <x:c r="E176" s="5"/>
      <x:c r="F176" s="4" t="n">
        <x:v>0</x:v>
      </x:c>
      <x:c r="G176" s="4"/>
      <x:c r="H176" s="6"/>
      <x:c r="I176" s="16" t="n">
        <x:v>1</x:v>
      </x:c>
      <x:c r="J176"/>
      <x:c r="K176" s="4"/>
      <x:c r="L176" s="4"/>
      <x:c r="M176" s="4"/>
      <x:c r="N176" s="5"/>
    </x:row>
    <x:row r="177" ht="24" customHeight="1">
      <x:c r="A177" s="1" t="str">
        <x:v>RESULT</x:v>
      </x:c>
      <x:c r="B177" s="1" t="str">
        <x:v>Round1</x:v>
      </x:c>
      <x:c r="C177" s="1" t="str">
        <x:v>Closure_4</x:v>
      </x:c>
      <x:c r="D177" s="1" t="str">
        <x:v>NOT_AVAILABLE</x:v>
      </x:c>
      <x:c r="E177" s="5"/>
      <x:c r="F177" s="4" t="n">
        <x:v>0</x:v>
      </x:c>
      <x:c r="G177" s="4"/>
      <x:c r="H177" s="6"/>
      <x:c r="I177" s="16" t="n">
        <x:v>1</x:v>
      </x:c>
      <x:c r="J177"/>
      <x:c r="K177" s="4"/>
      <x:c r="L177" s="4"/>
      <x:c r="M177" s="4"/>
      <x:c r="N177" s="5"/>
    </x:row>
    <x:row r="178" ht="24" customHeight="1">
      <x:c r="A178" s="1" t="str">
        <x:v>RESULT</x:v>
      </x:c>
      <x:c r="B178" s="1" t="str">
        <x:v>Round1</x:v>
      </x:c>
      <x:c r="C178" s="1" t="str">
        <x:v>Closure_40</x:v>
      </x:c>
      <x:c r="D178" s="1" t="str">
        <x:v>NOT_AVAILABLE</x:v>
      </x:c>
      <x:c r="E178" s="5"/>
      <x:c r="F178" s="4" t="n">
        <x:v>0</x:v>
      </x:c>
      <x:c r="G178" s="4"/>
      <x:c r="H178" s="6"/>
      <x:c r="I178" s="16" t="n">
        <x:v>1</x:v>
      </x:c>
      <x:c r="J178"/>
      <x:c r="K178" s="4"/>
      <x:c r="L178" s="4"/>
      <x:c r="M178" s="4"/>
      <x:c r="N178" s="5"/>
    </x:row>
    <x:row r="179" ht="24" customHeight="1">
      <x:c r="A179" s="1" t="str">
        <x:v>RESULT</x:v>
      </x:c>
      <x:c r="B179" s="1" t="str">
        <x:v>Round1</x:v>
      </x:c>
      <x:c r="C179" s="1" t="str">
        <x:v>Closure_41</x:v>
      </x:c>
      <x:c r="D179" s="1" t="str">
        <x:v>NOT_AVAILABLE</x:v>
      </x:c>
      <x:c r="E179" s="5"/>
      <x:c r="F179" s="4" t="n">
        <x:v>0</x:v>
      </x:c>
      <x:c r="G179" s="4"/>
      <x:c r="H179" s="6"/>
      <x:c r="I179" s="16" t="n">
        <x:v>1</x:v>
      </x:c>
      <x:c r="J179"/>
      <x:c r="K179" s="4"/>
      <x:c r="L179" s="4"/>
      <x:c r="M179" s="4"/>
      <x:c r="N179" s="5"/>
    </x:row>
    <x:row r="180" ht="24" customHeight="1">
      <x:c r="A180" s="1" t="str">
        <x:v>RESULT</x:v>
      </x:c>
      <x:c r="B180" s="1" t="str">
        <x:v>Round1</x:v>
      </x:c>
      <x:c r="C180" s="1" t="str">
        <x:v>Closure_42</x:v>
      </x:c>
      <x:c r="D180" s="1" t="str">
        <x:v>NOT_AVAILABLE</x:v>
      </x:c>
      <x:c r="E180" s="5"/>
      <x:c r="F180" s="4" t="n">
        <x:v>0</x:v>
      </x:c>
      <x:c r="G180" s="4"/>
      <x:c r="H180" s="6"/>
      <x:c r="I180" s="16" t="n">
        <x:v>1</x:v>
      </x:c>
      <x:c r="J180"/>
      <x:c r="K180" s="4"/>
      <x:c r="L180" s="4"/>
      <x:c r="M180" s="4"/>
      <x:c r="N180" s="5"/>
    </x:row>
    <x:row r="181" ht="24" customHeight="1">
      <x:c r="A181" s="1" t="str">
        <x:v>RESULT</x:v>
      </x:c>
      <x:c r="B181" s="1" t="str">
        <x:v>Round1</x:v>
      </x:c>
      <x:c r="C181" s="1" t="str">
        <x:v>Closure_43</x:v>
      </x:c>
      <x:c r="D181" s="1" t="str">
        <x:v>NOT_AVAILABLE</x:v>
      </x:c>
      <x:c r="E181" s="5"/>
      <x:c r="F181" s="4" t="n">
        <x:v>0</x:v>
      </x:c>
      <x:c r="G181" s="4"/>
      <x:c r="H181" s="6"/>
      <x:c r="I181" s="16" t="n">
        <x:v>1</x:v>
      </x:c>
      <x:c r="J181"/>
      <x:c r="K181" s="4"/>
      <x:c r="L181" s="4"/>
      <x:c r="M181" s="4"/>
      <x:c r="N181" s="5"/>
    </x:row>
    <x:row r="182" ht="24" customHeight="1">
      <x:c r="A182" s="1" t="str">
        <x:v>RESULT</x:v>
      </x:c>
      <x:c r="B182" s="1" t="str">
        <x:v>Round1</x:v>
      </x:c>
      <x:c r="C182" s="1" t="str">
        <x:v>Closure_44</x:v>
      </x:c>
      <x:c r="D182" s="1" t="str">
        <x:v>NOT_AVAILABLE</x:v>
      </x:c>
      <x:c r="E182" s="5" t="n">
        <x:v>0.8349</x:v>
      </x:c>
      <x:c r="F182" s="4" t="n">
        <x:v>0</x:v>
      </x:c>
      <x:c r="G182" s="4"/>
      <x:c r="H182" s="6"/>
      <x:c r="I182" s="16" t="n">
        <x:v>1</x:v>
      </x:c>
      <x:c r="J182" t="n">
        <x:v>109</x:v>
      </x:c>
      <x:c r="K182" s="4" t="n">
        <x:v>91</x:v>
      </x:c>
      <x:c r="L182" s="4" t="n">
        <x:v>60</x:v>
      </x:c>
      <x:c r="M182" s="4" t="n">
        <x:v>53</x:v>
      </x:c>
      <x:c r="N182" s="5" t="n">
        <x:v>0.8833</x:v>
      </x:c>
    </x:row>
    <x:row r="183" ht="24" customHeight="1">
      <x:c r="A183" s="1" t="str">
        <x:v>RESULT</x:v>
      </x:c>
      <x:c r="B183" s="1" t="str">
        <x:v>Round1</x:v>
      </x:c>
      <x:c r="C183" s="1" t="str">
        <x:v>Closure_45</x:v>
      </x:c>
      <x:c r="D183" s="1" t="str">
        <x:v>NOT_AVAILABLE</x:v>
      </x:c>
      <x:c r="E183" s="5"/>
      <x:c r="F183" s="4" t="n">
        <x:v>0</x:v>
      </x:c>
      <x:c r="G183" s="4"/>
      <x:c r="H183" s="6"/>
      <x:c r="I183" s="16" t="n">
        <x:v>1</x:v>
      </x:c>
      <x:c r="J183"/>
      <x:c r="K183" s="4"/>
      <x:c r="L183" s="4"/>
      <x:c r="M183" s="4"/>
      <x:c r="N183" s="5"/>
    </x:row>
    <x:row r="184" ht="24" customHeight="1">
      <x:c r="A184" s="1" t="str">
        <x:v>RESULT</x:v>
      </x:c>
      <x:c r="B184" s="1" t="str">
        <x:v>Round1</x:v>
      </x:c>
      <x:c r="C184" s="1" t="str">
        <x:v>Closure_46</x:v>
      </x:c>
      <x:c r="D184" s="1" t="str">
        <x:v>NOT_AVAILABLE</x:v>
      </x:c>
      <x:c r="E184" s="5"/>
      <x:c r="F184" s="4" t="n">
        <x:v>0</x:v>
      </x:c>
      <x:c r="G184" s="4"/>
      <x:c r="H184" s="6"/>
      <x:c r="I184" s="16" t="n">
        <x:v>1</x:v>
      </x:c>
      <x:c r="J184"/>
      <x:c r="K184" s="4"/>
      <x:c r="L184" s="4"/>
      <x:c r="M184" s="4"/>
      <x:c r="N184" s="5"/>
    </x:row>
    <x:row r="185" ht="24" customHeight="1">
      <x:c r="A185" s="1" t="str">
        <x:v>RESULT</x:v>
      </x:c>
      <x:c r="B185" s="1" t="str">
        <x:v>Round1</x:v>
      </x:c>
      <x:c r="C185" s="1" t="str">
        <x:v>Closure_47</x:v>
      </x:c>
      <x:c r="D185" s="1" t="str">
        <x:v>NOT_AVAILABLE</x:v>
      </x:c>
      <x:c r="E185" s="5"/>
      <x:c r="F185" s="4" t="n">
        <x:v>0</x:v>
      </x:c>
      <x:c r="G185" s="4" t="n">
        <x:v>16621</x:v>
      </x:c>
      <x:c r="H185" s="6" t="n">
        <x:v>96.23</x:v>
      </x:c>
      <x:c r="I185" s="16" t="n">
        <x:v>1</x:v>
      </x:c>
      <x:c r="J185"/>
      <x:c r="K185" s="4"/>
      <x:c r="L185" s="4"/>
      <x:c r="M185" s="4"/>
      <x:c r="N185" s="5"/>
    </x:row>
    <x:row r="186" ht="24" customHeight="1">
      <x:c r="A186" s="1" t="str">
        <x:v>RESULT</x:v>
      </x:c>
      <x:c r="B186" s="1" t="str">
        <x:v>Round1</x:v>
      </x:c>
      <x:c r="C186" s="1" t="str">
        <x:v>Closure_48</x:v>
      </x:c>
      <x:c r="D186" s="1" t="str">
        <x:v>NOT_AVAILABLE</x:v>
      </x:c>
      <x:c r="E186" s="5"/>
      <x:c r="F186" s="4" t="n">
        <x:v>0</x:v>
      </x:c>
      <x:c r="G186" s="4"/>
      <x:c r="H186" s="6"/>
      <x:c r="I186" s="16" t="n">
        <x:v>1</x:v>
      </x:c>
      <x:c r="J186"/>
      <x:c r="K186" s="4"/>
      <x:c r="L186" s="4"/>
      <x:c r="M186" s="4"/>
      <x:c r="N186" s="5"/>
    </x:row>
    <x:row r="187" ht="24" customHeight="1">
      <x:c r="A187" s="1" t="str">
        <x:v>RESULT</x:v>
      </x:c>
      <x:c r="B187" s="1" t="str">
        <x:v>Round1</x:v>
      </x:c>
      <x:c r="C187" s="1" t="str">
        <x:v>Closure_49</x:v>
      </x:c>
      <x:c r="D187" s="1" t="str">
        <x:v>NOT_AVAILABLE</x:v>
      </x:c>
      <x:c r="E187" s="5"/>
      <x:c r="F187" s="4" t="n">
        <x:v>0</x:v>
      </x:c>
      <x:c r="G187" s="4"/>
      <x:c r="H187" s="6"/>
      <x:c r="I187" s="16" t="n">
        <x:v>1</x:v>
      </x:c>
      <x:c r="J187"/>
      <x:c r="K187" s="4"/>
      <x:c r="L187" s="4"/>
      <x:c r="M187" s="4"/>
      <x:c r="N187" s="5"/>
    </x:row>
    <x:row r="188" ht="24" customHeight="1">
      <x:c r="A188" s="1" t="str">
        <x:v>RESULT</x:v>
      </x:c>
      <x:c r="B188" s="1" t="str">
        <x:v>Round1</x:v>
      </x:c>
      <x:c r="C188" s="1" t="str">
        <x:v>Closure_5</x:v>
      </x:c>
      <x:c r="D188" s="1" t="str">
        <x:v>NOT_AVAILABLE</x:v>
      </x:c>
      <x:c r="E188" s="5"/>
      <x:c r="F188" s="4" t="n">
        <x:v>0</x:v>
      </x:c>
      <x:c r="G188" s="4"/>
      <x:c r="H188" s="6"/>
      <x:c r="I188" s="16" t="n">
        <x:v>1</x:v>
      </x:c>
      <x:c r="J188"/>
      <x:c r="K188" s="4"/>
      <x:c r="L188" s="4"/>
      <x:c r="M188" s="4"/>
      <x:c r="N188" s="5"/>
    </x:row>
    <x:row r="189" ht="24" customHeight="1">
      <x:c r="A189" s="1" t="str">
        <x:v>RESULT</x:v>
      </x:c>
      <x:c r="B189" s="1" t="str">
        <x:v>Round1</x:v>
      </x:c>
      <x:c r="C189" s="1" t="str">
        <x:v>Closure_50</x:v>
      </x:c>
      <x:c r="D189" s="1" t="str">
        <x:v>NOT_AVAILABLE</x:v>
      </x:c>
      <x:c r="E189" s="5"/>
      <x:c r="F189" s="4" t="n">
        <x:v>0</x:v>
      </x:c>
      <x:c r="G189" s="4"/>
      <x:c r="H189" s="6"/>
      <x:c r="I189" s="16" t="n">
        <x:v>1</x:v>
      </x:c>
      <x:c r="J189"/>
      <x:c r="K189" s="4"/>
      <x:c r="L189" s="4"/>
      <x:c r="M189" s="4"/>
      <x:c r="N189" s="5"/>
    </x:row>
    <x:row r="190" ht="24" customHeight="1">
      <x:c r="A190" s="1" t="str">
        <x:v>RESULT</x:v>
      </x:c>
      <x:c r="B190" s="1" t="str">
        <x:v>Round1</x:v>
      </x:c>
      <x:c r="C190" s="1" t="str">
        <x:v>Closure_51</x:v>
      </x:c>
      <x:c r="D190" s="1" t="str">
        <x:v>NOT_AVAILABLE</x:v>
      </x:c>
      <x:c r="E190" s="5"/>
      <x:c r="F190" s="4" t="n">
        <x:v>0</x:v>
      </x:c>
      <x:c r="G190" s="4" t="n">
        <x:v>6581</x:v>
      </x:c>
      <x:c r="H190" s="6" t="n">
        <x:v>20.03</x:v>
      </x:c>
      <x:c r="I190" s="16" t="n">
        <x:v>1</x:v>
      </x:c>
      <x:c r="J190"/>
      <x:c r="K190" s="4"/>
      <x:c r="L190" s="4"/>
      <x:c r="M190" s="4"/>
      <x:c r="N190" s="5"/>
    </x:row>
    <x:row r="191" ht="24" customHeight="1">
      <x:c r="A191" s="1" t="str">
        <x:v>RESULT</x:v>
      </x:c>
      <x:c r="B191" s="1" t="str">
        <x:v>Round1</x:v>
      </x:c>
      <x:c r="C191" s="1" t="str">
        <x:v>Closure_52</x:v>
      </x:c>
      <x:c r="D191" s="1" t="str">
        <x:v>NOT_AVAILABLE</x:v>
      </x:c>
      <x:c r="E191" s="5"/>
      <x:c r="F191" s="4" t="n">
        <x:v>0</x:v>
      </x:c>
      <x:c r="G191" s="4"/>
      <x:c r="H191" s="6"/>
      <x:c r="I191" s="16" t="n">
        <x:v>1</x:v>
      </x:c>
      <x:c r="J191"/>
      <x:c r="K191" s="4"/>
      <x:c r="L191" s="4"/>
      <x:c r="M191" s="4"/>
      <x:c r="N191" s="5"/>
    </x:row>
    <x:row r="192" ht="24" customHeight="1">
      <x:c r="A192" s="1" t="str">
        <x:v>RESULT</x:v>
      </x:c>
      <x:c r="B192" s="1" t="str">
        <x:v>Round1</x:v>
      </x:c>
      <x:c r="C192" s="1" t="str">
        <x:v>Closure_53</x:v>
      </x:c>
      <x:c r="D192" s="1" t="str">
        <x:v>NOT_AVAILABLE</x:v>
      </x:c>
      <x:c r="E192" s="5"/>
      <x:c r="F192" s="4" t="n">
        <x:v>0</x:v>
      </x:c>
      <x:c r="G192" s="4"/>
      <x:c r="H192" s="6"/>
      <x:c r="I192" s="16" t="n">
        <x:v>1</x:v>
      </x:c>
      <x:c r="J192"/>
      <x:c r="K192" s="4"/>
      <x:c r="L192" s="4"/>
      <x:c r="M192" s="4"/>
      <x:c r="N192" s="5"/>
    </x:row>
    <x:row r="193" ht="24" customHeight="1">
      <x:c r="A193" s="1" t="str">
        <x:v>RESULT</x:v>
      </x:c>
      <x:c r="B193" s="1" t="str">
        <x:v>Round1</x:v>
      </x:c>
      <x:c r="C193" s="1" t="str">
        <x:v>Closure_54</x:v>
      </x:c>
      <x:c r="D193" s="1" t="str">
        <x:v>NOT_AVAILABLE</x:v>
      </x:c>
      <x:c r="E193" s="5"/>
      <x:c r="F193" s="4" t="n">
        <x:v>0</x:v>
      </x:c>
      <x:c r="G193" s="4"/>
      <x:c r="H193" s="6"/>
      <x:c r="I193" s="16" t="n">
        <x:v>1</x:v>
      </x:c>
      <x:c r="J193"/>
      <x:c r="K193" s="4"/>
      <x:c r="L193" s="4"/>
      <x:c r="M193" s="4"/>
      <x:c r="N193" s="5"/>
    </x:row>
    <x:row r="194" ht="24" customHeight="1">
      <x:c r="A194" s="1" t="str">
        <x:v>RESULT</x:v>
      </x:c>
      <x:c r="B194" s="1" t="str">
        <x:v>Round1</x:v>
      </x:c>
      <x:c r="C194" s="1" t="str">
        <x:v>Closure_55</x:v>
      </x:c>
      <x:c r="D194" s="1" t="str">
        <x:v>NOT_AVAILABLE</x:v>
      </x:c>
      <x:c r="E194" s="5"/>
      <x:c r="F194" s="4" t="n">
        <x:v>0</x:v>
      </x:c>
      <x:c r="G194" s="4"/>
      <x:c r="H194" s="6"/>
      <x:c r="I194" s="16" t="n">
        <x:v>1</x:v>
      </x:c>
      <x:c r="J194"/>
      <x:c r="K194" s="4"/>
      <x:c r="L194" s="4"/>
      <x:c r="M194" s="4"/>
      <x:c r="N194" s="5"/>
    </x:row>
    <x:row r="195" ht="24" customHeight="1">
      <x:c r="A195" s="1" t="str">
        <x:v>RESULT</x:v>
      </x:c>
      <x:c r="B195" s="1" t="str">
        <x:v>Round1</x:v>
      </x:c>
      <x:c r="C195" s="1" t="str">
        <x:v>Closure_56</x:v>
      </x:c>
      <x:c r="D195" s="1" t="str">
        <x:v>NOT_AVAILABLE</x:v>
      </x:c>
      <x:c r="E195" s="5"/>
      <x:c r="F195" s="4" t="n">
        <x:v>0</x:v>
      </x:c>
      <x:c r="G195" s="4"/>
      <x:c r="H195" s="6"/>
      <x:c r="I195" s="16" t="n">
        <x:v>1</x:v>
      </x:c>
      <x:c r="J195"/>
      <x:c r="K195" s="4"/>
      <x:c r="L195" s="4"/>
      <x:c r="M195" s="4"/>
      <x:c r="N195" s="5"/>
    </x:row>
    <x:row r="196" ht="24" customHeight="1">
      <x:c r="A196" s="1" t="str">
        <x:v>RESULT</x:v>
      </x:c>
      <x:c r="B196" s="1" t="str">
        <x:v>Round1</x:v>
      </x:c>
      <x:c r="C196" s="1" t="str">
        <x:v>Closure_57</x:v>
      </x:c>
      <x:c r="D196" s="1" t="str">
        <x:v>NOT_AVAILABLE</x:v>
      </x:c>
      <x:c r="E196" s="5"/>
      <x:c r="F196" s="4" t="n">
        <x:v>0</x:v>
      </x:c>
      <x:c r="G196" s="4"/>
      <x:c r="H196" s="6"/>
      <x:c r="I196" s="16" t="n">
        <x:v>1</x:v>
      </x:c>
      <x:c r="J196"/>
      <x:c r="K196" s="4"/>
      <x:c r="L196" s="4"/>
      <x:c r="M196" s="4"/>
      <x:c r="N196" s="5"/>
    </x:row>
    <x:row r="197" ht="24" customHeight="1">
      <x:c r="A197" s="1" t="str">
        <x:v>RESULT</x:v>
      </x:c>
      <x:c r="B197" s="1" t="str">
        <x:v>Round1</x:v>
      </x:c>
      <x:c r="C197" s="1" t="str">
        <x:v>Closure_58</x:v>
      </x:c>
      <x:c r="D197" s="1" t="str">
        <x:v>NOT_AVAILABLE</x:v>
      </x:c>
      <x:c r="E197" s="5"/>
      <x:c r="F197" s="4" t="n">
        <x:v>0</x:v>
      </x:c>
      <x:c r="G197" s="4"/>
      <x:c r="H197" s="6"/>
      <x:c r="I197" s="16" t="n">
        <x:v>1</x:v>
      </x:c>
      <x:c r="J197"/>
      <x:c r="K197" s="4"/>
      <x:c r="L197" s="4"/>
      <x:c r="M197" s="4"/>
      <x:c r="N197" s="5"/>
    </x:row>
    <x:row r="198" ht="24" customHeight="1">
      <x:c r="A198" s="1" t="str">
        <x:v>RESULT</x:v>
      </x:c>
      <x:c r="B198" s="1" t="str">
        <x:v>Round1</x:v>
      </x:c>
      <x:c r="C198" s="1" t="str">
        <x:v>Closure_59</x:v>
      </x:c>
      <x:c r="D198" s="1" t="str">
        <x:v>NOT_AVAILABLE</x:v>
      </x:c>
      <x:c r="E198" s="5"/>
      <x:c r="F198" s="4" t="n">
        <x:v>0</x:v>
      </x:c>
      <x:c r="G198" s="4"/>
      <x:c r="H198" s="6"/>
      <x:c r="I198" s="16" t="n">
        <x:v>1</x:v>
      </x:c>
      <x:c r="J198"/>
      <x:c r="K198" s="4"/>
      <x:c r="L198" s="4"/>
      <x:c r="M198" s="4"/>
      <x:c r="N198" s="5"/>
    </x:row>
    <x:row r="199" ht="24" customHeight="1">
      <x:c r="A199" s="1" t="str">
        <x:v>RESULT</x:v>
      </x:c>
      <x:c r="B199" s="1" t="str">
        <x:v>Round1</x:v>
      </x:c>
      <x:c r="C199" s="1" t="str">
        <x:v>Closure_6</x:v>
      </x:c>
      <x:c r="D199" s="1" t="str">
        <x:v>NOT_AVAILABLE</x:v>
      </x:c>
      <x:c r="E199" s="5"/>
      <x:c r="F199" s="4" t="n">
        <x:v>0</x:v>
      </x:c>
      <x:c r="G199" s="4"/>
      <x:c r="H199" s="6"/>
      <x:c r="I199" s="16" t="n">
        <x:v>1</x:v>
      </x:c>
      <x:c r="J199"/>
      <x:c r="K199" s="4"/>
      <x:c r="L199" s="4"/>
      <x:c r="M199" s="4"/>
      <x:c r="N199" s="5"/>
    </x:row>
    <x:row r="200" ht="24" customHeight="1">
      <x:c r="A200" s="1" t="str">
        <x:v>RESULT</x:v>
      </x:c>
      <x:c r="B200" s="1" t="str">
        <x:v>Round1</x:v>
      </x:c>
      <x:c r="C200" s="1" t="str">
        <x:v>Closure_60</x:v>
      </x:c>
      <x:c r="D200" s="1" t="str">
        <x:v>NOT_AVAILABLE</x:v>
      </x:c>
      <x:c r="E200" s="5"/>
      <x:c r="F200" s="4" t="n">
        <x:v>0</x:v>
      </x:c>
      <x:c r="G200" s="4"/>
      <x:c r="H200" s="6"/>
      <x:c r="I200" s="16" t="n">
        <x:v>1</x:v>
      </x:c>
      <x:c r="J200"/>
      <x:c r="K200" s="4"/>
      <x:c r="L200" s="4"/>
      <x:c r="M200" s="4"/>
      <x:c r="N200" s="5"/>
    </x:row>
    <x:row r="201" ht="24" customHeight="1">
      <x:c r="A201" s="1" t="str">
        <x:v>RESULT</x:v>
      </x:c>
      <x:c r="B201" s="1" t="str">
        <x:v>Round1</x:v>
      </x:c>
      <x:c r="C201" s="1" t="str">
        <x:v>Closure_61</x:v>
      </x:c>
      <x:c r="D201" s="1" t="str">
        <x:v>NOT_AVAILABLE</x:v>
      </x:c>
      <x:c r="E201" s="5"/>
      <x:c r="F201" s="4" t="n">
        <x:v>0</x:v>
      </x:c>
      <x:c r="G201" s="4"/>
      <x:c r="H201" s="6"/>
      <x:c r="I201" s="16" t="n">
        <x:v>1</x:v>
      </x:c>
      <x:c r="J201"/>
      <x:c r="K201" s="4"/>
      <x:c r="L201" s="4"/>
      <x:c r="M201" s="4"/>
      <x:c r="N201" s="5"/>
    </x:row>
    <x:row r="202" ht="24" customHeight="1">
      <x:c r="A202" s="1" t="str">
        <x:v>RESULT</x:v>
      </x:c>
      <x:c r="B202" s="1" t="str">
        <x:v>Round1</x:v>
      </x:c>
      <x:c r="C202" s="1" t="str">
        <x:v>Closure_62</x:v>
      </x:c>
      <x:c r="D202" s="1" t="str">
        <x:v>INCONCLUSIVE</x:v>
      </x:c>
      <x:c r="E202" s="5" t="n">
        <x:v>1</x:v>
      </x:c>
      <x:c r="F202" s="4" t="n">
        <x:v>0</x:v>
      </x:c>
      <x:c r="G202" s="4" t="n">
        <x:v>4900</x:v>
      </x:c>
      <x:c r="H202" s="6" t="n">
        <x:v>14.75</x:v>
      </x:c>
      <x:c r="I202" s="16" t="n">
        <x:v>1</x:v>
      </x:c>
      <x:c r="J202" t="n">
        <x:v>74</x:v>
      </x:c>
      <x:c r="K202" s="4" t="n">
        <x:v>74</x:v>
      </x:c>
      <x:c r="L202" s="4" t="n">
        <x:v>32</x:v>
      </x:c>
      <x:c r="M202" s="4" t="n">
        <x:v>32</x:v>
      </x:c>
      <x:c r="N202" s="5" t="n">
        <x:v>1</x:v>
      </x:c>
    </x:row>
    <x:row r="203" ht="24" customHeight="1">
      <x:c r="A203" s="1" t="str">
        <x:v>RESULT</x:v>
      </x:c>
      <x:c r="B203" s="1" t="str">
        <x:v>Round1</x:v>
      </x:c>
      <x:c r="C203" s="1" t="str">
        <x:v>Closure_64</x:v>
      </x:c>
      <x:c r="D203" s="1" t="str">
        <x:v>NOT_AVAILABLE</x:v>
      </x:c>
      <x:c r="E203" s="5"/>
      <x:c r="F203" s="4" t="n">
        <x:v>0</x:v>
      </x:c>
      <x:c r="G203" s="4"/>
      <x:c r="H203" s="6"/>
      <x:c r="I203" s="16" t="n">
        <x:v>1</x:v>
      </x:c>
      <x:c r="J203"/>
      <x:c r="K203" s="4"/>
      <x:c r="L203" s="4"/>
      <x:c r="M203" s="4"/>
      <x:c r="N203" s="5"/>
    </x:row>
    <x:row r="204" ht="24" customHeight="1">
      <x:c r="A204" s="1" t="str">
        <x:v>RESULT</x:v>
      </x:c>
      <x:c r="B204" s="1" t="str">
        <x:v>Round1</x:v>
      </x:c>
      <x:c r="C204" s="1" t="str">
        <x:v>Closure_65</x:v>
      </x:c>
      <x:c r="D204" s="1" t="str">
        <x:v>NOT_AVAILABLE</x:v>
      </x:c>
      <x:c r="E204" s="5"/>
      <x:c r="F204" s="4" t="n">
        <x:v>0</x:v>
      </x:c>
      <x:c r="G204" s="4"/>
      <x:c r="H204" s="6"/>
      <x:c r="I204" s="16" t="n">
        <x:v>1</x:v>
      </x:c>
      <x:c r="J204"/>
      <x:c r="K204" s="4"/>
      <x:c r="L204" s="4"/>
      <x:c r="M204" s="4"/>
      <x:c r="N204" s="5"/>
    </x:row>
    <x:row r="205" ht="24" customHeight="1">
      <x:c r="A205" s="1" t="str">
        <x:v>RESULT</x:v>
      </x:c>
      <x:c r="B205" s="1" t="str">
        <x:v>Round1</x:v>
      </x:c>
      <x:c r="C205" s="1" t="str">
        <x:v>Closure_66</x:v>
      </x:c>
      <x:c r="D205" s="1" t="str">
        <x:v>NOT_AVAILABLE</x:v>
      </x:c>
      <x:c r="E205" s="5"/>
      <x:c r="F205" s="4" t="n">
        <x:v>0</x:v>
      </x:c>
      <x:c r="G205" s="4"/>
      <x:c r="H205" s="6"/>
      <x:c r="I205" s="16" t="n">
        <x:v>1</x:v>
      </x:c>
      <x:c r="J205"/>
      <x:c r="K205" s="4"/>
      <x:c r="L205" s="4"/>
      <x:c r="M205" s="4"/>
      <x:c r="N205" s="5"/>
    </x:row>
    <x:row r="206" ht="24" customHeight="1">
      <x:c r="A206" s="1" t="str">
        <x:v>RESULT</x:v>
      </x:c>
      <x:c r="B206" s="1" t="str">
        <x:v>Round1</x:v>
      </x:c>
      <x:c r="C206" s="1" t="str">
        <x:v>Closure_67</x:v>
      </x:c>
      <x:c r="D206" s="1" t="str">
        <x:v>NOT_AVAILABLE</x:v>
      </x:c>
      <x:c r="E206" s="5"/>
      <x:c r="F206" s="4" t="n">
        <x:v>0</x:v>
      </x:c>
      <x:c r="G206" s="4"/>
      <x:c r="H206" s="6"/>
      <x:c r="I206" s="16" t="n">
        <x:v>1</x:v>
      </x:c>
      <x:c r="J206"/>
      <x:c r="K206" s="4"/>
      <x:c r="L206" s="4"/>
      <x:c r="M206" s="4"/>
      <x:c r="N206" s="5"/>
    </x:row>
    <x:row r="207" ht="24" customHeight="1">
      <x:c r="A207" s="1" t="str">
        <x:v>RESULT</x:v>
      </x:c>
      <x:c r="B207" s="1" t="str">
        <x:v>Round1</x:v>
      </x:c>
      <x:c r="C207" s="1" t="str">
        <x:v>Closure_68</x:v>
      </x:c>
      <x:c r="D207" s="1" t="str">
        <x:v>NOT_AVAILABLE</x:v>
      </x:c>
      <x:c r="E207" s="5"/>
      <x:c r="F207" s="4" t="n">
        <x:v>0</x:v>
      </x:c>
      <x:c r="G207" s="4"/>
      <x:c r="H207" s="6"/>
      <x:c r="I207" s="16" t="n">
        <x:v>1</x:v>
      </x:c>
      <x:c r="J207"/>
      <x:c r="K207" s="4"/>
      <x:c r="L207" s="4"/>
      <x:c r="M207" s="4"/>
      <x:c r="N207" s="5"/>
    </x:row>
    <x:row r="208" ht="24" customHeight="1">
      <x:c r="A208" s="1" t="str">
        <x:v>RESULT</x:v>
      </x:c>
      <x:c r="B208" s="1" t="str">
        <x:v>Round1</x:v>
      </x:c>
      <x:c r="C208" s="1" t="str">
        <x:v>Closure_69</x:v>
      </x:c>
      <x:c r="D208" s="1" t="str">
        <x:v>NOT_AVAILABLE</x:v>
      </x:c>
      <x:c r="E208" s="5"/>
      <x:c r="F208" s="4" t="n">
        <x:v>0</x:v>
      </x:c>
      <x:c r="G208" s="4"/>
      <x:c r="H208" s="6"/>
      <x:c r="I208" s="16" t="n">
        <x:v>1</x:v>
      </x:c>
      <x:c r="J208"/>
      <x:c r="K208" s="4"/>
      <x:c r="L208" s="4"/>
      <x:c r="M208" s="4"/>
      <x:c r="N208" s="5"/>
    </x:row>
    <x:row r="209" ht="24" customHeight="1">
      <x:c r="A209" s="1" t="str">
        <x:v>RESULT</x:v>
      </x:c>
      <x:c r="B209" s="1" t="str">
        <x:v>Round1</x:v>
      </x:c>
      <x:c r="C209" s="1" t="str">
        <x:v>Closure_7</x:v>
      </x:c>
      <x:c r="D209" s="1" t="str">
        <x:v>NOT_AVAILABLE</x:v>
      </x:c>
      <x:c r="E209" s="5"/>
      <x:c r="F209" s="4" t="n">
        <x:v>0</x:v>
      </x:c>
      <x:c r="G209" s="4"/>
      <x:c r="H209" s="6"/>
      <x:c r="I209" s="16" t="n">
        <x:v>1</x:v>
      </x:c>
      <x:c r="J209"/>
      <x:c r="K209" s="4"/>
      <x:c r="L209" s="4"/>
      <x:c r="M209" s="4"/>
      <x:c r="N209" s="5"/>
    </x:row>
    <x:row r="210" ht="24" customHeight="1">
      <x:c r="A210" s="1" t="str">
        <x:v>RESULT</x:v>
      </x:c>
      <x:c r="B210" s="1" t="str">
        <x:v>Round1</x:v>
      </x:c>
      <x:c r="C210" s="1" t="str">
        <x:v>Closure_70</x:v>
      </x:c>
      <x:c r="D210" s="1" t="str">
        <x:v>NOT_AVAILABLE</x:v>
      </x:c>
      <x:c r="E210" s="5"/>
      <x:c r="F210" s="4" t="n">
        <x:v>0</x:v>
      </x:c>
      <x:c r="G210" s="4"/>
      <x:c r="H210" s="6"/>
      <x:c r="I210" s="16" t="n">
        <x:v>1</x:v>
      </x:c>
      <x:c r="J210"/>
      <x:c r="K210" s="4"/>
      <x:c r="L210" s="4"/>
      <x:c r="M210" s="4"/>
      <x:c r="N210" s="5"/>
    </x:row>
    <x:row r="211" ht="24" customHeight="1">
      <x:c r="A211" s="1" t="str">
        <x:v>RESULT</x:v>
      </x:c>
      <x:c r="B211" s="1" t="str">
        <x:v>Round1</x:v>
      </x:c>
      <x:c r="C211" s="1" t="str">
        <x:v>Closure_71</x:v>
      </x:c>
      <x:c r="D211" s="1" t="str">
        <x:v>NOT_AVAILABLE</x:v>
      </x:c>
      <x:c r="E211" s="5"/>
      <x:c r="F211" s="4" t="n">
        <x:v>0</x:v>
      </x:c>
      <x:c r="G211" s="4"/>
      <x:c r="H211" s="6"/>
      <x:c r="I211" s="16" t="n">
        <x:v>1</x:v>
      </x:c>
      <x:c r="J211"/>
      <x:c r="K211" s="4"/>
      <x:c r="L211" s="4"/>
      <x:c r="M211" s="4"/>
      <x:c r="N211" s="5"/>
    </x:row>
    <x:row r="212" ht="24" customHeight="1">
      <x:c r="A212" s="1" t="str">
        <x:v>RESULT</x:v>
      </x:c>
      <x:c r="B212" s="1" t="str">
        <x:v>Round1</x:v>
      </x:c>
      <x:c r="C212" s="1" t="str">
        <x:v>Closure_72</x:v>
      </x:c>
      <x:c r="D212" s="1" t="str">
        <x:v>NOT_AVAILABLE</x:v>
      </x:c>
      <x:c r="E212" s="5"/>
      <x:c r="F212" s="4" t="n">
        <x:v>0</x:v>
      </x:c>
      <x:c r="G212" s="4"/>
      <x:c r="H212" s="6"/>
      <x:c r="I212" s="16" t="n">
        <x:v>1</x:v>
      </x:c>
      <x:c r="J212"/>
      <x:c r="K212" s="4"/>
      <x:c r="L212" s="4"/>
      <x:c r="M212" s="4"/>
      <x:c r="N212" s="5"/>
    </x:row>
    <x:row r="213" ht="24" customHeight="1">
      <x:c r="A213" s="1" t="str">
        <x:v>RESULT</x:v>
      </x:c>
      <x:c r="B213" s="1" t="str">
        <x:v>Round1</x:v>
      </x:c>
      <x:c r="C213" s="1" t="str">
        <x:v>Closure_73</x:v>
      </x:c>
      <x:c r="D213" s="1" t="str">
        <x:v>NOT_AVAILABLE</x:v>
      </x:c>
      <x:c r="E213" s="5"/>
      <x:c r="F213" s="4" t="n">
        <x:v>0</x:v>
      </x:c>
      <x:c r="G213" s="4"/>
      <x:c r="H213" s="6"/>
      <x:c r="I213" s="16" t="n">
        <x:v>1</x:v>
      </x:c>
      <x:c r="J213"/>
      <x:c r="K213" s="4"/>
      <x:c r="L213" s="4"/>
      <x:c r="M213" s="4"/>
      <x:c r="N213" s="5"/>
    </x:row>
    <x:row r="214" ht="24" customHeight="1">
      <x:c r="A214" s="1" t="str">
        <x:v>RESULT</x:v>
      </x:c>
      <x:c r="B214" s="1" t="str">
        <x:v>Round1</x:v>
      </x:c>
      <x:c r="C214" s="1" t="str">
        <x:v>Closure_74</x:v>
      </x:c>
      <x:c r="D214" s="1" t="str">
        <x:v>NOT_AVAILABLE</x:v>
      </x:c>
      <x:c r="E214" s="5"/>
      <x:c r="F214" s="4" t="n">
        <x:v>0</x:v>
      </x:c>
      <x:c r="G214" s="4"/>
      <x:c r="H214" s="6"/>
      <x:c r="I214" s="16" t="n">
        <x:v>1</x:v>
      </x:c>
      <x:c r="J214"/>
      <x:c r="K214" s="4"/>
      <x:c r="L214" s="4"/>
      <x:c r="M214" s="4"/>
      <x:c r="N214" s="5"/>
    </x:row>
    <x:row r="215" ht="24" customHeight="1">
      <x:c r="A215" s="1" t="str">
        <x:v>RESULT</x:v>
      </x:c>
      <x:c r="B215" s="1" t="str">
        <x:v>Round1</x:v>
      </x:c>
      <x:c r="C215" s="1" t="str">
        <x:v>Closure_75</x:v>
      </x:c>
      <x:c r="D215" s="1" t="str">
        <x:v>NOT_AVAILABLE</x:v>
      </x:c>
      <x:c r="E215" s="5"/>
      <x:c r="F215" s="4" t="n">
        <x:v>0</x:v>
      </x:c>
      <x:c r="G215" s="4"/>
      <x:c r="H215" s="6"/>
      <x:c r="I215" s="16" t="n">
        <x:v>1</x:v>
      </x:c>
      <x:c r="J215"/>
      <x:c r="K215" s="4"/>
      <x:c r="L215" s="4"/>
      <x:c r="M215" s="4"/>
      <x:c r="N215" s="5"/>
    </x:row>
    <x:row r="216" ht="24" customHeight="1">
      <x:c r="A216" s="1" t="str">
        <x:v>RESULT</x:v>
      </x:c>
      <x:c r="B216" s="1" t="str">
        <x:v>Round1</x:v>
      </x:c>
      <x:c r="C216" s="1" t="str">
        <x:v>Closure_76</x:v>
      </x:c>
      <x:c r="D216" s="1" t="str">
        <x:v>NOT_AVAILABLE</x:v>
      </x:c>
      <x:c r="E216" s="5"/>
      <x:c r="F216" s="4" t="n">
        <x:v>0</x:v>
      </x:c>
      <x:c r="G216" s="4"/>
      <x:c r="H216" s="6"/>
      <x:c r="I216" s="16" t="n">
        <x:v>1</x:v>
      </x:c>
      <x:c r="J216"/>
      <x:c r="K216" s="4"/>
      <x:c r="L216" s="4"/>
      <x:c r="M216" s="4"/>
      <x:c r="N216" s="5"/>
    </x:row>
    <x:row r="217" ht="24" customHeight="1">
      <x:c r="A217" s="1" t="str">
        <x:v>RESULT</x:v>
      </x:c>
      <x:c r="B217" s="1" t="str">
        <x:v>Round1</x:v>
      </x:c>
      <x:c r="C217" s="1" t="str">
        <x:v>Closure_77</x:v>
      </x:c>
      <x:c r="D217" s="1" t="str">
        <x:v>NOT_AVAILABLE</x:v>
      </x:c>
      <x:c r="E217" s="5"/>
      <x:c r="F217" s="4" t="n">
        <x:v>0</x:v>
      </x:c>
      <x:c r="G217" s="4"/>
      <x:c r="H217" s="6"/>
      <x:c r="I217" s="16" t="n">
        <x:v>1</x:v>
      </x:c>
      <x:c r="J217"/>
      <x:c r="K217" s="4"/>
      <x:c r="L217" s="4"/>
      <x:c r="M217" s="4"/>
      <x:c r="N217" s="5"/>
    </x:row>
    <x:row r="218" ht="24" customHeight="1">
      <x:c r="A218" s="1" t="str">
        <x:v>RESULT</x:v>
      </x:c>
      <x:c r="B218" s="1" t="str">
        <x:v>Round1</x:v>
      </x:c>
      <x:c r="C218" s="1" t="str">
        <x:v>Closure_78</x:v>
      </x:c>
      <x:c r="D218" s="1" t="str">
        <x:v>NOT_AVAILABLE</x:v>
      </x:c>
      <x:c r="E218" s="5"/>
      <x:c r="F218" s="4" t="n">
        <x:v>0</x:v>
      </x:c>
      <x:c r="G218" s="4"/>
      <x:c r="H218" s="6"/>
      <x:c r="I218" s="16" t="n">
        <x:v>1</x:v>
      </x:c>
      <x:c r="J218"/>
      <x:c r="K218" s="4"/>
      <x:c r="L218" s="4"/>
      <x:c r="M218" s="4"/>
      <x:c r="N218" s="5"/>
    </x:row>
    <x:row r="219" ht="24" customHeight="1">
      <x:c r="A219" s="1" t="str">
        <x:v>RESULT</x:v>
      </x:c>
      <x:c r="B219" s="1" t="str">
        <x:v>Round1</x:v>
      </x:c>
      <x:c r="C219" s="1" t="str">
        <x:v>Closure_79</x:v>
      </x:c>
      <x:c r="D219" s="1" t="str">
        <x:v>NOT_AVAILABLE</x:v>
      </x:c>
      <x:c r="E219" s="5"/>
      <x:c r="F219" s="4" t="n">
        <x:v>0</x:v>
      </x:c>
      <x:c r="G219" s="4"/>
      <x:c r="H219" s="6"/>
      <x:c r="I219" s="16" t="n">
        <x:v>1</x:v>
      </x:c>
      <x:c r="J219"/>
      <x:c r="K219" s="4"/>
      <x:c r="L219" s="4"/>
      <x:c r="M219" s="4"/>
      <x:c r="N219" s="5"/>
    </x:row>
    <x:row r="220" ht="24" customHeight="1">
      <x:c r="A220" s="1" t="str">
        <x:v>RESULT</x:v>
      </x:c>
      <x:c r="B220" s="1" t="str">
        <x:v>Round1</x:v>
      </x:c>
      <x:c r="C220" s="1" t="str">
        <x:v>Closure_8</x:v>
      </x:c>
      <x:c r="D220" s="1" t="str">
        <x:v>INCONCLUSIVE</x:v>
      </x:c>
      <x:c r="E220" s="5" t="n">
        <x:v>0.8452</x:v>
      </x:c>
      <x:c r="F220" s="4" t="n">
        <x:v>0</x:v>
      </x:c>
      <x:c r="G220" s="4"/>
      <x:c r="H220" s="6"/>
      <x:c r="I220" s="16" t="n">
        <x:v>1</x:v>
      </x:c>
      <x:c r="J220" t="n">
        <x:v>84</x:v>
      </x:c>
      <x:c r="K220" s="4" t="n">
        <x:v>71</x:v>
      </x:c>
      <x:c r="L220" s="4" t="n">
        <x:v>52</x:v>
      </x:c>
      <x:c r="M220" s="4" t="n">
        <x:v>37</x:v>
      </x:c>
      <x:c r="N220" s="5" t="n">
        <x:v>0.7115</x:v>
      </x:c>
    </x:row>
    <x:row r="221" ht="24" customHeight="1">
      <x:c r="A221" s="1" t="str">
        <x:v>RESULT</x:v>
      </x:c>
      <x:c r="B221" s="1" t="str">
        <x:v>Round1</x:v>
      </x:c>
      <x:c r="C221" s="1" t="str">
        <x:v>Closure_80</x:v>
      </x:c>
      <x:c r="D221" s="1" t="str">
        <x:v>NOT_AVAILABLE</x:v>
      </x:c>
      <x:c r="E221" s="5"/>
      <x:c r="F221" s="4" t="n">
        <x:v>0</x:v>
      </x:c>
      <x:c r="G221" s="4"/>
      <x:c r="H221" s="6"/>
      <x:c r="I221" s="16" t="n">
        <x:v>1</x:v>
      </x:c>
      <x:c r="J221"/>
      <x:c r="K221" s="4"/>
      <x:c r="L221" s="4"/>
      <x:c r="M221" s="4"/>
      <x:c r="N221" s="5"/>
    </x:row>
    <x:row r="222" ht="24" customHeight="1">
      <x:c r="A222" s="1" t="str">
        <x:v>RESULT</x:v>
      </x:c>
      <x:c r="B222" s="1" t="str">
        <x:v>Round1</x:v>
      </x:c>
      <x:c r="C222" s="1" t="str">
        <x:v>Closure_81</x:v>
      </x:c>
      <x:c r="D222" s="1" t="str">
        <x:v>NOT_AVAILABLE</x:v>
      </x:c>
      <x:c r="E222" s="5"/>
      <x:c r="F222" s="4" t="n">
        <x:v>0</x:v>
      </x:c>
      <x:c r="G222" s="4"/>
      <x:c r="H222" s="6"/>
      <x:c r="I222" s="16" t="n">
        <x:v>1</x:v>
      </x:c>
      <x:c r="J222"/>
      <x:c r="K222" s="4"/>
      <x:c r="L222" s="4"/>
      <x:c r="M222" s="4"/>
      <x:c r="N222" s="5"/>
    </x:row>
    <x:row r="223" ht="24" customHeight="1">
      <x:c r="A223" s="1" t="str">
        <x:v>RESULT</x:v>
      </x:c>
      <x:c r="B223" s="1" t="str">
        <x:v>Round1</x:v>
      </x:c>
      <x:c r="C223" s="1" t="str">
        <x:v>Closure_82</x:v>
      </x:c>
      <x:c r="D223" s="1" t="str">
        <x:v>NOT_AVAILABLE</x:v>
      </x:c>
      <x:c r="E223" s="5"/>
      <x:c r="F223" s="4" t="n">
        <x:v>0</x:v>
      </x:c>
      <x:c r="G223" s="4"/>
      <x:c r="H223" s="6"/>
      <x:c r="I223" s="16" t="n">
        <x:v>1</x:v>
      </x:c>
      <x:c r="J223"/>
      <x:c r="K223" s="4"/>
      <x:c r="L223" s="4"/>
      <x:c r="M223" s="4"/>
      <x:c r="N223" s="5"/>
    </x:row>
    <x:row r="224" ht="24" customHeight="1">
      <x:c r="A224" s="1" t="str">
        <x:v>RESULT</x:v>
      </x:c>
      <x:c r="B224" s="1" t="str">
        <x:v>Round1</x:v>
      </x:c>
      <x:c r="C224" s="1" t="str">
        <x:v>Closure_83</x:v>
      </x:c>
      <x:c r="D224" s="1" t="str">
        <x:v>NOT_AVAILABLE</x:v>
      </x:c>
      <x:c r="E224" s="5"/>
      <x:c r="F224" s="4" t="n">
        <x:v>0</x:v>
      </x:c>
      <x:c r="G224" s="4"/>
      <x:c r="H224" s="6"/>
      <x:c r="I224" s="16" t="n">
        <x:v>1</x:v>
      </x:c>
      <x:c r="J224"/>
      <x:c r="K224" s="4"/>
      <x:c r="L224" s="4"/>
      <x:c r="M224" s="4"/>
      <x:c r="N224" s="5"/>
    </x:row>
    <x:row r="225" ht="24" customHeight="1">
      <x:c r="A225" s="1" t="str">
        <x:v>RESULT</x:v>
      </x:c>
      <x:c r="B225" s="1" t="str">
        <x:v>Round1</x:v>
      </x:c>
      <x:c r="C225" s="1" t="str">
        <x:v>Closure_84</x:v>
      </x:c>
      <x:c r="D225" s="1" t="str">
        <x:v>NOT_AVAILABLE</x:v>
      </x:c>
      <x:c r="E225" s="5"/>
      <x:c r="F225" s="4" t="n">
        <x:v>0</x:v>
      </x:c>
      <x:c r="G225" s="4"/>
      <x:c r="H225" s="6"/>
      <x:c r="I225" s="16" t="n">
        <x:v>1</x:v>
      </x:c>
      <x:c r="J225"/>
      <x:c r="K225" s="4"/>
      <x:c r="L225" s="4"/>
      <x:c r="M225" s="4"/>
      <x:c r="N225" s="5"/>
    </x:row>
    <x:row r="226" ht="24" customHeight="1">
      <x:c r="A226" s="1" t="str">
        <x:v>RESULT</x:v>
      </x:c>
      <x:c r="B226" s="1" t="str">
        <x:v>Round1</x:v>
      </x:c>
      <x:c r="C226" s="1" t="str">
        <x:v>Closure_85</x:v>
      </x:c>
      <x:c r="D226" s="1" t="str">
        <x:v>NOT_AVAILABLE</x:v>
      </x:c>
      <x:c r="E226" s="5"/>
      <x:c r="F226" s="4" t="n">
        <x:v>0</x:v>
      </x:c>
      <x:c r="G226" s="4"/>
      <x:c r="H226" s="6"/>
      <x:c r="I226" s="16" t="n">
        <x:v>1</x:v>
      </x:c>
      <x:c r="J226"/>
      <x:c r="K226" s="4"/>
      <x:c r="L226" s="4"/>
      <x:c r="M226" s="4"/>
      <x:c r="N226" s="5"/>
    </x:row>
    <x:row r="227" ht="24" customHeight="1">
      <x:c r="A227" s="1" t="str">
        <x:v>RESULT</x:v>
      </x:c>
      <x:c r="B227" s="1" t="str">
        <x:v>Round1</x:v>
      </x:c>
      <x:c r="C227" s="1" t="str">
        <x:v>Closure_86</x:v>
      </x:c>
      <x:c r="D227" s="1" t="str">
        <x:v>NOT_AVAILABLE</x:v>
      </x:c>
      <x:c r="E227" s="5"/>
      <x:c r="F227" s="4" t="n">
        <x:v>0</x:v>
      </x:c>
      <x:c r="G227" s="4"/>
      <x:c r="H227" s="6"/>
      <x:c r="I227" s="16" t="n">
        <x:v>1</x:v>
      </x:c>
      <x:c r="J227"/>
      <x:c r="K227" s="4"/>
      <x:c r="L227" s="4"/>
      <x:c r="M227" s="4"/>
      <x:c r="N227" s="5"/>
    </x:row>
    <x:row r="228" ht="24" customHeight="1">
      <x:c r="A228" s="1" t="str">
        <x:v>RESULT</x:v>
      </x:c>
      <x:c r="B228" s="1" t="str">
        <x:v>Round1</x:v>
      </x:c>
      <x:c r="C228" s="1" t="str">
        <x:v>Closure_87</x:v>
      </x:c>
      <x:c r="D228" s="1" t="str">
        <x:v>NOT_AVAILABLE</x:v>
      </x:c>
      <x:c r="E228" s="5"/>
      <x:c r="F228" s="4" t="n">
        <x:v>0</x:v>
      </x:c>
      <x:c r="G228" s="4"/>
      <x:c r="H228" s="6"/>
      <x:c r="I228" s="16" t="n">
        <x:v>1</x:v>
      </x:c>
      <x:c r="J228"/>
      <x:c r="K228" s="4"/>
      <x:c r="L228" s="4"/>
      <x:c r="M228" s="4"/>
      <x:c r="N228" s="5"/>
    </x:row>
    <x:row r="229" ht="24" customHeight="1">
      <x:c r="A229" s="1" t="str">
        <x:v>RESULT</x:v>
      </x:c>
      <x:c r="B229" s="1" t="str">
        <x:v>Round1</x:v>
      </x:c>
      <x:c r="C229" s="1" t="str">
        <x:v>Closure_88</x:v>
      </x:c>
      <x:c r="D229" s="1" t="str">
        <x:v>NOT_AVAILABLE</x:v>
      </x:c>
      <x:c r="E229" s="5"/>
      <x:c r="F229" s="4" t="n">
        <x:v>0</x:v>
      </x:c>
      <x:c r="G229" s="4"/>
      <x:c r="H229" s="6"/>
      <x:c r="I229" s="16" t="n">
        <x:v>1</x:v>
      </x:c>
      <x:c r="J229"/>
      <x:c r="K229" s="4"/>
      <x:c r="L229" s="4"/>
      <x:c r="M229" s="4"/>
      <x:c r="N229" s="5"/>
    </x:row>
    <x:row r="230" ht="24" customHeight="1">
      <x:c r="A230" s="1" t="str">
        <x:v>RESULT</x:v>
      </x:c>
      <x:c r="B230" s="1" t="str">
        <x:v>Round1</x:v>
      </x:c>
      <x:c r="C230" s="1" t="str">
        <x:v>Closure_89</x:v>
      </x:c>
      <x:c r="D230" s="1" t="str">
        <x:v>NOT_AVAILABLE</x:v>
      </x:c>
      <x:c r="E230" s="5"/>
      <x:c r="F230" s="4" t="n">
        <x:v>0</x:v>
      </x:c>
      <x:c r="G230" s="4"/>
      <x:c r="H230" s="6"/>
      <x:c r="I230" s="16" t="n">
        <x:v>1</x:v>
      </x:c>
      <x:c r="J230"/>
      <x:c r="K230" s="4"/>
      <x:c r="L230" s="4"/>
      <x:c r="M230" s="4"/>
      <x:c r="N230" s="5"/>
    </x:row>
    <x:row r="231" ht="24" customHeight="1">
      <x:c r="A231" s="1" t="str">
        <x:v>RESULT</x:v>
      </x:c>
      <x:c r="B231" s="1" t="str">
        <x:v>Round1</x:v>
      </x:c>
      <x:c r="C231" s="1" t="str">
        <x:v>Closure_9</x:v>
      </x:c>
      <x:c r="D231" s="1" t="str">
        <x:v>NOT_AVAILABLE</x:v>
      </x:c>
      <x:c r="E231" s="5"/>
      <x:c r="F231" s="4" t="n">
        <x:v>0</x:v>
      </x:c>
      <x:c r="G231" s="4"/>
      <x:c r="H231" s="6"/>
      <x:c r="I231" s="16" t="n">
        <x:v>1</x:v>
      </x:c>
      <x:c r="J231"/>
      <x:c r="K231" s="4"/>
      <x:c r="L231" s="4"/>
      <x:c r="M231" s="4"/>
      <x:c r="N231" s="5"/>
    </x:row>
    <x:row r="232" ht="24" customHeight="1">
      <x:c r="A232" s="1" t="str">
        <x:v>RESULT</x:v>
      </x:c>
      <x:c r="B232" s="1" t="str">
        <x:v>Round1</x:v>
      </x:c>
      <x:c r="C232" s="1" t="str">
        <x:v>Closure_90</x:v>
      </x:c>
      <x:c r="D232" s="1" t="str">
        <x:v>NOT_AVAILABLE</x:v>
      </x:c>
      <x:c r="E232" s="5"/>
      <x:c r="F232" s="4" t="n">
        <x:v>0</x:v>
      </x:c>
      <x:c r="G232" s="4"/>
      <x:c r="H232" s="6"/>
      <x:c r="I232" s="16" t="n">
        <x:v>1</x:v>
      </x:c>
      <x:c r="J232"/>
      <x:c r="K232" s="4"/>
      <x:c r="L232" s="4"/>
      <x:c r="M232" s="4"/>
      <x:c r="N232" s="5"/>
    </x:row>
    <x:row r="233" ht="24" customHeight="1">
      <x:c r="A233" s="1" t="str">
        <x:v>RESULT</x:v>
      </x:c>
      <x:c r="B233" s="1" t="str">
        <x:v>Round1</x:v>
      </x:c>
      <x:c r="C233" s="1" t="str">
        <x:v>Closure_91</x:v>
      </x:c>
      <x:c r="D233" s="1" t="str">
        <x:v>NOT_AVAILABLE</x:v>
      </x:c>
      <x:c r="E233" s="5"/>
      <x:c r="F233" s="4" t="n">
        <x:v>0</x:v>
      </x:c>
      <x:c r="G233" s="4" t="n">
        <x:v>18478</x:v>
      </x:c>
      <x:c r="H233" s="6" t="n">
        <x:v>86.16</x:v>
      </x:c>
      <x:c r="I233" s="16" t="n">
        <x:v>1</x:v>
      </x:c>
      <x:c r="J233"/>
      <x:c r="K233" s="4"/>
      <x:c r="L233" s="4"/>
      <x:c r="M233" s="4"/>
      <x:c r="N233" s="5"/>
    </x:row>
    <x:row r="234" ht="24" customHeight="1">
      <x:c r="A234" s="1" t="str">
        <x:v>RESULT</x:v>
      </x:c>
      <x:c r="B234" s="1" t="str">
        <x:v>Round1</x:v>
      </x:c>
      <x:c r="C234" s="1" t="str">
        <x:v>Closure_92</x:v>
      </x:c>
      <x:c r="D234" s="1" t="str">
        <x:v>NOT_AVAILABLE</x:v>
      </x:c>
      <x:c r="E234" s="5"/>
      <x:c r="F234" s="4" t="n">
        <x:v>0</x:v>
      </x:c>
      <x:c r="G234" s="4"/>
      <x:c r="H234" s="6"/>
      <x:c r="I234" s="16" t="n">
        <x:v>1</x:v>
      </x:c>
      <x:c r="J234"/>
      <x:c r="K234" s="4"/>
      <x:c r="L234" s="4"/>
      <x:c r="M234" s="4"/>
      <x:c r="N234" s="5"/>
    </x:row>
    <x:row r="235" ht="24" customHeight="1">
      <x:c r="A235" s="1" t="str">
        <x:v>RESULT</x:v>
      </x:c>
      <x:c r="B235" s="1" t="str">
        <x:v>Round1</x:v>
      </x:c>
      <x:c r="C235" s="1" t="str">
        <x:v>Closure_94</x:v>
      </x:c>
      <x:c r="D235" s="1" t="str">
        <x:v>NOT_AVAILABLE</x:v>
      </x:c>
      <x:c r="E235" s="5"/>
      <x:c r="F235" s="4" t="n">
        <x:v>0</x:v>
      </x:c>
      <x:c r="G235" s="4"/>
      <x:c r="H235" s="6"/>
      <x:c r="I235" s="16" t="n">
        <x:v>1</x:v>
      </x:c>
      <x:c r="J235"/>
      <x:c r="K235" s="4"/>
      <x:c r="L235" s="4"/>
      <x:c r="M235" s="4"/>
      <x:c r="N235" s="5"/>
    </x:row>
    <x:row r="236" ht="24" customHeight="1">
      <x:c r="A236" s="1" t="str">
        <x:v>RESULT</x:v>
      </x:c>
      <x:c r="B236" s="1" t="str">
        <x:v>Round1</x:v>
      </x:c>
      <x:c r="C236" s="1" t="str">
        <x:v>Closure_95</x:v>
      </x:c>
      <x:c r="D236" s="1" t="str">
        <x:v>NOT_AVAILABLE</x:v>
      </x:c>
      <x:c r="E236" s="5"/>
      <x:c r="F236" s="4" t="n">
        <x:v>0</x:v>
      </x:c>
      <x:c r="G236" s="4"/>
      <x:c r="H236" s="6"/>
      <x:c r="I236" s="16" t="n">
        <x:v>1</x:v>
      </x:c>
      <x:c r="J236"/>
      <x:c r="K236" s="4"/>
      <x:c r="L236" s="4"/>
      <x:c r="M236" s="4"/>
      <x:c r="N236" s="5"/>
    </x:row>
    <x:row r="237" ht="24" customHeight="1">
      <x:c r="A237" s="1" t="str">
        <x:v>RESULT</x:v>
      </x:c>
      <x:c r="B237" s="1" t="str">
        <x:v>Round1</x:v>
      </x:c>
      <x:c r="C237" s="1" t="str">
        <x:v>Closure_96</x:v>
      </x:c>
      <x:c r="D237" s="1" t="str">
        <x:v>NOT_AVAILABLE</x:v>
      </x:c>
      <x:c r="E237" s="5"/>
      <x:c r="F237" s="4" t="n">
        <x:v>0</x:v>
      </x:c>
      <x:c r="G237" s="4"/>
      <x:c r="H237" s="6"/>
      <x:c r="I237" s="16" t="n">
        <x:v>1</x:v>
      </x:c>
      <x:c r="J237"/>
      <x:c r="K237" s="4"/>
      <x:c r="L237" s="4"/>
      <x:c r="M237" s="4"/>
      <x:c r="N237" s="5"/>
    </x:row>
    <x:row r="238" ht="24" customHeight="1">
      <x:c r="A238" s="1" t="str">
        <x:v>RESULT</x:v>
      </x:c>
      <x:c r="B238" s="1" t="str">
        <x:v>Round1</x:v>
      </x:c>
      <x:c r="C238" s="1" t="str">
        <x:v>Closure_97</x:v>
      </x:c>
      <x:c r="D238" s="1" t="str">
        <x:v>NOT_AVAILABLE</x:v>
      </x:c>
      <x:c r="E238" s="5"/>
      <x:c r="F238" s="4" t="n">
        <x:v>0</x:v>
      </x:c>
      <x:c r="G238" s="4"/>
      <x:c r="H238" s="6"/>
      <x:c r="I238" s="16" t="n">
        <x:v>1</x:v>
      </x:c>
      <x:c r="J238"/>
      <x:c r="K238" s="4"/>
      <x:c r="L238" s="4"/>
      <x:c r="M238" s="4"/>
      <x:c r="N238" s="5"/>
    </x:row>
    <x:row r="239" ht="24" customHeight="1">
      <x:c r="A239" s="1" t="str">
        <x:v>RESULT</x:v>
      </x:c>
      <x:c r="B239" s="1" t="str">
        <x:v>Round1</x:v>
      </x:c>
      <x:c r="C239" s="1" t="str">
        <x:v>Closure_98</x:v>
      </x:c>
      <x:c r="D239" s="1" t="str">
        <x:v>NOT_AVAILABLE</x:v>
      </x:c>
      <x:c r="E239" s="5"/>
      <x:c r="F239" s="4" t="n">
        <x:v>0</x:v>
      </x:c>
      <x:c r="G239" s="4"/>
      <x:c r="H239" s="6"/>
      <x:c r="I239" s="16" t="n">
        <x:v>1</x:v>
      </x:c>
      <x:c r="J239"/>
      <x:c r="K239" s="4"/>
      <x:c r="L239" s="4"/>
      <x:c r="M239" s="4"/>
      <x:c r="N239" s="5"/>
    </x:row>
    <x:row r="240" ht="24" customHeight="1">
      <x:c r="A240" s="1" t="str">
        <x:v>RESULT</x:v>
      </x:c>
      <x:c r="B240" s="1" t="str">
        <x:v>Round1</x:v>
      </x:c>
      <x:c r="C240" s="1" t="str">
        <x:v>Closure_99</x:v>
      </x:c>
      <x:c r="D240" s="1" t="str">
        <x:v>NOT_AVAILABLE</x:v>
      </x:c>
      <x:c r="E240" s="5"/>
      <x:c r="F240" s="4" t="n">
        <x:v>0</x:v>
      </x:c>
      <x:c r="G240" s="4"/>
      <x:c r="H240" s="6"/>
      <x:c r="I240" s="16" t="n">
        <x:v>1</x:v>
      </x:c>
      <x:c r="J240"/>
      <x:c r="K240" s="4"/>
      <x:c r="L240" s="4"/>
      <x:c r="M240" s="4"/>
      <x:c r="N240" s="5"/>
    </x:row>
    <x:row r="241" ht="24" customHeight="1">
      <x:c r="A241" s="1" t="str">
        <x:v>RESULT</x:v>
      </x:c>
      <x:c r="B241" s="1" t="str">
        <x:v>Round1</x:v>
      </x:c>
      <x:c r="C241" s="1" t="str">
        <x:v>Codec_1</x:v>
      </x:c>
      <x:c r="D241" s="1" t="str">
        <x:v>INCONCLUSIVE</x:v>
      </x:c>
      <x:c r="E241" s="5" t="n">
        <x:v>0.7304999999999999</x:v>
      </x:c>
      <x:c r="F241" s="4" t="n">
        <x:v>0</x:v>
      </x:c>
      <x:c r="G241" s="4" t="n">
        <x:v>5871</x:v>
      </x:c>
      <x:c r="H241" s="6" t="n">
        <x:v>32.34</x:v>
      </x:c>
      <x:c r="I241" s="16" t="n">
        <x:v>1</x:v>
      </x:c>
      <x:c r="J241" t="n">
        <x:v>256</x:v>
      </x:c>
      <x:c r="K241" s="4" t="n">
        <x:v>187</x:v>
      </x:c>
      <x:c r="L241" s="4" t="n">
        <x:v>184</x:v>
      </x:c>
      <x:c r="M241" s="4" t="n">
        <x:v>103</x:v>
      </x:c>
      <x:c r="N241" s="5" t="n">
        <x:v>0.5598</x:v>
      </x:c>
    </x:row>
    <x:row r="242" ht="24" customHeight="1">
      <x:c r="A242" s="1" t="str">
        <x:v>RESULT</x:v>
      </x:c>
      <x:c r="B242" s="1" t="str">
        <x:v>Round1</x:v>
      </x:c>
      <x:c r="C242" s="1" t="str">
        <x:v>Codec_10</x:v>
      </x:c>
      <x:c r="D242" s="1" t="str">
        <x:v>INCONCLUSIVE</x:v>
      </x:c>
      <x:c r="E242" s="5" t="n">
        <x:v>1</x:v>
      </x:c>
      <x:c r="F242" s="4" t="n">
        <x:v>0</x:v>
      </x:c>
      <x:c r="G242" s="4"/>
      <x:c r="H242" s="6"/>
      <x:c r="I242" s="16" t="n">
        <x:v>1</x:v>
      </x:c>
      <x:c r="J242" t="n">
        <x:v>69</x:v>
      </x:c>
      <x:c r="K242" s="4" t="n">
        <x:v>69</x:v>
      </x:c>
      <x:c r="L242" s="4" t="n">
        <x:v>6</x:v>
      </x:c>
      <x:c r="M242" s="4" t="n">
        <x:v>6</x:v>
      </x:c>
      <x:c r="N242" s="5" t="n">
        <x:v>1</x:v>
      </x:c>
    </x:row>
    <x:row r="243" ht="24" customHeight="1">
      <x:c r="A243" s="1" t="str">
        <x:v>RESULT</x:v>
      </x:c>
      <x:c r="B243" s="1" t="str">
        <x:v>Round1</x:v>
      </x:c>
      <x:c r="C243" s="1" t="str">
        <x:v>Codec_11</x:v>
      </x:c>
      <x:c r="D243" s="1" t="str">
        <x:v>INCONCLUSIVE</x:v>
      </x:c>
      <x:c r="E243" s="5" t="n">
        <x:v>0.7901</x:v>
      </x:c>
      <x:c r="F243" s="4" t="n">
        <x:v>0</x:v>
      </x:c>
      <x:c r="G243" s="4"/>
      <x:c r="H243" s="6"/>
      <x:c r="I243" s="16" t="n">
        <x:v>1</x:v>
      </x:c>
      <x:c r="J243" t="n">
        <x:v>81</x:v>
      </x:c>
      <x:c r="K243" s="4" t="n">
        <x:v>64</x:v>
      </x:c>
      <x:c r="L243" s="4" t="n">
        <x:v>36</x:v>
      </x:c>
      <x:c r="M243" s="4" t="n">
        <x:v>25</x:v>
      </x:c>
      <x:c r="N243" s="5" t="n">
        <x:v>0.6944</x:v>
      </x:c>
    </x:row>
    <x:row r="244" ht="24" customHeight="1">
      <x:c r="A244" s="1" t="str">
        <x:v>RESULT</x:v>
      </x:c>
      <x:c r="B244" s="1" t="str">
        <x:v>Round1</x:v>
      </x:c>
      <x:c r="C244" s="1" t="str">
        <x:v>Codec_12</x:v>
      </x:c>
      <x:c r="D244" s="1" t="str">
        <x:v>NOT_REVEALING</x:v>
      </x:c>
      <x:c r="E244" s="5" t="n">
        <x:v>0.9677</x:v>
      </x:c>
      <x:c r="F244" s="4" t="n">
        <x:v>0</x:v>
      </x:c>
      <x:c r="G244" s="4" t="n">
        <x:v>8631</x:v>
      </x:c>
      <x:c r="H244" s="6" t="n">
        <x:v>34.87</x:v>
      </x:c>
      <x:c r="I244" s="16" t="n">
        <x:v>1</x:v>
      </x:c>
      <x:c r="J244" t="n">
        <x:v>31</x:v>
      </x:c>
      <x:c r="K244" s="4" t="n">
        <x:v>30</x:v>
      </x:c>
      <x:c r="L244" s="4" t="n">
        <x:v>26</x:v>
      </x:c>
      <x:c r="M244" s="4" t="n">
        <x:v>25</x:v>
      </x:c>
      <x:c r="N244" s="5" t="n">
        <x:v>0.9615</x:v>
      </x:c>
    </x:row>
    <x:row r="245" ht="24" customHeight="1">
      <x:c r="A245" s="1" t="str">
        <x:v>RESULT</x:v>
      </x:c>
      <x:c r="B245" s="1" t="str">
        <x:v>Round1</x:v>
      </x:c>
      <x:c r="C245" s="1" t="str">
        <x:v>Codec_13</x:v>
      </x:c>
      <x:c r="D245" s="1" t="str">
        <x:v>INCONCLUSIVE</x:v>
      </x:c>
      <x:c r="E245" s="5" t="n">
        <x:v>0.8898</x:v>
      </x:c>
      <x:c r="F245" s="4" t="n">
        <x:v>0</x:v>
      </x:c>
      <x:c r="G245" s="4"/>
      <x:c r="H245" s="6"/>
      <x:c r="I245" s="16" t="n">
        <x:v>1</x:v>
      </x:c>
      <x:c r="J245" t="n">
        <x:v>481</x:v>
      </x:c>
      <x:c r="K245" s="4" t="n">
        <x:v>428</x:v>
      </x:c>
      <x:c r="L245" s="4" t="n">
        <x:v>458</x:v>
      </x:c>
      <x:c r="M245" s="4" t="n">
        <x:v>339</x:v>
      </x:c>
      <x:c r="N245" s="5" t="n">
        <x:v>0.7402</x:v>
      </x:c>
    </x:row>
    <x:row r="246" ht="24" customHeight="1">
      <x:c r="A246" s="1" t="str">
        <x:v>RESULT</x:v>
      </x:c>
      <x:c r="B246" s="1" t="str">
        <x:v>Round1</x:v>
      </x:c>
      <x:c r="C246" s="1" t="str">
        <x:v>Codec_14</x:v>
      </x:c>
      <x:c r="D246" s="1" t="str">
        <x:v>INCONCLUSIVE</x:v>
      </x:c>
      <x:c r="E246" s="5" t="n">
        <x:v>0.7859</x:v>
      </x:c>
      <x:c r="F246" s="4" t="n">
        <x:v>0</x:v>
      </x:c>
      <x:c r="G246" s="4"/>
      <x:c r="H246" s="6"/>
      <x:c r="I246" s="16" t="n">
        <x:v>1</x:v>
      </x:c>
      <x:c r="J246" t="n">
        <x:v>481</x:v>
      </x:c>
      <x:c r="K246" s="4" t="n">
        <x:v>378</x:v>
      </x:c>
      <x:c r="L246" s="4" t="n">
        <x:v>226</x:v>
      </x:c>
      <x:c r="M246" s="4" t="n">
        <x:v>166</x:v>
      </x:c>
      <x:c r="N246" s="5" t="n">
        <x:v>0.7345</x:v>
      </x:c>
    </x:row>
    <x:row r="247" ht="24" customHeight="1">
      <x:c r="A247" s="1" t="str">
        <x:v>RESULT</x:v>
      </x:c>
      <x:c r="B247" s="1" t="str">
        <x:v>Round1</x:v>
      </x:c>
      <x:c r="C247" s="1" t="str">
        <x:v>Codec_15</x:v>
      </x:c>
      <x:c r="D247" s="1" t="str">
        <x:v>NOT_AVAILABLE</x:v>
      </x:c>
      <x:c r="E247" s="5"/>
      <x:c r="F247" s="4" t="n">
        <x:v>0</x:v>
      </x:c>
      <x:c r="G247" s="4"/>
      <x:c r="H247" s="6"/>
      <x:c r="I247" s="16" t="n">
        <x:v>1</x:v>
      </x:c>
      <x:c r="J247"/>
      <x:c r="K247" s="4"/>
      <x:c r="L247" s="4"/>
      <x:c r="M247" s="4"/>
      <x:c r="N247" s="5"/>
    </x:row>
    <x:row r="248" ht="24" customHeight="1">
      <x:c r="A248" s="1" t="str">
        <x:v>RESULT</x:v>
      </x:c>
      <x:c r="B248" s="1" t="str">
        <x:v>Round1</x:v>
      </x:c>
      <x:c r="C248" s="1" t="str">
        <x:v>Codec_16</x:v>
      </x:c>
      <x:c r="D248" s="1" t="str">
        <x:v>NOT_REVEALING</x:v>
      </x:c>
      <x:c r="E248" s="5" t="n">
        <x:v>0.7048000000000001</x:v>
      </x:c>
      <x:c r="F248" s="4" t="n">
        <x:v>0</x:v>
      </x:c>
      <x:c r="G248" s="4"/>
      <x:c r="H248" s="6"/>
      <x:c r="I248" s="16" t="n">
        <x:v>1</x:v>
      </x:c>
      <x:c r="J248" t="n">
        <x:v>166</x:v>
      </x:c>
      <x:c r="K248" s="4" t="n">
        <x:v>117</x:v>
      </x:c>
      <x:c r="L248" s="4" t="n">
        <x:v>75</x:v>
      </x:c>
      <x:c r="M248" s="4" t="n">
        <x:v>42</x:v>
      </x:c>
      <x:c r="N248" s="5" t="n">
        <x:v>0.56</x:v>
      </x:c>
    </x:row>
    <x:row r="249" ht="24" customHeight="1">
      <x:c r="A249" s="1" t="str">
        <x:v>RESULT</x:v>
      </x:c>
      <x:c r="B249" s="1" t="str">
        <x:v>Round1</x:v>
      </x:c>
      <x:c r="C249" s="1" t="str">
        <x:v>Codec_17</x:v>
      </x:c>
      <x:c r="D249" s="1" t="str">
        <x:v>NOT_REVEALING</x:v>
      </x:c>
      <x:c r="E249" s="5" t="n">
        <x:v>0.6923</x:v>
      </x:c>
      <x:c r="F249" s="4" t="n">
        <x:v>0</x:v>
      </x:c>
      <x:c r="G249" s="4"/>
      <x:c r="H249" s="6"/>
      <x:c r="I249" s="16" t="n">
        <x:v>1</x:v>
      </x:c>
      <x:c r="J249" t="n">
        <x:v>39</x:v>
      </x:c>
      <x:c r="K249" s="4" t="n">
        <x:v>27</x:v>
      </x:c>
      <x:c r="L249" s="4" t="n">
        <x:v>20</x:v>
      </x:c>
      <x:c r="M249" s="4" t="n">
        <x:v>16</x:v>
      </x:c>
      <x:c r="N249" s="5" t="n">
        <x:v>0.8</x:v>
      </x:c>
    </x:row>
    <x:row r="250" ht="24" customHeight="1">
      <x:c r="A250" s="1" t="str">
        <x:v>RESULT</x:v>
      </x:c>
      <x:c r="B250" s="1" t="str">
        <x:v>Round1</x:v>
      </x:c>
      <x:c r="C250" s="1" t="str">
        <x:v>Codec_18</x:v>
      </x:c>
      <x:c r="D250" s="1" t="str">
        <x:v>NOT_REVEALING</x:v>
      </x:c>
      <x:c r="E250" s="5" t="n">
        <x:v>0.6923</x:v>
      </x:c>
      <x:c r="F250" s="4" t="n">
        <x:v>0</x:v>
      </x:c>
      <x:c r="G250" s="4"/>
      <x:c r="H250" s="6"/>
      <x:c r="I250" s="16" t="n">
        <x:v>1</x:v>
      </x:c>
      <x:c r="J250" t="n">
        <x:v>39</x:v>
      </x:c>
      <x:c r="K250" s="4" t="n">
        <x:v>27</x:v>
      </x:c>
      <x:c r="L250" s="4" t="n">
        <x:v>20</x:v>
      </x:c>
      <x:c r="M250" s="4" t="n">
        <x:v>16</x:v>
      </x:c>
      <x:c r="N250" s="5" t="n">
        <x:v>0.8</x:v>
      </x:c>
    </x:row>
    <x:row r="251" ht="24" customHeight="1">
      <x:c r="A251" s="1" t="str">
        <x:v>RESULT</x:v>
      </x:c>
      <x:c r="B251" s="1" t="str">
        <x:v>Round1</x:v>
      </x:c>
      <x:c r="C251" s="1" t="str">
        <x:v>Codec_2</x:v>
      </x:c>
      <x:c r="D251" s="1" t="str">
        <x:v>NOT_AVAILABLE</x:v>
      </x:c>
      <x:c r="E251" s="5"/>
      <x:c r="F251" s="4" t="n">
        <x:v>0</x:v>
      </x:c>
      <x:c r="G251" s="4"/>
      <x:c r="H251" s="6"/>
      <x:c r="I251" s="16" t="n">
        <x:v>1</x:v>
      </x:c>
      <x:c r="J251"/>
      <x:c r="K251" s="4"/>
      <x:c r="L251" s="4"/>
      <x:c r="M251" s="4"/>
      <x:c r="N251" s="5"/>
    </x:row>
    <x:row r="252" ht="24" customHeight="1">
      <x:c r="A252" s="1" t="str">
        <x:v>RESULT</x:v>
      </x:c>
      <x:c r="B252" s="1" t="str">
        <x:v>Round1</x:v>
      </x:c>
      <x:c r="C252" s="1" t="str">
        <x:v>Codec_3</x:v>
      </x:c>
      <x:c r="D252" s="1" t="str">
        <x:v>INCONCLUSIVE</x:v>
      </x:c>
      <x:c r="E252" s="5" t="n">
        <x:v>0.9051</x:v>
      </x:c>
      <x:c r="F252" s="4" t="n">
        <x:v>0</x:v>
      </x:c>
      <x:c r="G252" s="4"/>
      <x:c r="H252" s="6"/>
      <x:c r="I252" s="16" t="n">
        <x:v>1</x:v>
      </x:c>
      <x:c r="J252" t="n">
        <x:v>453</x:v>
      </x:c>
      <x:c r="K252" s="4" t="n">
        <x:v>410</x:v>
      </x:c>
      <x:c r="L252" s="4" t="n">
        <x:v>450</x:v>
      </x:c>
      <x:c r="M252" s="4" t="n">
        <x:v>333</x:v>
      </x:c>
      <x:c r="N252" s="5" t="n">
        <x:v>0.74</x:v>
      </x:c>
    </x:row>
    <x:row r="253" ht="24" customHeight="1">
      <x:c r="A253" s="1" t="str">
        <x:v>RESULT</x:v>
      </x:c>
      <x:c r="B253" s="1" t="str">
        <x:v>Round1</x:v>
      </x:c>
      <x:c r="C253" s="1" t="str">
        <x:v>Codec_4</x:v>
      </x:c>
      <x:c r="D253" s="1" t="str">
        <x:v>NOT_AVAILABLE</x:v>
      </x:c>
      <x:c r="E253" s="5"/>
      <x:c r="F253" s="4" t="n">
        <x:v>0</x:v>
      </x:c>
      <x:c r="G253" s="4"/>
      <x:c r="H253" s="6"/>
      <x:c r="I253" s="16" t="n">
        <x:v>1</x:v>
      </x:c>
      <x:c r="J253"/>
      <x:c r="K253" s="4"/>
      <x:c r="L253" s="4"/>
      <x:c r="M253" s="4"/>
      <x:c r="N253" s="5"/>
    </x:row>
    <x:row r="254" ht="24" customHeight="1">
      <x:c r="A254" s="1" t="str">
        <x:v>RESULT</x:v>
      </x:c>
      <x:c r="B254" s="1" t="str">
        <x:v>Round1</x:v>
      </x:c>
      <x:c r="C254" s="1" t="str">
        <x:v>Codec_5</x:v>
      </x:c>
      <x:c r="D254" s="1" t="str">
        <x:v>NOT_AVAILABLE</x:v>
      </x:c>
      <x:c r="E254" s="5"/>
      <x:c r="F254" s="4" t="n">
        <x:v>0</x:v>
      </x:c>
      <x:c r="G254" s="4"/>
      <x:c r="H254" s="6"/>
      <x:c r="I254" s="16" t="n">
        <x:v>1</x:v>
      </x:c>
      <x:c r="J254"/>
      <x:c r="K254" s="4"/>
      <x:c r="L254" s="4"/>
      <x:c r="M254" s="4"/>
      <x:c r="N254" s="5"/>
    </x:row>
    <x:row r="255" ht="24" customHeight="1">
      <x:c r="A255" s="1" t="str">
        <x:v>RESULT</x:v>
      </x:c>
      <x:c r="B255" s="1" t="str">
        <x:v>Round1</x:v>
      </x:c>
      <x:c r="C255" s="1" t="str">
        <x:v>Codec_6</x:v>
      </x:c>
      <x:c r="D255" s="1" t="str">
        <x:v>NOT_REVEALING</x:v>
      </x:c>
      <x:c r="E255" s="5" t="n">
        <x:v>0.8</x:v>
      </x:c>
      <x:c r="F255" s="4" t="n">
        <x:v>0</x:v>
      </x:c>
      <x:c r="G255" s="4"/>
      <x:c r="H255" s="6"/>
      <x:c r="I255" s="16" t="n">
        <x:v>1</x:v>
      </x:c>
      <x:c r="J255" t="n">
        <x:v>35</x:v>
      </x:c>
      <x:c r="K255" s="4" t="n">
        <x:v>28</x:v>
      </x:c>
      <x:c r="L255" s="4" t="n">
        <x:v>28</x:v>
      </x:c>
      <x:c r="M255" s="4" t="n">
        <x:v>21</x:v>
      </x:c>
      <x:c r="N255" s="5" t="n">
        <x:v>0.75</x:v>
      </x:c>
    </x:row>
    <x:row r="256" ht="24" customHeight="1">
      <x:c r="A256" s="1" t="str">
        <x:v>RESULT</x:v>
      </x:c>
      <x:c r="B256" s="1" t="str">
        <x:v>Round1</x:v>
      </x:c>
      <x:c r="C256" s="1" t="str">
        <x:v>Codec_7</x:v>
      </x:c>
      <x:c r="D256" s="1" t="str">
        <x:v>NOT_AVAILABLE</x:v>
      </x:c>
      <x:c r="E256" s="5"/>
      <x:c r="F256" s="4" t="n">
        <x:v>0</x:v>
      </x:c>
      <x:c r="G256" s="4"/>
      <x:c r="H256" s="6"/>
      <x:c r="I256" s="16" t="n">
        <x:v>1</x:v>
      </x:c>
      <x:c r="J256"/>
      <x:c r="K256" s="4"/>
      <x:c r="L256" s="4"/>
      <x:c r="M256" s="4"/>
      <x:c r="N256" s="5"/>
    </x:row>
    <x:row r="257" ht="24" customHeight="1">
      <x:c r="A257" s="1" t="str">
        <x:v>RESULT</x:v>
      </x:c>
      <x:c r="B257" s="1" t="str">
        <x:v>Round1</x:v>
      </x:c>
      <x:c r="C257" s="1" t="str">
        <x:v>Codec_8</x:v>
      </x:c>
      <x:c r="D257" s="1" t="str">
        <x:v>NOT_AVAILABLE</x:v>
      </x:c>
      <x:c r="E257" s="5"/>
      <x:c r="F257" s="4" t="n">
        <x:v>0</x:v>
      </x:c>
      <x:c r="G257" s="4"/>
      <x:c r="H257" s="6"/>
      <x:c r="I257" s="16" t="n">
        <x:v>1</x:v>
      </x:c>
      <x:c r="J257"/>
      <x:c r="K257" s="4"/>
      <x:c r="L257" s="4"/>
      <x:c r="M257" s="4"/>
      <x:c r="N257" s="5"/>
    </x:row>
    <x:row r="258" ht="24" customHeight="1">
      <x:c r="A258" s="1" t="str">
        <x:v>RESULT</x:v>
      </x:c>
      <x:c r="B258" s="1" t="str">
        <x:v>Round1</x:v>
      </x:c>
      <x:c r="C258" s="1" t="str">
        <x:v>Codec_9</x:v>
      </x:c>
      <x:c r="D258" s="1" t="str">
        <x:v>NOT_AVAILABLE</x:v>
      </x:c>
      <x:c r="E258" s="5"/>
      <x:c r="F258" s="4" t="n">
        <x:v>0</x:v>
      </x:c>
      <x:c r="G258" s="4"/>
      <x:c r="H258" s="6"/>
      <x:c r="I258" s="16" t="n">
        <x:v>1</x:v>
      </x:c>
      <x:c r="J258"/>
      <x:c r="K258" s="4"/>
      <x:c r="L258" s="4"/>
      <x:c r="M258" s="4"/>
      <x:c r="N258" s="5"/>
    </x:row>
    <x:row r="259" ht="24" customHeight="1">
      <x:c r="A259" s="1" t="str">
        <x:v>RESULT</x:v>
      </x:c>
      <x:c r="B259" s="1" t="str">
        <x:v>Round1</x:v>
      </x:c>
      <x:c r="C259" s="1" t="str">
        <x:v>Collections_1</x:v>
      </x:c>
      <x:c r="D259" s="1" t="str">
        <x:v>INCONCLUSIVE</x:v>
      </x:c>
      <x:c r="E259" s="5" t="n">
        <x:v>0.2974</x:v>
      </x:c>
      <x:c r="F259" s="4" t="n">
        <x:v>0</x:v>
      </x:c>
      <x:c r="G259" s="4"/>
      <x:c r="H259" s="6"/>
      <x:c r="I259" s="16" t="n">
        <x:v>1</x:v>
      </x:c>
      <x:c r="J259" t="n">
        <x:v>491</x:v>
      </x:c>
      <x:c r="K259" s="4" t="n">
        <x:v>146</x:v>
      </x:c>
      <x:c r="L259" s="4" t="n">
        <x:v>376</x:v>
      </x:c>
      <x:c r="M259" s="4" t="n">
        <x:v>96</x:v>
      </x:c>
      <x:c r="N259" s="5" t="n">
        <x:v>0.2553</x:v>
      </x:c>
    </x:row>
    <x:row r="260" ht="24" customHeight="1">
      <x:c r="A260" s="1" t="str">
        <x:v>RESULT</x:v>
      </x:c>
      <x:c r="B260" s="1" t="str">
        <x:v>Round1</x:v>
      </x:c>
      <x:c r="C260" s="1" t="str">
        <x:v>Collections_10</x:v>
      </x:c>
      <x:c r="D260" s="1" t="str">
        <x:v>INCONCLUSIVE</x:v>
      </x:c>
      <x:c r="E260" s="5" t="n">
        <x:v>0.5294</x:v>
      </x:c>
      <x:c r="F260" s="4" t="n">
        <x:v>0</x:v>
      </x:c>
      <x:c r="G260" s="4"/>
      <x:c r="H260" s="6"/>
      <x:c r="I260" s="16" t="n">
        <x:v>1</x:v>
      </x:c>
      <x:c r="J260" t="n">
        <x:v>119</x:v>
      </x:c>
      <x:c r="K260" s="4" t="n">
        <x:v>63</x:v>
      </x:c>
      <x:c r="L260" s="4" t="n">
        <x:v>48</x:v>
      </x:c>
      <x:c r="M260" s="4" t="n">
        <x:v>18</x:v>
      </x:c>
      <x:c r="N260" s="5" t="n">
        <x:v>0.375</x:v>
      </x:c>
    </x:row>
    <x:row r="261" ht="24" customHeight="1">
      <x:c r="A261" s="1" t="str">
        <x:v>RESULT</x:v>
      </x:c>
      <x:c r="B261" s="1" t="str">
        <x:v>Round1</x:v>
      </x:c>
      <x:c r="C261" s="1" t="str">
        <x:v>Collections_11</x:v>
      </x:c>
      <x:c r="D261" s="1" t="str">
        <x:v>NOT_REVEALING</x:v>
      </x:c>
      <x:c r="E261" s="5" t="n">
        <x:v>0.9143000000000001</x:v>
      </x:c>
      <x:c r="F261" s="4" t="n">
        <x:v>0</x:v>
      </x:c>
      <x:c r="G261" s="4"/>
      <x:c r="H261" s="6"/>
      <x:c r="I261" s="16" t="n">
        <x:v>1</x:v>
      </x:c>
      <x:c r="J261" t="n">
        <x:v>35</x:v>
      </x:c>
      <x:c r="K261" s="4" t="n">
        <x:v>32</x:v>
      </x:c>
      <x:c r="L261" s="4" t="n">
        <x:v>12</x:v>
      </x:c>
      <x:c r="M261" s="4" t="n">
        <x:v>9</x:v>
      </x:c>
      <x:c r="N261" s="5" t="n">
        <x:v>0.75</x:v>
      </x:c>
    </x:row>
    <x:row r="262" ht="24" customHeight="1">
      <x:c r="A262" s="1" t="str">
        <x:v>RESULT</x:v>
      </x:c>
      <x:c r="B262" s="1" t="str">
        <x:v>Round1</x:v>
      </x:c>
      <x:c r="C262" s="1" t="str">
        <x:v>Collections_12</x:v>
      </x:c>
      <x:c r="D262" s="1" t="str">
        <x:v>NOT_REVEALING</x:v>
      </x:c>
      <x:c r="E262" s="5" t="n">
        <x:v>0.3824</x:v>
      </x:c>
      <x:c r="F262" s="4" t="n">
        <x:v>0</x:v>
      </x:c>
      <x:c r="G262" s="4"/>
      <x:c r="H262" s="6"/>
      <x:c r="I262" s="16" t="n">
        <x:v>1</x:v>
      </x:c>
      <x:c r="J262" t="n">
        <x:v>489</x:v>
      </x:c>
      <x:c r="K262" s="4" t="n">
        <x:v>187</x:v>
      </x:c>
      <x:c r="L262" s="4" t="n">
        <x:v>278</x:v>
      </x:c>
      <x:c r="M262" s="4" t="n">
        <x:v>75</x:v>
      </x:c>
      <x:c r="N262" s="5" t="n">
        <x:v>0.2698</x:v>
      </x:c>
    </x:row>
    <x:row r="263" ht="24" customHeight="1">
      <x:c r="A263" s="1" t="str">
        <x:v>RESULT</x:v>
      </x:c>
      <x:c r="B263" s="1" t="str">
        <x:v>Round1</x:v>
      </x:c>
      <x:c r="C263" s="1" t="str">
        <x:v>Collections_13</x:v>
      </x:c>
      <x:c r="D263" s="1" t="str">
        <x:v>NOT_REVEALING</x:v>
      </x:c>
      <x:c r="E263" s="5" t="n">
        <x:v>0.3837</x:v>
      </x:c>
      <x:c r="F263" s="4" t="n">
        <x:v>0</x:v>
      </x:c>
      <x:c r="G263" s="4"/>
      <x:c r="H263" s="6"/>
      <x:c r="I263" s="16" t="n">
        <x:v>1</x:v>
      </x:c>
      <x:c r="J263" t="n">
        <x:v>490</x:v>
      </x:c>
      <x:c r="K263" s="4" t="n">
        <x:v>188</x:v>
      </x:c>
      <x:c r="L263" s="4" t="n">
        <x:v>278</x:v>
      </x:c>
      <x:c r="M263" s="4" t="n">
        <x:v>75</x:v>
      </x:c>
      <x:c r="N263" s="5" t="n">
        <x:v>0.2698</x:v>
      </x:c>
    </x:row>
    <x:row r="264" ht="24" customHeight="1">
      <x:c r="A264" s="1" t="str">
        <x:v>RESULT</x:v>
      </x:c>
      <x:c r="B264" s="1" t="str">
        <x:v>Round1</x:v>
      </x:c>
      <x:c r="C264" s="1" t="str">
        <x:v>Collections_14</x:v>
      </x:c>
      <x:c r="D264" s="1" t="str">
        <x:v>INCONCLUSIVE</x:v>
      </x:c>
      <x:c r="E264" s="5" t="n">
        <x:v>1</x:v>
      </x:c>
      <x:c r="F264" s="4" t="n">
        <x:v>0</x:v>
      </x:c>
      <x:c r="G264" s="4" t="n">
        <x:v>4995</x:v>
      </x:c>
      <x:c r="H264" s="6" t="n">
        <x:v>16.51</x:v>
      </x:c>
      <x:c r="I264" s="16" t="n">
        <x:v>1</x:v>
      </x:c>
      <x:c r="J264" t="n">
        <x:v>18</x:v>
      </x:c>
      <x:c r="K264" s="4" t="n">
        <x:v>18</x:v>
      </x:c>
      <x:c r="L264" s="4" t="n">
        <x:v>2</x:v>
      </x:c>
      <x:c r="M264" s="4" t="n">
        <x:v>2</x:v>
      </x:c>
      <x:c r="N264" s="5" t="n">
        <x:v>1</x:v>
      </x:c>
    </x:row>
    <x:row r="265" ht="24" customHeight="1">
      <x:c r="A265" s="1" t="str">
        <x:v>RESULT</x:v>
      </x:c>
      <x:c r="B265" s="1" t="str">
        <x:v>Round1</x:v>
      </x:c>
      <x:c r="C265" s="1" t="str">
        <x:v>Collections_15</x:v>
      </x:c>
      <x:c r="D265" s="1" t="str">
        <x:v>REVEALING</x:v>
      </x:c>
      <x:c r="E265" s="5" t="n">
        <x:v>1</x:v>
      </x:c>
      <x:c r="F265" s="4" t="n">
        <x:v>1</x:v>
      </x:c>
      <x:c r="G265" s="4" t="n">
        <x:v>10170</x:v>
      </x:c>
      <x:c r="H265" s="6" t="n">
        <x:v>43.57</x:v>
      </x:c>
      <x:c r="I265" s="16" t="n">
        <x:v>1</x:v>
      </x:c>
      <x:c r="J265" t="n">
        <x:v>86</x:v>
      </x:c>
      <x:c r="K265" s="4" t="n">
        <x:v>86</x:v>
      </x:c>
      <x:c r="L265" s="4" t="n">
        <x:v>22</x:v>
      </x:c>
      <x:c r="M265" s="4" t="n">
        <x:v>22</x:v>
      </x:c>
      <x:c r="N265" s="5" t="n">
        <x:v>1</x:v>
      </x:c>
    </x:row>
    <x:row r="266" ht="24" customHeight="1">
      <x:c r="A266" s="1" t="str">
        <x:v>RESULT</x:v>
      </x:c>
      <x:c r="B266" s="1" t="str">
        <x:v>Round1</x:v>
      </x:c>
      <x:c r="C266" s="1" t="str">
        <x:v>Collections_16</x:v>
      </x:c>
      <x:c r="D266" s="1" t="str">
        <x:v>INCONCLUSIVE</x:v>
      </x:c>
      <x:c r="E266" s="5" t="n">
        <x:v>1</x:v>
      </x:c>
      <x:c r="F266" s="4" t="n">
        <x:v>0</x:v>
      </x:c>
      <x:c r="G266" s="4" t="n">
        <x:v>11132</x:v>
      </x:c>
      <x:c r="H266" s="6" t="n">
        <x:v>48.67</x:v>
      </x:c>
      <x:c r="I266" s="16" t="n">
        <x:v>1</x:v>
      </x:c>
      <x:c r="J266" t="n">
        <x:v>86</x:v>
      </x:c>
      <x:c r="K266" s="4" t="n">
        <x:v>86</x:v>
      </x:c>
      <x:c r="L266" s="4" t="n">
        <x:v>22</x:v>
      </x:c>
      <x:c r="M266" s="4" t="n">
        <x:v>22</x:v>
      </x:c>
      <x:c r="N266" s="5" t="n">
        <x:v>1</x:v>
      </x:c>
    </x:row>
    <x:row r="267" ht="24" customHeight="1">
      <x:c r="A267" s="1" t="str">
        <x:v>RESULT</x:v>
      </x:c>
      <x:c r="B267" s="1" t="str">
        <x:v>Round1</x:v>
      </x:c>
      <x:c r="C267" s="1" t="str">
        <x:v>Collections_17</x:v>
      </x:c>
      <x:c r="D267" s="1" t="str">
        <x:v>INCONCLUSIVE</x:v>
      </x:c>
      <x:c r="E267" s="5" t="n">
        <x:v>1</x:v>
      </x:c>
      <x:c r="F267" s="4" t="n">
        <x:v>0</x:v>
      </x:c>
      <x:c r="G267" s="4" t="n">
        <x:v>6907</x:v>
      </x:c>
      <x:c r="H267" s="6" t="n">
        <x:v>33.62</x:v>
      </x:c>
      <x:c r="I267" s="16" t="n">
        <x:v>1</x:v>
      </x:c>
      <x:c r="J267" t="n">
        <x:v>14</x:v>
      </x:c>
      <x:c r="K267" s="4" t="n">
        <x:v>14</x:v>
      </x:c>
      <x:c r="L267" s="4" t="n">
        <x:v>4</x:v>
      </x:c>
      <x:c r="M267" s="4" t="n">
        <x:v>4</x:v>
      </x:c>
      <x:c r="N267" s="5" t="n">
        <x:v>1</x:v>
      </x:c>
    </x:row>
    <x:row r="268" ht="24" customHeight="1">
      <x:c r="A268" s="1" t="str">
        <x:v>RESULT</x:v>
      </x:c>
      <x:c r="B268" s="1" t="str">
        <x:v>Round1</x:v>
      </x:c>
      <x:c r="C268" s="1" t="str">
        <x:v>Collections_18</x:v>
      </x:c>
      <x:c r="D268" s="1" t="str">
        <x:v>INCONCLUSIVE</x:v>
      </x:c>
      <x:c r="E268" s="5" t="n">
        <x:v>0.9892</x:v>
      </x:c>
      <x:c r="F268" s="4" t="n">
        <x:v>0</x:v>
      </x:c>
      <x:c r="G268" s="4" t="n">
        <x:v>11441</x:v>
      </x:c>
      <x:c r="H268" s="6" t="n">
        <x:v>44.02</x:v>
      </x:c>
      <x:c r="I268" s="16" t="n">
        <x:v>1</x:v>
      </x:c>
      <x:c r="J268" t="n">
        <x:v>93</x:v>
      </x:c>
      <x:c r="K268" s="4" t="n">
        <x:v>92</x:v>
      </x:c>
      <x:c r="L268" s="4" t="n">
        <x:v>36</x:v>
      </x:c>
      <x:c r="M268" s="4" t="n">
        <x:v>36</x:v>
      </x:c>
      <x:c r="N268" s="5" t="n">
        <x:v>1</x:v>
      </x:c>
    </x:row>
    <x:row r="269" ht="24" customHeight="1">
      <x:c r="A269" s="1" t="str">
        <x:v>RESULT</x:v>
      </x:c>
      <x:c r="B269" s="1" t="str">
        <x:v>Round1</x:v>
      </x:c>
      <x:c r="C269" s="1" t="str">
        <x:v>Collections_19</x:v>
      </x:c>
      <x:c r="D269" s="1" t="str">
        <x:v>NOT_REVEALING</x:v>
      </x:c>
      <x:c r="E269" s="5" t="n">
        <x:v>1</x:v>
      </x:c>
      <x:c r="F269" s="4" t="n">
        <x:v>0</x:v>
      </x:c>
      <x:c r="G269" s="4" t="n">
        <x:v>12274</x:v>
      </x:c>
      <x:c r="H269" s="6" t="n">
        <x:v>51.85</x:v>
      </x:c>
      <x:c r="I269" s="16" t="n">
        <x:v>1</x:v>
      </x:c>
      <x:c r="J269" t="n">
        <x:v>109</x:v>
      </x:c>
      <x:c r="K269" s="4" t="n">
        <x:v>109</x:v>
      </x:c>
      <x:c r="L269" s="4" t="n">
        <x:v>38</x:v>
      </x:c>
      <x:c r="M269" s="4" t="n">
        <x:v>38</x:v>
      </x:c>
      <x:c r="N269" s="5" t="n">
        <x:v>1</x:v>
      </x:c>
    </x:row>
    <x:row r="270" ht="24" customHeight="1">
      <x:c r="A270" s="1" t="str">
        <x:v>RESULT</x:v>
      </x:c>
      <x:c r="B270" s="1" t="str">
        <x:v>Round1</x:v>
      </x:c>
      <x:c r="C270" s="1" t="str">
        <x:v>Collections_2</x:v>
      </x:c>
      <x:c r="D270" s="1" t="str">
        <x:v>NOT_REVEALING</x:v>
      </x:c>
      <x:c r="E270" s="5" t="n">
        <x:v>0.3978</x:v>
      </x:c>
      <x:c r="F270" s="4" t="n">
        <x:v>0</x:v>
      </x:c>
      <x:c r="G270" s="4"/>
      <x:c r="H270" s="6"/>
      <x:c r="I270" s="16" t="n">
        <x:v>1</x:v>
      </x:c>
      <x:c r="J270" t="n">
        <x:v>465</x:v>
      </x:c>
      <x:c r="K270" s="4" t="n">
        <x:v>185</x:v>
      </x:c>
      <x:c r="L270" s="4" t="n">
        <x:v>268</x:v>
      </x:c>
      <x:c r="M270" s="4" t="n">
        <x:v>75</x:v>
      </x:c>
      <x:c r="N270" s="5" t="n">
        <x:v>0.2799</x:v>
      </x:c>
    </x:row>
    <x:row r="271" ht="24" customHeight="1">
      <x:c r="A271" s="1" t="str">
        <x:v>RESULT</x:v>
      </x:c>
      <x:c r="B271" s="1" t="str">
        <x:v>Round1</x:v>
      </x:c>
      <x:c r="C271" s="1" t="str">
        <x:v>Collections_20</x:v>
      </x:c>
      <x:c r="D271" s="1" t="str">
        <x:v>INCONCLUSIVE</x:v>
      </x:c>
      <x:c r="E271" s="5" t="n">
        <x:v>0.9181</x:v>
      </x:c>
      <x:c r="F271" s="4" t="n">
        <x:v>0</x:v>
      </x:c>
      <x:c r="G271" s="4" t="n">
        <x:v>11065</x:v>
      </x:c>
      <x:c r="H271" s="6" t="n">
        <x:v>38.48</x:v>
      </x:c>
      <x:c r="I271" s="16" t="n">
        <x:v>1</x:v>
      </x:c>
      <x:c r="J271" t="n">
        <x:v>293</x:v>
      </x:c>
      <x:c r="K271" s="4" t="n">
        <x:v>269</x:v>
      </x:c>
      <x:c r="L271" s="4" t="n">
        <x:v>154</x:v>
      </x:c>
      <x:c r="M271" s="4" t="n">
        <x:v>136</x:v>
      </x:c>
      <x:c r="N271" s="5" t="n">
        <x:v>0.8831</x:v>
      </x:c>
    </x:row>
    <x:row r="272" ht="24" customHeight="1">
      <x:c r="A272" s="1" t="str">
        <x:v>RESULT</x:v>
      </x:c>
      <x:c r="B272" s="1" t="str">
        <x:v>Round1</x:v>
      </x:c>
      <x:c r="C272" s="1" t="str">
        <x:v>Collections_21</x:v>
      </x:c>
      <x:c r="D272" s="1" t="str">
        <x:v>INCONCLUSIVE</x:v>
      </x:c>
      <x:c r="E272" s="5" t="n">
        <x:v>1</x:v>
      </x:c>
      <x:c r="F272" s="4" t="n">
        <x:v>0</x:v>
      </x:c>
      <x:c r="G272" s="4" t="n">
        <x:v>13155</x:v>
      </x:c>
      <x:c r="H272" s="6" t="n">
        <x:v>47.97</x:v>
      </x:c>
      <x:c r="I272" s="16" t="n">
        <x:v>1</x:v>
      </x:c>
      <x:c r="J272" t="n">
        <x:v>109</x:v>
      </x:c>
      <x:c r="K272" s="4" t="n">
        <x:v>109</x:v>
      </x:c>
      <x:c r="L272" s="4" t="n">
        <x:v>38</x:v>
      </x:c>
      <x:c r="M272" s="4" t="n">
        <x:v>38</x:v>
      </x:c>
      <x:c r="N272" s="5" t="n">
        <x:v>1</x:v>
      </x:c>
    </x:row>
    <x:row r="273" ht="24" customHeight="1">
      <x:c r="A273" s="1" t="str">
        <x:v>RESULT</x:v>
      </x:c>
      <x:c r="B273" s="1" t="str">
        <x:v>Round1</x:v>
      </x:c>
      <x:c r="C273" s="1" t="str">
        <x:v>Collections_22</x:v>
      </x:c>
      <x:c r="D273" s="1" t="str">
        <x:v>NOT_AVAILABLE</x:v>
      </x:c>
      <x:c r="E273" s="5"/>
      <x:c r="F273" s="4" t="n">
        <x:v>0</x:v>
      </x:c>
      <x:c r="G273" s="4" t="n">
        <x:v>11022</x:v>
      </x:c>
      <x:c r="H273" s="6" t="n">
        <x:v>37.86</x:v>
      </x:c>
      <x:c r="I273" s="16" t="n">
        <x:v>1</x:v>
      </x:c>
      <x:c r="J273"/>
      <x:c r="K273" s="4"/>
      <x:c r="L273" s="4"/>
      <x:c r="M273" s="4"/>
      <x:c r="N273" s="5"/>
    </x:row>
    <x:row r="274" ht="24" customHeight="1">
      <x:c r="A274" s="1" t="str">
        <x:v>RESULT</x:v>
      </x:c>
      <x:c r="B274" s="1" t="str">
        <x:v>Round1</x:v>
      </x:c>
      <x:c r="C274" s="1" t="str">
        <x:v>Collections_23</x:v>
      </x:c>
      <x:c r="D274" s="1" t="str">
        <x:v>INCONCLUSIVE</x:v>
      </x:c>
      <x:c r="E274" s="5" t="n">
        <x:v>0.9706</x:v>
      </x:c>
      <x:c r="F274" s="4" t="n">
        <x:v>0</x:v>
      </x:c>
      <x:c r="G274" s="4" t="n">
        <x:v>15399</x:v>
      </x:c>
      <x:c r="H274" s="6" t="n">
        <x:v>69.33</x:v>
      </x:c>
      <x:c r="I274" s="16" t="n">
        <x:v>1</x:v>
      </x:c>
      <x:c r="J274" t="n">
        <x:v>34</x:v>
      </x:c>
      <x:c r="K274" s="4" t="n">
        <x:v>33</x:v>
      </x:c>
      <x:c r="L274" s="4" t="n">
        <x:v>2</x:v>
      </x:c>
      <x:c r="M274" s="4" t="n">
        <x:v>2</x:v>
      </x:c>
      <x:c r="N274" s="5" t="n">
        <x:v>1</x:v>
      </x:c>
    </x:row>
    <x:row r="275" ht="24" customHeight="1">
      <x:c r="A275" s="1" t="str">
        <x:v>RESULT</x:v>
      </x:c>
      <x:c r="B275" s="1" t="str">
        <x:v>Round1</x:v>
      </x:c>
      <x:c r="C275" s="1" t="str">
        <x:v>Collections_24</x:v>
      </x:c>
      <x:c r="D275" s="1" t="str">
        <x:v>NOT_REVEALING</x:v>
      </x:c>
      <x:c r="E275" s="5" t="n">
        <x:v>1</x:v>
      </x:c>
      <x:c r="F275" s="4" t="n">
        <x:v>0</x:v>
      </x:c>
      <x:c r="G275" s="4" t="n">
        <x:v>5896</x:v>
      </x:c>
      <x:c r="H275" s="6" t="n">
        <x:v>21.29</x:v>
      </x:c>
      <x:c r="I275" s="16" t="n">
        <x:v>1</x:v>
      </x:c>
      <x:c r="J275" t="n">
        <x:v>26</x:v>
      </x:c>
      <x:c r="K275" s="4" t="n">
        <x:v>26</x:v>
      </x:c>
      <x:c r="L275" s="4" t="n">
        <x:v>12</x:v>
      </x:c>
      <x:c r="M275" s="4" t="n">
        <x:v>12</x:v>
      </x:c>
      <x:c r="N275" s="5" t="n">
        <x:v>1</x:v>
      </x:c>
    </x:row>
    <x:row r="276" ht="24" customHeight="1">
      <x:c r="A276" s="1" t="str">
        <x:v>RESULT</x:v>
      </x:c>
      <x:c r="B276" s="1" t="str">
        <x:v>Round1</x:v>
      </x:c>
      <x:c r="C276" s="1" t="str">
        <x:v>Collections_25</x:v>
      </x:c>
      <x:c r="D276" s="1" t="str">
        <x:v>NOT_AVAILABLE</x:v>
      </x:c>
      <x:c r="E276" s="5"/>
      <x:c r="F276" s="4" t="n">
        <x:v>0</x:v>
      </x:c>
      <x:c r="G276" s="4"/>
      <x:c r="H276" s="6"/>
      <x:c r="I276" s="16" t="n">
        <x:v>1</x:v>
      </x:c>
      <x:c r="J276"/>
      <x:c r="K276" s="4"/>
      <x:c r="L276" s="4"/>
      <x:c r="M276" s="4"/>
      <x:c r="N276" s="5"/>
    </x:row>
    <x:row r="277" ht="24" customHeight="1">
      <x:c r="A277" s="1" t="str">
        <x:v>RESULT</x:v>
      </x:c>
      <x:c r="B277" s="1" t="str">
        <x:v>Round1</x:v>
      </x:c>
      <x:c r="C277" s="1" t="str">
        <x:v>Collections_26</x:v>
      </x:c>
      <x:c r="D277" s="1" t="str">
        <x:v>INCONCLUSIVE</x:v>
      </x:c>
      <x:c r="E277" s="5" t="n">
        <x:v>0.8649</x:v>
      </x:c>
      <x:c r="F277" s="4" t="n">
        <x:v>0</x:v>
      </x:c>
      <x:c r="G277" s="4"/>
      <x:c r="H277" s="6"/>
      <x:c r="I277" s="16" t="n">
        <x:v>1</x:v>
      </x:c>
      <x:c r="J277" t="n">
        <x:v>37</x:v>
      </x:c>
      <x:c r="K277" s="4" t="n">
        <x:v>32</x:v>
      </x:c>
      <x:c r="L277" s="4" t="n">
        <x:v>12</x:v>
      </x:c>
      <x:c r="M277" s="4" t="n">
        <x:v>9</x:v>
      </x:c>
      <x:c r="N277" s="5" t="n">
        <x:v>0.75</x:v>
      </x:c>
    </x:row>
    <x:row r="278" ht="24" customHeight="1">
      <x:c r="A278" s="1" t="str">
        <x:v>RESULT</x:v>
      </x:c>
      <x:c r="B278" s="1" t="str">
        <x:v>Round1</x:v>
      </x:c>
      <x:c r="C278" s="1" t="str">
        <x:v>Collections_27</x:v>
      </x:c>
      <x:c r="D278" s="1" t="str">
        <x:v>NOT_REVEALING</x:v>
      </x:c>
      <x:c r="E278" s="5" t="n">
        <x:v>0.5354</x:v>
      </x:c>
      <x:c r="F278" s="4" t="n">
        <x:v>0</x:v>
      </x:c>
      <x:c r="G278" s="4"/>
      <x:c r="H278" s="6"/>
      <x:c r="I278" s="16" t="n">
        <x:v>1</x:v>
      </x:c>
      <x:c r="J278" t="n">
        <x:v>127</x:v>
      </x:c>
      <x:c r="K278" s="4" t="n">
        <x:v>68</x:v>
      </x:c>
      <x:c r="L278" s="4" t="n">
        <x:v>50</x:v>
      </x:c>
      <x:c r="M278" s="4" t="n">
        <x:v>22</x:v>
      </x:c>
      <x:c r="N278" s="5" t="n">
        <x:v>0.44</x:v>
      </x:c>
    </x:row>
    <x:row r="279" ht="24" customHeight="1">
      <x:c r="A279" s="1" t="str">
        <x:v>RESULT</x:v>
      </x:c>
      <x:c r="B279" s="1" t="str">
        <x:v>Round1</x:v>
      </x:c>
      <x:c r="C279" s="1" t="str">
        <x:v>Collections_28</x:v>
      </x:c>
      <x:c r="D279" s="1" t="str">
        <x:v>NOT_AVAILABLE</x:v>
      </x:c>
      <x:c r="E279" s="5"/>
      <x:c r="F279" s="4" t="n">
        <x:v>0</x:v>
      </x:c>
      <x:c r="G279" s="4"/>
      <x:c r="H279" s="6"/>
      <x:c r="I279" s="16" t="n">
        <x:v>1</x:v>
      </x:c>
      <x:c r="J279"/>
      <x:c r="K279" s="4"/>
      <x:c r="L279" s="4"/>
      <x:c r="M279" s="4"/>
      <x:c r="N279" s="5"/>
    </x:row>
    <x:row r="280" ht="24" customHeight="1">
      <x:c r="A280" s="1" t="str">
        <x:v>RESULT</x:v>
      </x:c>
      <x:c r="B280" s="1" t="str">
        <x:v>Round1</x:v>
      </x:c>
      <x:c r="C280" s="1" t="str">
        <x:v>Collections_3</x:v>
      </x:c>
      <x:c r="D280" s="1" t="str">
        <x:v>NOT_REVEALING</x:v>
      </x:c>
      <x:c r="E280" s="5" t="n">
        <x:v>0.2736</x:v>
      </x:c>
      <x:c r="F280" s="4" t="n">
        <x:v>0</x:v>
      </x:c>
      <x:c r="G280" s="4"/>
      <x:c r="H280" s="6"/>
      <x:c r="I280" s="16" t="n">
        <x:v>1</x:v>
      </x:c>
      <x:c r="J280" t="n">
        <x:v>329</x:v>
      </x:c>
      <x:c r="K280" s="4" t="n">
        <x:v>90</x:v>
      </x:c>
      <x:c r="L280" s="4" t="n">
        <x:v>244</x:v>
      </x:c>
      <x:c r="M280" s="4" t="n">
        <x:v>49</x:v>
      </x:c>
      <x:c r="N280" s="5" t="n">
        <x:v>0.20079999999999998</x:v>
      </x:c>
    </x:row>
    <x:row r="281" ht="24" customHeight="1">
      <x:c r="A281" s="1" t="str">
        <x:v>RESULT</x:v>
      </x:c>
      <x:c r="B281" s="1" t="str">
        <x:v>Round1</x:v>
      </x:c>
      <x:c r="C281" s="1" t="str">
        <x:v>Collections_4</x:v>
      </x:c>
      <x:c r="D281" s="1" t="str">
        <x:v>INCONCLUSIVE</x:v>
      </x:c>
      <x:c r="E281" s="5" t="n">
        <x:v>0.5586</x:v>
      </x:c>
      <x:c r="F281" s="4" t="n">
        <x:v>0</x:v>
      </x:c>
      <x:c r="G281" s="4"/>
      <x:c r="H281" s="6"/>
      <x:c r="I281" s="16" t="n">
        <x:v>1</x:v>
      </x:c>
      <x:c r="J281" t="n">
        <x:v>111</x:v>
      </x:c>
      <x:c r="K281" s="4" t="n">
        <x:v>62</x:v>
      </x:c>
      <x:c r="L281" s="4" t="n">
        <x:v>48</x:v>
      </x:c>
      <x:c r="M281" s="4" t="n">
        <x:v>19</x:v>
      </x:c>
      <x:c r="N281" s="5" t="n">
        <x:v>0.3958</x:v>
      </x:c>
    </x:row>
    <x:row r="282" ht="24" customHeight="1">
      <x:c r="A282" s="1" t="str">
        <x:v>RESULT</x:v>
      </x:c>
      <x:c r="B282" s="1" t="str">
        <x:v>Round1</x:v>
      </x:c>
      <x:c r="C282" s="1" t="str">
        <x:v>Collections_5</x:v>
      </x:c>
      <x:c r="D282" s="1" t="str">
        <x:v>NOT_REVEALING</x:v>
      </x:c>
      <x:c r="E282" s="5" t="n">
        <x:v>0.37799999999999995</x:v>
      </x:c>
      <x:c r="F282" s="4" t="n">
        <x:v>0</x:v>
      </x:c>
      <x:c r="G282" s="4"/>
      <x:c r="H282" s="6"/>
      <x:c r="I282" s="16" t="n">
        <x:v>1</x:v>
      </x:c>
      <x:c r="J282" t="n">
        <x:v>82</x:v>
      </x:c>
      <x:c r="K282" s="4" t="n">
        <x:v>31</x:v>
      </x:c>
      <x:c r="L282" s="4" t="n">
        <x:v>20</x:v>
      </x:c>
      <x:c r="M282" s="4" t="n">
        <x:v>12</x:v>
      </x:c>
      <x:c r="N282" s="5" t="n">
        <x:v>0.6</x:v>
      </x:c>
    </x:row>
    <x:row r="283" ht="24" customHeight="1">
      <x:c r="A283" s="1" t="str">
        <x:v>RESULT</x:v>
      </x:c>
      <x:c r="B283" s="1" t="str">
        <x:v>Round1</x:v>
      </x:c>
      <x:c r="C283" s="1" t="str">
        <x:v>Collections_6</x:v>
      </x:c>
      <x:c r="D283" s="1" t="str">
        <x:v>REVEALING</x:v>
      </x:c>
      <x:c r="E283" s="5" t="n">
        <x:v>0.2949</x:v>
      </x:c>
      <x:c r="F283" s="4" t="n">
        <x:v>1</x:v>
      </x:c>
      <x:c r="G283" s="4"/>
      <x:c r="H283" s="6"/>
      <x:c r="I283" s="16" t="n">
        <x:v>1</x:v>
      </x:c>
      <x:c r="J283" t="n">
        <x:v>495</x:v>
      </x:c>
      <x:c r="K283" s="4" t="n">
        <x:v>146</x:v>
      </x:c>
      <x:c r="L283" s="4" t="n">
        <x:v>376</x:v>
      </x:c>
      <x:c r="M283" s="4" t="n">
        <x:v>96</x:v>
      </x:c>
      <x:c r="N283" s="5" t="n">
        <x:v>0.2553</x:v>
      </x:c>
    </x:row>
    <x:row r="284" ht="24" customHeight="1">
      <x:c r="A284" s="1" t="str">
        <x:v>RESULT</x:v>
      </x:c>
      <x:c r="B284" s="1" t="str">
        <x:v>Round1</x:v>
      </x:c>
      <x:c r="C284" s="1" t="str">
        <x:v>Collections_7</x:v>
      </x:c>
      <x:c r="D284" s="1" t="str">
        <x:v>NOT_REVEALING</x:v>
      </x:c>
      <x:c r="E284" s="5" t="n">
        <x:v>0.3892</x:v>
      </x:c>
      <x:c r="F284" s="4" t="n">
        <x:v>0</x:v>
      </x:c>
      <x:c r="G284" s="4"/>
      <x:c r="H284" s="6"/>
      <x:c r="I284" s="16" t="n">
        <x:v>1</x:v>
      </x:c>
      <x:c r="J284" t="n">
        <x:v>483</x:v>
      </x:c>
      <x:c r="K284" s="4" t="n">
        <x:v>188</x:v>
      </x:c>
      <x:c r="L284" s="4" t="n">
        <x:v>280</x:v>
      </x:c>
      <x:c r="M284" s="4" t="n">
        <x:v>76</x:v>
      </x:c>
      <x:c r="N284" s="5" t="n">
        <x:v>0.27140000000000003</x:v>
      </x:c>
    </x:row>
    <x:row r="285" ht="24" customHeight="1">
      <x:c r="A285" s="1" t="str">
        <x:v>RESULT</x:v>
      </x:c>
      <x:c r="B285" s="1" t="str">
        <x:v>Round1</x:v>
      </x:c>
      <x:c r="C285" s="1" t="str">
        <x:v>Collections_8</x:v>
      </x:c>
      <x:c r="D285" s="1" t="str">
        <x:v>NOT_REVEALING</x:v>
      </x:c>
      <x:c r="E285" s="5" t="n">
        <x:v>0.5455</x:v>
      </x:c>
      <x:c r="F285" s="4" t="n">
        <x:v>0</x:v>
      </x:c>
      <x:c r="G285" s="4"/>
      <x:c r="H285" s="6"/>
      <x:c r="I285" s="16" t="n">
        <x:v>1</x:v>
      </x:c>
      <x:c r="J285" t="n">
        <x:v>88</x:v>
      </x:c>
      <x:c r="K285" s="4" t="n">
        <x:v>48</x:v>
      </x:c>
      <x:c r="L285" s="4" t="n">
        <x:v>36</x:v>
      </x:c>
      <x:c r="M285" s="4" t="n">
        <x:v>19</x:v>
      </x:c>
      <x:c r="N285" s="5" t="n">
        <x:v>0.5278</x:v>
      </x:c>
    </x:row>
    <x:row r="286" ht="24" customHeight="1">
      <x:c r="A286" s="1" t="str">
        <x:v>RESULT</x:v>
      </x:c>
      <x:c r="B286" s="1" t="str">
        <x:v>Round1</x:v>
      </x:c>
      <x:c r="C286" s="1" t="str">
        <x:v>Collections_9</x:v>
      </x:c>
      <x:c r="D286" s="1" t="str">
        <x:v>NOT_REVEALING</x:v>
      </x:c>
      <x:c r="E286" s="5" t="n">
        <x:v>0.3829</x:v>
      </x:c>
      <x:c r="F286" s="4" t="n">
        <x:v>0</x:v>
      </x:c>
      <x:c r="G286" s="4"/>
      <x:c r="H286" s="6"/>
      <x:c r="I286" s="16" t="n">
        <x:v>1</x:v>
      </x:c>
      <x:c r="J286" t="n">
        <x:v>491</x:v>
      </x:c>
      <x:c r="K286" s="4" t="n">
        <x:v>188</x:v>
      </x:c>
      <x:c r="L286" s="4" t="n">
        <x:v>280</x:v>
      </x:c>
      <x:c r="M286" s="4" t="n">
        <x:v>76</x:v>
      </x:c>
      <x:c r="N286" s="5" t="n">
        <x:v>0.27140000000000003</x:v>
      </x:c>
    </x:row>
    <x:row r="287" ht="24" customHeight="1">
      <x:c r="A287" s="1" t="str">
        <x:v>RESULT</x:v>
      </x:c>
      <x:c r="B287" s="1" t="str">
        <x:v>Round1</x:v>
      </x:c>
      <x:c r="C287" s="1" t="str">
        <x:v>Compress_1</x:v>
      </x:c>
      <x:c r="D287" s="1" t="str">
        <x:v>NOT_AVAILABLE</x:v>
      </x:c>
      <x:c r="E287" s="5"/>
      <x:c r="F287" s="4" t="n">
        <x:v>0</x:v>
      </x:c>
      <x:c r="G287" s="4"/>
      <x:c r="H287" s="6"/>
      <x:c r="I287" s="16" t="n">
        <x:v>1</x:v>
      </x:c>
      <x:c r="J287"/>
      <x:c r="K287" s="4"/>
      <x:c r="L287" s="4"/>
      <x:c r="M287" s="4"/>
      <x:c r="N287" s="5"/>
    </x:row>
    <x:row r="288" ht="24" customHeight="1">
      <x:c r="A288" s="1" t="str">
        <x:v>RESULT</x:v>
      </x:c>
      <x:c r="B288" s="1" t="str">
        <x:v>Round1</x:v>
      </x:c>
      <x:c r="C288" s="1" t="str">
        <x:v>Compress_10</x:v>
      </x:c>
      <x:c r="D288" s="1" t="str">
        <x:v>INCONCLUSIVE</x:v>
      </x:c>
      <x:c r="E288" s="5" t="n">
        <x:v>0.9211</x:v>
      </x:c>
      <x:c r="F288" s="4" t="n">
        <x:v>0</x:v>
      </x:c>
      <x:c r="G288" s="4" t="n">
        <x:v>15229</x:v>
      </x:c>
      <x:c r="H288" s="6" t="n">
        <x:v>91.08</x:v>
      </x:c>
      <x:c r="I288" s="16" t="n">
        <x:v>1</x:v>
      </x:c>
      <x:c r="J288" t="n">
        <x:v>304</x:v>
      </x:c>
      <x:c r="K288" s="4" t="n">
        <x:v>280</x:v>
      </x:c>
      <x:c r="L288" s="4" t="n">
        <x:v>113</x:v>
      </x:c>
      <x:c r="M288" s="4" t="n">
        <x:v>76</x:v>
      </x:c>
      <x:c r="N288" s="5" t="n">
        <x:v>0.6726000000000001</x:v>
      </x:c>
    </x:row>
    <x:row r="289" ht="24" customHeight="1">
      <x:c r="A289" s="1" t="str">
        <x:v>RESULT</x:v>
      </x:c>
      <x:c r="B289" s="1" t="str">
        <x:v>Round1</x:v>
      </x:c>
      <x:c r="C289" s="1" t="str">
        <x:v>Compress_11</x:v>
      </x:c>
      <x:c r="D289" s="1" t="str">
        <x:v>NOT_AVAILABLE</x:v>
      </x:c>
      <x:c r="E289" s="5"/>
      <x:c r="F289" s="4" t="n">
        <x:v>0</x:v>
      </x:c>
      <x:c r="G289" s="4" t="n">
        <x:v>11824</x:v>
      </x:c>
      <x:c r="H289" s="6" t="n">
        <x:v>54.78</x:v>
      </x:c>
      <x:c r="I289" s="16" t="n">
        <x:v>1</x:v>
      </x:c>
      <x:c r="J289"/>
      <x:c r="K289" s="4"/>
      <x:c r="L289" s="4"/>
      <x:c r="M289" s="4"/>
      <x:c r="N289" s="5"/>
    </x:row>
    <x:row r="290" ht="24" customHeight="1">
      <x:c r="A290" s="1" t="str">
        <x:v>RESULT</x:v>
      </x:c>
      <x:c r="B290" s="1" t="str">
        <x:v>Round1</x:v>
      </x:c>
      <x:c r="C290" s="1" t="str">
        <x:v>Compress_12</x:v>
      </x:c>
      <x:c r="D290" s="1" t="str">
        <x:v>INCONCLUSIVE</x:v>
      </x:c>
      <x:c r="E290" s="5" t="n">
        <x:v>0.8308</x:v>
      </x:c>
      <x:c r="F290" s="4" t="n">
        <x:v>0</x:v>
      </x:c>
      <x:c r="G290" s="4" t="n">
        <x:v>15696</x:v>
      </x:c>
      <x:c r="H290" s="6" t="n">
        <x:v>68.07</x:v>
      </x:c>
      <x:c r="I290" s="16" t="n">
        <x:v>1</x:v>
      </x:c>
      <x:c r="J290" t="n">
        <x:v>195</x:v>
      </x:c>
      <x:c r="K290" s="4" t="n">
        <x:v>162</x:v>
      </x:c>
      <x:c r="L290" s="4" t="n">
        <x:v>110</x:v>
      </x:c>
      <x:c r="M290" s="4" t="n">
        <x:v>80</x:v>
      </x:c>
      <x:c r="N290" s="5" t="n">
        <x:v>0.7273000000000001</x:v>
      </x:c>
    </x:row>
    <x:row r="291" ht="24" customHeight="1">
      <x:c r="A291" s="1" t="str">
        <x:v>RESULT</x:v>
      </x:c>
      <x:c r="B291" s="1" t="str">
        <x:v>Round1</x:v>
      </x:c>
      <x:c r="C291" s="1" t="str">
        <x:v>Compress_13</x:v>
      </x:c>
      <x:c r="D291" s="1" t="str">
        <x:v>NOT_AVAILABLE</x:v>
      </x:c>
      <x:c r="E291" s="5"/>
      <x:c r="F291" s="4" t="n">
        <x:v>0</x:v>
      </x:c>
      <x:c r="G291" s="4"/>
      <x:c r="H291" s="6" t="n">
        <x:v>30.42</x:v>
      </x:c>
      <x:c r="I291" s="16" t="n">
        <x:v>1</x:v>
      </x:c>
      <x:c r="J291"/>
      <x:c r="K291" s="4"/>
      <x:c r="L291" s="4"/>
      <x:c r="M291" s="4"/>
      <x:c r="N291" s="5"/>
    </x:row>
    <x:row r="292" ht="24" customHeight="1">
      <x:c r="A292" s="1" t="str">
        <x:v>RESULT</x:v>
      </x:c>
      <x:c r="B292" s="1" t="str">
        <x:v>Round1</x:v>
      </x:c>
      <x:c r="C292" s="1" t="str">
        <x:v>Compress_14</x:v>
      </x:c>
      <x:c r="D292" s="1" t="str">
        <x:v>NOT_REVEALING</x:v>
      </x:c>
      <x:c r="E292" s="5" t="n">
        <x:v>0.9901000000000001</x:v>
      </x:c>
      <x:c r="F292" s="4" t="n">
        <x:v>0</x:v>
      </x:c>
      <x:c r="G292" s="4" t="n">
        <x:v>13157</x:v>
      </x:c>
      <x:c r="H292" s="6" t="n">
        <x:v>58.95</x:v>
      </x:c>
      <x:c r="I292" s="16" t="n">
        <x:v>1</x:v>
      </x:c>
      <x:c r="J292" t="n">
        <x:v>101</x:v>
      </x:c>
      <x:c r="K292" s="4" t="n">
        <x:v>100</x:v>
      </x:c>
      <x:c r="L292" s="4" t="n">
        <x:v>66</x:v>
      </x:c>
      <x:c r="M292" s="4" t="n">
        <x:v>63</x:v>
      </x:c>
      <x:c r="N292" s="5" t="n">
        <x:v>0.9545</x:v>
      </x:c>
    </x:row>
    <x:row r="293" ht="24" customHeight="1">
      <x:c r="A293" s="1" t="str">
        <x:v>RESULT</x:v>
      </x:c>
      <x:c r="B293" s="1" t="str">
        <x:v>Round1</x:v>
      </x:c>
      <x:c r="C293" s="1" t="str">
        <x:v>Compress_15</x:v>
      </x:c>
      <x:c r="D293" s="1" t="str">
        <x:v>INCONCLUSIVE</x:v>
      </x:c>
      <x:c r="E293" s="5" t="n">
        <x:v>0.9015000000000001</x:v>
      </x:c>
      <x:c r="F293" s="4" t="n">
        <x:v>0</x:v>
      </x:c>
      <x:c r="G293" s="4" t="n">
        <x:v>14771</x:v>
      </x:c>
      <x:c r="H293" s="6" t="n">
        <x:v>66.48</x:v>
      </x:c>
      <x:c r="I293" s="16" t="n">
        <x:v>1</x:v>
      </x:c>
      <x:c r="J293" t="n">
        <x:v>203</x:v>
      </x:c>
      <x:c r="K293" s="4" t="n">
        <x:v>183</x:v>
      </x:c>
      <x:c r="L293" s="4" t="n">
        <x:v>110</x:v>
      </x:c>
      <x:c r="M293" s="4" t="n">
        <x:v>97</x:v>
      </x:c>
      <x:c r="N293" s="5" t="n">
        <x:v>0.8818</x:v>
      </x:c>
    </x:row>
    <x:row r="294" ht="24" customHeight="1">
      <x:c r="A294" s="1" t="str">
        <x:v>RESULT</x:v>
      </x:c>
      <x:c r="B294" s="1" t="str">
        <x:v>Round1</x:v>
      </x:c>
      <x:c r="C294" s="1" t="str">
        <x:v>Compress_16</x:v>
      </x:c>
      <x:c r="D294" s="1" t="str">
        <x:v>NOT_AVAILABLE</x:v>
      </x:c>
      <x:c r="E294" s="5"/>
      <x:c r="F294" s="4" t="n">
        <x:v>0</x:v>
      </x:c>
      <x:c r="G294" s="4"/>
      <x:c r="H294" s="6" t="n">
        <x:v>28.87</x:v>
      </x:c>
      <x:c r="I294" s="16" t="n">
        <x:v>1</x:v>
      </x:c>
      <x:c r="J294"/>
      <x:c r="K294" s="4"/>
      <x:c r="L294" s="4"/>
      <x:c r="M294" s="4"/>
      <x:c r="N294" s="5"/>
    </x:row>
    <x:row r="295" ht="24" customHeight="1">
      <x:c r="A295" s="1" t="str">
        <x:v>RESULT</x:v>
      </x:c>
      <x:c r="B295" s="1" t="str">
        <x:v>Round1</x:v>
      </x:c>
      <x:c r="C295" s="1" t="str">
        <x:v>Compress_17</x:v>
      </x:c>
      <x:c r="D295" s="1" t="str">
        <x:v>NOT_AVAILABLE</x:v>
      </x:c>
      <x:c r="E295" s="5"/>
      <x:c r="F295" s="4" t="n">
        <x:v>0</x:v>
      </x:c>
      <x:c r="G295" s="4" t="n">
        <x:v>10191</x:v>
      </x:c>
      <x:c r="H295" s="6" t="n">
        <x:v>34.43</x:v>
      </x:c>
      <x:c r="I295" s="16" t="n">
        <x:v>1</x:v>
      </x:c>
      <x:c r="J295"/>
      <x:c r="K295" s="4"/>
      <x:c r="L295" s="4"/>
      <x:c r="M295" s="4"/>
      <x:c r="N295" s="5"/>
    </x:row>
    <x:row r="296" ht="24" customHeight="1">
      <x:c r="A296" s="1" t="str">
        <x:v>RESULT</x:v>
      </x:c>
      <x:c r="B296" s="1" t="str">
        <x:v>Round1</x:v>
      </x:c>
      <x:c r="C296" s="1" t="str">
        <x:v>Compress_18</x:v>
      </x:c>
      <x:c r="D296" s="1" t="str">
        <x:v>NOT_AVAILABLE</x:v>
      </x:c>
      <x:c r="E296" s="5"/>
      <x:c r="F296" s="4" t="n">
        <x:v>0</x:v>
      </x:c>
      <x:c r="G296" s="4" t="n">
        <x:v>11995</x:v>
      </x:c>
      <x:c r="H296" s="6" t="n">
        <x:v>61.99</x:v>
      </x:c>
      <x:c r="I296" s="16" t="n">
        <x:v>1</x:v>
      </x:c>
      <x:c r="J296"/>
      <x:c r="K296" s="4"/>
      <x:c r="L296" s="4"/>
      <x:c r="M296" s="4"/>
      <x:c r="N296" s="5"/>
    </x:row>
    <x:row r="297" ht="24" customHeight="1">
      <x:c r="A297" s="1" t="str">
        <x:v>RESULT</x:v>
      </x:c>
      <x:c r="B297" s="1" t="str">
        <x:v>Round1</x:v>
      </x:c>
      <x:c r="C297" s="1" t="str">
        <x:v>Compress_19</x:v>
      </x:c>
      <x:c r="D297" s="1" t="str">
        <x:v>NOT_REVEALING</x:v>
      </x:c>
      <x:c r="E297" s="5" t="n">
        <x:v>1</x:v>
      </x:c>
      <x:c r="F297" s="4" t="n">
        <x:v>0</x:v>
      </x:c>
      <x:c r="G297" s="4" t="n">
        <x:v>10760</x:v>
      </x:c>
      <x:c r="H297" s="6" t="n">
        <x:v>38.73</x:v>
      </x:c>
      <x:c r="I297" s="16" t="n">
        <x:v>1</x:v>
      </x:c>
      <x:c r="J297" t="n">
        <x:v>105</x:v>
      </x:c>
      <x:c r="K297" s="4" t="n">
        <x:v>105</x:v>
      </x:c>
      <x:c r="L297" s="4" t="n">
        <x:v>60</x:v>
      </x:c>
      <x:c r="M297" s="4" t="n">
        <x:v>58</x:v>
      </x:c>
      <x:c r="N297" s="5" t="n">
        <x:v>0.9667</x:v>
      </x:c>
    </x:row>
    <x:row r="298" ht="24" customHeight="1">
      <x:c r="A298" s="1" t="str">
        <x:v>RESULT</x:v>
      </x:c>
      <x:c r="B298" s="1" t="str">
        <x:v>Round1</x:v>
      </x:c>
      <x:c r="C298" s="1" t="str">
        <x:v>Compress_2</x:v>
      </x:c>
      <x:c r="D298" s="1" t="str">
        <x:v>NOT_REVEALING</x:v>
      </x:c>
      <x:c r="E298" s="5" t="n">
        <x:v>1</x:v>
      </x:c>
      <x:c r="F298" s="4" t="n">
        <x:v>0</x:v>
      </x:c>
      <x:c r="G298" s="4" t="n">
        <x:v>8055</x:v>
      </x:c>
      <x:c r="H298" s="6" t="n">
        <x:v>30.69</x:v>
      </x:c>
      <x:c r="I298" s="16" t="n">
        <x:v>1</x:v>
      </x:c>
      <x:c r="J298" t="n">
        <x:v>73</x:v>
      </x:c>
      <x:c r="K298" s="4" t="n">
        <x:v>73</x:v>
      </x:c>
      <x:c r="L298" s="4" t="n">
        <x:v>42</x:v>
      </x:c>
      <x:c r="M298" s="4" t="n">
        <x:v>42</x:v>
      </x:c>
      <x:c r="N298" s="5" t="n">
        <x:v>1</x:v>
      </x:c>
    </x:row>
    <x:row r="299" ht="24" customHeight="1">
      <x:c r="A299" s="1" t="str">
        <x:v>RESULT</x:v>
      </x:c>
      <x:c r="B299" s="1" t="str">
        <x:v>Round1</x:v>
      </x:c>
      <x:c r="C299" s="1" t="str">
        <x:v>Compress_20</x:v>
      </x:c>
      <x:c r="D299" s="1" t="str">
        <x:v>INCONCLUSIVE</x:v>
      </x:c>
      <x:c r="E299" s="5" t="n">
        <x:v>0.972</x:v>
      </x:c>
      <x:c r="F299" s="4" t="n">
        <x:v>0</x:v>
      </x:c>
      <x:c r="G299" s="4" t="n">
        <x:v>14722</x:v>
      </x:c>
      <x:c r="H299" s="6" t="n">
        <x:v>64.86</x:v>
      </x:c>
      <x:c r="I299" s="16" t="n">
        <x:v>1</x:v>
      </x:c>
      <x:c r="J299" t="n">
        <x:v>214</x:v>
      </x:c>
      <x:c r="K299" s="4" t="n">
        <x:v>208</x:v>
      </x:c>
      <x:c r="L299" s="4" t="n">
        <x:v>114</x:v>
      </x:c>
      <x:c r="M299" s="4" t="n">
        <x:v>105</x:v>
      </x:c>
      <x:c r="N299" s="5" t="n">
        <x:v>0.9211</x:v>
      </x:c>
    </x:row>
    <x:row r="300" ht="24" customHeight="1">
      <x:c r="A300" s="1" t="str">
        <x:v>RESULT</x:v>
      </x:c>
      <x:c r="B300" s="1" t="str">
        <x:v>Round1</x:v>
      </x:c>
      <x:c r="C300" s="1" t="str">
        <x:v>Compress_21</x:v>
      </x:c>
      <x:c r="D300" s="1" t="str">
        <x:v>NOT_REVEALING</x:v>
      </x:c>
      <x:c r="E300" s="5" t="n">
        <x:v>0.9333</x:v>
      </x:c>
      <x:c r="F300" s="4" t="n">
        <x:v>0</x:v>
      </x:c>
      <x:c r="G300" s="4" t="n">
        <x:v>10237</x:v>
      </x:c>
      <x:c r="H300" s="6" t="n">
        <x:v>31.04</x:v>
      </x:c>
      <x:c r="I300" s="16" t="n">
        <x:v>1</x:v>
      </x:c>
      <x:c r="J300" t="n">
        <x:v>390</x:v>
      </x:c>
      <x:c r="K300" s="4" t="n">
        <x:v>364</x:v>
      </x:c>
      <x:c r="L300" s="4" t="n">
        <x:v>136</x:v>
      </x:c>
      <x:c r="M300" s="4" t="n">
        <x:v>123</x:v>
      </x:c>
      <x:c r="N300" s="5" t="n">
        <x:v>0.9044</x:v>
      </x:c>
    </x:row>
    <x:row r="301" ht="24" customHeight="1">
      <x:c r="A301" s="1" t="str">
        <x:v>RESULT</x:v>
      </x:c>
      <x:c r="B301" s="1" t="str">
        <x:v>Round1</x:v>
      </x:c>
      <x:c r="C301" s="1" t="str">
        <x:v>Compress_22</x:v>
      </x:c>
      <x:c r="D301" s="1" t="str">
        <x:v>NOT_REVEALING</x:v>
      </x:c>
      <x:c r="E301" s="5" t="n">
        <x:v>0.2052</x:v>
      </x:c>
      <x:c r="F301" s="4" t="n">
        <x:v>0</x:v>
      </x:c>
      <x:c r="G301" s="4" t="n">
        <x:v>14218</x:v>
      </x:c>
      <x:c r="H301" s="6" t="n">
        <x:v>40.03</x:v>
      </x:c>
      <x:c r="I301" s="16" t="n">
        <x:v>1</x:v>
      </x:c>
      <x:c r="J301" t="n">
        <x:v>502</x:v>
      </x:c>
      <x:c r="K301" s="4" t="n">
        <x:v>103</x:v>
      </x:c>
      <x:c r="L301" s="4" t="n">
        <x:v>265</x:v>
      </x:c>
      <x:c r="M301" s="4" t="n">
        <x:v>65</x:v>
      </x:c>
      <x:c r="N301" s="5" t="n">
        <x:v>0.24530000000000002</x:v>
      </x:c>
    </x:row>
    <x:row r="302" ht="24" customHeight="1">
      <x:c r="A302" s="1" t="str">
        <x:v>RESULT</x:v>
      </x:c>
      <x:c r="B302" s="1" t="str">
        <x:v>Round1</x:v>
      </x:c>
      <x:c r="C302" s="1" t="str">
        <x:v>Compress_23</x:v>
      </x:c>
      <x:c r="D302" s="1" t="str">
        <x:v>INCONCLUSIVE</x:v>
      </x:c>
      <x:c r="E302" s="5" t="n">
        <x:v>0.9126000000000001</x:v>
      </x:c>
      <x:c r="F302" s="4" t="n">
        <x:v>0</x:v>
      </x:c>
      <x:c r="G302" s="4" t="n">
        <x:v>10810</x:v>
      </x:c>
      <x:c r="H302" s="6" t="n">
        <x:v>48.8</x:v>
      </x:c>
      <x:c r="I302" s="16" t="n">
        <x:v>1</x:v>
      </x:c>
      <x:c r="J302" t="n">
        <x:v>103</x:v>
      </x:c>
      <x:c r="K302" s="4" t="n">
        <x:v>94</x:v>
      </x:c>
      <x:c r="L302" s="4" t="n">
        <x:v>34</x:v>
      </x:c>
      <x:c r="M302" s="4" t="n">
        <x:v>31</x:v>
      </x:c>
      <x:c r="N302" s="5" t="n">
        <x:v>0.9118</x:v>
      </x:c>
    </x:row>
    <x:row r="303" ht="24" customHeight="1">
      <x:c r="A303" s="1" t="str">
        <x:v>RESULT</x:v>
      </x:c>
      <x:c r="B303" s="1" t="str">
        <x:v>Round1</x:v>
      </x:c>
      <x:c r="C303" s="1" t="str">
        <x:v>Compress_24</x:v>
      </x:c>
      <x:c r="D303" s="1" t="str">
        <x:v>NOT_AVAILABLE</x:v>
      </x:c>
      <x:c r="E303" s="5"/>
      <x:c r="F303" s="4" t="n">
        <x:v>0</x:v>
      </x:c>
      <x:c r="G303" s="4" t="n">
        <x:v>9278</x:v>
      </x:c>
      <x:c r="H303" s="6" t="n">
        <x:v>38.7</x:v>
      </x:c>
      <x:c r="I303" s="16" t="n">
        <x:v>1</x:v>
      </x:c>
      <x:c r="J303"/>
      <x:c r="K303" s="4"/>
      <x:c r="L303" s="4"/>
      <x:c r="M303" s="4"/>
      <x:c r="N303" s="5"/>
    </x:row>
    <x:row r="304" ht="24" customHeight="1">
      <x:c r="A304" s="1" t="str">
        <x:v>RESULT</x:v>
      </x:c>
      <x:c r="B304" s="1" t="str">
        <x:v>Round1</x:v>
      </x:c>
      <x:c r="C304" s="1" t="str">
        <x:v>Compress_25</x:v>
      </x:c>
      <x:c r="D304" s="1" t="str">
        <x:v>REVEALING</x:v>
      </x:c>
      <x:c r="E304" s="5" t="n">
        <x:v>0.6534</x:v>
      </x:c>
      <x:c r="F304" s="4" t="n">
        <x:v>1</x:v>
      </x:c>
      <x:c r="G304" s="4" t="n">
        <x:v>20142</x:v>
      </x:c>
      <x:c r="H304" s="6" t="n">
        <x:v>73.82</x:v>
      </x:c>
      <x:c r="I304" s="16" t="n">
        <x:v>1</x:v>
      </x:c>
      <x:c r="J304" t="n">
        <x:v>401</x:v>
      </x:c>
      <x:c r="K304" s="4" t="n">
        <x:v>262</x:v>
      </x:c>
      <x:c r="L304" s="4" t="n">
        <x:v>252</x:v>
      </x:c>
      <x:c r="M304" s="4" t="n">
        <x:v>131</x:v>
      </x:c>
      <x:c r="N304" s="5" t="n">
        <x:v>0.5197999999999999</x:v>
      </x:c>
    </x:row>
    <x:row r="305" ht="24" customHeight="1">
      <x:c r="A305" s="1" t="str">
        <x:v>RESULT</x:v>
      </x:c>
      <x:c r="B305" s="1" t="str">
        <x:v>Round1</x:v>
      </x:c>
      <x:c r="C305" s="1" t="str">
        <x:v>Compress_26</x:v>
      </x:c>
      <x:c r="D305" s="1" t="str">
        <x:v>INCONCLUSIVE</x:v>
      </x:c>
      <x:c r="E305" s="5" t="n">
        <x:v>1</x:v>
      </x:c>
      <x:c r="F305" s="4" t="n">
        <x:v>0</x:v>
      </x:c>
      <x:c r="G305" s="4" t="n">
        <x:v>6811</x:v>
      </x:c>
      <x:c r="H305" s="6" t="n">
        <x:v>27.74</x:v>
      </x:c>
      <x:c r="I305" s="16" t="n">
        <x:v>1</x:v>
      </x:c>
      <x:c r="J305" t="n">
        <x:v>36</x:v>
      </x:c>
      <x:c r="K305" s="4" t="n">
        <x:v>36</x:v>
      </x:c>
      <x:c r="L305" s="4" t="n">
        <x:v>18</x:v>
      </x:c>
      <x:c r="M305" s="4" t="n">
        <x:v>18</x:v>
      </x:c>
      <x:c r="N305" s="5" t="n">
        <x:v>1</x:v>
      </x:c>
    </x:row>
    <x:row r="306" ht="24" customHeight="1">
      <x:c r="A306" s="1" t="str">
        <x:v>RESULT</x:v>
      </x:c>
      <x:c r="B306" s="1" t="str">
        <x:v>Round1</x:v>
      </x:c>
      <x:c r="C306" s="1" t="str">
        <x:v>Compress_27</x:v>
      </x:c>
      <x:c r="D306" s="1" t="str">
        <x:v>NOT_AVAILABLE</x:v>
      </x:c>
      <x:c r="E306" s="5"/>
      <x:c r="F306" s="4" t="n">
        <x:v>0</x:v>
      </x:c>
      <x:c r="G306" s="4" t="n">
        <x:v>9736</x:v>
      </x:c>
      <x:c r="H306" s="6" t="n">
        <x:v>31.48</x:v>
      </x:c>
      <x:c r="I306" s="16" t="n">
        <x:v>1</x:v>
      </x:c>
      <x:c r="J306"/>
      <x:c r="K306" s="4"/>
      <x:c r="L306" s="4"/>
      <x:c r="M306" s="4"/>
      <x:c r="N306" s="5"/>
    </x:row>
    <x:row r="307" ht="24" customHeight="1">
      <x:c r="A307" s="1" t="str">
        <x:v>RESULT</x:v>
      </x:c>
      <x:c r="B307" s="1" t="str">
        <x:v>Round1</x:v>
      </x:c>
      <x:c r="C307" s="1" t="str">
        <x:v>Compress_28</x:v>
      </x:c>
      <x:c r="D307" s="1" t="str">
        <x:v>INCONCLUSIVE</x:v>
      </x:c>
      <x:c r="E307" s="5" t="n">
        <x:v>0.7934</x:v>
      </x:c>
      <x:c r="F307" s="4" t="n">
        <x:v>0</x:v>
      </x:c>
      <x:c r="G307" s="4" t="n">
        <x:v>12809</x:v>
      </x:c>
      <x:c r="H307" s="6" t="n">
        <x:v>68.51</x:v>
      </x:c>
      <x:c r="I307" s="16" t="n">
        <x:v>1</x:v>
      </x:c>
      <x:c r="J307" t="n">
        <x:v>213</x:v>
      </x:c>
      <x:c r="K307" s="4" t="n">
        <x:v>169</x:v>
      </x:c>
      <x:c r="L307" s="4" t="n">
        <x:v>122</x:v>
      </x:c>
      <x:c r="M307" s="4" t="n">
        <x:v>78</x:v>
      </x:c>
      <x:c r="N307" s="5" t="n">
        <x:v>0.6393</x:v>
      </x:c>
    </x:row>
    <x:row r="308" ht="24" customHeight="1">
      <x:c r="A308" s="1" t="str">
        <x:v>RESULT</x:v>
      </x:c>
      <x:c r="B308" s="1" t="str">
        <x:v>Round1</x:v>
      </x:c>
      <x:c r="C308" s="1" t="str">
        <x:v>Compress_29</x:v>
      </x:c>
      <x:c r="D308" s="1" t="str">
        <x:v>NOT_AVAILABLE</x:v>
      </x:c>
      <x:c r="E308" s="5"/>
      <x:c r="F308" s="4" t="n">
        <x:v>0</x:v>
      </x:c>
      <x:c r="G308" s="4" t="n">
        <x:v>80044</x:v>
      </x:c>
      <x:c r="H308" s="6" t="n">
        <x:v>352</x:v>
      </x:c>
      <x:c r="I308" s="16" t="n">
        <x:v>1</x:v>
      </x:c>
      <x:c r="J308"/>
      <x:c r="K308" s="4"/>
      <x:c r="L308" s="4"/>
      <x:c r="M308" s="4"/>
      <x:c r="N308" s="5"/>
    </x:row>
    <x:row r="309" ht="24" customHeight="1">
      <x:c r="A309" s="1" t="str">
        <x:v>RESULT</x:v>
      </x:c>
      <x:c r="B309" s="1" t="str">
        <x:v>Round1</x:v>
      </x:c>
      <x:c r="C309" s="1" t="str">
        <x:v>Compress_3</x:v>
      </x:c>
      <x:c r="D309" s="1" t="str">
        <x:v>INCONCLUSIVE</x:v>
      </x:c>
      <x:c r="E309" s="5" t="n">
        <x:v>1</x:v>
      </x:c>
      <x:c r="F309" s="4" t="n">
        <x:v>0</x:v>
      </x:c>
      <x:c r="G309" s="4" t="n">
        <x:v>9030</x:v>
      </x:c>
      <x:c r="H309" s="6" t="n">
        <x:v>45.04</x:v>
      </x:c>
      <x:c r="I309" s="16" t="n">
        <x:v>1</x:v>
      </x:c>
      <x:c r="J309" t="n">
        <x:v>90</x:v>
      </x:c>
      <x:c r="K309" s="4" t="n">
        <x:v>90</x:v>
      </x:c>
      <x:c r="L309" s="4" t="n">
        <x:v>28</x:v>
      </x:c>
      <x:c r="M309" s="4" t="n">
        <x:v>28</x:v>
      </x:c>
      <x:c r="N309" s="5" t="n">
        <x:v>1</x:v>
      </x:c>
    </x:row>
    <x:row r="310" ht="24" customHeight="1">
      <x:c r="A310" s="1" t="str">
        <x:v>RESULT</x:v>
      </x:c>
      <x:c r="B310" s="1" t="str">
        <x:v>Round1</x:v>
      </x:c>
      <x:c r="C310" s="1" t="str">
        <x:v>Compress_30</x:v>
      </x:c>
      <x:c r="D310" s="1" t="str">
        <x:v>INCONCLUSIVE</x:v>
      </x:c>
      <x:c r="E310" s="5" t="n">
        <x:v>0.2</x:v>
      </x:c>
      <x:c r="F310" s="4" t="n">
        <x:v>0</x:v>
      </x:c>
      <x:c r="G310" s="4" t="n">
        <x:v>16306</x:v>
      </x:c>
      <x:c r="H310" s="6" t="n">
        <x:v>43.23</x:v>
      </x:c>
      <x:c r="I310" s="16" t="n">
        <x:v>1</x:v>
      </x:c>
      <x:c r="J310" t="n">
        <x:v>490</x:v>
      </x:c>
      <x:c r="K310" s="4" t="n">
        <x:v>98</x:v>
      </x:c>
      <x:c r="L310" s="4" t="n">
        <x:v>265</x:v>
      </x:c>
      <x:c r="M310" s="4" t="n">
        <x:v>65</x:v>
      </x:c>
      <x:c r="N310" s="5" t="n">
        <x:v>0.24530000000000002</x:v>
      </x:c>
    </x:row>
    <x:row r="311" ht="24" customHeight="1">
      <x:c r="A311" s="1" t="str">
        <x:v>RESULT</x:v>
      </x:c>
      <x:c r="B311" s="1" t="str">
        <x:v>Round1</x:v>
      </x:c>
      <x:c r="C311" s="1" t="str">
        <x:v>Compress_31</x:v>
      </x:c>
      <x:c r="D311" s="1" t="str">
        <x:v>NOT_AVAILABLE</x:v>
      </x:c>
      <x:c r="E311" s="5"/>
      <x:c r="F311" s="4" t="n">
        <x:v>0</x:v>
      </x:c>
      <x:c r="G311" s="4" t="n">
        <x:v>10447</x:v>
      </x:c>
      <x:c r="H311" s="6" t="n">
        <x:v>36.49</x:v>
      </x:c>
      <x:c r="I311" s="16" t="n">
        <x:v>1</x:v>
      </x:c>
      <x:c r="J311"/>
      <x:c r="K311" s="4"/>
      <x:c r="L311" s="4"/>
      <x:c r="M311" s="4"/>
      <x:c r="N311" s="5"/>
    </x:row>
    <x:row r="312" ht="24" customHeight="1">
      <x:c r="A312" s="1" t="str">
        <x:v>RESULT</x:v>
      </x:c>
      <x:c r="B312" s="1" t="str">
        <x:v>Round1</x:v>
      </x:c>
      <x:c r="C312" s="1" t="str">
        <x:v>Compress_32</x:v>
      </x:c>
      <x:c r="D312" s="1" t="str">
        <x:v>INCONCLUSIVE</x:v>
      </x:c>
      <x:c r="E312" s="5" t="n">
        <x:v>0.7773</x:v>
      </x:c>
      <x:c r="F312" s="4" t="n">
        <x:v>0</x:v>
      </x:c>
      <x:c r="G312" s="4" t="n">
        <x:v>17267</x:v>
      </x:c>
      <x:c r="H312" s="6" t="n">
        <x:v>110.15</x:v>
      </x:c>
      <x:c r="I312" s="16" t="n">
        <x:v>1</x:v>
      </x:c>
      <x:c r="J312" t="n">
        <x:v>220</x:v>
      </x:c>
      <x:c r="K312" s="4" t="n">
        <x:v>171</x:v>
      </x:c>
      <x:c r="L312" s="4" t="n">
        <x:v>126</x:v>
      </x:c>
      <x:c r="M312" s="4" t="n">
        <x:v>80</x:v>
      </x:c>
      <x:c r="N312" s="5" t="n">
        <x:v>0.6349</x:v>
      </x:c>
    </x:row>
    <x:row r="313" ht="24" customHeight="1">
      <x:c r="A313" s="1" t="str">
        <x:v>RESULT</x:v>
      </x:c>
      <x:c r="B313" s="1" t="str">
        <x:v>Round1</x:v>
      </x:c>
      <x:c r="C313" s="1" t="str">
        <x:v>Compress_33</x:v>
      </x:c>
      <x:c r="D313" s="1" t="str">
        <x:v>INCONCLUSIVE</x:v>
      </x:c>
      <x:c r="E313" s="5" t="n">
        <x:v>0.7707999999999999</x:v>
      </x:c>
      <x:c r="F313" s="4" t="n">
        <x:v>0</x:v>
      </x:c>
      <x:c r="G313" s="4" t="n">
        <x:v>18798</x:v>
      </x:c>
      <x:c r="H313" s="6" t="n">
        <x:v>86.12</x:v>
      </x:c>
      <x:c r="I313" s="16" t="n">
        <x:v>1</x:v>
      </x:c>
      <x:c r="J313" t="n">
        <x:v>96</x:v>
      </x:c>
      <x:c r="K313" s="4" t="n">
        <x:v>74</x:v>
      </x:c>
      <x:c r="L313" s="4" t="n">
        <x:v>64</x:v>
      </x:c>
      <x:c r="M313" s="4" t="n">
        <x:v>43</x:v>
      </x:c>
      <x:c r="N313" s="5" t="n">
        <x:v>0.6718999999999999</x:v>
      </x:c>
    </x:row>
    <x:row r="314" ht="24" customHeight="1">
      <x:c r="A314" s="1" t="str">
        <x:v>RESULT</x:v>
      </x:c>
      <x:c r="B314" s="1" t="str">
        <x:v>Round1</x:v>
      </x:c>
      <x:c r="C314" s="1" t="str">
        <x:v>Compress_34</x:v>
      </x:c>
      <x:c r="D314" s="1" t="str">
        <x:v>INCONCLUSIVE</x:v>
      </x:c>
      <x:c r="E314" s="5" t="n">
        <x:v>1</x:v>
      </x:c>
      <x:c r="F314" s="4" t="n">
        <x:v>0</x:v>
      </x:c>
      <x:c r="G314" s="4" t="n">
        <x:v>8794</x:v>
      </x:c>
      <x:c r="H314" s="6" t="n">
        <x:v>29.02</x:v>
      </x:c>
      <x:c r="I314" s="16" t="n">
        <x:v>1</x:v>
      </x:c>
      <x:c r="J314" t="n">
        <x:v>70</x:v>
      </x:c>
      <x:c r="K314" s="4" t="n">
        <x:v>70</x:v>
      </x:c>
      <x:c r="L314" s="4" t="n">
        <x:v>14</x:v>
      </x:c>
      <x:c r="M314" s="4" t="n">
        <x:v>13</x:v>
      </x:c>
      <x:c r="N314" s="5" t="n">
        <x:v>0.9286</x:v>
      </x:c>
    </x:row>
    <x:row r="315" ht="24" customHeight="1">
      <x:c r="A315" s="1" t="str">
        <x:v>RESULT</x:v>
      </x:c>
      <x:c r="B315" s="1" t="str">
        <x:v>Round1</x:v>
      </x:c>
      <x:c r="C315" s="1" t="str">
        <x:v>Compress_35</x:v>
      </x:c>
      <x:c r="D315" s="1" t="str">
        <x:v>INCONCLUSIVE</x:v>
      </x:c>
      <x:c r="E315" s="5" t="n">
        <x:v>0.9309999999999999</x:v>
      </x:c>
      <x:c r="F315" s="4" t="n">
        <x:v>0</x:v>
      </x:c>
      <x:c r="G315" s="4" t="n">
        <x:v>9822</x:v>
      </x:c>
      <x:c r="H315" s="6" t="n">
        <x:v>49.62</x:v>
      </x:c>
      <x:c r="I315" s="16" t="n">
        <x:v>1</x:v>
      </x:c>
      <x:c r="J315" t="n">
        <x:v>174</x:v>
      </x:c>
      <x:c r="K315" s="4" t="n">
        <x:v>162</x:v>
      </x:c>
      <x:c r="L315" s="4" t="n">
        <x:v>112</x:v>
      </x:c>
      <x:c r="M315" s="4" t="n">
        <x:v>105</x:v>
      </x:c>
      <x:c r="N315" s="5" t="n">
        <x:v>0.9375</x:v>
      </x:c>
    </x:row>
    <x:row r="316" ht="24" customHeight="1">
      <x:c r="A316" s="1" t="str">
        <x:v>RESULT</x:v>
      </x:c>
      <x:c r="B316" s="1" t="str">
        <x:v>Round1</x:v>
      </x:c>
      <x:c r="C316" s="1" t="str">
        <x:v>Compress_36</x:v>
      </x:c>
      <x:c r="D316" s="1" t="str">
        <x:v>INCONCLUSIVE</x:v>
      </x:c>
      <x:c r="E316" s="5" t="n">
        <x:v>0.6115999999999999</x:v>
      </x:c>
      <x:c r="F316" s="4" t="n">
        <x:v>0</x:v>
      </x:c>
      <x:c r="G316" s="4" t="n">
        <x:v>21121</x:v>
      </x:c>
      <x:c r="H316" s="6" t="n">
        <x:v>101.46</x:v>
      </x:c>
      <x:c r="I316" s="16" t="n">
        <x:v>1</x:v>
      </x:c>
      <x:c r="J316" t="n">
        <x:v>533</x:v>
      </x:c>
      <x:c r="K316" s="4" t="n">
        <x:v>326</x:v>
      </x:c>
      <x:c r="L316" s="4" t="n">
        <x:v>303</x:v>
      </x:c>
      <x:c r="M316" s="4" t="n">
        <x:v>153</x:v>
      </x:c>
      <x:c r="N316" s="5" t="n">
        <x:v>0.505</x:v>
      </x:c>
    </x:row>
    <x:row r="317" ht="24" customHeight="1">
      <x:c r="A317" s="1" t="str">
        <x:v>RESULT</x:v>
      </x:c>
      <x:c r="B317" s="1" t="str">
        <x:v>Round1</x:v>
      </x:c>
      <x:c r="C317" s="1" t="str">
        <x:v>Compress_37</x:v>
      </x:c>
      <x:c r="D317" s="1" t="str">
        <x:v>NOT_AVAILABLE</x:v>
      </x:c>
      <x:c r="E317" s="5"/>
      <x:c r="F317" s="4" t="n">
        <x:v>0</x:v>
      </x:c>
      <x:c r="G317" s="4" t="n">
        <x:v>13398</x:v>
      </x:c>
      <x:c r="H317" s="6" t="n">
        <x:v>55.11</x:v>
      </x:c>
      <x:c r="I317" s="16" t="n">
        <x:v>1</x:v>
      </x:c>
      <x:c r="J317"/>
      <x:c r="K317" s="4"/>
      <x:c r="L317" s="4"/>
      <x:c r="M317" s="4"/>
      <x:c r="N317" s="5"/>
    </x:row>
    <x:row r="318" ht="24" customHeight="1">
      <x:c r="A318" s="1" t="str">
        <x:v>RESULT</x:v>
      </x:c>
      <x:c r="B318" s="1" t="str">
        <x:v>Round1</x:v>
      </x:c>
      <x:c r="C318" s="1" t="str">
        <x:v>Compress_38</x:v>
      </x:c>
      <x:c r="D318" s="1" t="str">
        <x:v>NOT_AVAILABLE</x:v>
      </x:c>
      <x:c r="E318" s="5"/>
      <x:c r="F318" s="4" t="n">
        <x:v>0</x:v>
      </x:c>
      <x:c r="G318" s="4" t="n">
        <x:v>14509</x:v>
      </x:c>
      <x:c r="H318" s="6" t="n">
        <x:v>50.84</x:v>
      </x:c>
      <x:c r="I318" s="16" t="n">
        <x:v>1</x:v>
      </x:c>
      <x:c r="J318"/>
      <x:c r="K318" s="4"/>
      <x:c r="L318" s="4"/>
      <x:c r="M318" s="4"/>
      <x:c r="N318" s="5"/>
    </x:row>
    <x:row r="319" ht="24" customHeight="1">
      <x:c r="A319" s="1" t="str">
        <x:v>RESULT</x:v>
      </x:c>
      <x:c r="B319" s="1" t="str">
        <x:v>Round1</x:v>
      </x:c>
      <x:c r="C319" s="1" t="str">
        <x:v>Compress_39</x:v>
      </x:c>
      <x:c r="D319" s="1" t="str">
        <x:v>NOT_REVEALING</x:v>
      </x:c>
      <x:c r="E319" s="5" t="n">
        <x:v>0.871</x:v>
      </x:c>
      <x:c r="F319" s="4" t="n">
        <x:v>0</x:v>
      </x:c>
      <x:c r="G319" s="4" t="n">
        <x:v>9383</x:v>
      </x:c>
      <x:c r="H319" s="6" t="n">
        <x:v>38.75</x:v>
      </x:c>
      <x:c r="I319" s="16" t="n">
        <x:v>1</x:v>
      </x:c>
      <x:c r="J319" t="n">
        <x:v>62</x:v>
      </x:c>
      <x:c r="K319" s="4" t="n">
        <x:v>54</x:v>
      </x:c>
      <x:c r="L319" s="4" t="n">
        <x:v>36</x:v>
      </x:c>
      <x:c r="M319" s="4" t="n">
        <x:v>35</x:v>
      </x:c>
      <x:c r="N319" s="5" t="n">
        <x:v>0.9722</x:v>
      </x:c>
    </x:row>
    <x:row r="320" ht="24" customHeight="1">
      <x:c r="A320" s="1" t="str">
        <x:v>RESULT</x:v>
      </x:c>
      <x:c r="B320" s="1" t="str">
        <x:v>Round1</x:v>
      </x:c>
      <x:c r="C320" s="1" t="str">
        <x:v>Compress_4</x:v>
      </x:c>
      <x:c r="D320" s="1" t="str">
        <x:v>NOT_AVAILABLE</x:v>
      </x:c>
      <x:c r="E320" s="5"/>
      <x:c r="F320" s="4" t="n">
        <x:v>0</x:v>
      </x:c>
      <x:c r="G320" s="4" t="n">
        <x:v>47367</x:v>
      </x:c>
      <x:c r="H320" s="6" t="n">
        <x:v>210.06</x:v>
      </x:c>
      <x:c r="I320" s="16" t="n">
        <x:v>1</x:v>
      </x:c>
      <x:c r="J320"/>
      <x:c r="K320" s="4"/>
      <x:c r="L320" s="4"/>
      <x:c r="M320" s="4"/>
      <x:c r="N320" s="5"/>
    </x:row>
    <x:row r="321" ht="24" customHeight="1">
      <x:c r="A321" s="1" t="str">
        <x:v>RESULT</x:v>
      </x:c>
      <x:c r="B321" s="1" t="str">
        <x:v>Round1</x:v>
      </x:c>
      <x:c r="C321" s="1" t="str">
        <x:v>Compress_40</x:v>
      </x:c>
      <x:c r="D321" s="1" t="str">
        <x:v>INCONCLUSIVE</x:v>
      </x:c>
      <x:c r="E321" s="5" t="n">
        <x:v>1</x:v>
      </x:c>
      <x:c r="F321" s="4" t="n">
        <x:v>0</x:v>
      </x:c>
      <x:c r="G321" s="4" t="n">
        <x:v>6584</x:v>
      </x:c>
      <x:c r="H321" s="6" t="n">
        <x:v>35.27</x:v>
      </x:c>
      <x:c r="I321" s="16" t="n">
        <x:v>1</x:v>
      </x:c>
      <x:c r="J321" t="n">
        <x:v>33</x:v>
      </x:c>
      <x:c r="K321" s="4" t="n">
        <x:v>33</x:v>
      </x:c>
      <x:c r="L321" s="4" t="n">
        <x:v>12</x:v>
      </x:c>
      <x:c r="M321" s="4" t="n">
        <x:v>12</x:v>
      </x:c>
      <x:c r="N321" s="5" t="n">
        <x:v>1</x:v>
      </x:c>
    </x:row>
    <x:row r="322" ht="24" customHeight="1">
      <x:c r="A322" s="1" t="str">
        <x:v>RESULT</x:v>
      </x:c>
      <x:c r="B322" s="1" t="str">
        <x:v>Round1</x:v>
      </x:c>
      <x:c r="C322" s="1" t="str">
        <x:v>Compress_41</x:v>
      </x:c>
      <x:c r="D322" s="1" t="str">
        <x:v>INCONCLUSIVE</x:v>
      </x:c>
      <x:c r="E322" s="5" t="n">
        <x:v>0.6893</x:v>
      </x:c>
      <x:c r="F322" s="4" t="n">
        <x:v>0</x:v>
      </x:c>
      <x:c r="G322" s="4" t="n">
        <x:v>17435</x:v>
      </x:c>
      <x:c r="H322" s="6" t="n">
        <x:v>55.44</x:v>
      </x:c>
      <x:c r="I322" s="16" t="n">
        <x:v>1</x:v>
      </x:c>
      <x:c r="J322" t="n">
        <x:v>412</x:v>
      </x:c>
      <x:c r="K322" s="4" t="n">
        <x:v>284</x:v>
      </x:c>
      <x:c r="L322" s="4" t="n">
        <x:v>260</x:v>
      </x:c>
      <x:c r="M322" s="4" t="n">
        <x:v>139</x:v>
      </x:c>
      <x:c r="N322" s="5" t="n">
        <x:v>0.5346</x:v>
      </x:c>
    </x:row>
    <x:row r="323" ht="24" customHeight="1">
      <x:c r="A323" s="1" t="str">
        <x:v>RESULT</x:v>
      </x:c>
      <x:c r="B323" s="1" t="str">
        <x:v>Round1</x:v>
      </x:c>
      <x:c r="C323" s="1" t="str">
        <x:v>Compress_42</x:v>
      </x:c>
      <x:c r="D323" s="1" t="str">
        <x:v>INCONCLUSIVE</x:v>
      </x:c>
      <x:c r="E323" s="5" t="n">
        <x:v>0.8934000000000001</x:v>
      </x:c>
      <x:c r="F323" s="4" t="n">
        <x:v>0</x:v>
      </x:c>
      <x:c r="G323" s="4" t="n">
        <x:v>17845</x:v>
      </x:c>
      <x:c r="H323" s="6" t="n">
        <x:v>98.99</x:v>
      </x:c>
      <x:c r="I323" s="16" t="n">
        <x:v>1</x:v>
      </x:c>
      <x:c r="J323" t="n">
        <x:v>244</x:v>
      </x:c>
      <x:c r="K323" s="4" t="n">
        <x:v>218</x:v>
      </x:c>
      <x:c r="L323" s="4" t="n">
        <x:v>132</x:v>
      </x:c>
      <x:c r="M323" s="4" t="n">
        <x:v>103</x:v>
      </x:c>
      <x:c r="N323" s="5" t="n">
        <x:v>0.7803</x:v>
      </x:c>
    </x:row>
    <x:row r="324" ht="24" customHeight="1">
      <x:c r="A324" s="1" t="str">
        <x:v>RESULT</x:v>
      </x:c>
      <x:c r="B324" s="1" t="str">
        <x:v>Round1</x:v>
      </x:c>
      <x:c r="C324" s="1" t="str">
        <x:v>Compress_43</x:v>
      </x:c>
      <x:c r="D324" s="1" t="str">
        <x:v>INCONCLUSIVE</x:v>
      </x:c>
      <x:c r="E324" s="5" t="n">
        <x:v>0.5516</x:v>
      </x:c>
      <x:c r="F324" s="4" t="n">
        <x:v>0</x:v>
      </x:c>
      <x:c r="G324" s="4" t="n">
        <x:v>18244</x:v>
      </x:c>
      <x:c r="H324" s="6" t="n">
        <x:v>67.36</x:v>
      </x:c>
      <x:c r="I324" s="16" t="n">
        <x:v>1</x:v>
      </x:c>
      <x:c r="J324" t="n">
        <x:v>533</x:v>
      </x:c>
      <x:c r="K324" s="4" t="n">
        <x:v>294</x:v>
      </x:c>
      <x:c r="L324" s="4" t="n">
        <x:v>300</x:v>
      </x:c>
      <x:c r="M324" s="4" t="n">
        <x:v>139</x:v>
      </x:c>
      <x:c r="N324" s="5" t="n">
        <x:v>0.4633</x:v>
      </x:c>
    </x:row>
    <x:row r="325" ht="24" customHeight="1">
      <x:c r="A325" s="1" t="str">
        <x:v>RESULT</x:v>
      </x:c>
      <x:c r="B325" s="1" t="str">
        <x:v>Round1</x:v>
      </x:c>
      <x:c r="C325" s="1" t="str">
        <x:v>Compress_44</x:v>
      </x:c>
      <x:c r="D325" s="1" t="str">
        <x:v>INCONCLUSIVE</x:v>
      </x:c>
      <x:c r="E325" s="5" t="n">
        <x:v>1</x:v>
      </x:c>
      <x:c r="F325" s="4" t="n">
        <x:v>0</x:v>
      </x:c>
      <x:c r="G325" s="4" t="n">
        <x:v>5134</x:v>
      </x:c>
      <x:c r="H325" s="6" t="n">
        <x:v>19.52</x:v>
      </x:c>
      <x:c r="I325" s="16" t="n">
        <x:v>1</x:v>
      </x:c>
      <x:c r="J325" t="n">
        <x:v>17</x:v>
      </x:c>
      <x:c r="K325" s="4" t="n">
        <x:v>17</x:v>
      </x:c>
      <x:c r="L325" s="4" t="n">
        <x:v>6</x:v>
      </x:c>
      <x:c r="M325" s="4" t="n">
        <x:v>6</x:v>
      </x:c>
      <x:c r="N325" s="5" t="n">
        <x:v>1</x:v>
      </x:c>
    </x:row>
    <x:row r="326" ht="24" customHeight="1">
      <x:c r="A326" s="1" t="str">
        <x:v>RESULT</x:v>
      </x:c>
      <x:c r="B326" s="1" t="str">
        <x:v>Round1</x:v>
      </x:c>
      <x:c r="C326" s="1" t="str">
        <x:v>Compress_45</x:v>
      </x:c>
      <x:c r="D326" s="1" t="str">
        <x:v>INCONCLUSIVE</x:v>
      </x:c>
      <x:c r="E326" s="5" t="n">
        <x:v>0.7719</x:v>
      </x:c>
      <x:c r="F326" s="4" t="n">
        <x:v>0</x:v>
      </x:c>
      <x:c r="G326" s="4"/>
      <x:c r="H326" s="6"/>
      <x:c r="I326" s="16" t="n">
        <x:v>1</x:v>
      </x:c>
      <x:c r="J326" t="n">
        <x:v>171</x:v>
      </x:c>
      <x:c r="K326" s="4" t="n">
        <x:v>132</x:v>
      </x:c>
      <x:c r="L326" s="4" t="n">
        <x:v>108</x:v>
      </x:c>
      <x:c r="M326" s="4" t="n">
        <x:v>72</x:v>
      </x:c>
      <x:c r="N326" s="5" t="n">
        <x:v>0.6667000000000001</x:v>
      </x:c>
    </x:row>
    <x:row r="327" ht="24" customHeight="1">
      <x:c r="A327" s="1" t="str">
        <x:v>RESULT</x:v>
      </x:c>
      <x:c r="B327" s="1" t="str">
        <x:v>Round1</x:v>
      </x:c>
      <x:c r="C327" s="1" t="str">
        <x:v>Compress_46</x:v>
      </x:c>
      <x:c r="D327" s="1" t="str">
        <x:v>NOT_REVEALING</x:v>
      </x:c>
      <x:c r="E327" s="5" t="n">
        <x:v>0.8992</x:v>
      </x:c>
      <x:c r="F327" s="4" t="n">
        <x:v>0</x:v>
      </x:c>
      <x:c r="G327" s="4"/>
      <x:c r="H327" s="6"/>
      <x:c r="I327" s="16" t="n">
        <x:v>1</x:v>
      </x:c>
      <x:c r="J327" t="n">
        <x:v>119</x:v>
      </x:c>
      <x:c r="K327" s="4" t="n">
        <x:v>107</x:v>
      </x:c>
      <x:c r="L327" s="4" t="n">
        <x:v>96</x:v>
      </x:c>
      <x:c r="M327" s="4" t="n">
        <x:v>50</x:v>
      </x:c>
      <x:c r="N327" s="5" t="n">
        <x:v>0.5207999999999999</x:v>
      </x:c>
    </x:row>
    <x:row r="328" ht="24" customHeight="1">
      <x:c r="A328" s="1" t="str">
        <x:v>RESULT</x:v>
      </x:c>
      <x:c r="B328" s="1" t="str">
        <x:v>Round1</x:v>
      </x:c>
      <x:c r="C328" s="1" t="str">
        <x:v>Compress_47</x:v>
      </x:c>
      <x:c r="D328" s="1" t="str">
        <x:v>NOT_REVEALING</x:v>
      </x:c>
      <x:c r="E328" s="5" t="n">
        <x:v>0.5698</x:v>
      </x:c>
      <x:c r="F328" s="4" t="n">
        <x:v>0</x:v>
      </x:c>
      <x:c r="G328" s="4"/>
      <x:c r="H328" s="6"/>
      <x:c r="I328" s="16" t="n">
        <x:v>1</x:v>
      </x:c>
      <x:c r="J328" t="n">
        <x:v>430</x:v>
      </x:c>
      <x:c r="K328" s="4" t="n">
        <x:v>245</x:v>
      </x:c>
      <x:c r="L328" s="4" t="n">
        <x:v>273</x:v>
      </x:c>
      <x:c r="M328" s="4" t="n">
        <x:v>101</x:v>
      </x:c>
      <x:c r="N328" s="5" t="n">
        <x:v>0.37</x:v>
      </x:c>
    </x:row>
    <x:row r="329" ht="24" customHeight="1">
      <x:c r="A329" s="1" t="str">
        <x:v>RESULT</x:v>
      </x:c>
      <x:c r="B329" s="1" t="str">
        <x:v>Round1</x:v>
      </x:c>
      <x:c r="C329" s="1" t="str">
        <x:v>Compress_5</x:v>
      </x:c>
      <x:c r="D329" s="1" t="str">
        <x:v>INCONCLUSIVE</x:v>
      </x:c>
      <x:c r="E329" s="5" t="n">
        <x:v>0.9627</x:v>
      </x:c>
      <x:c r="F329" s="4" t="n">
        <x:v>0</x:v>
      </x:c>
      <x:c r="G329" s="4" t="n">
        <x:v>11733</x:v>
      </x:c>
      <x:c r="H329" s="6" t="n">
        <x:v>68.1</x:v>
      </x:c>
      <x:c r="I329" s="16" t="n">
        <x:v>1</x:v>
      </x:c>
      <x:c r="J329" t="n">
        <x:v>161</x:v>
      </x:c>
      <x:c r="K329" s="4" t="n">
        <x:v>155</x:v>
      </x:c>
      <x:c r="L329" s="4" t="n">
        <x:v>94</x:v>
      </x:c>
      <x:c r="M329" s="4" t="n">
        <x:v>82</x:v>
      </x:c>
      <x:c r="N329" s="5" t="n">
        <x:v>0.8723000000000001</x:v>
      </x:c>
    </x:row>
    <x:row r="330" ht="24" customHeight="1">
      <x:c r="A330" s="1" t="str">
        <x:v>RESULT</x:v>
      </x:c>
      <x:c r="B330" s="1" t="str">
        <x:v>Round1</x:v>
      </x:c>
      <x:c r="C330" s="1" t="str">
        <x:v>Compress_6</x:v>
      </x:c>
      <x:c r="D330" s="1" t="str">
        <x:v>INCONCLUSIVE</x:v>
      </x:c>
      <x:c r="E330" s="5" t="n">
        <x:v>0.9484999999999999</x:v>
      </x:c>
      <x:c r="F330" s="4" t="n">
        <x:v>0</x:v>
      </x:c>
      <x:c r="G330" s="4" t="n">
        <x:v>14129</x:v>
      </x:c>
      <x:c r="H330" s="6" t="n">
        <x:v>60.04</x:v>
      </x:c>
      <x:c r="I330" s="16" t="n">
        <x:v>1</x:v>
      </x:c>
      <x:c r="J330" t="n">
        <x:v>136</x:v>
      </x:c>
      <x:c r="K330" s="4" t="n">
        <x:v>129</x:v>
      </x:c>
      <x:c r="L330" s="4" t="n">
        <x:v>60</x:v>
      </x:c>
      <x:c r="M330" s="4" t="n">
        <x:v>56</x:v>
      </x:c>
      <x:c r="N330" s="5" t="n">
        <x:v>0.9333</x:v>
      </x:c>
    </x:row>
    <x:row r="331" ht="24" customHeight="1">
      <x:c r="A331" s="1" t="str">
        <x:v>RESULT</x:v>
      </x:c>
      <x:c r="B331" s="1" t="str">
        <x:v>Round1</x:v>
      </x:c>
      <x:c r="C331" s="1" t="str">
        <x:v>Compress_7</x:v>
      </x:c>
      <x:c r="D331" s="1" t="str">
        <x:v>NOT_AVAILABLE</x:v>
      </x:c>
      <x:c r="E331" s="5"/>
      <x:c r="F331" s="4" t="n">
        <x:v>0</x:v>
      </x:c>
      <x:c r="G331" s="4"/>
      <x:c r="H331" s="6" t="n">
        <x:v>39.71</x:v>
      </x:c>
      <x:c r="I331" s="16" t="n">
        <x:v>1</x:v>
      </x:c>
      <x:c r="J331"/>
      <x:c r="K331" s="4"/>
      <x:c r="L331" s="4"/>
      <x:c r="M331" s="4"/>
      <x:c r="N331" s="5"/>
    </x:row>
    <x:row r="332" ht="24" customHeight="1">
      <x:c r="A332" s="1" t="str">
        <x:v>RESULT</x:v>
      </x:c>
      <x:c r="B332" s="1" t="str">
        <x:v>Round1</x:v>
      </x:c>
      <x:c r="C332" s="1" t="str">
        <x:v>Compress_8</x:v>
      </x:c>
      <x:c r="D332" s="1" t="str">
        <x:v>INCONCLUSIVE</x:v>
      </x:c>
      <x:c r="E332" s="5" t="n">
        <x:v>1</x:v>
      </x:c>
      <x:c r="F332" s="4" t="n">
        <x:v>0</x:v>
      </x:c>
      <x:c r="G332" s="4" t="n">
        <x:v>8460</x:v>
      </x:c>
      <x:c r="H332" s="6" t="n">
        <x:v>31.9</x:v>
      </x:c>
      <x:c r="I332" s="16" t="n">
        <x:v>1</x:v>
      </x:c>
      <x:c r="J332" t="n">
        <x:v>70</x:v>
      </x:c>
      <x:c r="K332" s="4" t="n">
        <x:v>70</x:v>
      </x:c>
      <x:c r="L332" s="4" t="n">
        <x:v>38</x:v>
      </x:c>
      <x:c r="M332" s="4" t="n">
        <x:v>37</x:v>
      </x:c>
      <x:c r="N332" s="5" t="n">
        <x:v>0.9737</x:v>
      </x:c>
    </x:row>
    <x:row r="333" ht="24" customHeight="1">
      <x:c r="A333" s="1" t="str">
        <x:v>RESULT</x:v>
      </x:c>
      <x:c r="B333" s="1" t="str">
        <x:v>Round1</x:v>
      </x:c>
      <x:c r="C333" s="1" t="str">
        <x:v>Compress_9</x:v>
      </x:c>
      <x:c r="D333" s="1" t="str">
        <x:v>NOT_REVEALING</x:v>
      </x:c>
      <x:c r="E333" s="5" t="n">
        <x:v>1</x:v>
      </x:c>
      <x:c r="F333" s="4" t="n">
        <x:v>0</x:v>
      </x:c>
      <x:c r="G333" s="4" t="n">
        <x:v>9629</x:v>
      </x:c>
      <x:c r="H333" s="6" t="n">
        <x:v>54.61</x:v>
      </x:c>
      <x:c r="I333" s="16" t="n">
        <x:v>1</x:v>
      </x:c>
      <x:c r="J333" t="n">
        <x:v>110</x:v>
      </x:c>
      <x:c r="K333" s="4" t="n">
        <x:v>110</x:v>
      </x:c>
      <x:c r="L333" s="4" t="n">
        <x:v>42</x:v>
      </x:c>
      <x:c r="M333" s="4" t="n">
        <x:v>42</x:v>
      </x:c>
      <x:c r="N333" s="5" t="n">
        <x:v>1</x:v>
      </x:c>
    </x:row>
    <x:row r="334" ht="24" customHeight="1">
      <x:c r="A334" s="1" t="str">
        <x:v>RESULT</x:v>
      </x:c>
      <x:c r="B334" s="1" t="str">
        <x:v>Round1</x:v>
      </x:c>
      <x:c r="C334" s="1" t="str">
        <x:v>Csv_1</x:v>
      </x:c>
      <x:c r="D334" s="1" t="str">
        <x:v>INCONCLUSIVE</x:v>
      </x:c>
      <x:c r="E334" s="5" t="n">
        <x:v>1</x:v>
      </x:c>
      <x:c r="F334" s="4" t="n">
        <x:v>0</x:v>
      </x:c>
      <x:c r="G334" s="4" t="n">
        <x:v>6399</x:v>
      </x:c>
      <x:c r="H334" s="6" t="n">
        <x:v>27.85</x:v>
      </x:c>
      <x:c r="I334" s="16" t="n">
        <x:v>1</x:v>
      </x:c>
      <x:c r="J334" t="n">
        <x:v>37</x:v>
      </x:c>
      <x:c r="K334" s="4" t="n">
        <x:v>37</x:v>
      </x:c>
      <x:c r="L334" s="4" t="n">
        <x:v>22</x:v>
      </x:c>
      <x:c r="M334" s="4" t="n">
        <x:v>21</x:v>
      </x:c>
      <x:c r="N334" s="5" t="n">
        <x:v>0.9545</x:v>
      </x:c>
    </x:row>
    <x:row r="335" ht="24" customHeight="1">
      <x:c r="A335" s="1" t="str">
        <x:v>RESULT</x:v>
      </x:c>
      <x:c r="B335" s="1" t="str">
        <x:v>Round1</x:v>
      </x:c>
      <x:c r="C335" s="1" t="str">
        <x:v>Csv_10</x:v>
      </x:c>
      <x:c r="D335" s="1" t="str">
        <x:v>NOT_AVAILABLE</x:v>
      </x:c>
      <x:c r="E335" s="5"/>
      <x:c r="F335" s="4" t="n">
        <x:v>0</x:v>
      </x:c>
      <x:c r="G335" s="4"/>
      <x:c r="H335" s="6"/>
      <x:c r="I335" s="16" t="n">
        <x:v>1</x:v>
      </x:c>
      <x:c r="J335"/>
      <x:c r="K335" s="4"/>
      <x:c r="L335" s="4"/>
      <x:c r="M335" s="4"/>
      <x:c r="N335" s="5"/>
    </x:row>
    <x:row r="336" ht="24" customHeight="1">
      <x:c r="A336" s="1" t="str">
        <x:v>RESULT</x:v>
      </x:c>
      <x:c r="B336" s="1" t="str">
        <x:v>Round1</x:v>
      </x:c>
      <x:c r="C336" s="1" t="str">
        <x:v>Csv_11</x:v>
      </x:c>
      <x:c r="D336" s="1" t="str">
        <x:v>NOT_REVEALING</x:v>
      </x:c>
      <x:c r="E336" s="5" t="n">
        <x:v>0.6887000000000001</x:v>
      </x:c>
      <x:c r="F336" s="4" t="n">
        <x:v>0</x:v>
      </x:c>
      <x:c r="G336" s="4"/>
      <x:c r="H336" s="6"/>
      <x:c r="I336" s="16" t="n">
        <x:v>1</x:v>
      </x:c>
      <x:c r="J336" t="n">
        <x:v>106</x:v>
      </x:c>
      <x:c r="K336" s="4" t="n">
        <x:v>73</x:v>
      </x:c>
      <x:c r="L336" s="4" t="n">
        <x:v>58</x:v>
      </x:c>
      <x:c r="M336" s="4" t="n">
        <x:v>29</x:v>
      </x:c>
      <x:c r="N336" s="5" t="n">
        <x:v>0.5</x:v>
      </x:c>
    </x:row>
    <x:row r="337" ht="24" customHeight="1">
      <x:c r="A337" s="1" t="str">
        <x:v>RESULT</x:v>
      </x:c>
      <x:c r="B337" s="1" t="str">
        <x:v>Round1</x:v>
      </x:c>
      <x:c r="C337" s="1" t="str">
        <x:v>Csv_12</x:v>
      </x:c>
      <x:c r="D337" s="1" t="str">
        <x:v>NOT_AVAILABLE</x:v>
      </x:c>
      <x:c r="E337" s="5"/>
      <x:c r="F337" s="4" t="n">
        <x:v>0</x:v>
      </x:c>
      <x:c r="G337" s="4"/>
      <x:c r="H337" s="6"/>
      <x:c r="I337" s="16" t="n">
        <x:v>1</x:v>
      </x:c>
      <x:c r="J337"/>
      <x:c r="K337" s="4"/>
      <x:c r="L337" s="4"/>
      <x:c r="M337" s="4"/>
      <x:c r="N337" s="5"/>
    </x:row>
    <x:row r="338" ht="24" customHeight="1">
      <x:c r="A338" s="1" t="str">
        <x:v>RESULT</x:v>
      </x:c>
      <x:c r="B338" s="1" t="str">
        <x:v>Round1</x:v>
      </x:c>
      <x:c r="C338" s="1" t="str">
        <x:v>Csv_13</x:v>
      </x:c>
      <x:c r="D338" s="1" t="str">
        <x:v>NOT_AVAILABLE</x:v>
      </x:c>
      <x:c r="E338" s="5"/>
      <x:c r="F338" s="4" t="n">
        <x:v>0</x:v>
      </x:c>
      <x:c r="G338" s="4"/>
      <x:c r="H338" s="6"/>
      <x:c r="I338" s="16" t="n">
        <x:v>1</x:v>
      </x:c>
      <x:c r="J338"/>
      <x:c r="K338" s="4"/>
      <x:c r="L338" s="4"/>
      <x:c r="M338" s="4"/>
      <x:c r="N338" s="5"/>
    </x:row>
    <x:row r="339" ht="24" customHeight="1">
      <x:c r="A339" s="1" t="str">
        <x:v>RESULT</x:v>
      </x:c>
      <x:c r="B339" s="1" t="str">
        <x:v>Round1</x:v>
      </x:c>
      <x:c r="C339" s="1" t="str">
        <x:v>Csv_14</x:v>
      </x:c>
      <x:c r="D339" s="1" t="str">
        <x:v>NOT_AVAILABLE</x:v>
      </x:c>
      <x:c r="E339" s="5"/>
      <x:c r="F339" s="4" t="n">
        <x:v>0</x:v>
      </x:c>
      <x:c r="G339" s="4"/>
      <x:c r="H339" s="6"/>
      <x:c r="I339" s="16" t="n">
        <x:v>1</x:v>
      </x:c>
      <x:c r="J339"/>
      <x:c r="K339" s="4"/>
      <x:c r="L339" s="4"/>
      <x:c r="M339" s="4"/>
      <x:c r="N339" s="5"/>
    </x:row>
    <x:row r="340" ht="24" customHeight="1">
      <x:c r="A340" s="1" t="str">
        <x:v>RESULT</x:v>
      </x:c>
      <x:c r="B340" s="1" t="str">
        <x:v>Round1</x:v>
      </x:c>
      <x:c r="C340" s="1" t="str">
        <x:v>Csv_15</x:v>
      </x:c>
      <x:c r="D340" s="1" t="str">
        <x:v>NOT_AVAILABLE</x:v>
      </x:c>
      <x:c r="E340" s="5"/>
      <x:c r="F340" s="4" t="n">
        <x:v>0</x:v>
      </x:c>
      <x:c r="G340" s="4"/>
      <x:c r="H340" s="6"/>
      <x:c r="I340" s="16" t="n">
        <x:v>1</x:v>
      </x:c>
      <x:c r="J340"/>
      <x:c r="K340" s="4"/>
      <x:c r="L340" s="4"/>
      <x:c r="M340" s="4"/>
      <x:c r="N340" s="5"/>
    </x:row>
    <x:row r="341" ht="24" customHeight="1">
      <x:c r="A341" s="1" t="str">
        <x:v>RESULT</x:v>
      </x:c>
      <x:c r="B341" s="1" t="str">
        <x:v>Round1</x:v>
      </x:c>
      <x:c r="C341" s="1" t="str">
        <x:v>Csv_16</x:v>
      </x:c>
      <x:c r="D341" s="1" t="str">
        <x:v>NOT_REVEALING</x:v>
      </x:c>
      <x:c r="E341" s="5" t="n">
        <x:v>0.6504000000000001</x:v>
      </x:c>
      <x:c r="F341" s="4" t="n">
        <x:v>0</x:v>
      </x:c>
      <x:c r="G341" s="4"/>
      <x:c r="H341" s="6"/>
      <x:c r="I341" s="16" t="n">
        <x:v>1</x:v>
      </x:c>
      <x:c r="J341" t="n">
        <x:v>123</x:v>
      </x:c>
      <x:c r="K341" s="4" t="n">
        <x:v>80</x:v>
      </x:c>
      <x:c r="L341" s="4" t="n">
        <x:v>68</x:v>
      </x:c>
      <x:c r="M341" s="4" t="n">
        <x:v>36</x:v>
      </x:c>
      <x:c r="N341" s="5" t="n">
        <x:v>0.5294</x:v>
      </x:c>
    </x:row>
    <x:row r="342" ht="24" customHeight="1">
      <x:c r="A342" s="1" t="str">
        <x:v>RESULT</x:v>
      </x:c>
      <x:c r="B342" s="1" t="str">
        <x:v>Round1</x:v>
      </x:c>
      <x:c r="C342" s="1" t="str">
        <x:v>Csv_2</x:v>
      </x:c>
      <x:c r="D342" s="1" t="str">
        <x:v>INCONCLUSIVE</x:v>
      </x:c>
      <x:c r="E342" s="5" t="n">
        <x:v>1</x:v>
      </x:c>
      <x:c r="F342" s="4" t="n">
        <x:v>0</x:v>
      </x:c>
      <x:c r="G342" s="4" t="n">
        <x:v>7836</x:v>
      </x:c>
      <x:c r="H342" s="6" t="n">
        <x:v>30.48</x:v>
      </x:c>
      <x:c r="I342" s="16" t="n">
        <x:v>1</x:v>
      </x:c>
      <x:c r="J342" t="n">
        <x:v>21</x:v>
      </x:c>
      <x:c r="K342" s="4" t="n">
        <x:v>21</x:v>
      </x:c>
      <x:c r="L342" s="4" t="n">
        <x:v>16</x:v>
      </x:c>
      <x:c r="M342" s="4" t="n">
        <x:v>16</x:v>
      </x:c>
      <x:c r="N342" s="5" t="n">
        <x:v>1</x:v>
      </x:c>
    </x:row>
    <x:row r="343" ht="24" customHeight="1">
      <x:c r="A343" s="1" t="str">
        <x:v>RESULT</x:v>
      </x:c>
      <x:c r="B343" s="1" t="str">
        <x:v>Round1</x:v>
      </x:c>
      <x:c r="C343" s="1" t="str">
        <x:v>Csv_3</x:v>
      </x:c>
      <x:c r="D343" s="1" t="str">
        <x:v>NOT_AVAILABLE</x:v>
      </x:c>
      <x:c r="E343" s="5"/>
      <x:c r="F343" s="4" t="n">
        <x:v>0</x:v>
      </x:c>
      <x:c r="G343" s="4" t="n">
        <x:v>18051</x:v>
      </x:c>
      <x:c r="H343" s="6" t="n">
        <x:v>76.92</x:v>
      </x:c>
      <x:c r="I343" s="16" t="n">
        <x:v>1</x:v>
      </x:c>
      <x:c r="J343"/>
      <x:c r="K343" s="4"/>
      <x:c r="L343" s="4"/>
      <x:c r="M343" s="4"/>
      <x:c r="N343" s="5"/>
    </x:row>
    <x:row r="344" ht="24" customHeight="1">
      <x:c r="A344" s="1" t="str">
        <x:v>RESULT</x:v>
      </x:c>
      <x:c r="B344" s="1" t="str">
        <x:v>Round1</x:v>
      </x:c>
      <x:c r="C344" s="1" t="str">
        <x:v>Csv_4</x:v>
      </x:c>
      <x:c r="D344" s="1" t="str">
        <x:v>NOT_REVEALING</x:v>
      </x:c>
      <x:c r="E344" s="5" t="n">
        <x:v>0.15</x:v>
      </x:c>
      <x:c r="F344" s="4" t="n">
        <x:v>0</x:v>
      </x:c>
      <x:c r="G344" s="4"/>
      <x:c r="H344" s="6"/>
      <x:c r="I344" s="16" t="n">
        <x:v>1</x:v>
      </x:c>
      <x:c r="J344" t="n">
        <x:v>100</x:v>
      </x:c>
      <x:c r="K344" s="4" t="n">
        <x:v>15</x:v>
      </x:c>
      <x:c r="L344" s="4" t="n">
        <x:v>50</x:v>
      </x:c>
      <x:c r="M344" s="4" t="n">
        <x:v>6</x:v>
      </x:c>
      <x:c r="N344" s="5" t="n">
        <x:v>0.12</x:v>
      </x:c>
    </x:row>
    <x:row r="345" ht="24" customHeight="1">
      <x:c r="A345" s="1" t="str">
        <x:v>RESULT</x:v>
      </x:c>
      <x:c r="B345" s="1" t="str">
        <x:v>Round1</x:v>
      </x:c>
      <x:c r="C345" s="1" t="str">
        <x:v>Csv_5</x:v>
      </x:c>
      <x:c r="D345" s="1" t="str">
        <x:v>NOT_AVAILABLE</x:v>
      </x:c>
      <x:c r="E345" s="5"/>
      <x:c r="F345" s="4" t="n">
        <x:v>0</x:v>
      </x:c>
      <x:c r="G345" s="4"/>
      <x:c r="H345" s="6"/>
      <x:c r="I345" s="16" t="n">
        <x:v>1</x:v>
      </x:c>
      <x:c r="J345"/>
      <x:c r="K345" s="4"/>
      <x:c r="L345" s="4"/>
      <x:c r="M345" s="4"/>
      <x:c r="N345" s="5"/>
    </x:row>
    <x:row r="346" ht="24" customHeight="1">
      <x:c r="A346" s="1" t="str">
        <x:v>RESULT</x:v>
      </x:c>
      <x:c r="B346" s="1" t="str">
        <x:v>Round1</x:v>
      </x:c>
      <x:c r="C346" s="1" t="str">
        <x:v>Csv_6</x:v>
      </x:c>
      <x:c r="D346" s="1" t="str">
        <x:v>NOT_REVEALING</x:v>
      </x:c>
      <x:c r="E346" s="5" t="n">
        <x:v>1</x:v>
      </x:c>
      <x:c r="F346" s="4" t="n">
        <x:v>0</x:v>
      </x:c>
      <x:c r="G346" s="4" t="n">
        <x:v>8432</x:v>
      </x:c>
      <x:c r="H346" s="6" t="n">
        <x:v>32.01</x:v>
      </x:c>
      <x:c r="I346" s="16" t="n">
        <x:v>1</x:v>
      </x:c>
      <x:c r="J346" t="n">
        <x:v>35</x:v>
      </x:c>
      <x:c r="K346" s="4" t="n">
        <x:v>35</x:v>
      </x:c>
      <x:c r="L346" s="4" t="n">
        <x:v>18</x:v>
      </x:c>
      <x:c r="M346" s="4" t="n">
        <x:v>18</x:v>
      </x:c>
      <x:c r="N346" s="5" t="n">
        <x:v>1</x:v>
      </x:c>
    </x:row>
    <x:row r="347" ht="24" customHeight="1">
      <x:c r="A347" s="1" t="str">
        <x:v>RESULT</x:v>
      </x:c>
      <x:c r="B347" s="1" t="str">
        <x:v>Round1</x:v>
      </x:c>
      <x:c r="C347" s="1" t="str">
        <x:v>Csv_7</x:v>
      </x:c>
      <x:c r="D347" s="1" t="str">
        <x:v>NOT_REVEALING</x:v>
      </x:c>
      <x:c r="E347" s="5" t="n">
        <x:v>0.6931</x:v>
      </x:c>
      <x:c r="F347" s="4" t="n">
        <x:v>0</x:v>
      </x:c>
      <x:c r="G347" s="4"/>
      <x:c r="H347" s="6"/>
      <x:c r="I347" s="16" t="n">
        <x:v>1</x:v>
      </x:c>
      <x:c r="J347" t="n">
        <x:v>101</x:v>
      </x:c>
      <x:c r="K347" s="4" t="n">
        <x:v>70</x:v>
      </x:c>
      <x:c r="L347" s="4" t="n">
        <x:v>50</x:v>
      </x:c>
      <x:c r="M347" s="4" t="n">
        <x:v>28</x:v>
      </x:c>
      <x:c r="N347" s="5" t="n">
        <x:v>0.56</x:v>
      </x:c>
    </x:row>
    <x:row r="348" ht="24" customHeight="1">
      <x:c r="A348" s="1" t="str">
        <x:v>RESULT</x:v>
      </x:c>
      <x:c r="B348" s="1" t="str">
        <x:v>Round1</x:v>
      </x:c>
      <x:c r="C348" s="1" t="str">
        <x:v>Csv_8</x:v>
      </x:c>
      <x:c r="D348" s="1" t="str">
        <x:v>NOT_AVAILABLE</x:v>
      </x:c>
      <x:c r="E348" s="5"/>
      <x:c r="F348" s="4" t="n">
        <x:v>0</x:v>
      </x:c>
      <x:c r="G348" s="4"/>
      <x:c r="H348" s="6"/>
      <x:c r="I348" s="16" t="n">
        <x:v>1</x:v>
      </x:c>
      <x:c r="J348"/>
      <x:c r="K348" s="4"/>
      <x:c r="L348" s="4"/>
      <x:c r="M348" s="4"/>
      <x:c r="N348" s="5"/>
    </x:row>
    <x:row r="349" ht="24" customHeight="1">
      <x:c r="A349" s="1" t="str">
        <x:v>RESULT</x:v>
      </x:c>
      <x:c r="B349" s="1" t="str">
        <x:v>Round1</x:v>
      </x:c>
      <x:c r="C349" s="1" t="str">
        <x:v>Csv_9</x:v>
      </x:c>
      <x:c r="D349" s="1" t="str">
        <x:v>NOT_REVEALING</x:v>
      </x:c>
      <x:c r="E349" s="5" t="n">
        <x:v>1</x:v>
      </x:c>
      <x:c r="F349" s="4" t="n">
        <x:v>0</x:v>
      </x:c>
      <x:c r="G349" s="4"/>
      <x:c r="H349" s="6"/>
      <x:c r="I349" s="16" t="n">
        <x:v>1</x:v>
      </x:c>
      <x:c r="J349" t="n">
        <x:v>36</x:v>
      </x:c>
      <x:c r="K349" s="4" t="n">
        <x:v>36</x:v>
      </x:c>
      <x:c r="L349" s="4" t="n">
        <x:v>22</x:v>
      </x:c>
      <x:c r="M349" s="4" t="n">
        <x:v>22</x:v>
      </x:c>
      <x:c r="N349" s="5" t="n">
        <x:v>1</x:v>
      </x:c>
    </x:row>
    <x:row r="350" ht="24" customHeight="1">
      <x:c r="A350" s="1" t="str">
        <x:v>RESULT</x:v>
      </x:c>
      <x:c r="B350" s="1" t="str">
        <x:v>Round1</x:v>
      </x:c>
      <x:c r="C350" s="1" t="str">
        <x:v>Gson_1</x:v>
      </x:c>
      <x:c r="D350" s="1" t="str">
        <x:v>INCONCLUSIVE</x:v>
      </x:c>
      <x:c r="E350" s="5" t="n">
        <x:v>0.9792000000000001</x:v>
      </x:c>
      <x:c r="F350" s="4" t="n">
        <x:v>0</x:v>
      </x:c>
      <x:c r="G350" s="4" t="n">
        <x:v>6585</x:v>
      </x:c>
      <x:c r="H350" s="6" t="n">
        <x:v>28.77</x:v>
      </x:c>
      <x:c r="I350" s="16" t="n">
        <x:v>1</x:v>
      </x:c>
      <x:c r="J350" t="n">
        <x:v>48</x:v>
      </x:c>
      <x:c r="K350" s="4" t="n">
        <x:v>47</x:v>
      </x:c>
      <x:c r="L350" s="4" t="n">
        <x:v>22</x:v>
      </x:c>
      <x:c r="M350" s="4" t="n">
        <x:v>21</x:v>
      </x:c>
      <x:c r="N350" s="5" t="n">
        <x:v>0.9545</x:v>
      </x:c>
    </x:row>
    <x:row r="351" ht="24" customHeight="1">
      <x:c r="A351" s="1" t="str">
        <x:v>RESULT</x:v>
      </x:c>
      <x:c r="B351" s="1" t="str">
        <x:v>Round1</x:v>
      </x:c>
      <x:c r="C351" s="1" t="str">
        <x:v>Gson_10</x:v>
      </x:c>
      <x:c r="D351" s="1" t="str">
        <x:v>NOT_REVEALING</x:v>
      </x:c>
      <x:c r="E351" s="5" t="n">
        <x:v>0.9658</x:v>
      </x:c>
      <x:c r="F351" s="4" t="n">
        <x:v>0</x:v>
      </x:c>
      <x:c r="G351" s="4" t="n">
        <x:v>10240</x:v>
      </x:c>
      <x:c r="H351" s="6" t="n">
        <x:v>49.99</x:v>
      </x:c>
      <x:c r="I351" s="16" t="n">
        <x:v>1</x:v>
      </x:c>
      <x:c r="J351" t="n">
        <x:v>117</x:v>
      </x:c>
      <x:c r="K351" s="4" t="n">
        <x:v>113</x:v>
      </x:c>
      <x:c r="L351" s="4" t="n">
        <x:v>58</x:v>
      </x:c>
      <x:c r="M351" s="4" t="n">
        <x:v>53</x:v>
      </x:c>
      <x:c r="N351" s="5" t="n">
        <x:v>0.9138</x:v>
      </x:c>
    </x:row>
    <x:row r="352" ht="24" customHeight="1">
      <x:c r="A352" s="1" t="str">
        <x:v>RESULT</x:v>
      </x:c>
      <x:c r="B352" s="1" t="str">
        <x:v>Round1</x:v>
      </x:c>
      <x:c r="C352" s="1" t="str">
        <x:v>Gson_11</x:v>
      </x:c>
      <x:c r="D352" s="1" t="str">
        <x:v>NOT_AVAILABLE</x:v>
      </x:c>
      <x:c r="E352" s="5"/>
      <x:c r="F352" s="4" t="n">
        <x:v>0</x:v>
      </x:c>
      <x:c r="G352" s="4" t="n">
        <x:v>16799</x:v>
      </x:c>
      <x:c r="H352" s="6" t="n">
        <x:v>45.8</x:v>
      </x:c>
      <x:c r="I352" s="16" t="n">
        <x:v>1</x:v>
      </x:c>
      <x:c r="J352"/>
      <x:c r="K352" s="4"/>
      <x:c r="L352" s="4"/>
      <x:c r="M352" s="4"/>
      <x:c r="N352" s="5"/>
    </x:row>
    <x:row r="353" ht="24" customHeight="1">
      <x:c r="A353" s="1" t="str">
        <x:v>RESULT</x:v>
      </x:c>
      <x:c r="B353" s="1" t="str">
        <x:v>Round1</x:v>
      </x:c>
      <x:c r="C353" s="1" t="str">
        <x:v>Gson_12</x:v>
      </x:c>
      <x:c r="D353" s="1" t="str">
        <x:v>INCONCLUSIVE</x:v>
      </x:c>
      <x:c r="E353" s="5" t="n">
        <x:v>0.9523999999999999</x:v>
      </x:c>
      <x:c r="F353" s="4" t="n">
        <x:v>0</x:v>
      </x:c>
      <x:c r="G353" s="4" t="n">
        <x:v>9201</x:v>
      </x:c>
      <x:c r="H353" s="6" t="n">
        <x:v>37.21</x:v>
      </x:c>
      <x:c r="I353" s="16" t="n">
        <x:v>1</x:v>
      </x:c>
      <x:c r="J353" t="n">
        <x:v>168</x:v>
      </x:c>
      <x:c r="K353" s="4" t="n">
        <x:v>160</x:v>
      </x:c>
      <x:c r="L353" s="4" t="n">
        <x:v>86</x:v>
      </x:c>
      <x:c r="M353" s="4" t="n">
        <x:v>80</x:v>
      </x:c>
      <x:c r="N353" s="5" t="n">
        <x:v>0.9301999999999999</x:v>
      </x:c>
    </x:row>
    <x:row r="354" ht="24" customHeight="1">
      <x:c r="A354" s="1" t="str">
        <x:v>RESULT</x:v>
      </x:c>
      <x:c r="B354" s="1" t="str">
        <x:v>Round1</x:v>
      </x:c>
      <x:c r="C354" s="1" t="str">
        <x:v>Gson_13</x:v>
      </x:c>
      <x:c r="D354" s="1" t="str">
        <x:v>NOT_AVAILABLE</x:v>
      </x:c>
      <x:c r="E354" s="5"/>
      <x:c r="F354" s="4" t="n">
        <x:v>0</x:v>
      </x:c>
      <x:c r="G354" s="4"/>
      <x:c r="H354" s="6" t="n">
        <x:v>54.04</x:v>
      </x:c>
      <x:c r="I354" s="16" t="n">
        <x:v>1</x:v>
      </x:c>
      <x:c r="J354"/>
      <x:c r="K354" s="4"/>
      <x:c r="L354" s="4"/>
      <x:c r="M354" s="4"/>
      <x:c r="N354" s="5"/>
    </x:row>
    <x:row r="355" ht="24" customHeight="1">
      <x:c r="A355" s="1" t="str">
        <x:v>RESULT</x:v>
      </x:c>
      <x:c r="B355" s="1" t="str">
        <x:v>Round1</x:v>
      </x:c>
      <x:c r="C355" s="1" t="str">
        <x:v>Gson_14</x:v>
      </x:c>
      <x:c r="D355" s="1" t="str">
        <x:v>INCONCLUSIVE</x:v>
      </x:c>
      <x:c r="E355" s="5" t="n">
        <x:v>0.9753000000000001</x:v>
      </x:c>
      <x:c r="F355" s="4" t="n">
        <x:v>0</x:v>
      </x:c>
      <x:c r="G355" s="4" t="n">
        <x:v>12724</x:v>
      </x:c>
      <x:c r="H355" s="6" t="n">
        <x:v>45.88</x:v>
      </x:c>
      <x:c r="I355" s="16" t="n">
        <x:v>1</x:v>
      </x:c>
      <x:c r="J355" t="n">
        <x:v>243</x:v>
      </x:c>
      <x:c r="K355" s="4" t="n">
        <x:v>237</x:v>
      </x:c>
      <x:c r="L355" s="4" t="n">
        <x:v>190</x:v>
      </x:c>
      <x:c r="M355" s="4" t="n">
        <x:v>171</x:v>
      </x:c>
      <x:c r="N355" s="5" t="n">
        <x:v>0.9</x:v>
      </x:c>
    </x:row>
    <x:row r="356" ht="24" customHeight="1">
      <x:c r="A356" s="1" t="str">
        <x:v>RESULT</x:v>
      </x:c>
      <x:c r="B356" s="1" t="str">
        <x:v>Round1</x:v>
      </x:c>
      <x:c r="C356" s="1" t="str">
        <x:v>Gson_15</x:v>
      </x:c>
      <x:c r="D356" s="1" t="str">
        <x:v>NOT_REVEALING</x:v>
      </x:c>
      <x:c r="E356" s="5" t="n">
        <x:v>0.9948999999999999</x:v>
      </x:c>
      <x:c r="F356" s="4" t="n">
        <x:v>0</x:v>
      </x:c>
      <x:c r="G356" s="4" t="n">
        <x:v>12170</x:v>
      </x:c>
      <x:c r="H356" s="6" t="n">
        <x:v>33.58</x:v>
      </x:c>
      <x:c r="I356" s="16" t="n">
        <x:v>1</x:v>
      </x:c>
      <x:c r="J356" t="n">
        <x:v>198</x:v>
      </x:c>
      <x:c r="K356" s="4" t="n">
        <x:v>197</x:v>
      </x:c>
      <x:c r="L356" s="4" t="n">
        <x:v>92</x:v>
      </x:c>
      <x:c r="M356" s="4" t="n">
        <x:v>89</x:v>
      </x:c>
      <x:c r="N356" s="5" t="n">
        <x:v>0.9673999999999999</x:v>
      </x:c>
    </x:row>
    <x:row r="357" ht="24" customHeight="1">
      <x:c r="A357" s="1" t="str">
        <x:v>RESULT</x:v>
      </x:c>
      <x:c r="B357" s="1" t="str">
        <x:v>Round1</x:v>
      </x:c>
      <x:c r="C357" s="1" t="str">
        <x:v>Gson_16</x:v>
      </x:c>
      <x:c r="D357" s="1" t="str">
        <x:v>INCONCLUSIVE</x:v>
      </x:c>
      <x:c r="E357" s="5" t="n">
        <x:v>0.9597</x:v>
      </x:c>
      <x:c r="F357" s="4" t="n">
        <x:v>0</x:v>
      </x:c>
      <x:c r="G357" s="4" t="n">
        <x:v>12729</x:v>
      </x:c>
      <x:c r="H357" s="6" t="n">
        <x:v>45.42</x:v>
      </x:c>
      <x:c r="I357" s="16" t="n">
        <x:v>1</x:v>
      </x:c>
      <x:c r="J357" t="n">
        <x:v>248</x:v>
      </x:c>
      <x:c r="K357" s="4" t="n">
        <x:v>238</x:v>
      </x:c>
      <x:c r="L357" s="4" t="n">
        <x:v>194</x:v>
      </x:c>
      <x:c r="M357" s="4" t="n">
        <x:v>172</x:v>
      </x:c>
      <x:c r="N357" s="5" t="n">
        <x:v>0.8865999999999999</x:v>
      </x:c>
    </x:row>
    <x:row r="358" ht="24" customHeight="1">
      <x:c r="A358" s="1" t="str">
        <x:v>RESULT</x:v>
      </x:c>
      <x:c r="B358" s="1" t="str">
        <x:v>Round1</x:v>
      </x:c>
      <x:c r="C358" s="1" t="str">
        <x:v>Gson_17</x:v>
      </x:c>
      <x:c r="D358" s="1" t="str">
        <x:v>INCONCLUSIVE</x:v>
      </x:c>
      <x:c r="E358" s="5" t="n">
        <x:v>0.9636</x:v>
      </x:c>
      <x:c r="F358" s="4" t="n">
        <x:v>0</x:v>
      </x:c>
      <x:c r="G358" s="4" t="n">
        <x:v>6060</x:v>
      </x:c>
      <x:c r="H358" s="6" t="n">
        <x:v>21.35</x:v>
      </x:c>
      <x:c r="I358" s="16" t="n">
        <x:v>1</x:v>
      </x:c>
      <x:c r="J358" t="n">
        <x:v>55</x:v>
      </x:c>
      <x:c r="K358" s="4" t="n">
        <x:v>53</x:v>
      </x:c>
      <x:c r="L358" s="4" t="n">
        <x:v>16</x:v>
      </x:c>
      <x:c r="M358" s="4" t="n">
        <x:v>15</x:v>
      </x:c>
      <x:c r="N358" s="5" t="n">
        <x:v>0.9375</x:v>
      </x:c>
    </x:row>
    <x:row r="359" ht="24" customHeight="1">
      <x:c r="A359" s="1" t="str">
        <x:v>RESULT</x:v>
      </x:c>
      <x:c r="B359" s="1" t="str">
        <x:v>Round1</x:v>
      </x:c>
      <x:c r="C359" s="1" t="str">
        <x:v>Gson_18</x:v>
      </x:c>
      <x:c r="D359" s="1" t="str">
        <x:v>INCONCLUSIVE</x:v>
      </x:c>
      <x:c r="E359" s="5" t="n">
        <x:v>0.8606</x:v>
      </x:c>
      <x:c r="F359" s="4" t="n">
        <x:v>0</x:v>
      </x:c>
      <x:c r="G359" s="4"/>
      <x:c r="H359" s="6"/>
      <x:c r="I359" s="16" t="n">
        <x:v>1</x:v>
      </x:c>
      <x:c r="J359" t="n">
        <x:v>251</x:v>
      </x:c>
      <x:c r="K359" s="4" t="n">
        <x:v>216</x:v>
      </x:c>
      <x:c r="L359" s="4" t="n">
        <x:v>196</x:v>
      </x:c>
      <x:c r="M359" s="4" t="n">
        <x:v>136</x:v>
      </x:c>
      <x:c r="N359" s="5" t="n">
        <x:v>0.6939</x:v>
      </x:c>
    </x:row>
    <x:row r="360" ht="24" customHeight="1">
      <x:c r="A360" s="1" t="str">
        <x:v>RESULT</x:v>
      </x:c>
      <x:c r="B360" s="1" t="str">
        <x:v>Round1</x:v>
      </x:c>
      <x:c r="C360" s="1" t="str">
        <x:v>Gson_2</x:v>
      </x:c>
      <x:c r="D360" s="1" t="str">
        <x:v>NOT_AVAILABLE</x:v>
      </x:c>
      <x:c r="E360" s="5"/>
      <x:c r="F360" s="4" t="n">
        <x:v>0</x:v>
      </x:c>
      <x:c r="G360" s="4" t="n">
        <x:v>17050</x:v>
      </x:c>
      <x:c r="H360" s="6" t="n">
        <x:v>51.29</x:v>
      </x:c>
      <x:c r="I360" s="16" t="n">
        <x:v>1</x:v>
      </x:c>
      <x:c r="J360"/>
      <x:c r="K360" s="4"/>
      <x:c r="L360" s="4"/>
      <x:c r="M360" s="4"/>
      <x:c r="N360" s="5"/>
    </x:row>
    <x:row r="361" ht="24" customHeight="1">
      <x:c r="A361" s="1" t="str">
        <x:v>RESULT</x:v>
      </x:c>
      <x:c r="B361" s="1" t="str">
        <x:v>Round1</x:v>
      </x:c>
      <x:c r="C361" s="1" t="str">
        <x:v>Gson_3</x:v>
      </x:c>
      <x:c r="D361" s="1" t="str">
        <x:v>NOT_REVEALING</x:v>
      </x:c>
      <x:c r="E361" s="5" t="n">
        <x:v>0.9767</x:v>
      </x:c>
      <x:c r="F361" s="4" t="n">
        <x:v>0</x:v>
      </x:c>
      <x:c r="G361" s="4" t="n">
        <x:v>8735</x:v>
      </x:c>
      <x:c r="H361" s="6" t="n">
        <x:v>44.58</x:v>
      </x:c>
      <x:c r="I361" s="16" t="n">
        <x:v>1</x:v>
      </x:c>
      <x:c r="J361" t="n">
        <x:v>86</x:v>
      </x:c>
      <x:c r="K361" s="4" t="n">
        <x:v>84</x:v>
      </x:c>
      <x:c r="L361" s="4" t="n">
        <x:v>32</x:v>
      </x:c>
      <x:c r="M361" s="4" t="n">
        <x:v>31</x:v>
      </x:c>
      <x:c r="N361" s="5" t="n">
        <x:v>0.9688</x:v>
      </x:c>
    </x:row>
    <x:row r="362" ht="24" customHeight="1">
      <x:c r="A362" s="1" t="str">
        <x:v>RESULT</x:v>
      </x:c>
      <x:c r="B362" s="1" t="str">
        <x:v>Round1</x:v>
      </x:c>
      <x:c r="C362" s="1" t="str">
        <x:v>Gson_4</x:v>
      </x:c>
      <x:c r="D362" s="1" t="str">
        <x:v>INCONCLUSIVE</x:v>
      </x:c>
      <x:c r="E362" s="5" t="n">
        <x:v>0.9127</x:v>
      </x:c>
      <x:c r="F362" s="4" t="n">
        <x:v>0</x:v>
      </x:c>
      <x:c r="G362" s="4" t="n">
        <x:v>33974</x:v>
      </x:c>
      <x:c r="H362" s="6" t="n">
        <x:v>111.76</x:v>
      </x:c>
      <x:c r="I362" s="16" t="n">
        <x:v>1</x:v>
      </x:c>
      <x:c r="J362" t="n">
        <x:v>882</x:v>
      </x:c>
      <x:c r="K362" s="4" t="n">
        <x:v>805</x:v>
      </x:c>
      <x:c r="L362" s="4" t="n">
        <x:v>565</x:v>
      </x:c>
      <x:c r="M362" s="4" t="n">
        <x:v>468</x:v>
      </x:c>
      <x:c r="N362" s="5" t="n">
        <x:v>0.8283</x:v>
      </x:c>
    </x:row>
    <x:row r="363" ht="24" customHeight="1">
      <x:c r="A363" s="1" t="str">
        <x:v>RESULT</x:v>
      </x:c>
      <x:c r="B363" s="1" t="str">
        <x:v>Round1</x:v>
      </x:c>
      <x:c r="C363" s="1" t="str">
        <x:v>Gson_5</x:v>
      </x:c>
      <x:c r="D363" s="1" t="str">
        <x:v>NOT_REVEALING</x:v>
      </x:c>
      <x:c r="E363" s="5" t="n">
        <x:v>0.9933</x:v>
      </x:c>
      <x:c r="F363" s="4" t="n">
        <x:v>0</x:v>
      </x:c>
      <x:c r="G363" s="4" t="n">
        <x:v>15012</x:v>
      </x:c>
      <x:c r="H363" s="6" t="n">
        <x:v>68.72</x:v>
      </x:c>
      <x:c r="I363" s="16" t="n">
        <x:v>1</x:v>
      </x:c>
      <x:c r="J363" t="n">
        <x:v>150</x:v>
      </x:c>
      <x:c r="K363" s="4" t="n">
        <x:v>149</x:v>
      </x:c>
      <x:c r="L363" s="4" t="n">
        <x:v>89</x:v>
      </x:c>
      <x:c r="M363" s="4" t="n">
        <x:v>78</x:v>
      </x:c>
      <x:c r="N363" s="5" t="n">
        <x:v>0.8764</x:v>
      </x:c>
    </x:row>
    <x:row r="364" ht="24" customHeight="1">
      <x:c r="A364" s="1" t="str">
        <x:v>RESULT</x:v>
      </x:c>
      <x:c r="B364" s="1" t="str">
        <x:v>Round1</x:v>
      </x:c>
      <x:c r="C364" s="1" t="str">
        <x:v>Gson_6</x:v>
      </x:c>
      <x:c r="D364" s="1" t="str">
        <x:v>NOT_AVAILABLE</x:v>
      </x:c>
      <x:c r="E364" s="5"/>
      <x:c r="F364" s="4" t="n">
        <x:v>0</x:v>
      </x:c>
      <x:c r="G364" s="4" t="n">
        <x:v>5309</x:v>
      </x:c>
      <x:c r="H364" s="6" t="n">
        <x:v>23.96</x:v>
      </x:c>
      <x:c r="I364" s="16" t="n">
        <x:v>1</x:v>
      </x:c>
      <x:c r="J364"/>
      <x:c r="K364" s="4"/>
      <x:c r="L364" s="4"/>
      <x:c r="M364" s="4"/>
      <x:c r="N364" s="5"/>
    </x:row>
    <x:row r="365" ht="24" customHeight="1">
      <x:c r="A365" s="1" t="str">
        <x:v>RESULT</x:v>
      </x:c>
      <x:c r="B365" s="1" t="str">
        <x:v>Round1</x:v>
      </x:c>
      <x:c r="C365" s="1" t="str">
        <x:v>Gson_7</x:v>
      </x:c>
      <x:c r="D365" s="1" t="str">
        <x:v>INCONCLUSIVE</x:v>
      </x:c>
      <x:c r="E365" s="5" t="n">
        <x:v>0.9006000000000001</x:v>
      </x:c>
      <x:c r="F365" s="4" t="n">
        <x:v>0</x:v>
      </x:c>
      <x:c r="G365" s="4" t="n">
        <x:v>17543</x:v>
      </x:c>
      <x:c r="H365" s="6" t="n">
        <x:v>43.53</x:v>
      </x:c>
      <x:c r="I365" s="16" t="n">
        <x:v>1</x:v>
      </x:c>
      <x:c r="J365" t="n">
        <x:v>684</x:v>
      </x:c>
      <x:c r="K365" s="4" t="n">
        <x:v>616</x:v>
      </x:c>
      <x:c r="L365" s="4" t="n">
        <x:v>469</x:v>
      </x:c>
      <x:c r="M365" s="4" t="n">
        <x:v>371</x:v>
      </x:c>
      <x:c r="N365" s="5" t="n">
        <x:v>0.7909999999999999</x:v>
      </x:c>
    </x:row>
    <x:row r="366" ht="24" customHeight="1">
      <x:c r="A366" s="1" t="str">
        <x:v>RESULT</x:v>
      </x:c>
      <x:c r="B366" s="1" t="str">
        <x:v>Round1</x:v>
      </x:c>
      <x:c r="C366" s="1" t="str">
        <x:v>Gson_8</x:v>
      </x:c>
      <x:c r="D366" s="1" t="str">
        <x:v>NOT_REVEALING</x:v>
      </x:c>
      <x:c r="E366" s="5" t="n">
        <x:v>0.2903</x:v>
      </x:c>
      <x:c r="F366" s="4" t="n">
        <x:v>0</x:v>
      </x:c>
      <x:c r="G366" s="4" t="n">
        <x:v>4142</x:v>
      </x:c>
      <x:c r="H366" s="6" t="n">
        <x:v>21.06</x:v>
      </x:c>
      <x:c r="I366" s="16" t="n">
        <x:v>1</x:v>
      </x:c>
      <x:c r="J366" t="n">
        <x:v>31</x:v>
      </x:c>
      <x:c r="K366" s="4" t="n">
        <x:v>9</x:v>
      </x:c>
      <x:c r="L366" s="4" t="n">
        <x:v>0</x:v>
      </x:c>
      <x:c r="M366" s="4" t="n">
        <x:v>0</x:v>
      </x:c>
      <x:c r="N366" s="5"/>
    </x:row>
    <x:row r="367" ht="24" customHeight="1">
      <x:c r="A367" s="1" t="str">
        <x:v>RESULT</x:v>
      </x:c>
      <x:c r="B367" s="1" t="str">
        <x:v>Round1</x:v>
      </x:c>
      <x:c r="C367" s="1" t="str">
        <x:v>Gson_9</x:v>
      </x:c>
      <x:c r="D367" s="1" t="str">
        <x:v>NOT_AVAILABLE</x:v>
      </x:c>
      <x:c r="E367" s="5"/>
      <x:c r="F367" s="4" t="n">
        <x:v>0</x:v>
      </x:c>
      <x:c r="G367" s="4" t="n">
        <x:v>21149</x:v>
      </x:c>
      <x:c r="H367" s="6" t="n">
        <x:v>142.79</x:v>
      </x:c>
      <x:c r="I367" s="16" t="n">
        <x:v>1</x:v>
      </x:c>
      <x:c r="J367"/>
      <x:c r="K367" s="4"/>
      <x:c r="L367" s="4"/>
      <x:c r="M367" s="4"/>
      <x:c r="N367" s="5"/>
    </x:row>
    <x:row r="368" ht="24" customHeight="1">
      <x:c r="A368" s="1" t="str">
        <x:v>RESULT</x:v>
      </x:c>
      <x:c r="B368" s="1" t="str">
        <x:v>Round1</x:v>
      </x:c>
      <x:c r="C368" s="1" t="str">
        <x:v>JacksonCore_1</x:v>
      </x:c>
      <x:c r="D368" s="1" t="str">
        <x:v>NOT_AVAILABLE</x:v>
      </x:c>
      <x:c r="E368" s="5"/>
      <x:c r="F368" s="4" t="n">
        <x:v>0</x:v>
      </x:c>
      <x:c r="G368" s="4"/>
      <x:c r="H368" s="6"/>
      <x:c r="I368" s="16" t="n">
        <x:v>1</x:v>
      </x:c>
      <x:c r="J368"/>
      <x:c r="K368" s="4"/>
      <x:c r="L368" s="4"/>
      <x:c r="M368" s="4"/>
      <x:c r="N368" s="5"/>
    </x:row>
    <x:row r="369" ht="24" customHeight="1">
      <x:c r="A369" s="1" t="str">
        <x:v>RESULT</x:v>
      </x:c>
      <x:c r="B369" s="1" t="str">
        <x:v>Round1</x:v>
      </x:c>
      <x:c r="C369" s="1" t="str">
        <x:v>JacksonCore_10</x:v>
      </x:c>
      <x:c r="D369" s="1" t="str">
        <x:v>INCONCLUSIVE</x:v>
      </x:c>
      <x:c r="E369" s="5" t="n">
        <x:v>0.9011</x:v>
      </x:c>
      <x:c r="F369" s="4" t="n">
        <x:v>0</x:v>
      </x:c>
      <x:c r="G369" s="4" t="n">
        <x:v>15092</x:v>
      </x:c>
      <x:c r="H369" s="6" t="n">
        <x:v>42.57</x:v>
      </x:c>
      <x:c r="I369" s="16" t="n">
        <x:v>1</x:v>
      </x:c>
      <x:c r="J369" t="n">
        <x:v>465</x:v>
      </x:c>
      <x:c r="K369" s="4" t="n">
        <x:v>419</x:v>
      </x:c>
      <x:c r="L369" s="4" t="n">
        <x:v>266</x:v>
      </x:c>
      <x:c r="M369" s="4" t="n">
        <x:v>181</x:v>
      </x:c>
      <x:c r="N369" s="5" t="n">
        <x:v>0.6805</x:v>
      </x:c>
    </x:row>
    <x:row r="370" ht="24" customHeight="1">
      <x:c r="A370" s="1" t="str">
        <x:v>RESULT</x:v>
      </x:c>
      <x:c r="B370" s="1" t="str">
        <x:v>Round1</x:v>
      </x:c>
      <x:c r="C370" s="1" t="str">
        <x:v>JacksonCore_11</x:v>
      </x:c>
      <x:c r="D370" s="1" t="str">
        <x:v>NOT_AVAILABLE</x:v>
      </x:c>
      <x:c r="E370" s="5"/>
      <x:c r="F370" s="4" t="n">
        <x:v>0</x:v>
      </x:c>
      <x:c r="G370" s="4" t="n">
        <x:v>17290</x:v>
      </x:c>
      <x:c r="H370" s="6" t="n">
        <x:v>57.69</x:v>
      </x:c>
      <x:c r="I370" s="16" t="n">
        <x:v>1</x:v>
      </x:c>
      <x:c r="J370"/>
      <x:c r="K370" s="4"/>
      <x:c r="L370" s="4"/>
      <x:c r="M370" s="4"/>
      <x:c r="N370" s="5"/>
    </x:row>
    <x:row r="371" ht="24" customHeight="1">
      <x:c r="A371" s="1" t="str">
        <x:v>RESULT</x:v>
      </x:c>
      <x:c r="B371" s="1" t="str">
        <x:v>Round1</x:v>
      </x:c>
      <x:c r="C371" s="1" t="str">
        <x:v>JacksonCore_12</x:v>
      </x:c>
      <x:c r="D371" s="1" t="str">
        <x:v>INCONCLUSIVE</x:v>
      </x:c>
      <x:c r="E371" s="5" t="n">
        <x:v>0.5714</x:v>
      </x:c>
      <x:c r="F371" s="4" t="n">
        <x:v>0</x:v>
      </x:c>
      <x:c r="G371" s="4" t="n">
        <x:v>66112</x:v>
      </x:c>
      <x:c r="H371" s="6" t="n">
        <x:v>143.17</x:v>
      </x:c>
      <x:c r="I371" s="16" t="n">
        <x:v>1</x:v>
      </x:c>
      <x:c r="J371" t="n">
        <x:v>3187</x:v>
      </x:c>
      <x:c r="K371" s="4" t="n">
        <x:v>1821</x:v>
      </x:c>
      <x:c r="L371" s="4" t="n">
        <x:v>2258</x:v>
      </x:c>
      <x:c r="M371" s="4" t="n">
        <x:v>1009</x:v>
      </x:c>
      <x:c r="N371" s="5" t="n">
        <x:v>0.44689999999999996</x:v>
      </x:c>
    </x:row>
    <x:row r="372" ht="24" customHeight="1">
      <x:c r="A372" s="1" t="str">
        <x:v>RESULT</x:v>
      </x:c>
      <x:c r="B372" s="1" t="str">
        <x:v>Round1</x:v>
      </x:c>
      <x:c r="C372" s="1" t="str">
        <x:v>JacksonCore_13</x:v>
      </x:c>
      <x:c r="D372" s="1" t="str">
        <x:v>NOT_REVEALING</x:v>
      </x:c>
      <x:c r="E372" s="5" t="n">
        <x:v>1</x:v>
      </x:c>
      <x:c r="F372" s="4" t="n">
        <x:v>0</x:v>
      </x:c>
      <x:c r="G372" s="4" t="n">
        <x:v>11441</x:v>
      </x:c>
      <x:c r="H372" s="6" t="n">
        <x:v>47.9</x:v>
      </x:c>
      <x:c r="I372" s="16" t="n">
        <x:v>1</x:v>
      </x:c>
      <x:c r="J372" t="n">
        <x:v>31</x:v>
      </x:c>
      <x:c r="K372" s="4" t="n">
        <x:v>31</x:v>
      </x:c>
      <x:c r="L372" s="4" t="n">
        <x:v>12</x:v>
      </x:c>
      <x:c r="M372" s="4" t="n">
        <x:v>12</x:v>
      </x:c>
      <x:c r="N372" s="5" t="n">
        <x:v>1</x:v>
      </x:c>
    </x:row>
    <x:row r="373" ht="24" customHeight="1">
      <x:c r="A373" s="1" t="str">
        <x:v>RESULT</x:v>
      </x:c>
      <x:c r="B373" s="1" t="str">
        <x:v>Round1</x:v>
      </x:c>
      <x:c r="C373" s="1" t="str">
        <x:v>JacksonCore_14</x:v>
      </x:c>
      <x:c r="D373" s="1" t="str">
        <x:v>INCONCLUSIVE</x:v>
      </x:c>
      <x:c r="E373" s="5" t="n">
        <x:v>1</x:v>
      </x:c>
      <x:c r="F373" s="4" t="n">
        <x:v>0</x:v>
      </x:c>
      <x:c r="G373" s="4" t="n">
        <x:v>9745</x:v>
      </x:c>
      <x:c r="H373" s="6" t="n">
        <x:v>41.42</x:v>
      </x:c>
      <x:c r="I373" s="16" t="n">
        <x:v>1</x:v>
      </x:c>
      <x:c r="J373" t="n">
        <x:v>68</x:v>
      </x:c>
      <x:c r="K373" s="4" t="n">
        <x:v>68</x:v>
      </x:c>
      <x:c r="L373" s="4" t="n">
        <x:v>22</x:v>
      </x:c>
      <x:c r="M373" s="4" t="n">
        <x:v>22</x:v>
      </x:c>
      <x:c r="N373" s="5" t="n">
        <x:v>1</x:v>
      </x:c>
    </x:row>
    <x:row r="374" ht="24" customHeight="1">
      <x:c r="A374" s="1" t="str">
        <x:v>RESULT</x:v>
      </x:c>
      <x:c r="B374" s="1" t="str">
        <x:v>Round1</x:v>
      </x:c>
      <x:c r="C374" s="1" t="str">
        <x:v>JacksonCore_15</x:v>
      </x:c>
      <x:c r="D374" s="1" t="str">
        <x:v>NOT_AVAILABLE</x:v>
      </x:c>
      <x:c r="E374" s="5"/>
      <x:c r="F374" s="4" t="n">
        <x:v>0</x:v>
      </x:c>
      <x:c r="G374" s="4" t="n">
        <x:v>14270</x:v>
      </x:c>
      <x:c r="H374" s="6" t="n">
        <x:v>55.12</x:v>
      </x:c>
      <x:c r="I374" s="16" t="n">
        <x:v>1</x:v>
      </x:c>
      <x:c r="J374"/>
      <x:c r="K374" s="4"/>
      <x:c r="L374" s="4"/>
      <x:c r="M374" s="4"/>
      <x:c r="N374" s="5"/>
    </x:row>
    <x:row r="375" ht="24" customHeight="1">
      <x:c r="A375" s="1" t="str">
        <x:v>RESULT</x:v>
      </x:c>
      <x:c r="B375" s="1" t="str">
        <x:v>Round1</x:v>
      </x:c>
      <x:c r="C375" s="1" t="str">
        <x:v>JacksonCore_16</x:v>
      </x:c>
      <x:c r="D375" s="1" t="str">
        <x:v>INCONCLUSIVE</x:v>
      </x:c>
      <x:c r="E375" s="5" t="n">
        <x:v>1</x:v>
      </x:c>
      <x:c r="F375" s="4" t="n">
        <x:v>0</x:v>
      </x:c>
      <x:c r="G375" s="4" t="n">
        <x:v>10716</x:v>
      </x:c>
      <x:c r="H375" s="6" t="n">
        <x:v>46.67</x:v>
      </x:c>
      <x:c r="I375" s="16" t="n">
        <x:v>1</x:v>
      </x:c>
      <x:c r="J375" t="n">
        <x:v>33</x:v>
      </x:c>
      <x:c r="K375" s="4" t="n">
        <x:v>33</x:v>
      </x:c>
      <x:c r="L375" s="4" t="n">
        <x:v>22</x:v>
      </x:c>
      <x:c r="M375" s="4" t="n">
        <x:v>22</x:v>
      </x:c>
      <x:c r="N375" s="5" t="n">
        <x:v>1</x:v>
      </x:c>
    </x:row>
    <x:row r="376" ht="24" customHeight="1">
      <x:c r="A376" s="1" t="str">
        <x:v>RESULT</x:v>
      </x:c>
      <x:c r="B376" s="1" t="str">
        <x:v>Round1</x:v>
      </x:c>
      <x:c r="C376" s="1" t="str">
        <x:v>JacksonCore_17</x:v>
      </x:c>
      <x:c r="D376" s="1" t="str">
        <x:v>INCONCLUSIVE</x:v>
      </x:c>
      <x:c r="E376" s="5" t="n">
        <x:v>0.226</x:v>
      </x:c>
      <x:c r="F376" s="4" t="n">
        <x:v>0</x:v>
      </x:c>
      <x:c r="G376" s="4"/>
      <x:c r="H376" s="6"/>
      <x:c r="I376" s="16" t="n">
        <x:v>1</x:v>
      </x:c>
      <x:c r="J376" t="n">
        <x:v>991</x:v>
      </x:c>
      <x:c r="K376" s="4" t="n">
        <x:v>224</x:v>
      </x:c>
      <x:c r="L376" s="4" t="n">
        <x:v>523</x:v>
      </x:c>
      <x:c r="M376" s="4" t="n">
        <x:v>91</x:v>
      </x:c>
      <x:c r="N376" s="5" t="n">
        <x:v>0.174</x:v>
      </x:c>
    </x:row>
    <x:row r="377" ht="24" customHeight="1">
      <x:c r="A377" s="1" t="str">
        <x:v>RESULT</x:v>
      </x:c>
      <x:c r="B377" s="1" t="str">
        <x:v>Round1</x:v>
      </x:c>
      <x:c r="C377" s="1" t="str">
        <x:v>JacksonCore_18</x:v>
      </x:c>
      <x:c r="D377" s="1" t="str">
        <x:v>INCONCLUSIVE</x:v>
      </x:c>
      <x:c r="E377" s="5" t="n">
        <x:v>0.2021</x:v>
      </x:c>
      <x:c r="F377" s="4" t="n">
        <x:v>0</x:v>
      </x:c>
      <x:c r="G377" s="4"/>
      <x:c r="H377" s="6"/>
      <x:c r="I377" s="16" t="n">
        <x:v>1</x:v>
      </x:c>
      <x:c r="J377" t="n">
        <x:v>2113</x:v>
      </x:c>
      <x:c r="K377" s="4" t="n">
        <x:v>427</x:v>
      </x:c>
      <x:c r="L377" s="4" t="n">
        <x:v>1084</x:v>
      </x:c>
      <x:c r="M377" s="4" t="n">
        <x:v>166</x:v>
      </x:c>
      <x:c r="N377" s="5" t="n">
        <x:v>0.1531</x:v>
      </x:c>
    </x:row>
    <x:row r="378" ht="24" customHeight="1">
      <x:c r="A378" s="1" t="str">
        <x:v>RESULT</x:v>
      </x:c>
      <x:c r="B378" s="1" t="str">
        <x:v>Round1</x:v>
      </x:c>
      <x:c r="C378" s="1" t="str">
        <x:v>JacksonCore_19</x:v>
      </x:c>
      <x:c r="D378" s="1" t="str">
        <x:v>NOT_REVEALING</x:v>
      </x:c>
      <x:c r="E378" s="5" t="n">
        <x:v>0.1911</x:v>
      </x:c>
      <x:c r="F378" s="4" t="n">
        <x:v>0</x:v>
      </x:c>
      <x:c r="G378" s="4"/>
      <x:c r="H378" s="6"/>
      <x:c r="I378" s="16" t="n">
        <x:v>1</x:v>
      </x:c>
      <x:c r="J378" t="n">
        <x:v>3197</x:v>
      </x:c>
      <x:c r="K378" s="4" t="n">
        <x:v>611</x:v>
      </x:c>
      <x:c r="L378" s="4" t="n">
        <x:v>2254</x:v>
      </x:c>
      <x:c r="M378" s="4" t="n">
        <x:v>289</x:v>
      </x:c>
      <x:c r="N378" s="5" t="n">
        <x:v>0.1282</x:v>
      </x:c>
    </x:row>
    <x:row r="379" ht="24" customHeight="1">
      <x:c r="A379" s="1" t="str">
        <x:v>RESULT</x:v>
      </x:c>
      <x:c r="B379" s="1" t="str">
        <x:v>Round1</x:v>
      </x:c>
      <x:c r="C379" s="1" t="str">
        <x:v>JacksonCore_2</x:v>
      </x:c>
      <x:c r="D379" s="1" t="str">
        <x:v>NOT_REVEALING</x:v>
      </x:c>
      <x:c r="E379" s="5" t="n">
        <x:v>0.21559999999999999</x:v>
      </x:c>
      <x:c r="F379" s="4" t="n">
        <x:v>0</x:v>
      </x:c>
      <x:c r="G379" s="4"/>
      <x:c r="H379" s="6"/>
      <x:c r="I379" s="16" t="n">
        <x:v>1</x:v>
      </x:c>
      <x:c r="J379" t="n">
        <x:v>2463</x:v>
      </x:c>
      <x:c r="K379" s="4" t="n">
        <x:v>531</x:v>
      </x:c>
      <x:c r="L379" s="4" t="n">
        <x:v>1698</x:v>
      </x:c>
      <x:c r="M379" s="4" t="n">
        <x:v>255</x:v>
      </x:c>
      <x:c r="N379" s="5" t="n">
        <x:v>0.1502</x:v>
      </x:c>
    </x:row>
    <x:row r="380" ht="24" customHeight="1">
      <x:c r="A380" s="1" t="str">
        <x:v>RESULT</x:v>
      </x:c>
      <x:c r="B380" s="1" t="str">
        <x:v>Round1</x:v>
      </x:c>
      <x:c r="C380" s="1" t="str">
        <x:v>JacksonCore_20</x:v>
      </x:c>
      <x:c r="D380" s="1" t="str">
        <x:v>NOT_REVEALING</x:v>
      </x:c>
      <x:c r="E380" s="5" t="n">
        <x:v>0.16219999999999998</x:v>
      </x:c>
      <x:c r="F380" s="4" t="n">
        <x:v>0</x:v>
      </x:c>
      <x:c r="G380" s="4"/>
      <x:c r="H380" s="6"/>
      <x:c r="I380" s="16" t="n">
        <x:v>1</x:v>
      </x:c>
      <x:c r="J380" t="n">
        <x:v>259</x:v>
      </x:c>
      <x:c r="K380" s="4" t="n">
        <x:v>42</x:v>
      </x:c>
      <x:c r="L380" s="4" t="n">
        <x:v>97</x:v>
      </x:c>
      <x:c r="M380" s="4" t="n">
        <x:v>6</x:v>
      </x:c>
      <x:c r="N380" s="5" t="n">
        <x:v>0.061900000000000004</x:v>
      </x:c>
    </x:row>
    <x:row r="381" ht="24" customHeight="1">
      <x:c r="A381" s="1" t="str">
        <x:v>RESULT</x:v>
      </x:c>
      <x:c r="B381" s="1" t="str">
        <x:v>Round1</x:v>
      </x:c>
      <x:c r="C381" s="1" t="str">
        <x:v>JacksonCore_21</x:v>
      </x:c>
      <x:c r="D381" s="1" t="str">
        <x:v>NOT_REVEALING</x:v>
      </x:c>
      <x:c r="E381" s="5" t="n">
        <x:v>0.23379999999999998</x:v>
      </x:c>
      <x:c r="F381" s="4" t="n">
        <x:v>0</x:v>
      </x:c>
      <x:c r="G381" s="4"/>
      <x:c r="H381" s="6"/>
      <x:c r="I381" s="16" t="n">
        <x:v>1</x:v>
      </x:c>
      <x:c r="J381" t="n">
        <x:v>385</x:v>
      </x:c>
      <x:c r="K381" s="4" t="n">
        <x:v>90</x:v>
      </x:c>
      <x:c r="L381" s="4" t="n">
        <x:v>269</x:v>
      </x:c>
      <x:c r="M381" s="4" t="n">
        <x:v>52</x:v>
      </x:c>
      <x:c r="N381" s="5" t="n">
        <x:v>0.19329999999999997</x:v>
      </x:c>
    </x:row>
    <x:row r="382" ht="24" customHeight="1">
      <x:c r="A382" s="1" t="str">
        <x:v>RESULT</x:v>
      </x:c>
      <x:c r="B382" s="1" t="str">
        <x:v>Round1</x:v>
      </x:c>
      <x:c r="C382" s="1" t="str">
        <x:v>JacksonCore_22</x:v>
      </x:c>
      <x:c r="D382" s="1" t="str">
        <x:v>NOT_REVEALING</x:v>
      </x:c>
      <x:c r="E382" s="5" t="n">
        <x:v>0.231</x:v>
      </x:c>
      <x:c r="F382" s="4" t="n">
        <x:v>0</x:v>
      </x:c>
      <x:c r="G382" s="4"/>
      <x:c r="H382" s="6"/>
      <x:c r="I382" s="16" t="n">
        <x:v>1</x:v>
      </x:c>
      <x:c r="J382" t="n">
        <x:v>381</x:v>
      </x:c>
      <x:c r="K382" s="4" t="n">
        <x:v>88</x:v>
      </x:c>
      <x:c r="L382" s="4" t="n">
        <x:v>267</x:v>
      </x:c>
      <x:c r="M382" s="4" t="n">
        <x:v>50</x:v>
      </x:c>
      <x:c r="N382" s="5" t="n">
        <x:v>0.1873</x:v>
      </x:c>
    </x:row>
    <x:row r="383" ht="24" customHeight="1">
      <x:c r="A383" s="1" t="str">
        <x:v>RESULT</x:v>
      </x:c>
      <x:c r="B383" s="1" t="str">
        <x:v>Round1</x:v>
      </x:c>
      <x:c r="C383" s="1" t="str">
        <x:v>JacksonCore_23</x:v>
      </x:c>
      <x:c r="D383" s="1" t="str">
        <x:v>NOT_REVEALING</x:v>
      </x:c>
      <x:c r="E383" s="5" t="n">
        <x:v>0.4717</x:v>
      </x:c>
      <x:c r="F383" s="4" t="n">
        <x:v>0</x:v>
      </x:c>
      <x:c r="G383" s="4"/>
      <x:c r="H383" s="6"/>
      <x:c r="I383" s="16" t="n">
        <x:v>1</x:v>
      </x:c>
      <x:c r="J383" t="n">
        <x:v>106</x:v>
      </x:c>
      <x:c r="K383" s="4" t="n">
        <x:v>50</x:v>
      </x:c>
      <x:c r="L383" s="4" t="n">
        <x:v>40</x:v>
      </x:c>
      <x:c r="M383" s="4" t="n">
        <x:v>7</x:v>
      </x:c>
      <x:c r="N383" s="5" t="n">
        <x:v>0.175</x:v>
      </x:c>
    </x:row>
    <x:row r="384" ht="24" customHeight="1">
      <x:c r="A384" s="1" t="str">
        <x:v>RESULT</x:v>
      </x:c>
      <x:c r="B384" s="1" t="str">
        <x:v>Round1</x:v>
      </x:c>
      <x:c r="C384" s="1" t="str">
        <x:v>JacksonCore_24</x:v>
      </x:c>
      <x:c r="D384" s="1" t="str">
        <x:v>NOT_REVEALING</x:v>
      </x:c>
      <x:c r="E384" s="5" t="n">
        <x:v>0.1845</x:v>
      </x:c>
      <x:c r="F384" s="4" t="n">
        <x:v>0</x:v>
      </x:c>
      <x:c r="G384" s="4"/>
      <x:c r="H384" s="6"/>
      <x:c r="I384" s="16" t="n">
        <x:v>1</x:v>
      </x:c>
      <x:c r="J384" t="n">
        <x:v>607</x:v>
      </x:c>
      <x:c r="K384" s="4" t="n">
        <x:v>112</x:v>
      </x:c>
      <x:c r="L384" s="4" t="n">
        <x:v>411</x:v>
      </x:c>
      <x:c r="M384" s="4" t="n">
        <x:v>47</x:v>
      </x:c>
      <x:c r="N384" s="5" t="n">
        <x:v>0.1144</x:v>
      </x:c>
    </x:row>
    <x:row r="385" ht="24" customHeight="1">
      <x:c r="A385" s="1" t="str">
        <x:v>RESULT</x:v>
      </x:c>
      <x:c r="B385" s="1" t="str">
        <x:v>Round1</x:v>
      </x:c>
      <x:c r="C385" s="1" t="str">
        <x:v>JacksonCore_25</x:v>
      </x:c>
      <x:c r="D385" s="1" t="str">
        <x:v>NOT_REVEALING</x:v>
      </x:c>
      <x:c r="E385" s="5" t="n">
        <x:v>0.1745</x:v>
      </x:c>
      <x:c r="F385" s="4" t="n">
        <x:v>0</x:v>
      </x:c>
      <x:c r="G385" s="4"/>
      <x:c r="H385" s="6"/>
      <x:c r="I385" s="16" t="n">
        <x:v>1</x:v>
      </x:c>
      <x:c r="J385" t="n">
        <x:v>1438</x:v>
      </x:c>
      <x:c r="K385" s="4" t="n">
        <x:v>251</x:v>
      </x:c>
      <x:c r="L385" s="4" t="n">
        <x:v>1084</x:v>
      </x:c>
      <x:c r="M385" s="4" t="n">
        <x:v>122</x:v>
      </x:c>
      <x:c r="N385" s="5" t="n">
        <x:v>0.1125</x:v>
      </x:c>
    </x:row>
    <x:row r="386" ht="24" customHeight="1">
      <x:c r="A386" s="1" t="str">
        <x:v>RESULT</x:v>
      </x:c>
      <x:c r="B386" s="1" t="str">
        <x:v>Round1</x:v>
      </x:c>
      <x:c r="C386" s="1" t="str">
        <x:v>JacksonCore_26</x:v>
      </x:c>
      <x:c r="D386" s="1" t="str">
        <x:v>NOT_REVEALING</x:v>
      </x:c>
      <x:c r="E386" s="5" t="n">
        <x:v>0.1208</x:v>
      </x:c>
      <x:c r="F386" s="4" t="n">
        <x:v>0</x:v>
      </x:c>
      <x:c r="G386" s="4"/>
      <x:c r="H386" s="6"/>
      <x:c r="I386" s="16" t="n">
        <x:v>1</x:v>
      </x:c>
      <x:c r="J386" t="n">
        <x:v>1482</x:v>
      </x:c>
      <x:c r="K386" s="4" t="n">
        <x:v>179</x:v>
      </x:c>
      <x:c r="L386" s="4" t="n">
        <x:v>951</x:v>
      </x:c>
      <x:c r="M386" s="4" t="n">
        <x:v>83</x:v>
      </x:c>
      <x:c r="N386" s="5" t="n">
        <x:v>0.0873</x:v>
      </x:c>
    </x:row>
    <x:row r="387" ht="24" customHeight="1">
      <x:c r="A387" s="1" t="str">
        <x:v>RESULT</x:v>
      </x:c>
      <x:c r="B387" s="1" t="str">
        <x:v>Round1</x:v>
      </x:c>
      <x:c r="C387" s="1" t="str">
        <x:v>JacksonCore_3</x:v>
      </x:c>
      <x:c r="D387" s="1" t="str">
        <x:v>NOT_REVEALING</x:v>
      </x:c>
      <x:c r="E387" s="5" t="n">
        <x:v>0.2048</x:v>
      </x:c>
      <x:c r="F387" s="4" t="n">
        <x:v>0</x:v>
      </x:c>
      <x:c r="G387" s="4"/>
      <x:c r="H387" s="6"/>
      <x:c r="I387" s="16" t="n">
        <x:v>1</x:v>
      </x:c>
      <x:c r="J387" t="n">
        <x:v>1538</x:v>
      </x:c>
      <x:c r="K387" s="4" t="n">
        <x:v>315</x:v>
      </x:c>
      <x:c r="L387" s="4" t="n">
        <x:v>1016</x:v>
      </x:c>
      <x:c r="M387" s="4" t="n">
        <x:v>150</x:v>
      </x:c>
      <x:c r="N387" s="5" t="n">
        <x:v>0.1476</x:v>
      </x:c>
    </x:row>
    <x:row r="388" ht="24" customHeight="1">
      <x:c r="A388" s="1" t="str">
        <x:v>RESULT</x:v>
      </x:c>
      <x:c r="B388" s="1" t="str">
        <x:v>Round1</x:v>
      </x:c>
      <x:c r="C388" s="1" t="str">
        <x:v>JacksonCore_4</x:v>
      </x:c>
      <x:c r="D388" s="1" t="str">
        <x:v>NOT_AVAILABLE</x:v>
      </x:c>
      <x:c r="E388" s="5"/>
      <x:c r="F388" s="4" t="n">
        <x:v>0</x:v>
      </x:c>
      <x:c r="G388" s="4"/>
      <x:c r="H388" s="6"/>
      <x:c r="I388" s="16" t="n">
        <x:v>1</x:v>
      </x:c>
      <x:c r="J388"/>
      <x:c r="K388" s="4"/>
      <x:c r="L388" s="4"/>
      <x:c r="M388" s="4"/>
      <x:c r="N388" s="5"/>
    </x:row>
    <x:row r="389" ht="24" customHeight="1">
      <x:c r="A389" s="1" t="str">
        <x:v>RESULT</x:v>
      </x:c>
      <x:c r="B389" s="1" t="str">
        <x:v>Round1</x:v>
      </x:c>
      <x:c r="C389" s="1" t="str">
        <x:v>JacksonCore_5</x:v>
      </x:c>
      <x:c r="D389" s="1" t="str">
        <x:v>NOT_REVEALING</x:v>
      </x:c>
      <x:c r="E389" s="5" t="n">
        <x:v>0.9167000000000001</x:v>
      </x:c>
      <x:c r="F389" s="4" t="n">
        <x:v>0</x:v>
      </x:c>
      <x:c r="G389" s="4"/>
      <x:c r="H389" s="6"/>
      <x:c r="I389" s="16" t="n">
        <x:v>1</x:v>
      </x:c>
      <x:c r="J389" t="n">
        <x:v>84</x:v>
      </x:c>
      <x:c r="K389" s="4" t="n">
        <x:v>77</x:v>
      </x:c>
      <x:c r="L389" s="4" t="n">
        <x:v>62</x:v>
      </x:c>
      <x:c r="M389" s="4" t="n">
        <x:v>47</x:v>
      </x:c>
      <x:c r="N389" s="5" t="n">
        <x:v>0.7581</x:v>
      </x:c>
    </x:row>
    <x:row r="390" ht="24" customHeight="1">
      <x:c r="A390" s="1" t="str">
        <x:v>RESULT</x:v>
      </x:c>
      <x:c r="B390" s="1" t="str">
        <x:v>Round1</x:v>
      </x:c>
      <x:c r="C390" s="1" t="str">
        <x:v>JacksonCore_6</x:v>
      </x:c>
      <x:c r="D390" s="1" t="str">
        <x:v>NOT_REVEALING</x:v>
      </x:c>
      <x:c r="E390" s="5" t="n">
        <x:v>0.9167000000000001</x:v>
      </x:c>
      <x:c r="F390" s="4" t="n">
        <x:v>0</x:v>
      </x:c>
      <x:c r="G390" s="4"/>
      <x:c r="H390" s="6"/>
      <x:c r="I390" s="16" t="n">
        <x:v>1</x:v>
      </x:c>
      <x:c r="J390" t="n">
        <x:v>84</x:v>
      </x:c>
      <x:c r="K390" s="4" t="n">
        <x:v>77</x:v>
      </x:c>
      <x:c r="L390" s="4" t="n">
        <x:v>62</x:v>
      </x:c>
      <x:c r="M390" s="4" t="n">
        <x:v>47</x:v>
      </x:c>
      <x:c r="N390" s="5" t="n">
        <x:v>0.7581</x:v>
      </x:c>
    </x:row>
    <x:row r="391" ht="24" customHeight="1">
      <x:c r="A391" s="1" t="str">
        <x:v>RESULT</x:v>
      </x:c>
      <x:c r="B391" s="1" t="str">
        <x:v>Round1</x:v>
      </x:c>
      <x:c r="C391" s="1" t="str">
        <x:v>JacksonCore_7</x:v>
      </x:c>
      <x:c r="D391" s="1" t="str">
        <x:v>NOT_AVAILABLE</x:v>
      </x:c>
      <x:c r="E391" s="5"/>
      <x:c r="F391" s="4" t="n">
        <x:v>0</x:v>
      </x:c>
      <x:c r="G391" s="4" t="n">
        <x:v>9263</x:v>
      </x:c>
      <x:c r="H391" s="6" t="n">
        <x:v>55.84</x:v>
      </x:c>
      <x:c r="I391" s="16" t="n">
        <x:v>1</x:v>
      </x:c>
      <x:c r="J391"/>
      <x:c r="K391" s="4"/>
      <x:c r="L391" s="4"/>
      <x:c r="M391" s="4"/>
      <x:c r="N391" s="5"/>
    </x:row>
    <x:row r="392" ht="24" customHeight="1">
      <x:c r="A392" s="1" t="str">
        <x:v>RESULT</x:v>
      </x:c>
      <x:c r="B392" s="1" t="str">
        <x:v>Round1</x:v>
      </x:c>
      <x:c r="C392" s="1" t="str">
        <x:v>JacksonCore_8</x:v>
      </x:c>
      <x:c r="D392" s="1" t="str">
        <x:v>INCONCLUSIVE</x:v>
      </x:c>
      <x:c r="E392" s="5" t="n">
        <x:v>0.9815</x:v>
      </x:c>
      <x:c r="F392" s="4" t="n">
        <x:v>0</x:v>
      </x:c>
      <x:c r="G392" s="4" t="n">
        <x:v>14418</x:v>
      </x:c>
      <x:c r="H392" s="6" t="n">
        <x:v>58.53</x:v>
      </x:c>
      <x:c r="I392" s="16" t="n">
        <x:v>1</x:v>
      </x:c>
      <x:c r="J392" t="n">
        <x:v>271</x:v>
      </x:c>
      <x:c r="K392" s="4" t="n">
        <x:v>266</x:v>
      </x:c>
      <x:c r="L392" s="4" t="n">
        <x:v>138</x:v>
      </x:c>
      <x:c r="M392" s="4" t="n">
        <x:v>123</x:v>
      </x:c>
      <x:c r="N392" s="5" t="n">
        <x:v>0.8913</x:v>
      </x:c>
    </x:row>
    <x:row r="393" ht="24" customHeight="1">
      <x:c r="A393" s="1" t="str">
        <x:v>RESULT</x:v>
      </x:c>
      <x:c r="B393" s="1" t="str">
        <x:v>Round1</x:v>
      </x:c>
      <x:c r="C393" s="1" t="str">
        <x:v>JacksonCore_9</x:v>
      </x:c>
      <x:c r="D393" s="1" t="str">
        <x:v>NOT_AVAILABLE</x:v>
      </x:c>
      <x:c r="E393" s="5"/>
      <x:c r="F393" s="4" t="n">
        <x:v>0</x:v>
      </x:c>
      <x:c r="G393" s="4" t="n">
        <x:v>83973</x:v>
      </x:c>
      <x:c r="H393" s="6" t="n">
        <x:v>211.54</x:v>
      </x:c>
      <x:c r="I393" s="16" t="n">
        <x:v>1</x:v>
      </x:c>
      <x:c r="J393"/>
      <x:c r="K393" s="4"/>
      <x:c r="L393" s="4"/>
      <x:c r="M393" s="4"/>
      <x:c r="N393" s="5"/>
    </x:row>
    <x:row r="394" ht="24" customHeight="1">
      <x:c r="A394" s="1" t="str">
        <x:v>RESULT</x:v>
      </x:c>
      <x:c r="B394" s="1" t="str">
        <x:v>Round1</x:v>
      </x:c>
      <x:c r="C394" s="1" t="str">
        <x:v>JacksonDatabind_1</x:v>
      </x:c>
      <x:c r="D394" s="1" t="str">
        <x:v>NOT_REVEALING</x:v>
      </x:c>
      <x:c r="E394" s="5" t="n">
        <x:v>0.3897</x:v>
      </x:c>
      <x:c r="F394" s="4" t="n">
        <x:v>0</x:v>
      </x:c>
      <x:c r="G394" s="4"/>
      <x:c r="H394" s="6"/>
      <x:c r="I394" s="16" t="n">
        <x:v>1</x:v>
      </x:c>
      <x:c r="J394" t="n">
        <x:v>195</x:v>
      </x:c>
      <x:c r="K394" s="4" t="n">
        <x:v>76</x:v>
      </x:c>
      <x:c r="L394" s="4" t="n">
        <x:v>104</x:v>
      </x:c>
      <x:c r="M394" s="4" t="n">
        <x:v>20</x:v>
      </x:c>
      <x:c r="N394" s="5" t="n">
        <x:v>0.1923</x:v>
      </x:c>
    </x:row>
    <x:row r="395" ht="24" customHeight="1">
      <x:c r="A395" s="1" t="str">
        <x:v>RESULT</x:v>
      </x:c>
      <x:c r="B395" s="1" t="str">
        <x:v>Round1</x:v>
      </x:c>
      <x:c r="C395" s="1" t="str">
        <x:v>JacksonDatabind_10</x:v>
      </x:c>
      <x:c r="D395" s="1" t="str">
        <x:v>NOT_AVAILABLE</x:v>
      </x:c>
      <x:c r="E395" s="5"/>
      <x:c r="F395" s="4" t="n">
        <x:v>0</x:v>
      </x:c>
      <x:c r="G395" s="4" t="n">
        <x:v>15700</x:v>
      </x:c>
      <x:c r="H395" s="6" t="n">
        <x:v>72.88</x:v>
      </x:c>
      <x:c r="I395" s="16" t="n">
        <x:v>1</x:v>
      </x:c>
      <x:c r="J395"/>
      <x:c r="K395" s="4"/>
      <x:c r="L395" s="4"/>
      <x:c r="M395" s="4"/>
      <x:c r="N395" s="5"/>
    </x:row>
    <x:row r="396" ht="24" customHeight="1">
      <x:c r="A396" s="1" t="str">
        <x:v>RESULT</x:v>
      </x:c>
      <x:c r="B396" s="1" t="str">
        <x:v>Round1</x:v>
      </x:c>
      <x:c r="C396" s="1" t="str">
        <x:v>JacksonDatabind_100</x:v>
      </x:c>
      <x:c r="D396" s="1" t="str">
        <x:v>NOT_AVAILABLE</x:v>
      </x:c>
      <x:c r="E396" s="5"/>
      <x:c r="F396" s="4" t="n">
        <x:v>0</x:v>
      </x:c>
      <x:c r="G396" s="4"/>
      <x:c r="H396" s="6"/>
      <x:c r="I396" s="16" t="n">
        <x:v>1</x:v>
      </x:c>
      <x:c r="J396"/>
      <x:c r="K396" s="4"/>
      <x:c r="L396" s="4"/>
      <x:c r="M396" s="4"/>
      <x:c r="N396" s="5"/>
    </x:row>
    <x:row r="397" ht="24" customHeight="1">
      <x:c r="A397" s="1" t="str">
        <x:v>RESULT</x:v>
      </x:c>
      <x:c r="B397" s="1" t="str">
        <x:v>Round1</x:v>
      </x:c>
      <x:c r="C397" s="1" t="str">
        <x:v>JacksonDatabind_101</x:v>
      </x:c>
      <x:c r="D397" s="1" t="str">
        <x:v>NOT_AVAILABLE</x:v>
      </x:c>
      <x:c r="E397" s="5"/>
      <x:c r="F397" s="4" t="n">
        <x:v>0</x:v>
      </x:c>
      <x:c r="G397" s="4"/>
      <x:c r="H397" s="6"/>
      <x:c r="I397" s="16" t="n">
        <x:v>1</x:v>
      </x:c>
      <x:c r="J397"/>
      <x:c r="K397" s="4"/>
      <x:c r="L397" s="4"/>
      <x:c r="M397" s="4"/>
      <x:c r="N397" s="5"/>
    </x:row>
    <x:row r="398" ht="24" customHeight="1">
      <x:c r="A398" s="1" t="str">
        <x:v>RESULT</x:v>
      </x:c>
      <x:c r="B398" s="1" t="str">
        <x:v>Round1</x:v>
      </x:c>
      <x:c r="C398" s="1" t="str">
        <x:v>JacksonDatabind_102</x:v>
      </x:c>
      <x:c r="D398" s="1" t="str">
        <x:v>NOT_AVAILABLE</x:v>
      </x:c>
      <x:c r="E398" s="5"/>
      <x:c r="F398" s="4" t="n">
        <x:v>0</x:v>
      </x:c>
      <x:c r="G398" s="4"/>
      <x:c r="H398" s="6"/>
      <x:c r="I398" s="16" t="n">
        <x:v>1</x:v>
      </x:c>
      <x:c r="J398"/>
      <x:c r="K398" s="4"/>
      <x:c r="L398" s="4"/>
      <x:c r="M398" s="4"/>
      <x:c r="N398" s="5"/>
    </x:row>
    <x:row r="399" ht="24" customHeight="1">
      <x:c r="A399" s="1" t="str">
        <x:v>RESULT</x:v>
      </x:c>
      <x:c r="B399" s="1" t="str">
        <x:v>Round1</x:v>
      </x:c>
      <x:c r="C399" s="1" t="str">
        <x:v>JacksonDatabind_103</x:v>
      </x:c>
      <x:c r="D399" s="1" t="str">
        <x:v>NOT_AVAILABLE</x:v>
      </x:c>
      <x:c r="E399" s="5"/>
      <x:c r="F399" s="4" t="n">
        <x:v>0</x:v>
      </x:c>
      <x:c r="G399" s="4"/>
      <x:c r="H399" s="6"/>
      <x:c r="I399" s="16" t="n">
        <x:v>1</x:v>
      </x:c>
      <x:c r="J399"/>
      <x:c r="K399" s="4"/>
      <x:c r="L399" s="4"/>
      <x:c r="M399" s="4"/>
      <x:c r="N399" s="5"/>
    </x:row>
    <x:row r="400" ht="24" customHeight="1">
      <x:c r="A400" s="1" t="str">
        <x:v>RESULT</x:v>
      </x:c>
      <x:c r="B400" s="1" t="str">
        <x:v>Round1</x:v>
      </x:c>
      <x:c r="C400" s="1" t="str">
        <x:v>JacksonDatabind_104</x:v>
      </x:c>
      <x:c r="D400" s="1" t="str">
        <x:v>NOT_REVEALING</x:v>
      </x:c>
      <x:c r="E400" s="5" t="n">
        <x:v>0.0662</x:v>
      </x:c>
      <x:c r="F400" s="4" t="n">
        <x:v>0</x:v>
      </x:c>
      <x:c r="G400" s="4"/>
      <x:c r="H400" s="6"/>
      <x:c r="I400" s="16" t="n">
        <x:v>1</x:v>
      </x:c>
      <x:c r="J400" t="n">
        <x:v>272</x:v>
      </x:c>
      <x:c r="K400" s="4" t="n">
        <x:v>18</x:v>
      </x:c>
      <x:c r="L400" s="4" t="n">
        <x:v>123</x:v>
      </x:c>
      <x:c r="M400" s="4" t="n">
        <x:v>0</x:v>
      </x:c>
      <x:c r="N400" s="5" t="n">
        <x:v>0</x:v>
      </x:c>
    </x:row>
    <x:row r="401" ht="24" customHeight="1">
      <x:c r="A401" s="1" t="str">
        <x:v>RESULT</x:v>
      </x:c>
      <x:c r="B401" s="1" t="str">
        <x:v>Round1</x:v>
      </x:c>
      <x:c r="C401" s="1" t="str">
        <x:v>JacksonDatabind_105</x:v>
      </x:c>
      <x:c r="D401" s="1" t="str">
        <x:v>NOT_REVEALING</x:v>
      </x:c>
      <x:c r="E401" s="5" t="n">
        <x:v>1</x:v>
      </x:c>
      <x:c r="F401" s="4" t="n">
        <x:v>0</x:v>
      </x:c>
      <x:c r="G401" s="4" t="n">
        <x:v>4224</x:v>
      </x:c>
      <x:c r="H401" s="6" t="n">
        <x:v>18.83</x:v>
      </x:c>
      <x:c r="I401" s="16" t="n">
        <x:v>1</x:v>
      </x:c>
      <x:c r="J401" t="n">
        <x:v>19</x:v>
      </x:c>
      <x:c r="K401" s="4" t="n">
        <x:v>19</x:v>
      </x:c>
      <x:c r="L401" s="4" t="n">
        <x:v>12</x:v>
      </x:c>
      <x:c r="M401" s="4" t="n">
        <x:v>12</x:v>
      </x:c>
      <x:c r="N401" s="5" t="n">
        <x:v>1</x:v>
      </x:c>
    </x:row>
    <x:row r="402" ht="24" customHeight="1">
      <x:c r="A402" s="1" t="str">
        <x:v>RESULT</x:v>
      </x:c>
      <x:c r="B402" s="1" t="str">
        <x:v>Round1</x:v>
      </x:c>
      <x:c r="C402" s="1" t="str">
        <x:v>JacksonDatabind_106</x:v>
      </x:c>
      <x:c r="D402" s="1" t="str">
        <x:v>NOT_AVAILABLE</x:v>
      </x:c>
      <x:c r="E402" s="5"/>
      <x:c r="F402" s="4" t="n">
        <x:v>0</x:v>
      </x:c>
      <x:c r="G402" s="4"/>
      <x:c r="H402" s="6"/>
      <x:c r="I402" s="16" t="n">
        <x:v>1</x:v>
      </x:c>
      <x:c r="J402"/>
      <x:c r="K402" s="4"/>
      <x:c r="L402" s="4"/>
      <x:c r="M402" s="4"/>
      <x:c r="N402" s="5"/>
    </x:row>
    <x:row r="403" ht="24" customHeight="1">
      <x:c r="A403" s="1" t="str">
        <x:v>RESULT</x:v>
      </x:c>
      <x:c r="B403" s="1" t="str">
        <x:v>Round1</x:v>
      </x:c>
      <x:c r="C403" s="1" t="str">
        <x:v>JacksonDatabind_107</x:v>
      </x:c>
      <x:c r="D403" s="1" t="str">
        <x:v>NOT_REVEALING</x:v>
      </x:c>
      <x:c r="E403" s="5" t="n">
        <x:v>0</x:v>
      </x:c>
      <x:c r="F403" s="4" t="n">
        <x:v>0</x:v>
      </x:c>
      <x:c r="G403" s="4"/>
      <x:c r="H403" s="6"/>
      <x:c r="I403" s="16" t="n">
        <x:v>1</x:v>
      </x:c>
      <x:c r="J403" t="n">
        <x:v>77</x:v>
      </x:c>
      <x:c r="K403" s="4" t="n">
        <x:v>0</x:v>
      </x:c>
      <x:c r="L403" s="4" t="n">
        <x:v>32</x:v>
      </x:c>
      <x:c r="M403" s="4" t="n">
        <x:v>0</x:v>
      </x:c>
      <x:c r="N403" s="5" t="n">
        <x:v>0</x:v>
      </x:c>
    </x:row>
    <x:row r="404" ht="24" customHeight="1">
      <x:c r="A404" s="1" t="str">
        <x:v>RESULT</x:v>
      </x:c>
      <x:c r="B404" s="1" t="str">
        <x:v>Round1</x:v>
      </x:c>
      <x:c r="C404" s="1" t="str">
        <x:v>JacksonDatabind_108</x:v>
      </x:c>
      <x:c r="D404" s="1" t="str">
        <x:v>NOT_REVEALING</x:v>
      </x:c>
      <x:c r="E404" s="5" t="n">
        <x:v>0.0023</x:v>
      </x:c>
      <x:c r="F404" s="4" t="n">
        <x:v>0</x:v>
      </x:c>
      <x:c r="G404" s="4"/>
      <x:c r="H404" s="6"/>
      <x:c r="I404" s="16" t="n">
        <x:v>1</x:v>
      </x:c>
      <x:c r="J404" t="n">
        <x:v>433</x:v>
      </x:c>
      <x:c r="K404" s="4" t="n">
        <x:v>1</x:v>
      </x:c>
      <x:c r="L404" s="4" t="n">
        <x:v>182</x:v>
      </x:c>
      <x:c r="M404" s="4" t="n">
        <x:v>0</x:v>
      </x:c>
      <x:c r="N404" s="5" t="n">
        <x:v>0</x:v>
      </x:c>
    </x:row>
    <x:row r="405" ht="24" customHeight="1">
      <x:c r="A405" s="1" t="str">
        <x:v>RESULT</x:v>
      </x:c>
      <x:c r="B405" s="1" t="str">
        <x:v>Round1</x:v>
      </x:c>
      <x:c r="C405" s="1" t="str">
        <x:v>JacksonDatabind_109</x:v>
      </x:c>
      <x:c r="D405" s="1" t="str">
        <x:v>NOT_AVAILABLE</x:v>
      </x:c>
      <x:c r="E405" s="5"/>
      <x:c r="F405" s="4" t="n">
        <x:v>0</x:v>
      </x:c>
      <x:c r="G405" s="4" t="n">
        <x:v>11571</x:v>
      </x:c>
      <x:c r="H405" s="6" t="n">
        <x:v>54.59</x:v>
      </x:c>
      <x:c r="I405" s="16" t="n">
        <x:v>1</x:v>
      </x:c>
      <x:c r="J405"/>
      <x:c r="K405" s="4"/>
      <x:c r="L405" s="4"/>
      <x:c r="M405" s="4"/>
      <x:c r="N405" s="5"/>
    </x:row>
    <x:row r="406" ht="24" customHeight="1">
      <x:c r="A406" s="1" t="str">
        <x:v>RESULT</x:v>
      </x:c>
      <x:c r="B406" s="1" t="str">
        <x:v>Round1</x:v>
      </x:c>
      <x:c r="C406" s="1" t="str">
        <x:v>JacksonDatabind_11</x:v>
      </x:c>
      <x:c r="D406" s="1" t="str">
        <x:v>NOT_REVEALING</x:v>
      </x:c>
      <x:c r="E406" s="5" t="n">
        <x:v>0.0344</x:v>
      </x:c>
      <x:c r="F406" s="4" t="n">
        <x:v>0</x:v>
      </x:c>
      <x:c r="G406" s="4"/>
      <x:c r="H406" s="6"/>
      <x:c r="I406" s="16" t="n">
        <x:v>1</x:v>
      </x:c>
      <x:c r="J406" t="n">
        <x:v>320</x:v>
      </x:c>
      <x:c r="K406" s="4" t="n">
        <x:v>11</x:v>
      </x:c>
      <x:c r="L406" s="4" t="n">
        <x:v>198</x:v>
      </x:c>
      <x:c r="M406" s="4" t="n">
        <x:v>0</x:v>
      </x:c>
      <x:c r="N406" s="5" t="n">
        <x:v>0</x:v>
      </x:c>
    </x:row>
    <x:row r="407" ht="24" customHeight="1">
      <x:c r="A407" s="1" t="str">
        <x:v>RESULT</x:v>
      </x:c>
      <x:c r="B407" s="1" t="str">
        <x:v>Round1</x:v>
      </x:c>
      <x:c r="C407" s="1" t="str">
        <x:v>JacksonDatabind_110</x:v>
      </x:c>
      <x:c r="D407" s="1" t="str">
        <x:v>INCONCLUSIVE</x:v>
      </x:c>
      <x:c r="E407" s="5" t="n">
        <x:v>0.18969999999999998</x:v>
      </x:c>
      <x:c r="F407" s="4" t="n">
        <x:v>0</x:v>
      </x:c>
      <x:c r="G407" s="4"/>
      <x:c r="H407" s="6"/>
      <x:c r="I407" s="16" t="n">
        <x:v>1</x:v>
      </x:c>
      <x:c r="J407" t="n">
        <x:v>58</x:v>
      </x:c>
      <x:c r="K407" s="4" t="n">
        <x:v>11</x:v>
      </x:c>
      <x:c r="L407" s="4" t="n">
        <x:v>25</x:v>
      </x:c>
      <x:c r="M407" s="4" t="n">
        <x:v>0</x:v>
      </x:c>
      <x:c r="N407" s="5" t="n">
        <x:v>0</x:v>
      </x:c>
    </x:row>
    <x:row r="408" ht="24" customHeight="1">
      <x:c r="A408" s="1" t="str">
        <x:v>RESULT</x:v>
      </x:c>
      <x:c r="B408" s="1" t="str">
        <x:v>Round1</x:v>
      </x:c>
      <x:c r="C408" s="1" t="str">
        <x:v>JacksonDatabind_111</x:v>
      </x:c>
      <x:c r="D408" s="1" t="str">
        <x:v>NOT_AVAILABLE</x:v>
      </x:c>
      <x:c r="E408" s="5"/>
      <x:c r="F408" s="4" t="n">
        <x:v>0</x:v>
      </x:c>
      <x:c r="G408" s="4" t="n">
        <x:v>58937</x:v>
      </x:c>
      <x:c r="H408" s="6" t="n">
        <x:v>269.25</x:v>
      </x:c>
      <x:c r="I408" s="16" t="n">
        <x:v>1</x:v>
      </x:c>
      <x:c r="J408"/>
      <x:c r="K408" s="4"/>
      <x:c r="L408" s="4"/>
      <x:c r="M408" s="4"/>
      <x:c r="N408" s="5"/>
    </x:row>
    <x:row r="409" ht="24" customHeight="1">
      <x:c r="A409" s="1" t="str">
        <x:v>RESULT</x:v>
      </x:c>
      <x:c r="B409" s="1" t="str">
        <x:v>Round1</x:v>
      </x:c>
      <x:c r="C409" s="1" t="str">
        <x:v>JacksonDatabind_112</x:v>
      </x:c>
      <x:c r="D409" s="1" t="str">
        <x:v>NOT_REVEALING</x:v>
      </x:c>
      <x:c r="E409" s="5" t="n">
        <x:v>0.6591</x:v>
      </x:c>
      <x:c r="F409" s="4" t="n">
        <x:v>0</x:v>
      </x:c>
      <x:c r="G409" s="4"/>
      <x:c r="H409" s="6"/>
      <x:c r="I409" s="16" t="n">
        <x:v>1</x:v>
      </x:c>
      <x:c r="J409" t="n">
        <x:v>88</x:v>
      </x:c>
      <x:c r="K409" s="4" t="n">
        <x:v>58</x:v>
      </x:c>
      <x:c r="L409" s="4" t="n">
        <x:v>58</x:v>
      </x:c>
      <x:c r="M409" s="4" t="n">
        <x:v>25</x:v>
      </x:c>
      <x:c r="N409" s="5" t="n">
        <x:v>0.431</x:v>
      </x:c>
    </x:row>
    <x:row r="410" ht="24" customHeight="1">
      <x:c r="A410" s="1" t="str">
        <x:v>RESULT</x:v>
      </x:c>
      <x:c r="B410" s="1" t="str">
        <x:v>Round1</x:v>
      </x:c>
      <x:c r="C410" s="1" t="str">
        <x:v>JacksonDatabind_12</x:v>
      </x:c>
      <x:c r="D410" s="1" t="str">
        <x:v>NOT_REVEALING</x:v>
      </x:c>
      <x:c r="E410" s="5" t="n">
        <x:v>0</x:v>
      </x:c>
      <x:c r="F410" s="4" t="n">
        <x:v>0</x:v>
      </x:c>
      <x:c r="G410" s="4"/>
      <x:c r="H410" s="6"/>
      <x:c r="I410" s="16" t="n">
        <x:v>1</x:v>
      </x:c>
      <x:c r="J410" t="n">
        <x:v>262</x:v>
      </x:c>
      <x:c r="K410" s="4" t="n">
        <x:v>0</x:v>
      </x:c>
      <x:c r="L410" s="4" t="n">
        <x:v>142</x:v>
      </x:c>
      <x:c r="M410" s="4" t="n">
        <x:v>0</x:v>
      </x:c>
      <x:c r="N410" s="5" t="n">
        <x:v>0</x:v>
      </x:c>
    </x:row>
    <x:row r="411" ht="24" customHeight="1">
      <x:c r="A411" s="1" t="str">
        <x:v>RESULT</x:v>
      </x:c>
      <x:c r="B411" s="1" t="str">
        <x:v>Round1</x:v>
      </x:c>
      <x:c r="C411" s="1" t="str">
        <x:v>JacksonDatabind_13</x:v>
      </x:c>
      <x:c r="D411" s="1" t="str">
        <x:v>NOT_AVAILABLE</x:v>
      </x:c>
      <x:c r="E411" s="5"/>
      <x:c r="F411" s="4" t="n">
        <x:v>0</x:v>
      </x:c>
      <x:c r="G411" s="4" t="n">
        <x:v>10896</x:v>
      </x:c>
      <x:c r="H411" s="6" t="n">
        <x:v>49.44</x:v>
      </x:c>
      <x:c r="I411" s="16" t="n">
        <x:v>1</x:v>
      </x:c>
      <x:c r="J411"/>
      <x:c r="K411" s="4"/>
      <x:c r="L411" s="4"/>
      <x:c r="M411" s="4"/>
      <x:c r="N411" s="5"/>
    </x:row>
    <x:row r="412" ht="24" customHeight="1">
      <x:c r="A412" s="1" t="str">
        <x:v>RESULT</x:v>
      </x:c>
      <x:c r="B412" s="1" t="str">
        <x:v>Round1</x:v>
      </x:c>
      <x:c r="C412" s="1" t="str">
        <x:v>JacksonDatabind_14</x:v>
      </x:c>
      <x:c r="D412" s="1" t="str">
        <x:v>NOT_REVEALING</x:v>
      </x:c>
      <x:c r="E412" s="5" t="n">
        <x:v>0.0026</x:v>
      </x:c>
      <x:c r="F412" s="4" t="n">
        <x:v>0</x:v>
      </x:c>
      <x:c r="G412" s="4"/>
      <x:c r="H412" s="6"/>
      <x:c r="I412" s="16" t="n">
        <x:v>1</x:v>
      </x:c>
      <x:c r="J412" t="n">
        <x:v>382</x:v>
      </x:c>
      <x:c r="K412" s="4" t="n">
        <x:v>1</x:v>
      </x:c>
      <x:c r="L412" s="4" t="n">
        <x:v>150</x:v>
      </x:c>
      <x:c r="M412" s="4" t="n">
        <x:v>0</x:v>
      </x:c>
      <x:c r="N412" s="5" t="n">
        <x:v>0</x:v>
      </x:c>
    </x:row>
    <x:row r="413" ht="24" customHeight="1">
      <x:c r="A413" s="1" t="str">
        <x:v>RESULT</x:v>
      </x:c>
      <x:c r="B413" s="1" t="str">
        <x:v>Round1</x:v>
      </x:c>
      <x:c r="C413" s="1" t="str">
        <x:v>JacksonDatabind_15</x:v>
      </x:c>
      <x:c r="D413" s="1" t="str">
        <x:v>NOT_AVAILABLE</x:v>
      </x:c>
      <x:c r="E413" s="5"/>
      <x:c r="F413" s="4" t="n">
        <x:v>0</x:v>
      </x:c>
      <x:c r="G413" s="4"/>
      <x:c r="H413" s="6"/>
      <x:c r="I413" s="16" t="n">
        <x:v>1</x:v>
      </x:c>
      <x:c r="J413"/>
      <x:c r="K413" s="4"/>
      <x:c r="L413" s="4"/>
      <x:c r="M413" s="4"/>
      <x:c r="N413" s="5"/>
    </x:row>
    <x:row r="414" ht="24" customHeight="1">
      <x:c r="A414" s="1" t="str">
        <x:v>RESULT</x:v>
      </x:c>
      <x:c r="B414" s="1" t="str">
        <x:v>Round1</x:v>
      </x:c>
      <x:c r="C414" s="1" t="str">
        <x:v>JacksonDatabind_16</x:v>
      </x:c>
      <x:c r="D414" s="1" t="str">
        <x:v>INCONCLUSIVE</x:v>
      </x:c>
      <x:c r="E414" s="5" t="n">
        <x:v>1</x:v>
      </x:c>
      <x:c r="F414" s="4" t="n">
        <x:v>0</x:v>
      </x:c>
      <x:c r="G414" s="4" t="n">
        <x:v>5878</x:v>
      </x:c>
      <x:c r="H414" s="6" t="n">
        <x:v>21.09</x:v>
      </x:c>
      <x:c r="I414" s="16" t="n">
        <x:v>1</x:v>
      </x:c>
      <x:c r="J414" t="n">
        <x:v>35</x:v>
      </x:c>
      <x:c r="K414" s="4" t="n">
        <x:v>35</x:v>
      </x:c>
      <x:c r="L414" s="4" t="n">
        <x:v>36</x:v>
      </x:c>
      <x:c r="M414" s="4" t="n">
        <x:v>36</x:v>
      </x:c>
      <x:c r="N414" s="5" t="n">
        <x:v>1</x:v>
      </x:c>
    </x:row>
    <x:row r="415" ht="24" customHeight="1">
      <x:c r="A415" s="1" t="str">
        <x:v>RESULT</x:v>
      </x:c>
      <x:c r="B415" s="1" t="str">
        <x:v>Round1</x:v>
      </x:c>
      <x:c r="C415" s="1" t="str">
        <x:v>JacksonDatabind_17</x:v>
      </x:c>
      <x:c r="D415" s="1" t="str">
        <x:v>INCONCLUSIVE</x:v>
      </x:c>
      <x:c r="E415" s="5" t="n">
        <x:v>0.015700000000000002</x:v>
      </x:c>
      <x:c r="F415" s="4" t="n">
        <x:v>0</x:v>
      </x:c>
      <x:c r="G415" s="4"/>
      <x:c r="H415" s="6"/>
      <x:c r="I415" s="16" t="n">
        <x:v>1</x:v>
      </x:c>
      <x:c r="J415" t="n">
        <x:v>638</x:v>
      </x:c>
      <x:c r="K415" s="4" t="n">
        <x:v>10</x:v>
      </x:c>
      <x:c r="L415" s="4" t="n">
        <x:v>192</x:v>
      </x:c>
      <x:c r="M415" s="4" t="n">
        <x:v>0</x:v>
      </x:c>
      <x:c r="N415" s="5" t="n">
        <x:v>0</x:v>
      </x:c>
    </x:row>
    <x:row r="416" ht="24" customHeight="1">
      <x:c r="A416" s="1" t="str">
        <x:v>RESULT</x:v>
      </x:c>
      <x:c r="B416" s="1" t="str">
        <x:v>Round1</x:v>
      </x:c>
      <x:c r="C416" s="1" t="str">
        <x:v>JacksonDatabind_18</x:v>
      </x:c>
      <x:c r="D416" s="1" t="str">
        <x:v>NOT_REVEALING</x:v>
      </x:c>
      <x:c r="E416" s="5" t="n">
        <x:v>0.1618</x:v>
      </x:c>
      <x:c r="F416" s="4" t="n">
        <x:v>0</x:v>
      </x:c>
      <x:c r="G416" s="4"/>
      <x:c r="H416" s="6"/>
      <x:c r="I416" s="16" t="n">
        <x:v>1</x:v>
      </x:c>
      <x:c r="J416" t="n">
        <x:v>68</x:v>
      </x:c>
      <x:c r="K416" s="4" t="n">
        <x:v>11</x:v>
      </x:c>
      <x:c r="L416" s="4" t="n">
        <x:v>34</x:v>
      </x:c>
      <x:c r="M416" s="4" t="n">
        <x:v>2</x:v>
      </x:c>
      <x:c r="N416" s="5" t="n">
        <x:v>0.0588</x:v>
      </x:c>
    </x:row>
    <x:row r="417" ht="24" customHeight="1">
      <x:c r="A417" s="1" t="str">
        <x:v>RESULT</x:v>
      </x:c>
      <x:c r="B417" s="1" t="str">
        <x:v>Round1</x:v>
      </x:c>
      <x:c r="C417" s="1" t="str">
        <x:v>JacksonDatabind_19</x:v>
      </x:c>
      <x:c r="D417" s="1" t="str">
        <x:v>NOT_REVEALING</x:v>
      </x:c>
      <x:c r="E417" s="5" t="n">
        <x:v>0.0317</x:v>
      </x:c>
      <x:c r="F417" s="4" t="n">
        <x:v>0</x:v>
      </x:c>
      <x:c r="G417" s="4"/>
      <x:c r="H417" s="6"/>
      <x:c r="I417" s="16" t="n">
        <x:v>1</x:v>
      </x:c>
      <x:c r="J417" t="n">
        <x:v>347</x:v>
      </x:c>
      <x:c r="K417" s="4" t="n">
        <x:v>11</x:v>
      </x:c>
      <x:c r="L417" s="4" t="n">
        <x:v>230</x:v>
      </x:c>
      <x:c r="M417" s="4" t="n">
        <x:v>0</x:v>
      </x:c>
      <x:c r="N417" s="5" t="n">
        <x:v>0</x:v>
      </x:c>
    </x:row>
    <x:row r="418" ht="24" customHeight="1">
      <x:c r="A418" s="1" t="str">
        <x:v>RESULT</x:v>
      </x:c>
      <x:c r="B418" s="1" t="str">
        <x:v>Round1</x:v>
      </x:c>
      <x:c r="C418" s="1" t="str">
        <x:v>JacksonDatabind_2</x:v>
      </x:c>
      <x:c r="D418" s="1" t="str">
        <x:v>NOT_REVEALING</x:v>
      </x:c>
      <x:c r="E418" s="5" t="n">
        <x:v>0.32789999999999997</x:v>
      </x:c>
      <x:c r="F418" s="4" t="n">
        <x:v>0</x:v>
      </x:c>
      <x:c r="G418" s="4"/>
      <x:c r="H418" s="6"/>
      <x:c r="I418" s="16" t="n">
        <x:v>1</x:v>
      </x:c>
      <x:c r="J418" t="n">
        <x:v>610</x:v>
      </x:c>
      <x:c r="K418" s="4" t="n">
        <x:v>200</x:v>
      </x:c>
      <x:c r="L418" s="4" t="n">
        <x:v>298</x:v>
      </x:c>
      <x:c r="M418" s="4" t="n">
        <x:v>66</x:v>
      </x:c>
      <x:c r="N418" s="5" t="n">
        <x:v>0.22149999999999997</x:v>
      </x:c>
    </x:row>
    <x:row r="419" ht="24" customHeight="1">
      <x:c r="A419" s="1" t="str">
        <x:v>RESULT</x:v>
      </x:c>
      <x:c r="B419" s="1" t="str">
        <x:v>Round1</x:v>
      </x:c>
      <x:c r="C419" s="1" t="str">
        <x:v>JacksonDatabind_20</x:v>
      </x:c>
      <x:c r="D419" s="1" t="str">
        <x:v>NOT_REVEALING</x:v>
      </x:c>
      <x:c r="E419" s="5" t="n">
        <x:v>0</x:v>
      </x:c>
      <x:c r="F419" s="4" t="n">
        <x:v>0</x:v>
      </x:c>
      <x:c r="G419" s="4"/>
      <x:c r="H419" s="6"/>
      <x:c r="I419" s="16" t="n">
        <x:v>1</x:v>
      </x:c>
      <x:c r="J419" t="n">
        <x:v>186</x:v>
      </x:c>
      <x:c r="K419" s="4" t="n">
        <x:v>0</x:v>
      </x:c>
      <x:c r="L419" s="4" t="n">
        <x:v>84</x:v>
      </x:c>
      <x:c r="M419" s="4" t="n">
        <x:v>0</x:v>
      </x:c>
      <x:c r="N419" s="5" t="n">
        <x:v>0</x:v>
      </x:c>
    </x:row>
    <x:row r="420" ht="24" customHeight="1">
      <x:c r="A420" s="1" t="str">
        <x:v>RESULT</x:v>
      </x:c>
      <x:c r="B420" s="1" t="str">
        <x:v>Round1</x:v>
      </x:c>
      <x:c r="C420" s="1" t="str">
        <x:v>JacksonDatabind_21</x:v>
      </x:c>
      <x:c r="D420" s="1" t="str">
        <x:v>NOT_REVEALING</x:v>
      </x:c>
      <x:c r="E420" s="5" t="n">
        <x:v>0</x:v>
      </x:c>
      <x:c r="F420" s="4" t="n">
        <x:v>0</x:v>
      </x:c>
      <x:c r="G420" s="4"/>
      <x:c r="H420" s="6"/>
      <x:c r="I420" s="16" t="n">
        <x:v>1</x:v>
      </x:c>
      <x:c r="J420" t="n">
        <x:v>333</x:v>
      </x:c>
      <x:c r="K420" s="4" t="n">
        <x:v>0</x:v>
      </x:c>
      <x:c r="L420" s="4" t="n">
        <x:v>249</x:v>
      </x:c>
      <x:c r="M420" s="4" t="n">
        <x:v>0</x:v>
      </x:c>
      <x:c r="N420" s="5" t="n">
        <x:v>0</x:v>
      </x:c>
    </x:row>
    <x:row r="421" ht="24" customHeight="1">
      <x:c r="A421" s="1" t="str">
        <x:v>RESULT</x:v>
      </x:c>
      <x:c r="B421" s="1" t="str">
        <x:v>Round1</x:v>
      </x:c>
      <x:c r="C421" s="1" t="str">
        <x:v>JacksonDatabind_22</x:v>
      </x:c>
      <x:c r="D421" s="1" t="str">
        <x:v>NOT_AVAILABLE</x:v>
      </x:c>
      <x:c r="E421" s="5"/>
      <x:c r="F421" s="4" t="n">
        <x:v>0</x:v>
      </x:c>
      <x:c r="G421" s="4"/>
      <x:c r="H421" s="6"/>
      <x:c r="I421" s="16" t="n">
        <x:v>1</x:v>
      </x:c>
      <x:c r="J421"/>
      <x:c r="K421" s="4"/>
      <x:c r="L421" s="4"/>
      <x:c r="M421" s="4"/>
      <x:c r="N421" s="5"/>
    </x:row>
    <x:row r="422" ht="24" customHeight="1">
      <x:c r="A422" s="1" t="str">
        <x:v>RESULT</x:v>
      </x:c>
      <x:c r="B422" s="1" t="str">
        <x:v>Round1</x:v>
      </x:c>
      <x:c r="C422" s="1" t="str">
        <x:v>JacksonDatabind_23</x:v>
      </x:c>
      <x:c r="D422" s="1" t="str">
        <x:v>INCONCLUSIVE</x:v>
      </x:c>
      <x:c r="E422" s="5" t="n">
        <x:v>0</x:v>
      </x:c>
      <x:c r="F422" s="4" t="n">
        <x:v>0</x:v>
      </x:c>
      <x:c r="G422" s="4"/>
      <x:c r="H422" s="6"/>
      <x:c r="I422" s="16" t="n">
        <x:v>1</x:v>
      </x:c>
      <x:c r="J422" t="n">
        <x:v>73</x:v>
      </x:c>
      <x:c r="K422" s="4" t="n">
        <x:v>0</x:v>
      </x:c>
      <x:c r="L422" s="4" t="n">
        <x:v>20</x:v>
      </x:c>
      <x:c r="M422" s="4" t="n">
        <x:v>0</x:v>
      </x:c>
      <x:c r="N422" s="5" t="n">
        <x:v>0</x:v>
      </x:c>
    </x:row>
    <x:row r="423" ht="24" customHeight="1">
      <x:c r="A423" s="1" t="str">
        <x:v>RESULT</x:v>
      </x:c>
      <x:c r="B423" s="1" t="str">
        <x:v>Round1</x:v>
      </x:c>
      <x:c r="C423" s="1" t="str">
        <x:v>JacksonDatabind_24</x:v>
      </x:c>
      <x:c r="D423" s="1" t="str">
        <x:v>NOT_REVEALING</x:v>
      </x:c>
      <x:c r="E423" s="5" t="n">
        <x:v>0</x:v>
      </x:c>
      <x:c r="F423" s="4" t="n">
        <x:v>0</x:v>
      </x:c>
      <x:c r="G423" s="4"/>
      <x:c r="H423" s="6"/>
      <x:c r="I423" s="16" t="n">
        <x:v>1</x:v>
      </x:c>
      <x:c r="J423" t="n">
        <x:v>67</x:v>
      </x:c>
      <x:c r="K423" s="4" t="n">
        <x:v>0</x:v>
      </x:c>
      <x:c r="L423" s="4" t="n">
        <x:v>26</x:v>
      </x:c>
      <x:c r="M423" s="4" t="n">
        <x:v>0</x:v>
      </x:c>
      <x:c r="N423" s="5" t="n">
        <x:v>0</x:v>
      </x:c>
    </x:row>
    <x:row r="424" ht="24" customHeight="1">
      <x:c r="A424" s="1" t="str">
        <x:v>RESULT</x:v>
      </x:c>
      <x:c r="B424" s="1" t="str">
        <x:v>Round1</x:v>
      </x:c>
      <x:c r="C424" s="1" t="str">
        <x:v>JacksonDatabind_25</x:v>
      </x:c>
      <x:c r="D424" s="1" t="str">
        <x:v>INCONCLUSIVE</x:v>
      </x:c>
      <x:c r="E424" s="5" t="n">
        <x:v>0.0161</x:v>
      </x:c>
      <x:c r="F424" s="4" t="n">
        <x:v>0</x:v>
      </x:c>
      <x:c r="G424" s="4" t="n">
        <x:v>6461</x:v>
      </x:c>
      <x:c r="H424" s="6" t="n">
        <x:v>29.84</x:v>
      </x:c>
      <x:c r="I424" s="16" t="n">
        <x:v>1</x:v>
      </x:c>
      <x:c r="J424" t="n">
        <x:v>1058</x:v>
      </x:c>
      <x:c r="K424" s="4" t="n">
        <x:v>17</x:v>
      </x:c>
      <x:c r="L424" s="4" t="n">
        <x:v>770</x:v>
      </x:c>
      <x:c r="M424" s="4" t="n">
        <x:v>8</x:v>
      </x:c>
      <x:c r="N424" s="5" t="n">
        <x:v>0.0104</x:v>
      </x:c>
    </x:row>
    <x:row r="425" ht="24" customHeight="1">
      <x:c r="A425" s="1" t="str">
        <x:v>RESULT</x:v>
      </x:c>
      <x:c r="B425" s="1" t="str">
        <x:v>Round1</x:v>
      </x:c>
      <x:c r="C425" s="1" t="str">
        <x:v>JacksonDatabind_26</x:v>
      </x:c>
      <x:c r="D425" s="1" t="str">
        <x:v>NOT_REVEALING</x:v>
      </x:c>
      <x:c r="E425" s="5" t="n">
        <x:v>0.2884</x:v>
      </x:c>
      <x:c r="F425" s="4" t="n">
        <x:v>0</x:v>
      </x:c>
      <x:c r="G425" s="4"/>
      <x:c r="H425" s="6"/>
      <x:c r="I425" s="16" t="n">
        <x:v>1</x:v>
      </x:c>
      <x:c r="J425" t="n">
        <x:v>267</x:v>
      </x:c>
      <x:c r="K425" s="4" t="n">
        <x:v>77</x:v>
      </x:c>
      <x:c r="L425" s="4" t="n">
        <x:v>148</x:v>
      </x:c>
      <x:c r="M425" s="4" t="n">
        <x:v>22</x:v>
      </x:c>
      <x:c r="N425" s="5" t="n">
        <x:v>0.14859999999999998</x:v>
      </x:c>
    </x:row>
    <x:row r="426" ht="24" customHeight="1">
      <x:c r="A426" s="1" t="str">
        <x:v>RESULT</x:v>
      </x:c>
      <x:c r="B426" s="1" t="str">
        <x:v>Round1</x:v>
      </x:c>
      <x:c r="C426" s="1" t="str">
        <x:v>JacksonDatabind_27</x:v>
      </x:c>
      <x:c r="D426" s="1" t="str">
        <x:v>NOT_AVAILABLE</x:v>
      </x:c>
      <x:c r="E426" s="5"/>
      <x:c r="F426" s="4" t="n">
        <x:v>0</x:v>
      </x:c>
      <x:c r="G426" s="4"/>
      <x:c r="H426" s="6"/>
      <x:c r="I426" s="16" t="n">
        <x:v>1</x:v>
      </x:c>
      <x:c r="J426"/>
      <x:c r="K426" s="4"/>
      <x:c r="L426" s="4"/>
      <x:c r="M426" s="4"/>
      <x:c r="N426" s="5"/>
    </x:row>
    <x:row r="427" ht="24" customHeight="1">
      <x:c r="A427" s="1" t="str">
        <x:v>RESULT</x:v>
      </x:c>
      <x:c r="B427" s="1" t="str">
        <x:v>Round1</x:v>
      </x:c>
      <x:c r="C427" s="1" t="str">
        <x:v>JacksonDatabind_28</x:v>
      </x:c>
      <x:c r="D427" s="1" t="str">
        <x:v>INCONCLUSIVE</x:v>
      </x:c>
      <x:c r="E427" s="5" t="n">
        <x:v>0.0645</x:v>
      </x:c>
      <x:c r="F427" s="4" t="n">
        <x:v>0</x:v>
      </x:c>
      <x:c r="G427" s="4"/>
      <x:c r="H427" s="6"/>
      <x:c r="I427" s="16" t="n">
        <x:v>1</x:v>
      </x:c>
      <x:c r="J427" t="n">
        <x:v>31</x:v>
      </x:c>
      <x:c r="K427" s="4" t="n">
        <x:v>2</x:v>
      </x:c>
      <x:c r="L427" s="4" t="n">
        <x:v>13</x:v>
      </x:c>
      <x:c r="M427" s="4" t="n">
        <x:v>0</x:v>
      </x:c>
      <x:c r="N427" s="5" t="n">
        <x:v>0</x:v>
      </x:c>
    </x:row>
    <x:row r="428" ht="24" customHeight="1">
      <x:c r="A428" s="1" t="str">
        <x:v>RESULT</x:v>
      </x:c>
      <x:c r="B428" s="1" t="str">
        <x:v>Round1</x:v>
      </x:c>
      <x:c r="C428" s="1" t="str">
        <x:v>JacksonDatabind_29</x:v>
      </x:c>
      <x:c r="D428" s="1" t="str">
        <x:v>INCONCLUSIVE</x:v>
      </x:c>
      <x:c r="E428" s="5" t="n">
        <x:v>0</x:v>
      </x:c>
      <x:c r="F428" s="4" t="n">
        <x:v>0</x:v>
      </x:c>
      <x:c r="G428" s="4"/>
      <x:c r="H428" s="6"/>
      <x:c r="I428" s="16" t="n">
        <x:v>1</x:v>
      </x:c>
      <x:c r="J428" t="n">
        <x:v>141</x:v>
      </x:c>
      <x:c r="K428" s="4" t="n">
        <x:v>0</x:v>
      </x:c>
      <x:c r="L428" s="4" t="n">
        <x:v>62</x:v>
      </x:c>
      <x:c r="M428" s="4" t="n">
        <x:v>0</x:v>
      </x:c>
      <x:c r="N428" s="5" t="n">
        <x:v>0</x:v>
      </x:c>
    </x:row>
    <x:row r="429" ht="24" customHeight="1">
      <x:c r="A429" s="1" t="str">
        <x:v>RESULT</x:v>
      </x:c>
      <x:c r="B429" s="1" t="str">
        <x:v>Round1</x:v>
      </x:c>
      <x:c r="C429" s="1" t="str">
        <x:v>JacksonDatabind_3</x:v>
      </x:c>
      <x:c r="D429" s="1" t="str">
        <x:v>NOT_REVEALING</x:v>
      </x:c>
      <x:c r="E429" s="5" t="n">
        <x:v>0.5161</x:v>
      </x:c>
      <x:c r="F429" s="4" t="n">
        <x:v>0</x:v>
      </x:c>
      <x:c r="G429" s="4"/>
      <x:c r="H429" s="6"/>
      <x:c r="I429" s="16" t="n">
        <x:v>1</x:v>
      </x:c>
      <x:c r="J429" t="n">
        <x:v>62</x:v>
      </x:c>
      <x:c r="K429" s="4" t="n">
        <x:v>32</x:v>
      </x:c>
      <x:c r="L429" s="4" t="n">
        <x:v>36</x:v>
      </x:c>
      <x:c r="M429" s="4" t="n">
        <x:v>15</x:v>
      </x:c>
      <x:c r="N429" s="5" t="n">
        <x:v>0.4167</x:v>
      </x:c>
    </x:row>
    <x:row r="430" ht="24" customHeight="1">
      <x:c r="A430" s="1" t="str">
        <x:v>RESULT</x:v>
      </x:c>
      <x:c r="B430" s="1" t="str">
        <x:v>Round1</x:v>
      </x:c>
      <x:c r="C430" s="1" t="str">
        <x:v>JacksonDatabind_30</x:v>
      </x:c>
      <x:c r="D430" s="1" t="str">
        <x:v>INCONCLUSIVE</x:v>
      </x:c>
      <x:c r="E430" s="5" t="n">
        <x:v>0.15689999999999998</x:v>
      </x:c>
      <x:c r="F430" s="4" t="n">
        <x:v>0</x:v>
      </x:c>
      <x:c r="G430" s="4"/>
      <x:c r="H430" s="6"/>
      <x:c r="I430" s="16" t="n">
        <x:v>1</x:v>
      </x:c>
      <x:c r="J430" t="n">
        <x:v>1332</x:v>
      </x:c>
      <x:c r="K430" s="4" t="n">
        <x:v>209</x:v>
      </x:c>
      <x:c r="L430" s="4" t="n">
        <x:v>536</x:v>
      </x:c>
      <x:c r="M430" s="4" t="n">
        <x:v>68</x:v>
      </x:c>
      <x:c r="N430" s="5" t="n">
        <x:v>0.12689999999999999</x:v>
      </x:c>
    </x:row>
    <x:row r="431" ht="24" customHeight="1">
      <x:c r="A431" s="1" t="str">
        <x:v>RESULT</x:v>
      </x:c>
      <x:c r="B431" s="1" t="str">
        <x:v>Round1</x:v>
      </x:c>
      <x:c r="C431" s="1" t="str">
        <x:v>JacksonDatabind_31</x:v>
      </x:c>
      <x:c r="D431" s="1" t="str">
        <x:v>NOT_REVEALING</x:v>
      </x:c>
      <x:c r="E431" s="5" t="n">
        <x:v>0.3069</x:v>
      </x:c>
      <x:c r="F431" s="4" t="n">
        <x:v>0</x:v>
      </x:c>
      <x:c r="G431" s="4"/>
      <x:c r="H431" s="6"/>
      <x:c r="I431" s="16" t="n">
        <x:v>1</x:v>
      </x:c>
      <x:c r="J431" t="n">
        <x:v>655</x:v>
      </x:c>
      <x:c r="K431" s="4" t="n">
        <x:v>201</x:v>
      </x:c>
      <x:c r="L431" s="4" t="n">
        <x:v>342</x:v>
      </x:c>
      <x:c r="M431" s="4" t="n">
        <x:v>68</x:v>
      </x:c>
      <x:c r="N431" s="5" t="n">
        <x:v>0.19879999999999998</x:v>
      </x:c>
    </x:row>
    <x:row r="432" ht="24" customHeight="1">
      <x:c r="A432" s="1" t="str">
        <x:v>RESULT</x:v>
      </x:c>
      <x:c r="B432" s="1" t="str">
        <x:v>Round1</x:v>
      </x:c>
      <x:c r="C432" s="1" t="str">
        <x:v>JacksonDatabind_32</x:v>
      </x:c>
      <x:c r="D432" s="1" t="str">
        <x:v>NOT_REVEALING</x:v>
      </x:c>
      <x:c r="E432" s="5" t="n">
        <x:v>0.0229</x:v>
      </x:c>
      <x:c r="F432" s="4" t="n">
        <x:v>0</x:v>
      </x:c>
      <x:c r="G432" s="4"/>
      <x:c r="H432" s="6"/>
      <x:c r="I432" s="16" t="n">
        <x:v>1</x:v>
      </x:c>
      <x:c r="J432" t="n">
        <x:v>262</x:v>
      </x:c>
      <x:c r="K432" s="4" t="n">
        <x:v>6</x:v>
      </x:c>
      <x:c r="L432" s="4" t="n">
        <x:v>145</x:v>
      </x:c>
      <x:c r="M432" s="4" t="n">
        <x:v>0</x:v>
      </x:c>
      <x:c r="N432" s="5" t="n">
        <x:v>0</x:v>
      </x:c>
    </x:row>
    <x:row r="433" ht="24" customHeight="1">
      <x:c r="A433" s="1" t="str">
        <x:v>RESULT</x:v>
      </x:c>
      <x:c r="B433" s="1" t="str">
        <x:v>Round1</x:v>
      </x:c>
      <x:c r="C433" s="1" t="str">
        <x:v>JacksonDatabind_33</x:v>
      </x:c>
      <x:c r="D433" s="1" t="str">
        <x:v>NOT_REVEALING</x:v>
      </x:c>
      <x:c r="E433" s="5" t="n">
        <x:v>0</x:v>
      </x:c>
      <x:c r="F433" s="4" t="n">
        <x:v>0</x:v>
      </x:c>
      <x:c r="G433" s="4"/>
      <x:c r="H433" s="6"/>
      <x:c r="I433" s="16" t="n">
        <x:v>1</x:v>
      </x:c>
      <x:c r="J433" t="n">
        <x:v>368</x:v>
      </x:c>
      <x:c r="K433" s="4" t="n">
        <x:v>0</x:v>
      </x:c>
      <x:c r="L433" s="4" t="n">
        <x:v>276</x:v>
      </x:c>
      <x:c r="M433" s="4" t="n">
        <x:v>0</x:v>
      </x:c>
      <x:c r="N433" s="5" t="n">
        <x:v>0</x:v>
      </x:c>
    </x:row>
    <x:row r="434" ht="24" customHeight="1">
      <x:c r="A434" s="1" t="str">
        <x:v>RESULT</x:v>
      </x:c>
      <x:c r="B434" s="1" t="str">
        <x:v>Round1</x:v>
      </x:c>
      <x:c r="C434" s="1" t="str">
        <x:v>JacksonDatabind_34</x:v>
      </x:c>
      <x:c r="D434" s="1" t="str">
        <x:v>INCONCLUSIVE</x:v>
      </x:c>
      <x:c r="E434" s="5" t="n">
        <x:v>0.9655</x:v>
      </x:c>
      <x:c r="F434" s="4" t="n">
        <x:v>0</x:v>
      </x:c>
      <x:c r="G434" s="4" t="n">
        <x:v>11252</x:v>
      </x:c>
      <x:c r="H434" s="6" t="n">
        <x:v>49.24</x:v>
      </x:c>
      <x:c r="I434" s="16" t="n">
        <x:v>1</x:v>
      </x:c>
      <x:c r="J434" t="n">
        <x:v>29</x:v>
      </x:c>
      <x:c r="K434" s="4" t="n">
        <x:v>28</x:v>
      </x:c>
      <x:c r="L434" s="4" t="n">
        <x:v>24</x:v>
      </x:c>
      <x:c r="M434" s="4" t="n">
        <x:v>24</x:v>
      </x:c>
      <x:c r="N434" s="5" t="n">
        <x:v>1</x:v>
      </x:c>
    </x:row>
    <x:row r="435" ht="24" customHeight="1">
      <x:c r="A435" s="1" t="str">
        <x:v>RESULT</x:v>
      </x:c>
      <x:c r="B435" s="1" t="str">
        <x:v>Round1</x:v>
      </x:c>
      <x:c r="C435" s="1" t="str">
        <x:v>JacksonDatabind_35</x:v>
      </x:c>
      <x:c r="D435" s="1" t="str">
        <x:v>NOT_AVAILABLE</x:v>
      </x:c>
      <x:c r="E435" s="5"/>
      <x:c r="F435" s="4" t="n">
        <x:v>0</x:v>
      </x:c>
      <x:c r="G435" s="4" t="n">
        <x:v>14663</x:v>
      </x:c>
      <x:c r="H435" s="6" t="n">
        <x:v>84.95</x:v>
      </x:c>
      <x:c r="I435" s="16" t="n">
        <x:v>1</x:v>
      </x:c>
      <x:c r="J435"/>
      <x:c r="K435" s="4"/>
      <x:c r="L435" s="4"/>
      <x:c r="M435" s="4"/>
      <x:c r="N435" s="5"/>
    </x:row>
    <x:row r="436" ht="24" customHeight="1">
      <x:c r="A436" s="1" t="str">
        <x:v>RESULT</x:v>
      </x:c>
      <x:c r="B436" s="1" t="str">
        <x:v>Round1</x:v>
      </x:c>
      <x:c r="C436" s="1" t="str">
        <x:v>JacksonDatabind_36</x:v>
      </x:c>
      <x:c r="D436" s="1" t="str">
        <x:v>NOT_REVEALING</x:v>
      </x:c>
      <x:c r="E436" s="5" t="n">
        <x:v>0.07769999999999999</x:v>
      </x:c>
      <x:c r="F436" s="4" t="n">
        <x:v>0</x:v>
      </x:c>
      <x:c r="G436" s="4"/>
      <x:c r="H436" s="6"/>
      <x:c r="I436" s="16" t="n">
        <x:v>1</x:v>
      </x:c>
      <x:c r="J436" t="n">
        <x:v>193</x:v>
      </x:c>
      <x:c r="K436" s="4" t="n">
        <x:v>15</x:v>
      </x:c>
      <x:c r="L436" s="4" t="n">
        <x:v>130</x:v>
      </x:c>
      <x:c r="M436" s="4" t="n">
        <x:v>0</x:v>
      </x:c>
      <x:c r="N436" s="5" t="n">
        <x:v>0</x:v>
      </x:c>
    </x:row>
    <x:row r="437" ht="24" customHeight="1">
      <x:c r="A437" s="1" t="str">
        <x:v>RESULT</x:v>
      </x:c>
      <x:c r="B437" s="1" t="str">
        <x:v>Round1</x:v>
      </x:c>
      <x:c r="C437" s="1" t="str">
        <x:v>JacksonDatabind_37</x:v>
      </x:c>
      <x:c r="D437" s="1" t="str">
        <x:v>NOT_REVEALING</x:v>
      </x:c>
      <x:c r="E437" s="5" t="n">
        <x:v>0</x:v>
      </x:c>
      <x:c r="F437" s="4" t="n">
        <x:v>0</x:v>
      </x:c>
      <x:c r="G437" s="4"/>
      <x:c r="H437" s="6"/>
      <x:c r="I437" s="16" t="n">
        <x:v>1</x:v>
      </x:c>
      <x:c r="J437" t="n">
        <x:v>67</x:v>
      </x:c>
      <x:c r="K437" s="4" t="n">
        <x:v>0</x:v>
      </x:c>
      <x:c r="L437" s="4" t="n">
        <x:v>32</x:v>
      </x:c>
      <x:c r="M437" s="4" t="n">
        <x:v>0</x:v>
      </x:c>
      <x:c r="N437" s="5" t="n">
        <x:v>0</x:v>
      </x:c>
    </x:row>
    <x:row r="438" ht="24" customHeight="1">
      <x:c r="A438" s="1" t="str">
        <x:v>RESULT</x:v>
      </x:c>
      <x:c r="B438" s="1" t="str">
        <x:v>Round1</x:v>
      </x:c>
      <x:c r="C438" s="1" t="str">
        <x:v>JacksonDatabind_38</x:v>
      </x:c>
      <x:c r="D438" s="1" t="str">
        <x:v>NOT_AVAILABLE</x:v>
      </x:c>
      <x:c r="E438" s="5"/>
      <x:c r="F438" s="4" t="n">
        <x:v>0</x:v>
      </x:c>
      <x:c r="G438" s="4" t="n">
        <x:v>13068</x:v>
      </x:c>
      <x:c r="H438" s="6" t="n">
        <x:v>57.23</x:v>
      </x:c>
      <x:c r="I438" s="16" t="n">
        <x:v>1</x:v>
      </x:c>
      <x:c r="J438"/>
      <x:c r="K438" s="4"/>
      <x:c r="L438" s="4"/>
      <x:c r="M438" s="4"/>
      <x:c r="N438" s="5"/>
    </x:row>
    <x:row r="439" ht="24" customHeight="1">
      <x:c r="A439" s="1" t="str">
        <x:v>RESULT</x:v>
      </x:c>
      <x:c r="B439" s="1" t="str">
        <x:v>Round1</x:v>
      </x:c>
      <x:c r="C439" s="1" t="str">
        <x:v>JacksonDatabind_39</x:v>
      </x:c>
      <x:c r="D439" s="1" t="str">
        <x:v>INCONCLUSIVE</x:v>
      </x:c>
      <x:c r="E439" s="5" t="n">
        <x:v>1</x:v>
      </x:c>
      <x:c r="F439" s="4" t="n">
        <x:v>0</x:v>
      </x:c>
      <x:c r="G439" s="4" t="n">
        <x:v>9743</x:v>
      </x:c>
      <x:c r="H439" s="6" t="n">
        <x:v>63.09</x:v>
      </x:c>
      <x:c r="I439" s="16" t="n">
        <x:v>1</x:v>
      </x:c>
      <x:c r="J439" t="n">
        <x:v>7</x:v>
      </x:c>
      <x:c r="K439" s="4" t="n">
        <x:v>7</x:v>
      </x:c>
      <x:c r="L439" s="4" t="n">
        <x:v>2</x:v>
      </x:c>
      <x:c r="M439" s="4" t="n">
        <x:v>2</x:v>
      </x:c>
      <x:c r="N439" s="5" t="n">
        <x:v>1</x:v>
      </x:c>
    </x:row>
    <x:row r="440" ht="24" customHeight="1">
      <x:c r="A440" s="1" t="str">
        <x:v>RESULT</x:v>
      </x:c>
      <x:c r="B440" s="1" t="str">
        <x:v>Round1</x:v>
      </x:c>
      <x:c r="C440" s="1" t="str">
        <x:v>JacksonDatabind_4</x:v>
      </x:c>
      <x:c r="D440" s="1" t="str">
        <x:v>NOT_AVAILABLE</x:v>
      </x:c>
      <x:c r="E440" s="5"/>
      <x:c r="F440" s="4" t="n">
        <x:v>0</x:v>
      </x:c>
      <x:c r="G440" s="4" t="n">
        <x:v>8390</x:v>
      </x:c>
      <x:c r="H440" s="6" t="n">
        <x:v>41.4</x:v>
      </x:c>
      <x:c r="I440" s="16" t="n">
        <x:v>1</x:v>
      </x:c>
      <x:c r="J440"/>
      <x:c r="K440" s="4"/>
      <x:c r="L440" s="4"/>
      <x:c r="M440" s="4"/>
      <x:c r="N440" s="5"/>
    </x:row>
    <x:row r="441" ht="24" customHeight="1">
      <x:c r="A441" s="1" t="str">
        <x:v>RESULT</x:v>
      </x:c>
      <x:c r="B441" s="1" t="str">
        <x:v>Round1</x:v>
      </x:c>
      <x:c r="C441" s="1" t="str">
        <x:v>JacksonDatabind_40</x:v>
      </x:c>
      <x:c r="D441" s="1" t="str">
        <x:v>INCONCLUSIVE</x:v>
      </x:c>
      <x:c r="E441" s="5" t="n">
        <x:v>0.022799999999999997</x:v>
      </x:c>
      <x:c r="F441" s="4" t="n">
        <x:v>0</x:v>
      </x:c>
      <x:c r="G441" s="4"/>
      <x:c r="H441" s="6"/>
      <x:c r="I441" s="16" t="n">
        <x:v>1</x:v>
      </x:c>
      <x:c r="J441" t="n">
        <x:v>219</x:v>
      </x:c>
      <x:c r="K441" s="4" t="n">
        <x:v>5</x:v>
      </x:c>
      <x:c r="L441" s="4" t="n">
        <x:v>130</x:v>
      </x:c>
      <x:c r="M441" s="4" t="n">
        <x:v>0</x:v>
      </x:c>
      <x:c r="N441" s="5" t="n">
        <x:v>0</x:v>
      </x:c>
    </x:row>
    <x:row r="442" ht="24" customHeight="1">
      <x:c r="A442" s="1" t="str">
        <x:v>RESULT</x:v>
      </x:c>
      <x:c r="B442" s="1" t="str">
        <x:v>Round1</x:v>
      </x:c>
      <x:c r="C442" s="1" t="str">
        <x:v>JacksonDatabind_41</x:v>
      </x:c>
      <x:c r="D442" s="1" t="str">
        <x:v>NOT_REVEALING</x:v>
      </x:c>
      <x:c r="E442" s="5" t="n">
        <x:v>0.0737</x:v>
      </x:c>
      <x:c r="F442" s="4" t="n">
        <x:v>0</x:v>
      </x:c>
      <x:c r="G442" s="4"/>
      <x:c r="H442" s="6"/>
      <x:c r="I442" s="16" t="n">
        <x:v>1</x:v>
      </x:c>
      <x:c r="J442" t="n">
        <x:v>339</x:v>
      </x:c>
      <x:c r="K442" s="4" t="n">
        <x:v>25</x:v>
      </x:c>
      <x:c r="L442" s="4" t="n">
        <x:v>213</x:v>
      </x:c>
      <x:c r="M442" s="4" t="n">
        <x:v>0</x:v>
      </x:c>
      <x:c r="N442" s="5" t="n">
        <x:v>0</x:v>
      </x:c>
    </x:row>
    <x:row r="443" ht="24" customHeight="1">
      <x:c r="A443" s="1" t="str">
        <x:v>RESULT</x:v>
      </x:c>
      <x:c r="B443" s="1" t="str">
        <x:v>Round1</x:v>
      </x:c>
      <x:c r="C443" s="1" t="str">
        <x:v>JacksonDatabind_42</x:v>
      </x:c>
      <x:c r="D443" s="1" t="str">
        <x:v>NOT_AVAILABLE</x:v>
      </x:c>
      <x:c r="E443" s="5" t="n">
        <x:v>0</x:v>
      </x:c>
      <x:c r="F443" s="4" t="n">
        <x:v>0</x:v>
      </x:c>
      <x:c r="G443" s="4"/>
      <x:c r="H443" s="6"/>
      <x:c r="I443" s="16" t="n">
        <x:v>1</x:v>
      </x:c>
      <x:c r="J443" t="n">
        <x:v>110</x:v>
      </x:c>
      <x:c r="K443" s="4" t="n">
        <x:v>0</x:v>
      </x:c>
      <x:c r="L443" s="4" t="n">
        <x:v>79</x:v>
      </x:c>
      <x:c r="M443" s="4" t="n">
        <x:v>0</x:v>
      </x:c>
      <x:c r="N443" s="5" t="n">
        <x:v>0</x:v>
      </x:c>
    </x:row>
    <x:row r="444" ht="24" customHeight="1">
      <x:c r="A444" s="1" t="str">
        <x:v>RESULT</x:v>
      </x:c>
      <x:c r="B444" s="1" t="str">
        <x:v>Round1</x:v>
      </x:c>
      <x:c r="C444" s="1" t="str">
        <x:v>JacksonDatabind_43</x:v>
      </x:c>
      <x:c r="D444" s="1" t="str">
        <x:v>NOT_AVAILABLE</x:v>
      </x:c>
      <x:c r="E444" s="5"/>
      <x:c r="F444" s="4" t="n">
        <x:v>0</x:v>
      </x:c>
      <x:c r="G444" s="4" t="n">
        <x:v>15162</x:v>
      </x:c>
      <x:c r="H444" s="6" t="n">
        <x:v>68.25</x:v>
      </x:c>
      <x:c r="I444" s="16" t="n">
        <x:v>1</x:v>
      </x:c>
      <x:c r="J444"/>
      <x:c r="K444" s="4"/>
      <x:c r="L444" s="4"/>
      <x:c r="M444" s="4"/>
      <x:c r="N444" s="5"/>
    </x:row>
    <x:row r="445" ht="24" customHeight="1">
      <x:c r="A445" s="1" t="str">
        <x:v>RESULT</x:v>
      </x:c>
      <x:c r="B445" s="1" t="str">
        <x:v>Round1</x:v>
      </x:c>
      <x:c r="C445" s="1" t="str">
        <x:v>JacksonDatabind_44</x:v>
      </x:c>
      <x:c r="D445" s="1" t="str">
        <x:v>NOT_REVEALING</x:v>
      </x:c>
      <x:c r="E445" s="5" t="n">
        <x:v>0</x:v>
      </x:c>
      <x:c r="F445" s="4" t="n">
        <x:v>0</x:v>
      </x:c>
      <x:c r="G445" s="4"/>
      <x:c r="H445" s="6"/>
      <x:c r="I445" s="16" t="n">
        <x:v>1</x:v>
      </x:c>
      <x:c r="J445" t="n">
        <x:v>75</x:v>
      </x:c>
      <x:c r="K445" s="4" t="n">
        <x:v>0</x:v>
      </x:c>
      <x:c r="L445" s="4" t="n">
        <x:v>36</x:v>
      </x:c>
      <x:c r="M445" s="4" t="n">
        <x:v>0</x:v>
      </x:c>
      <x:c r="N445" s="5" t="n">
        <x:v>0</x:v>
      </x:c>
    </x:row>
    <x:row r="446" ht="24" customHeight="1">
      <x:c r="A446" s="1" t="str">
        <x:v>RESULT</x:v>
      </x:c>
      <x:c r="B446" s="1" t="str">
        <x:v>Round1</x:v>
      </x:c>
      <x:c r="C446" s="1" t="str">
        <x:v>JacksonDatabind_45</x:v>
      </x:c>
      <x:c r="D446" s="1" t="str">
        <x:v>NOT_AVAILABLE</x:v>
      </x:c>
      <x:c r="E446" s="5"/>
      <x:c r="F446" s="4" t="n">
        <x:v>0</x:v>
      </x:c>
      <x:c r="G446" s="4" t="n">
        <x:v>8760</x:v>
      </x:c>
      <x:c r="H446" s="6" t="n">
        <x:v>35.35</x:v>
      </x:c>
      <x:c r="I446" s="16" t="n">
        <x:v>1</x:v>
      </x:c>
      <x:c r="J446"/>
      <x:c r="K446" s="4"/>
      <x:c r="L446" s="4"/>
      <x:c r="M446" s="4"/>
      <x:c r="N446" s="5"/>
    </x:row>
    <x:row r="447" ht="24" customHeight="1">
      <x:c r="A447" s="1" t="str">
        <x:v>RESULT</x:v>
      </x:c>
      <x:c r="B447" s="1" t="str">
        <x:v>Round1</x:v>
      </x:c>
      <x:c r="C447" s="1" t="str">
        <x:v>JacksonDatabind_46</x:v>
      </x:c>
      <x:c r="D447" s="1" t="str">
        <x:v>NOT_AVAILABLE</x:v>
      </x:c>
      <x:c r="E447" s="5"/>
      <x:c r="F447" s="4" t="n">
        <x:v>0</x:v>
      </x:c>
      <x:c r="G447" s="4" t="n">
        <x:v>7023</x:v>
      </x:c>
      <x:c r="H447" s="6" t="n">
        <x:v>28.97</x:v>
      </x:c>
      <x:c r="I447" s="16" t="n">
        <x:v>1</x:v>
      </x:c>
      <x:c r="J447"/>
      <x:c r="K447" s="4"/>
      <x:c r="L447" s="4"/>
      <x:c r="M447" s="4"/>
      <x:c r="N447" s="5"/>
    </x:row>
    <x:row r="448" ht="24" customHeight="1">
      <x:c r="A448" s="1" t="str">
        <x:v>RESULT</x:v>
      </x:c>
      <x:c r="B448" s="1" t="str">
        <x:v>Round1</x:v>
      </x:c>
      <x:c r="C448" s="1" t="str">
        <x:v>JacksonDatabind_47</x:v>
      </x:c>
      <x:c r="D448" s="1" t="str">
        <x:v>INCONCLUSIVE</x:v>
      </x:c>
      <x:c r="E448" s="5" t="n">
        <x:v>0</x:v>
      </x:c>
      <x:c r="F448" s="4" t="n">
        <x:v>0</x:v>
      </x:c>
      <x:c r="G448" s="4"/>
      <x:c r="H448" s="6"/>
      <x:c r="I448" s="16" t="n">
        <x:v>1</x:v>
      </x:c>
      <x:c r="J448" t="n">
        <x:v>179</x:v>
      </x:c>
      <x:c r="K448" s="4" t="n">
        <x:v>0</x:v>
      </x:c>
      <x:c r="L448" s="4" t="n">
        <x:v>44</x:v>
      </x:c>
      <x:c r="M448" s="4" t="n">
        <x:v>0</x:v>
      </x:c>
      <x:c r="N448" s="5" t="n">
        <x:v>0</x:v>
      </x:c>
    </x:row>
    <x:row r="449" ht="24" customHeight="1">
      <x:c r="A449" s="1" t="str">
        <x:v>RESULT</x:v>
      </x:c>
      <x:c r="B449" s="1" t="str">
        <x:v>Round1</x:v>
      </x:c>
      <x:c r="C449" s="1" t="str">
        <x:v>JacksonDatabind_48</x:v>
      </x:c>
      <x:c r="D449" s="1" t="str">
        <x:v>NOT_REVEALING</x:v>
      </x:c>
      <x:c r="E449" s="5" t="n">
        <x:v>0.0034999999999999996</x:v>
      </x:c>
      <x:c r="F449" s="4" t="n">
        <x:v>0</x:v>
      </x:c>
      <x:c r="G449" s="4"/>
      <x:c r="H449" s="6"/>
      <x:c r="I449" s="16" t="n">
        <x:v>1</x:v>
      </x:c>
      <x:c r="J449" t="n">
        <x:v>569</x:v>
      </x:c>
      <x:c r="K449" s="4" t="n">
        <x:v>2</x:v>
      </x:c>
      <x:c r="L449" s="4" t="n">
        <x:v>254</x:v>
      </x:c>
      <x:c r="M449" s="4" t="n">
        <x:v>0</x:v>
      </x:c>
      <x:c r="N449" s="5" t="n">
        <x:v>0</x:v>
      </x:c>
    </x:row>
    <x:row r="450" ht="24" customHeight="1">
      <x:c r="A450" s="1" t="str">
        <x:v>RESULT</x:v>
      </x:c>
      <x:c r="B450" s="1" t="str">
        <x:v>Round1</x:v>
      </x:c>
      <x:c r="C450" s="1" t="str">
        <x:v>JacksonDatabind_49</x:v>
      </x:c>
      <x:c r="D450" s="1" t="str">
        <x:v>NOT_REVEALING</x:v>
      </x:c>
      <x:c r="E450" s="5" t="n">
        <x:v>1</x:v>
      </x:c>
      <x:c r="F450" s="4" t="n">
        <x:v>0</x:v>
      </x:c>
      <x:c r="G450" s="4" t="n">
        <x:v>13599</x:v>
      </x:c>
      <x:c r="H450" s="6" t="n">
        <x:v>68.17</x:v>
      </x:c>
      <x:c r="I450" s="16" t="n">
        <x:v>1</x:v>
      </x:c>
      <x:c r="J450" t="n">
        <x:v>21</x:v>
      </x:c>
      <x:c r="K450" s="4" t="n">
        <x:v>21</x:v>
      </x:c>
      <x:c r="L450" s="4" t="n">
        <x:v>12</x:v>
      </x:c>
      <x:c r="M450" s="4" t="n">
        <x:v>12</x:v>
      </x:c>
      <x:c r="N450" s="5" t="n">
        <x:v>1</x:v>
      </x:c>
    </x:row>
    <x:row r="451" ht="24" customHeight="1">
      <x:c r="A451" s="1" t="str">
        <x:v>RESULT</x:v>
      </x:c>
      <x:c r="B451" s="1" t="str">
        <x:v>Round1</x:v>
      </x:c>
      <x:c r="C451" s="1" t="str">
        <x:v>JacksonDatabind_5</x:v>
      </x:c>
      <x:c r="D451" s="1" t="str">
        <x:v>NOT_REVEALING</x:v>
      </x:c>
      <x:c r="E451" s="5" t="n">
        <x:v>0.0027</x:v>
      </x:c>
      <x:c r="F451" s="4" t="n">
        <x:v>0</x:v>
      </x:c>
      <x:c r="G451" s="4"/>
      <x:c r="H451" s="6"/>
      <x:c r="I451" s="16" t="n">
        <x:v>1</x:v>
      </x:c>
      <x:c r="J451" t="n">
        <x:v>365</x:v>
      </x:c>
      <x:c r="K451" s="4" t="n">
        <x:v>1</x:v>
      </x:c>
      <x:c r="L451" s="4" t="n">
        <x:v>272</x:v>
      </x:c>
      <x:c r="M451" s="4" t="n">
        <x:v>0</x:v>
      </x:c>
      <x:c r="N451" s="5" t="n">
        <x:v>0</x:v>
      </x:c>
    </x:row>
    <x:row r="452" ht="24" customHeight="1">
      <x:c r="A452" s="1" t="str">
        <x:v>RESULT</x:v>
      </x:c>
      <x:c r="B452" s="1" t="str">
        <x:v>Round1</x:v>
      </x:c>
      <x:c r="C452" s="1" t="str">
        <x:v>JacksonDatabind_50</x:v>
      </x:c>
      <x:c r="D452" s="1" t="str">
        <x:v>NOT_AVAILABLE</x:v>
      </x:c>
      <x:c r="E452" s="5"/>
      <x:c r="F452" s="4" t="n">
        <x:v>0</x:v>
      </x:c>
      <x:c r="G452" s="4"/>
      <x:c r="H452" s="6"/>
      <x:c r="I452" s="16" t="n">
        <x:v>1</x:v>
      </x:c>
      <x:c r="J452"/>
      <x:c r="K452" s="4"/>
      <x:c r="L452" s="4"/>
      <x:c r="M452" s="4"/>
      <x:c r="N452" s="5"/>
    </x:row>
    <x:row r="453" ht="24" customHeight="1">
      <x:c r="A453" s="1" t="str">
        <x:v>RESULT</x:v>
      </x:c>
      <x:c r="B453" s="1" t="str">
        <x:v>Round1</x:v>
      </x:c>
      <x:c r="C453" s="1" t="str">
        <x:v>JacksonDatabind_51</x:v>
      </x:c>
      <x:c r="D453" s="1" t="str">
        <x:v>NOT_REVEALING</x:v>
      </x:c>
      <x:c r="E453" s="5" t="n">
        <x:v>0</x:v>
      </x:c>
      <x:c r="F453" s="4" t="n">
        <x:v>0</x:v>
      </x:c>
      <x:c r="G453" s="4"/>
      <x:c r="H453" s="6"/>
      <x:c r="I453" s="16" t="n">
        <x:v>1</x:v>
      </x:c>
      <x:c r="J453" t="n">
        <x:v>74</x:v>
      </x:c>
      <x:c r="K453" s="4" t="n">
        <x:v>0</x:v>
      </x:c>
      <x:c r="L453" s="4" t="n">
        <x:v>34</x:v>
      </x:c>
      <x:c r="M453" s="4" t="n">
        <x:v>0</x:v>
      </x:c>
      <x:c r="N453" s="5" t="n">
        <x:v>0</x:v>
      </x:c>
    </x:row>
    <x:row r="454" ht="24" customHeight="1">
      <x:c r="A454" s="1" t="str">
        <x:v>RESULT</x:v>
      </x:c>
      <x:c r="B454" s="1" t="str">
        <x:v>Round1</x:v>
      </x:c>
      <x:c r="C454" s="1" t="str">
        <x:v>JacksonDatabind_52</x:v>
      </x:c>
      <x:c r="D454" s="1" t="str">
        <x:v>INCONCLUSIVE</x:v>
      </x:c>
      <x:c r="E454" s="5" t="n">
        <x:v>0.0014000000000000002</x:v>
      </x:c>
      <x:c r="F454" s="4" t="n">
        <x:v>0</x:v>
      </x:c>
      <x:c r="G454" s="4"/>
      <x:c r="H454" s="6"/>
      <x:c r="I454" s="16" t="n">
        <x:v>1</x:v>
      </x:c>
      <x:c r="J454" t="n">
        <x:v>738</x:v>
      </x:c>
      <x:c r="K454" s="4" t="n">
        <x:v>1</x:v>
      </x:c>
      <x:c r="L454" s="4" t="n">
        <x:v>435</x:v>
      </x:c>
      <x:c r="M454" s="4" t="n">
        <x:v>0</x:v>
      </x:c>
      <x:c r="N454" s="5" t="n">
        <x:v>0</x:v>
      </x:c>
    </x:row>
    <x:row r="455" ht="24" customHeight="1">
      <x:c r="A455" s="1" t="str">
        <x:v>RESULT</x:v>
      </x:c>
      <x:c r="B455" s="1" t="str">
        <x:v>Round1</x:v>
      </x:c>
      <x:c r="C455" s="1" t="str">
        <x:v>JacksonDatabind_53</x:v>
      </x:c>
      <x:c r="D455" s="1" t="str">
        <x:v>NOT_REVEALING</x:v>
      </x:c>
      <x:c r="E455" s="5" t="n">
        <x:v>0.07519999999999999</x:v>
      </x:c>
      <x:c r="F455" s="4" t="n">
        <x:v>0</x:v>
      </x:c>
      <x:c r="G455" s="4"/>
      <x:c r="H455" s="6"/>
      <x:c r="I455" s="16" t="n">
        <x:v>1</x:v>
      </x:c>
      <x:c r="J455" t="n">
        <x:v>505</x:v>
      </x:c>
      <x:c r="K455" s="4" t="n">
        <x:v>38</x:v>
      </x:c>
      <x:c r="L455" s="4" t="n">
        <x:v>346</x:v>
      </x:c>
      <x:c r="M455" s="4" t="n">
        <x:v>4</x:v>
      </x:c>
      <x:c r="N455" s="5" t="n">
        <x:v>0.0116</x:v>
      </x:c>
    </x:row>
    <x:row r="456" ht="24" customHeight="1">
      <x:c r="A456" s="1" t="str">
        <x:v>RESULT</x:v>
      </x:c>
      <x:c r="B456" s="1" t="str">
        <x:v>Round1</x:v>
      </x:c>
      <x:c r="C456" s="1" t="str">
        <x:v>JacksonDatabind_54</x:v>
      </x:c>
      <x:c r="D456" s="1" t="str">
        <x:v>NOT_REVEALING</x:v>
      </x:c>
      <x:c r="E456" s="5" t="n">
        <x:v>0.0103</x:v>
      </x:c>
      <x:c r="F456" s="4" t="n">
        <x:v>0</x:v>
      </x:c>
      <x:c r="G456" s="4"/>
      <x:c r="H456" s="6"/>
      <x:c r="I456" s="16" t="n">
        <x:v>1</x:v>
      </x:c>
      <x:c r="J456" t="n">
        <x:v>97</x:v>
      </x:c>
      <x:c r="K456" s="4" t="n">
        <x:v>1</x:v>
      </x:c>
      <x:c r="L456" s="4" t="n">
        <x:v>67</x:v>
      </x:c>
      <x:c r="M456" s="4" t="n">
        <x:v>0</x:v>
      </x:c>
      <x:c r="N456" s="5" t="n">
        <x:v>0</x:v>
      </x:c>
    </x:row>
    <x:row r="457" ht="24" customHeight="1">
      <x:c r="A457" s="1" t="str">
        <x:v>RESULT</x:v>
      </x:c>
      <x:c r="B457" s="1" t="str">
        <x:v>Round1</x:v>
      </x:c>
      <x:c r="C457" s="1" t="str">
        <x:v>JacksonDatabind_55</x:v>
      </x:c>
      <x:c r="D457" s="1" t="str">
        <x:v>INCONCLUSIVE</x:v>
      </x:c>
      <x:c r="E457" s="5" t="n">
        <x:v>0.0492</x:v>
      </x:c>
      <x:c r="F457" s="4" t="n">
        <x:v>0</x:v>
      </x:c>
      <x:c r="G457" s="4"/>
      <x:c r="H457" s="6"/>
      <x:c r="I457" s="16" t="n">
        <x:v>1</x:v>
      </x:c>
      <x:c r="J457" t="n">
        <x:v>61</x:v>
      </x:c>
      <x:c r="K457" s="4" t="n">
        <x:v>3</x:v>
      </x:c>
      <x:c r="L457" s="4" t="n">
        <x:v>37</x:v>
      </x:c>
      <x:c r="M457" s="4" t="n">
        <x:v>0</x:v>
      </x:c>
      <x:c r="N457" s="5" t="n">
        <x:v>0</x:v>
      </x:c>
    </x:row>
    <x:row r="458" ht="24" customHeight="1">
      <x:c r="A458" s="1" t="str">
        <x:v>RESULT</x:v>
      </x:c>
      <x:c r="B458" s="1" t="str">
        <x:v>Round1</x:v>
      </x:c>
      <x:c r="C458" s="1" t="str">
        <x:v>JacksonDatabind_56</x:v>
      </x:c>
      <x:c r="D458" s="1" t="str">
        <x:v>NOT_REVEALING</x:v>
      </x:c>
      <x:c r="E458" s="5" t="n">
        <x:v>0</x:v>
      </x:c>
      <x:c r="F458" s="4" t="n">
        <x:v>0</x:v>
      </x:c>
      <x:c r="G458" s="4"/>
      <x:c r="H458" s="6"/>
      <x:c r="I458" s="16" t="n">
        <x:v>1</x:v>
      </x:c>
      <x:c r="J458" t="n">
        <x:v>112</x:v>
      </x:c>
      <x:c r="K458" s="4" t="n">
        <x:v>0</x:v>
      </x:c>
      <x:c r="L458" s="4" t="n">
        <x:v>81</x:v>
      </x:c>
      <x:c r="M458" s="4" t="n">
        <x:v>0</x:v>
      </x:c>
      <x:c r="N458" s="5" t="n">
        <x:v>0</x:v>
      </x:c>
    </x:row>
    <x:row r="459" ht="24" customHeight="1">
      <x:c r="A459" s="1" t="str">
        <x:v>RESULT</x:v>
      </x:c>
      <x:c r="B459" s="1" t="str">
        <x:v>Round1</x:v>
      </x:c>
      <x:c r="C459" s="1" t="str">
        <x:v>JacksonDatabind_57</x:v>
      </x:c>
      <x:c r="D459" s="1" t="str">
        <x:v>NOT_REVEALING</x:v>
      </x:c>
      <x:c r="E459" s="5" t="n">
        <x:v>0.0025</x:v>
      </x:c>
      <x:c r="F459" s="4" t="n">
        <x:v>0</x:v>
      </x:c>
      <x:c r="G459" s="4"/>
      <x:c r="H459" s="6"/>
      <x:c r="I459" s="16" t="n">
        <x:v>1</x:v>
      </x:c>
      <x:c r="J459" t="n">
        <x:v>408</x:v>
      </x:c>
      <x:c r="K459" s="4" t="n">
        <x:v>1</x:v>
      </x:c>
      <x:c r="L459" s="4" t="n">
        <x:v>156</x:v>
      </x:c>
      <x:c r="M459" s="4" t="n">
        <x:v>0</x:v>
      </x:c>
      <x:c r="N459" s="5" t="n">
        <x:v>0</x:v>
      </x:c>
    </x:row>
    <x:row r="460" ht="24" customHeight="1">
      <x:c r="A460" s="1" t="str">
        <x:v>RESULT</x:v>
      </x:c>
      <x:c r="B460" s="1" t="str">
        <x:v>Round1</x:v>
      </x:c>
      <x:c r="C460" s="1" t="str">
        <x:v>JacksonDatabind_58</x:v>
      </x:c>
      <x:c r="D460" s="1" t="str">
        <x:v>NOT_AVAILABLE</x:v>
      </x:c>
      <x:c r="E460" s="5"/>
      <x:c r="F460" s="4" t="n">
        <x:v>0</x:v>
      </x:c>
      <x:c r="G460" s="4"/>
      <x:c r="H460" s="6"/>
      <x:c r="I460" s="16" t="n">
        <x:v>1</x:v>
      </x:c>
      <x:c r="J460"/>
      <x:c r="K460" s="4"/>
      <x:c r="L460" s="4"/>
      <x:c r="M460" s="4"/>
      <x:c r="N460" s="5"/>
    </x:row>
    <x:row r="461" ht="24" customHeight="1">
      <x:c r="A461" s="1" t="str">
        <x:v>RESULT</x:v>
      </x:c>
      <x:c r="B461" s="1" t="str">
        <x:v>Round1</x:v>
      </x:c>
      <x:c r="C461" s="1" t="str">
        <x:v>JacksonDatabind_59</x:v>
      </x:c>
      <x:c r="D461" s="1" t="str">
        <x:v>NOT_REVEALING</x:v>
      </x:c>
      <x:c r="E461" s="5" t="n">
        <x:v>0.0634</x:v>
      </x:c>
      <x:c r="F461" s="4" t="n">
        <x:v>0</x:v>
      </x:c>
      <x:c r="G461" s="4"/>
      <x:c r="H461" s="6"/>
      <x:c r="I461" s="16" t="n">
        <x:v>1</x:v>
      </x:c>
      <x:c r="J461" t="n">
        <x:v>568</x:v>
      </x:c>
      <x:c r="K461" s="4" t="n">
        <x:v>36</x:v>
      </x:c>
      <x:c r="L461" s="4" t="n">
        <x:v>313</x:v>
      </x:c>
      <x:c r="M461" s="4" t="n">
        <x:v>1</x:v>
      </x:c>
      <x:c r="N461" s="5" t="n">
        <x:v>0.0032</x:v>
      </x:c>
    </x:row>
    <x:row r="462" ht="24" customHeight="1">
      <x:c r="A462" s="1" t="str">
        <x:v>RESULT</x:v>
      </x:c>
      <x:c r="B462" s="1" t="str">
        <x:v>Round1</x:v>
      </x:c>
      <x:c r="C462" s="1" t="str">
        <x:v>JacksonDatabind_6</x:v>
      </x:c>
      <x:c r="D462" s="1" t="str">
        <x:v>NOT_REVEALING</x:v>
      </x:c>
      <x:c r="E462" s="5" t="n">
        <x:v>0.1007</x:v>
      </x:c>
      <x:c r="F462" s="4" t="n">
        <x:v>0</x:v>
      </x:c>
      <x:c r="G462" s="4"/>
      <x:c r="H462" s="6"/>
      <x:c r="I462" s="16" t="n">
        <x:v>1</x:v>
      </x:c>
      <x:c r="J462" t="n">
        <x:v>149</x:v>
      </x:c>
      <x:c r="K462" s="4" t="n">
        <x:v>15</x:v>
      </x:c>
      <x:c r="L462" s="4" t="n">
        <x:v>94</x:v>
      </x:c>
      <x:c r="M462" s="4" t="n">
        <x:v>0</x:v>
      </x:c>
      <x:c r="N462" s="5" t="n">
        <x:v>0</x:v>
      </x:c>
    </x:row>
    <x:row r="463" ht="24" customHeight="1">
      <x:c r="A463" s="1" t="str">
        <x:v>RESULT</x:v>
      </x:c>
      <x:c r="B463" s="1" t="str">
        <x:v>Round1</x:v>
      </x:c>
      <x:c r="C463" s="1" t="str">
        <x:v>JacksonDatabind_60</x:v>
      </x:c>
      <x:c r="D463" s="1" t="str">
        <x:v>NOT_REVEALING</x:v>
      </x:c>
      <x:c r="E463" s="5" t="n">
        <x:v>0</x:v>
      </x:c>
      <x:c r="F463" s="4" t="n">
        <x:v>0</x:v>
      </x:c>
      <x:c r="G463" s="4"/>
      <x:c r="H463" s="6"/>
      <x:c r="I463" s="16" t="n">
        <x:v>1</x:v>
      </x:c>
      <x:c r="J463" t="n">
        <x:v>110</x:v>
      </x:c>
      <x:c r="K463" s="4" t="n">
        <x:v>0</x:v>
      </x:c>
      <x:c r="L463" s="4" t="n">
        <x:v>74</x:v>
      </x:c>
      <x:c r="M463" s="4" t="n">
        <x:v>0</x:v>
      </x:c>
      <x:c r="N463" s="5" t="n">
        <x:v>0</x:v>
      </x:c>
    </x:row>
    <x:row r="464" ht="24" customHeight="1">
      <x:c r="A464" s="1" t="str">
        <x:v>RESULT</x:v>
      </x:c>
      <x:c r="B464" s="1" t="str">
        <x:v>Round1</x:v>
      </x:c>
      <x:c r="C464" s="1" t="str">
        <x:v>JacksonDatabind_61</x:v>
      </x:c>
      <x:c r="D464" s="1" t="str">
        <x:v>INCONCLUSIVE</x:v>
      </x:c>
      <x:c r="E464" s="5" t="n">
        <x:v>0.0109</x:v>
      </x:c>
      <x:c r="F464" s="4" t="n">
        <x:v>0</x:v>
      </x:c>
      <x:c r="G464" s="4"/>
      <x:c r="H464" s="6"/>
      <x:c r="I464" s="16" t="n">
        <x:v>1</x:v>
      </x:c>
      <x:c r="J464" t="n">
        <x:v>737</x:v>
      </x:c>
      <x:c r="K464" s="4" t="n">
        <x:v>8</x:v>
      </x:c>
      <x:c r="L464" s="4" t="n">
        <x:v>242</x:v>
      </x:c>
      <x:c r="M464" s="4" t="n">
        <x:v>0</x:v>
      </x:c>
      <x:c r="N464" s="5" t="n">
        <x:v>0</x:v>
      </x:c>
    </x:row>
    <x:row r="465" ht="24" customHeight="1">
      <x:c r="A465" s="1" t="str">
        <x:v>RESULT</x:v>
      </x:c>
      <x:c r="B465" s="1" t="str">
        <x:v>Round1</x:v>
      </x:c>
      <x:c r="C465" s="1" t="str">
        <x:v>JacksonDatabind_62</x:v>
      </x:c>
      <x:c r="D465" s="1" t="str">
        <x:v>INCONCLUSIVE</x:v>
      </x:c>
      <x:c r="E465" s="5" t="n">
        <x:v>0</x:v>
      </x:c>
      <x:c r="F465" s="4" t="n">
        <x:v>0</x:v>
      </x:c>
      <x:c r="G465" s="4"/>
      <x:c r="H465" s="6"/>
      <x:c r="I465" s="16" t="n">
        <x:v>1</x:v>
      </x:c>
      <x:c r="J465" t="n">
        <x:v>131</x:v>
      </x:c>
      <x:c r="K465" s="4" t="n">
        <x:v>0</x:v>
      </x:c>
      <x:c r="L465" s="4" t="n">
        <x:v>70</x:v>
      </x:c>
      <x:c r="M465" s="4" t="n">
        <x:v>0</x:v>
      </x:c>
      <x:c r="N465" s="5" t="n">
        <x:v>0</x:v>
      </x:c>
    </x:row>
    <x:row r="466" ht="24" customHeight="1">
      <x:c r="A466" s="1" t="str">
        <x:v>RESULT</x:v>
      </x:c>
      <x:c r="B466" s="1" t="str">
        <x:v>Round1</x:v>
      </x:c>
      <x:c r="C466" s="1" t="str">
        <x:v>JacksonDatabind_63</x:v>
      </x:c>
      <x:c r="D466" s="1" t="str">
        <x:v>NOT_AVAILABLE</x:v>
      </x:c>
      <x:c r="E466" s="5"/>
      <x:c r="F466" s="4" t="n">
        <x:v>0</x:v>
      </x:c>
      <x:c r="G466" s="4"/>
      <x:c r="H466" s="6"/>
      <x:c r="I466" s="16" t="n">
        <x:v>1</x:v>
      </x:c>
      <x:c r="J466"/>
      <x:c r="K466" s="4"/>
      <x:c r="L466" s="4"/>
      <x:c r="M466" s="4"/>
      <x:c r="N466" s="5"/>
    </x:row>
    <x:row r="467" ht="24" customHeight="1">
      <x:c r="A467" s="1" t="str">
        <x:v>RESULT</x:v>
      </x:c>
      <x:c r="B467" s="1" t="str">
        <x:v>Round1</x:v>
      </x:c>
      <x:c r="C467" s="1" t="str">
        <x:v>JacksonDatabind_64</x:v>
      </x:c>
      <x:c r="D467" s="1" t="str">
        <x:v>NOT_REVEALING</x:v>
      </x:c>
      <x:c r="E467" s="5" t="n">
        <x:v>0.009300000000000001</x:v>
      </x:c>
      <x:c r="F467" s="4" t="n">
        <x:v>0</x:v>
      </x:c>
      <x:c r="G467" s="4"/>
      <x:c r="H467" s="6"/>
      <x:c r="I467" s="16" t="n">
        <x:v>1</x:v>
      </x:c>
      <x:c r="J467" t="n">
        <x:v>107</x:v>
      </x:c>
      <x:c r="K467" s="4" t="n">
        <x:v>1</x:v>
      </x:c>
      <x:c r="L467" s="4" t="n">
        <x:v>71</x:v>
      </x:c>
      <x:c r="M467" s="4" t="n">
        <x:v>0</x:v>
      </x:c>
      <x:c r="N467" s="5" t="n">
        <x:v>0</x:v>
      </x:c>
    </x:row>
    <x:row r="468" ht="24" customHeight="1">
      <x:c r="A468" s="1" t="str">
        <x:v>RESULT</x:v>
      </x:c>
      <x:c r="B468" s="1" t="str">
        <x:v>Round1</x:v>
      </x:c>
      <x:c r="C468" s="1" t="str">
        <x:v>JacksonDatabind_66</x:v>
      </x:c>
      <x:c r="D468" s="1" t="str">
        <x:v>NOT_AVAILABLE</x:v>
      </x:c>
      <x:c r="E468" s="5"/>
      <x:c r="F468" s="4" t="n">
        <x:v>0</x:v>
      </x:c>
      <x:c r="G468" s="4"/>
      <x:c r="H468" s="6"/>
      <x:c r="I468" s="16" t="n">
        <x:v>1</x:v>
      </x:c>
      <x:c r="J468"/>
      <x:c r="K468" s="4"/>
      <x:c r="L468" s="4"/>
      <x:c r="M468" s="4"/>
      <x:c r="N468" s="5"/>
    </x:row>
    <x:row r="469" ht="24" customHeight="1">
      <x:c r="A469" s="1" t="str">
        <x:v>RESULT</x:v>
      </x:c>
      <x:c r="B469" s="1" t="str">
        <x:v>Round1</x:v>
      </x:c>
      <x:c r="C469" s="1" t="str">
        <x:v>JacksonDatabind_67</x:v>
      </x:c>
      <x:c r="D469" s="1" t="str">
        <x:v>NOT_AVAILABLE</x:v>
      </x:c>
      <x:c r="E469" s="5"/>
      <x:c r="F469" s="4" t="n">
        <x:v>0</x:v>
      </x:c>
      <x:c r="G469" s="4"/>
      <x:c r="H469" s="6"/>
      <x:c r="I469" s="16" t="n">
        <x:v>1</x:v>
      </x:c>
      <x:c r="J469"/>
      <x:c r="K469" s="4"/>
      <x:c r="L469" s="4"/>
      <x:c r="M469" s="4"/>
      <x:c r="N469" s="5"/>
    </x:row>
    <x:row r="470" ht="24" customHeight="1">
      <x:c r="A470" s="1" t="str">
        <x:v>RESULT</x:v>
      </x:c>
      <x:c r="B470" s="1" t="str">
        <x:v>Round1</x:v>
      </x:c>
      <x:c r="C470" s="1" t="str">
        <x:v>JacksonDatabind_68</x:v>
      </x:c>
      <x:c r="D470" s="1" t="str">
        <x:v>NOT_REVEALING</x:v>
      </x:c>
      <x:c r="E470" s="5" t="n">
        <x:v>0.0017000000000000001</x:v>
      </x:c>
      <x:c r="F470" s="4" t="n">
        <x:v>0</x:v>
      </x:c>
      <x:c r="G470" s="4"/>
      <x:c r="H470" s="6"/>
      <x:c r="I470" s="16" t="n">
        <x:v>1</x:v>
      </x:c>
      <x:c r="J470" t="n">
        <x:v>592</x:v>
      </x:c>
      <x:c r="K470" s="4" t="n">
        <x:v>1</x:v>
      </x:c>
      <x:c r="L470" s="4" t="n">
        <x:v>369</x:v>
      </x:c>
      <x:c r="M470" s="4" t="n">
        <x:v>0</x:v>
      </x:c>
      <x:c r="N470" s="5" t="n">
        <x:v>0</x:v>
      </x:c>
    </x:row>
    <x:row r="471" ht="24" customHeight="1">
      <x:c r="A471" s="1" t="str">
        <x:v>RESULT</x:v>
      </x:c>
      <x:c r="B471" s="1" t="str">
        <x:v>Round1</x:v>
      </x:c>
      <x:c r="C471" s="1" t="str">
        <x:v>JacksonDatabind_69</x:v>
      </x:c>
      <x:c r="D471" s="1" t="str">
        <x:v>NOT_REVEALING</x:v>
      </x:c>
      <x:c r="E471" s="5" t="n">
        <x:v>0.0079</x:v>
      </x:c>
      <x:c r="F471" s="4" t="n">
        <x:v>0</x:v>
      </x:c>
      <x:c r="G471" s="4"/>
      <x:c r="H471" s="6"/>
      <x:c r="I471" s="16" t="n">
        <x:v>1</x:v>
      </x:c>
      <x:c r="J471" t="n">
        <x:v>127</x:v>
      </x:c>
      <x:c r="K471" s="4" t="n">
        <x:v>1</x:v>
      </x:c>
      <x:c r="L471" s="4" t="n">
        <x:v>74</x:v>
      </x:c>
      <x:c r="M471" s="4" t="n">
        <x:v>0</x:v>
      </x:c>
      <x:c r="N471" s="5" t="n">
        <x:v>0</x:v>
      </x:c>
    </x:row>
    <x:row r="472" ht="24" customHeight="1">
      <x:c r="A472" s="1" t="str">
        <x:v>RESULT</x:v>
      </x:c>
      <x:c r="B472" s="1" t="str">
        <x:v>Round1</x:v>
      </x:c>
      <x:c r="C472" s="1" t="str">
        <x:v>JacksonDatabind_7</x:v>
      </x:c>
      <x:c r="D472" s="1" t="str">
        <x:v>NOT_REVEALING</x:v>
      </x:c>
      <x:c r="E472" s="5" t="n">
        <x:v>0.32049999999999995</x:v>
      </x:c>
      <x:c r="F472" s="4" t="n">
        <x:v>0</x:v>
      </x:c>
      <x:c r="G472" s="4"/>
      <x:c r="H472" s="6"/>
      <x:c r="I472" s="16" t="n">
        <x:v>1</x:v>
      </x:c>
      <x:c r="J472" t="n">
        <x:v>624</x:v>
      </x:c>
      <x:c r="K472" s="4" t="n">
        <x:v>200</x:v>
      </x:c>
      <x:c r="L472" s="4" t="n">
        <x:v>308</x:v>
      </x:c>
      <x:c r="M472" s="4" t="n">
        <x:v>66</x:v>
      </x:c>
      <x:c r="N472" s="5" t="n">
        <x:v>0.2143</x:v>
      </x:c>
    </x:row>
    <x:row r="473" ht="24" customHeight="1">
      <x:c r="A473" s="1" t="str">
        <x:v>RESULT</x:v>
      </x:c>
      <x:c r="B473" s="1" t="str">
        <x:v>Round1</x:v>
      </x:c>
      <x:c r="C473" s="1" t="str">
        <x:v>JacksonDatabind_70</x:v>
      </x:c>
      <x:c r="D473" s="1" t="str">
        <x:v>NOT_REVEALING</x:v>
      </x:c>
      <x:c r="E473" s="5" t="n">
        <x:v>0</x:v>
      </x:c>
      <x:c r="F473" s="4" t="n">
        <x:v>0</x:v>
      </x:c>
      <x:c r="G473" s="4"/>
      <x:c r="H473" s="6"/>
      <x:c r="I473" s="16" t="n">
        <x:v>1</x:v>
      </x:c>
      <x:c r="J473" t="n">
        <x:v>226</x:v>
      </x:c>
      <x:c r="K473" s="4" t="n">
        <x:v>0</x:v>
      </x:c>
      <x:c r="L473" s="4" t="n">
        <x:v>138</x:v>
      </x:c>
      <x:c r="M473" s="4" t="n">
        <x:v>0</x:v>
      </x:c>
      <x:c r="N473" s="5" t="n">
        <x:v>0</x:v>
      </x:c>
    </x:row>
    <x:row r="474" ht="24" customHeight="1">
      <x:c r="A474" s="1" t="str">
        <x:v>RESULT</x:v>
      </x:c>
      <x:c r="B474" s="1" t="str">
        <x:v>Round1</x:v>
      </x:c>
      <x:c r="C474" s="1" t="str">
        <x:v>JacksonDatabind_71</x:v>
      </x:c>
      <x:c r="D474" s="1" t="str">
        <x:v>NOT_AVAILABLE</x:v>
      </x:c>
      <x:c r="E474" s="5"/>
      <x:c r="F474" s="4" t="n">
        <x:v>0</x:v>
      </x:c>
      <x:c r="G474" s="4"/>
      <x:c r="H474" s="6"/>
      <x:c r="I474" s="16" t="n">
        <x:v>1</x:v>
      </x:c>
      <x:c r="J474"/>
      <x:c r="K474" s="4"/>
      <x:c r="L474" s="4"/>
      <x:c r="M474" s="4"/>
      <x:c r="N474" s="5"/>
    </x:row>
    <x:row r="475" ht="24" customHeight="1">
      <x:c r="A475" s="1" t="str">
        <x:v>RESULT</x:v>
      </x:c>
      <x:c r="B475" s="1" t="str">
        <x:v>Round1</x:v>
      </x:c>
      <x:c r="C475" s="1" t="str">
        <x:v>JacksonDatabind_72</x:v>
      </x:c>
      <x:c r="D475" s="1" t="str">
        <x:v>NOT_AVAILABLE</x:v>
      </x:c>
      <x:c r="E475" s="5"/>
      <x:c r="F475" s="4" t="n">
        <x:v>0</x:v>
      </x:c>
      <x:c r="G475" s="4" t="n">
        <x:v>8180</x:v>
      </x:c>
      <x:c r="H475" s="6" t="n">
        <x:v>31.72</x:v>
      </x:c>
      <x:c r="I475" s="16" t="n">
        <x:v>1</x:v>
      </x:c>
      <x:c r="J475"/>
      <x:c r="K475" s="4"/>
      <x:c r="L475" s="4"/>
      <x:c r="M475" s="4"/>
      <x:c r="N475" s="5"/>
    </x:row>
    <x:row r="476" ht="24" customHeight="1">
      <x:c r="A476" s="1" t="str">
        <x:v>RESULT</x:v>
      </x:c>
      <x:c r="B476" s="1" t="str">
        <x:v>Round1</x:v>
      </x:c>
      <x:c r="C476" s="1" t="str">
        <x:v>JacksonDatabind_73</x:v>
      </x:c>
      <x:c r="D476" s="1" t="str">
        <x:v>INCONCLUSIVE</x:v>
      </x:c>
      <x:c r="E476" s="5" t="n">
        <x:v>0</x:v>
      </x:c>
      <x:c r="F476" s="4" t="n">
        <x:v>0</x:v>
      </x:c>
      <x:c r="G476" s="4"/>
      <x:c r="H476" s="6"/>
      <x:c r="I476" s="16" t="n">
        <x:v>1</x:v>
      </x:c>
      <x:c r="J476" t="n">
        <x:v>928</x:v>
      </x:c>
      <x:c r="K476" s="4" t="n">
        <x:v>0</x:v>
      </x:c>
      <x:c r="L476" s="4" t="n">
        <x:v>716</x:v>
      </x:c>
      <x:c r="M476" s="4" t="n">
        <x:v>0</x:v>
      </x:c>
      <x:c r="N476" s="5" t="n">
        <x:v>0</x:v>
      </x:c>
    </x:row>
    <x:row r="477" ht="24" customHeight="1">
      <x:c r="A477" s="1" t="str">
        <x:v>RESULT</x:v>
      </x:c>
      <x:c r="B477" s="1" t="str">
        <x:v>Round1</x:v>
      </x:c>
      <x:c r="C477" s="1" t="str">
        <x:v>JacksonDatabind_74</x:v>
      </x:c>
      <x:c r="D477" s="1" t="str">
        <x:v>NOT_REVEALING</x:v>
      </x:c>
      <x:c r="E477" s="5" t="n">
        <x:v>0</x:v>
      </x:c>
      <x:c r="F477" s="4" t="n">
        <x:v>0</x:v>
      </x:c>
      <x:c r="G477" s="4"/>
      <x:c r="H477" s="6"/>
      <x:c r="I477" s="16" t="n">
        <x:v>1</x:v>
      </x:c>
      <x:c r="J477" t="n">
        <x:v>60</x:v>
      </x:c>
      <x:c r="K477" s="4" t="n">
        <x:v>0</x:v>
      </x:c>
      <x:c r="L477" s="4" t="n">
        <x:v>32</x:v>
      </x:c>
      <x:c r="M477" s="4" t="n">
        <x:v>0</x:v>
      </x:c>
      <x:c r="N477" s="5" t="n">
        <x:v>0</x:v>
      </x:c>
    </x:row>
    <x:row r="478" ht="24" customHeight="1">
      <x:c r="A478" s="1" t="str">
        <x:v>RESULT</x:v>
      </x:c>
      <x:c r="B478" s="1" t="str">
        <x:v>Round1</x:v>
      </x:c>
      <x:c r="C478" s="1" t="str">
        <x:v>JacksonDatabind_75</x:v>
      </x:c>
      <x:c r="D478" s="1" t="str">
        <x:v>NOT_REVEALING</x:v>
      </x:c>
      <x:c r="E478" s="5" t="n">
        <x:v>0</x:v>
      </x:c>
      <x:c r="F478" s="4" t="n">
        <x:v>0</x:v>
      </x:c>
      <x:c r="G478" s="4"/>
      <x:c r="H478" s="6"/>
      <x:c r="I478" s="16" t="n">
        <x:v>1</x:v>
      </x:c>
      <x:c r="J478" t="n">
        <x:v>69</x:v>
      </x:c>
      <x:c r="K478" s="4" t="n">
        <x:v>0</x:v>
      </x:c>
      <x:c r="L478" s="4" t="n">
        <x:v>50</x:v>
      </x:c>
      <x:c r="M478" s="4" t="n">
        <x:v>0</x:v>
      </x:c>
      <x:c r="N478" s="5" t="n">
        <x:v>0</x:v>
      </x:c>
    </x:row>
    <x:row r="479" ht="24" customHeight="1">
      <x:c r="A479" s="1" t="str">
        <x:v>RESULT</x:v>
      </x:c>
      <x:c r="B479" s="1" t="str">
        <x:v>Round1</x:v>
      </x:c>
      <x:c r="C479" s="1" t="str">
        <x:v>JacksonDatabind_76</x:v>
      </x:c>
      <x:c r="D479" s="1" t="str">
        <x:v>NOT_REVEALING</x:v>
      </x:c>
      <x:c r="E479" s="5" t="n">
        <x:v>0</x:v>
      </x:c>
      <x:c r="F479" s="4" t="n">
        <x:v>0</x:v>
      </x:c>
      <x:c r="G479" s="4"/>
      <x:c r="H479" s="6"/>
      <x:c r="I479" s="16" t="n">
        <x:v>1</x:v>
      </x:c>
      <x:c r="J479" t="n">
        <x:v>320</x:v>
      </x:c>
      <x:c r="K479" s="4" t="n">
        <x:v>0</x:v>
      </x:c>
      <x:c r="L479" s="4" t="n">
        <x:v>168</x:v>
      </x:c>
      <x:c r="M479" s="4" t="n">
        <x:v>0</x:v>
      </x:c>
      <x:c r="N479" s="5" t="n">
        <x:v>0</x:v>
      </x:c>
    </x:row>
    <x:row r="480" ht="24" customHeight="1">
      <x:c r="A480" s="1" t="str">
        <x:v>RESULT</x:v>
      </x:c>
      <x:c r="B480" s="1" t="str">
        <x:v>Round1</x:v>
      </x:c>
      <x:c r="C480" s="1" t="str">
        <x:v>JacksonDatabind_77</x:v>
      </x:c>
      <x:c r="D480" s="1" t="str">
        <x:v>NOT_AVAILABLE</x:v>
      </x:c>
      <x:c r="E480" s="5"/>
      <x:c r="F480" s="4" t="n">
        <x:v>0</x:v>
      </x:c>
      <x:c r="G480" s="4"/>
      <x:c r="H480" s="6"/>
      <x:c r="I480" s="16" t="n">
        <x:v>1</x:v>
      </x:c>
      <x:c r="J480"/>
      <x:c r="K480" s="4"/>
      <x:c r="L480" s="4"/>
      <x:c r="M480" s="4"/>
      <x:c r="N480" s="5"/>
    </x:row>
    <x:row r="481" ht="24" customHeight="1">
      <x:c r="A481" s="1" t="str">
        <x:v>RESULT</x:v>
      </x:c>
      <x:c r="B481" s="1" t="str">
        <x:v>Round1</x:v>
      </x:c>
      <x:c r="C481" s="1" t="str">
        <x:v>JacksonDatabind_78</x:v>
      </x:c>
      <x:c r="D481" s="1" t="str">
        <x:v>NOT_AVAILABLE</x:v>
      </x:c>
      <x:c r="E481" s="5"/>
      <x:c r="F481" s="4" t="n">
        <x:v>0</x:v>
      </x:c>
      <x:c r="G481" s="4"/>
      <x:c r="H481" s="6"/>
      <x:c r="I481" s="16" t="n">
        <x:v>1</x:v>
      </x:c>
      <x:c r="J481"/>
      <x:c r="K481" s="4"/>
      <x:c r="L481" s="4"/>
      <x:c r="M481" s="4"/>
      <x:c r="N481" s="5"/>
    </x:row>
    <x:row r="482" ht="24" customHeight="1">
      <x:c r="A482" s="1" t="str">
        <x:v>RESULT</x:v>
      </x:c>
      <x:c r="B482" s="1" t="str">
        <x:v>Round1</x:v>
      </x:c>
      <x:c r="C482" s="1" t="str">
        <x:v>JacksonDatabind_79</x:v>
      </x:c>
      <x:c r="D482" s="1" t="str">
        <x:v>NOT_REVEALING</x:v>
      </x:c>
      <x:c r="E482" s="5" t="n">
        <x:v>0.0338</x:v>
      </x:c>
      <x:c r="F482" s="4" t="n">
        <x:v>0</x:v>
      </x:c>
      <x:c r="G482" s="4" t="n">
        <x:v>5350</x:v>
      </x:c>
      <x:c r="H482" s="6" t="n">
        <x:v>32.46</x:v>
      </x:c>
      <x:c r="I482" s="16" t="n">
        <x:v>1</x:v>
      </x:c>
      <x:c r="J482" t="n">
        <x:v>829</x:v>
      </x:c>
      <x:c r="K482" s="4" t="n">
        <x:v>28</x:v>
      </x:c>
      <x:c r="L482" s="4" t="n">
        <x:v>558</x:v>
      </x:c>
      <x:c r="M482" s="4" t="n">
        <x:v>8</x:v>
      </x:c>
      <x:c r="N482" s="5" t="n">
        <x:v>0.0143</x:v>
      </x:c>
    </x:row>
    <x:row r="483" ht="24" customHeight="1">
      <x:c r="A483" s="1" t="str">
        <x:v>RESULT</x:v>
      </x:c>
      <x:c r="B483" s="1" t="str">
        <x:v>Round1</x:v>
      </x:c>
      <x:c r="C483" s="1" t="str">
        <x:v>JacksonDatabind_8</x:v>
      </x:c>
      <x:c r="D483" s="1" t="str">
        <x:v>NOT_REVEALING</x:v>
      </x:c>
      <x:c r="E483" s="5" t="n">
        <x:v>0.0086</x:v>
      </x:c>
      <x:c r="F483" s="4" t="n">
        <x:v>0</x:v>
      </x:c>
      <x:c r="G483" s="4"/>
      <x:c r="H483" s="6"/>
      <x:c r="I483" s="16" t="n">
        <x:v>1</x:v>
      </x:c>
      <x:c r="J483" t="n">
        <x:v>116</x:v>
      </x:c>
      <x:c r="K483" s="4" t="n">
        <x:v>1</x:v>
      </x:c>
      <x:c r="L483" s="4" t="n">
        <x:v>64</x:v>
      </x:c>
      <x:c r="M483" s="4" t="n">
        <x:v>0</x:v>
      </x:c>
      <x:c r="N483" s="5" t="n">
        <x:v>0</x:v>
      </x:c>
    </x:row>
    <x:row r="484" ht="24" customHeight="1">
      <x:c r="A484" s="1" t="str">
        <x:v>RESULT</x:v>
      </x:c>
      <x:c r="B484" s="1" t="str">
        <x:v>Round1</x:v>
      </x:c>
      <x:c r="C484" s="1" t="str">
        <x:v>JacksonDatabind_80</x:v>
      </x:c>
      <x:c r="D484" s="1" t="str">
        <x:v>NOT_REVEALING</x:v>
      </x:c>
      <x:c r="E484" s="5" t="n">
        <x:v>0</x:v>
      </x:c>
      <x:c r="F484" s="4" t="n">
        <x:v>0</x:v>
      </x:c>
      <x:c r="G484" s="4"/>
      <x:c r="H484" s="6"/>
      <x:c r="I484" s="16" t="n">
        <x:v>1</x:v>
      </x:c>
      <x:c r="J484" t="n">
        <x:v>124</x:v>
      </x:c>
      <x:c r="K484" s="4" t="n">
        <x:v>0</x:v>
      </x:c>
      <x:c r="L484" s="4" t="n">
        <x:v>78</x:v>
      </x:c>
      <x:c r="M484" s="4" t="n">
        <x:v>0</x:v>
      </x:c>
      <x:c r="N484" s="5" t="n">
        <x:v>0</x:v>
      </x:c>
    </x:row>
    <x:row r="485" ht="24" customHeight="1">
      <x:c r="A485" s="1" t="str">
        <x:v>RESULT</x:v>
      </x:c>
      <x:c r="B485" s="1" t="str">
        <x:v>Round1</x:v>
      </x:c>
      <x:c r="C485" s="1" t="str">
        <x:v>JacksonDatabind_81</x:v>
      </x:c>
      <x:c r="D485" s="1" t="str">
        <x:v>NOT_REVEALING</x:v>
      </x:c>
      <x:c r="E485" s="5" t="n">
        <x:v>0.0132</x:v>
      </x:c>
      <x:c r="F485" s="4" t="n">
        <x:v>0</x:v>
      </x:c>
      <x:c r="G485" s="4"/>
      <x:c r="H485" s="6"/>
      <x:c r="I485" s="16" t="n">
        <x:v>1</x:v>
      </x:c>
      <x:c r="J485" t="n">
        <x:v>532</x:v>
      </x:c>
      <x:c r="K485" s="4" t="n">
        <x:v>7</x:v>
      </x:c>
      <x:c r="L485" s="4" t="n">
        <x:v>365</x:v>
      </x:c>
      <x:c r="M485" s="4" t="n">
        <x:v>0</x:v>
      </x:c>
      <x:c r="N485" s="5" t="n">
        <x:v>0</x:v>
      </x:c>
    </x:row>
    <x:row r="486" ht="24" customHeight="1">
      <x:c r="A486" s="1" t="str">
        <x:v>RESULT</x:v>
      </x:c>
      <x:c r="B486" s="1" t="str">
        <x:v>Round1</x:v>
      </x:c>
      <x:c r="C486" s="1" t="str">
        <x:v>JacksonDatabind_82</x:v>
      </x:c>
      <x:c r="D486" s="1" t="str">
        <x:v>NOT_AVAILABLE</x:v>
      </x:c>
      <x:c r="E486" s="5"/>
      <x:c r="F486" s="4" t="n">
        <x:v>0</x:v>
      </x:c>
      <x:c r="G486" s="4"/>
      <x:c r="H486" s="6"/>
      <x:c r="I486" s="16" t="n">
        <x:v>1</x:v>
      </x:c>
      <x:c r="J486"/>
      <x:c r="K486" s="4"/>
      <x:c r="L486" s="4"/>
      <x:c r="M486" s="4"/>
      <x:c r="N486" s="5"/>
    </x:row>
    <x:row r="487" ht="24" customHeight="1">
      <x:c r="A487" s="1" t="str">
        <x:v>RESULT</x:v>
      </x:c>
      <x:c r="B487" s="1" t="str">
        <x:v>Round1</x:v>
      </x:c>
      <x:c r="C487" s="1" t="str">
        <x:v>JacksonDatabind_83</x:v>
      </x:c>
      <x:c r="D487" s="1" t="str">
        <x:v>INCONCLUSIVE</x:v>
      </x:c>
      <x:c r="E487" s="5" t="n">
        <x:v>0</x:v>
      </x:c>
      <x:c r="F487" s="4" t="n">
        <x:v>0</x:v>
      </x:c>
      <x:c r="G487" s="4"/>
      <x:c r="H487" s="6"/>
      <x:c r="I487" s="16" t="n">
        <x:v>1</x:v>
      </x:c>
      <x:c r="J487" t="n">
        <x:v>122</x:v>
      </x:c>
      <x:c r="K487" s="4" t="n">
        <x:v>0</x:v>
      </x:c>
      <x:c r="L487" s="4" t="n">
        <x:v>88</x:v>
      </x:c>
      <x:c r="M487" s="4" t="n">
        <x:v>0</x:v>
      </x:c>
      <x:c r="N487" s="5" t="n">
        <x:v>0</x:v>
      </x:c>
    </x:row>
    <x:row r="488" ht="24" customHeight="1">
      <x:c r="A488" s="1" t="str">
        <x:v>RESULT</x:v>
      </x:c>
      <x:c r="B488" s="1" t="str">
        <x:v>Round1</x:v>
      </x:c>
      <x:c r="C488" s="1" t="str">
        <x:v>JacksonDatabind_84</x:v>
      </x:c>
      <x:c r="D488" s="1" t="str">
        <x:v>NOT_REVEALING</x:v>
      </x:c>
      <x:c r="E488" s="5" t="n">
        <x:v>1</x:v>
      </x:c>
      <x:c r="F488" s="4" t="n">
        <x:v>0</x:v>
      </x:c>
      <x:c r="G488" s="4" t="n">
        <x:v>8724</x:v>
      </x:c>
      <x:c r="H488" s="6" t="n">
        <x:v>40.84</x:v>
      </x:c>
      <x:c r="I488" s="16" t="n">
        <x:v>1</x:v>
      </x:c>
      <x:c r="J488" t="n">
        <x:v>30</x:v>
      </x:c>
      <x:c r="K488" s="4" t="n">
        <x:v>30</x:v>
      </x:c>
      <x:c r="L488" s="4" t="n">
        <x:v>14</x:v>
      </x:c>
      <x:c r="M488" s="4" t="n">
        <x:v>14</x:v>
      </x:c>
      <x:c r="N488" s="5" t="n">
        <x:v>1</x:v>
      </x:c>
    </x:row>
    <x:row r="489" ht="24" customHeight="1">
      <x:c r="A489" s="1" t="str">
        <x:v>RESULT</x:v>
      </x:c>
      <x:c r="B489" s="1" t="str">
        <x:v>Round1</x:v>
      </x:c>
      <x:c r="C489" s="1" t="str">
        <x:v>JacksonDatabind_85</x:v>
      </x:c>
      <x:c r="D489" s="1" t="str">
        <x:v>NOT_AVAILABLE</x:v>
      </x:c>
      <x:c r="E489" s="5"/>
      <x:c r="F489" s="4" t="n">
        <x:v>0</x:v>
      </x:c>
      <x:c r="G489" s="4" t="n">
        <x:v>19227</x:v>
      </x:c>
      <x:c r="H489" s="6" t="n">
        <x:v>81</x:v>
      </x:c>
      <x:c r="I489" s="16" t="n">
        <x:v>1</x:v>
      </x:c>
      <x:c r="J489"/>
      <x:c r="K489" s="4"/>
      <x:c r="L489" s="4"/>
      <x:c r="M489" s="4"/>
      <x:c r="N489" s="5"/>
    </x:row>
    <x:row r="490" ht="24" customHeight="1">
      <x:c r="A490" s="1" t="str">
        <x:v>RESULT</x:v>
      </x:c>
      <x:c r="B490" s="1" t="str">
        <x:v>Round1</x:v>
      </x:c>
      <x:c r="C490" s="1" t="str">
        <x:v>JacksonDatabind_86</x:v>
      </x:c>
      <x:c r="D490" s="1" t="str">
        <x:v>NOT_REVEALING</x:v>
      </x:c>
      <x:c r="E490" s="5" t="n">
        <x:v>1</x:v>
      </x:c>
      <x:c r="F490" s="4" t="n">
        <x:v>0</x:v>
      </x:c>
      <x:c r="G490" s="4" t="n">
        <x:v>7110</x:v>
      </x:c>
      <x:c r="H490" s="6" t="n">
        <x:v>29.85</x:v>
      </x:c>
      <x:c r="I490" s="16" t="n">
        <x:v>1</x:v>
      </x:c>
      <x:c r="J490" t="n">
        <x:v>30</x:v>
      </x:c>
      <x:c r="K490" s="4" t="n">
        <x:v>30</x:v>
      </x:c>
      <x:c r="L490" s="4" t="n">
        <x:v>14</x:v>
      </x:c>
      <x:c r="M490" s="4" t="n">
        <x:v>14</x:v>
      </x:c>
      <x:c r="N490" s="5" t="n">
        <x:v>1</x:v>
      </x:c>
    </x:row>
    <x:row r="491" ht="24" customHeight="1">
      <x:c r="A491" s="1" t="str">
        <x:v>RESULT</x:v>
      </x:c>
      <x:c r="B491" s="1" t="str">
        <x:v>Round1</x:v>
      </x:c>
      <x:c r="C491" s="1" t="str">
        <x:v>JacksonDatabind_87</x:v>
      </x:c>
      <x:c r="D491" s="1" t="str">
        <x:v>NOT_REVEALING</x:v>
      </x:c>
      <x:c r="E491" s="5" t="n">
        <x:v>0.07429999999999999</x:v>
      </x:c>
      <x:c r="F491" s="4" t="n">
        <x:v>0</x:v>
      </x:c>
      <x:c r="G491" s="4"/>
      <x:c r="H491" s="6"/>
      <x:c r="I491" s="16" t="n">
        <x:v>1</x:v>
      </x:c>
      <x:c r="J491" t="n">
        <x:v>202</x:v>
      </x:c>
      <x:c r="K491" s="4" t="n">
        <x:v>15</x:v>
      </x:c>
      <x:c r="L491" s="4" t="n">
        <x:v>136</x:v>
      </x:c>
      <x:c r="M491" s="4" t="n">
        <x:v>0</x:v>
      </x:c>
      <x:c r="N491" s="5" t="n">
        <x:v>0</x:v>
      </x:c>
    </x:row>
    <x:row r="492" ht="24" customHeight="1">
      <x:c r="A492" s="1" t="str">
        <x:v>RESULT</x:v>
      </x:c>
      <x:c r="B492" s="1" t="str">
        <x:v>Round1</x:v>
      </x:c>
      <x:c r="C492" s="1" t="str">
        <x:v>JacksonDatabind_88</x:v>
      </x:c>
      <x:c r="D492" s="1" t="str">
        <x:v>INCONCLUSIVE</x:v>
      </x:c>
      <x:c r="E492" s="5" t="n">
        <x:v>0.6457999999999999</x:v>
      </x:c>
      <x:c r="F492" s="4" t="n">
        <x:v>0</x:v>
      </x:c>
      <x:c r="G492" s="4"/>
      <x:c r="H492" s="6"/>
      <x:c r="I492" s="16" t="n">
        <x:v>1</x:v>
      </x:c>
      <x:c r="J492" t="n">
        <x:v>48</x:v>
      </x:c>
      <x:c r="K492" s="4" t="n">
        <x:v>31</x:v>
      </x:c>
      <x:c r="L492" s="4" t="n">
        <x:v>26</x:v>
      </x:c>
      <x:c r="M492" s="4" t="n">
        <x:v>17</x:v>
      </x:c>
      <x:c r="N492" s="5" t="n">
        <x:v>0.6537999999999999</x:v>
      </x:c>
    </x:row>
    <x:row r="493" ht="24" customHeight="1">
      <x:c r="A493" s="1" t="str">
        <x:v>RESULT</x:v>
      </x:c>
      <x:c r="B493" s="1" t="str">
        <x:v>Round1</x:v>
      </x:c>
      <x:c r="C493" s="1" t="str">
        <x:v>JacksonDatabind_9</x:v>
      </x:c>
      <x:c r="D493" s="1" t="str">
        <x:v>NOT_AVAILABLE</x:v>
      </x:c>
      <x:c r="E493" s="5"/>
      <x:c r="F493" s="4" t="n">
        <x:v>0</x:v>
      </x:c>
      <x:c r="G493" s="4" t="n">
        <x:v>10534</x:v>
      </x:c>
      <x:c r="H493" s="6" t="n">
        <x:v>71.89</x:v>
      </x:c>
      <x:c r="I493" s="16" t="n">
        <x:v>1</x:v>
      </x:c>
      <x:c r="J493"/>
      <x:c r="K493" s="4"/>
      <x:c r="L493" s="4"/>
      <x:c r="M493" s="4"/>
      <x:c r="N493" s="5"/>
    </x:row>
    <x:row r="494" ht="24" customHeight="1">
      <x:c r="A494" s="1" t="str">
        <x:v>RESULT</x:v>
      </x:c>
      <x:c r="B494" s="1" t="str">
        <x:v>Round1</x:v>
      </x:c>
      <x:c r="C494" s="1" t="str">
        <x:v>JacksonDatabind_90</x:v>
      </x:c>
      <x:c r="D494" s="1" t="str">
        <x:v>NOT_AVAILABLE</x:v>
      </x:c>
      <x:c r="E494" s="5"/>
      <x:c r="F494" s="4" t="n">
        <x:v>0</x:v>
      </x:c>
      <x:c r="G494" s="4"/>
      <x:c r="H494" s="6"/>
      <x:c r="I494" s="16" t="n">
        <x:v>1</x:v>
      </x:c>
      <x:c r="J494"/>
      <x:c r="K494" s="4"/>
      <x:c r="L494" s="4"/>
      <x:c r="M494" s="4"/>
      <x:c r="N494" s="5"/>
    </x:row>
    <x:row r="495" ht="24" customHeight="1">
      <x:c r="A495" s="1" t="str">
        <x:v>RESULT</x:v>
      </x:c>
      <x:c r="B495" s="1" t="str">
        <x:v>Round1</x:v>
      </x:c>
      <x:c r="C495" s="1" t="str">
        <x:v>JacksonDatabind_91</x:v>
      </x:c>
      <x:c r="D495" s="1" t="str">
        <x:v>NOT_AVAILABLE</x:v>
      </x:c>
      <x:c r="E495" s="5"/>
      <x:c r="F495" s="4" t="n">
        <x:v>0</x:v>
      </x:c>
      <x:c r="G495" s="4"/>
      <x:c r="H495" s="6"/>
      <x:c r="I495" s="16" t="n">
        <x:v>1</x:v>
      </x:c>
      <x:c r="J495"/>
      <x:c r="K495" s="4"/>
      <x:c r="L495" s="4"/>
      <x:c r="M495" s="4"/>
      <x:c r="N495" s="5"/>
    </x:row>
    <x:row r="496" ht="24" customHeight="1">
      <x:c r="A496" s="1" t="str">
        <x:v>RESULT</x:v>
      </x:c>
      <x:c r="B496" s="1" t="str">
        <x:v>Round1</x:v>
      </x:c>
      <x:c r="C496" s="1" t="str">
        <x:v>JacksonDatabind_92</x:v>
      </x:c>
      <x:c r="D496" s="1" t="str">
        <x:v>NOT_AVAILABLE</x:v>
      </x:c>
      <x:c r="E496" s="5"/>
      <x:c r="F496" s="4" t="n">
        <x:v>0</x:v>
      </x:c>
      <x:c r="G496" s="4"/>
      <x:c r="H496" s="6"/>
      <x:c r="I496" s="16" t="n">
        <x:v>1</x:v>
      </x:c>
      <x:c r="J496"/>
      <x:c r="K496" s="4"/>
      <x:c r="L496" s="4"/>
      <x:c r="M496" s="4"/>
      <x:c r="N496" s="5"/>
    </x:row>
    <x:row r="497" ht="24" customHeight="1">
      <x:c r="A497" s="1" t="str">
        <x:v>RESULT</x:v>
      </x:c>
      <x:c r="B497" s="1" t="str">
        <x:v>Round1</x:v>
      </x:c>
      <x:c r="C497" s="1" t="str">
        <x:v>JacksonDatabind_93</x:v>
      </x:c>
      <x:c r="D497" s="1" t="str">
        <x:v>INCONCLUSIVE</x:v>
      </x:c>
      <x:c r="E497" s="5" t="n">
        <x:v>1</x:v>
      </x:c>
      <x:c r="F497" s="4" t="n">
        <x:v>0</x:v>
      </x:c>
      <x:c r="G497" s="4" t="n">
        <x:v>13252</x:v>
      </x:c>
      <x:c r="H497" s="6" t="n">
        <x:v>69.04</x:v>
      </x:c>
      <x:c r="I497" s="16" t="n">
        <x:v>1</x:v>
      </x:c>
      <x:c r="J497" t="n">
        <x:v>36</x:v>
      </x:c>
      <x:c r="K497" s="4" t="n">
        <x:v>36</x:v>
      </x:c>
      <x:c r="L497" s="4" t="n">
        <x:v>10</x:v>
      </x:c>
      <x:c r="M497" s="4" t="n">
        <x:v>10</x:v>
      </x:c>
      <x:c r="N497" s="5" t="n">
        <x:v>1</x:v>
      </x:c>
    </x:row>
    <x:row r="498" ht="24" customHeight="1">
      <x:c r="A498" s="1" t="str">
        <x:v>RESULT</x:v>
      </x:c>
      <x:c r="B498" s="1" t="str">
        <x:v>Round1</x:v>
      </x:c>
      <x:c r="C498" s="1" t="str">
        <x:v>JacksonDatabind_94</x:v>
      </x:c>
      <x:c r="D498" s="1" t="str">
        <x:v>INCONCLUSIVE</x:v>
      </x:c>
      <x:c r="E498" s="5" t="n">
        <x:v>1</x:v>
      </x:c>
      <x:c r="F498" s="4" t="n">
        <x:v>0</x:v>
      </x:c>
      <x:c r="G498" s="4" t="n">
        <x:v>13910</x:v>
      </x:c>
      <x:c r="H498" s="6" t="n">
        <x:v>65.74</x:v>
      </x:c>
      <x:c r="I498" s="16" t="n">
        <x:v>1</x:v>
      </x:c>
      <x:c r="J498" t="n">
        <x:v>35</x:v>
      </x:c>
      <x:c r="K498" s="4" t="n">
        <x:v>35</x:v>
      </x:c>
      <x:c r="L498" s="4" t="n">
        <x:v>14</x:v>
      </x:c>
      <x:c r="M498" s="4" t="n">
        <x:v>13</x:v>
      </x:c>
      <x:c r="N498" s="5" t="n">
        <x:v>0.9286</x:v>
      </x:c>
    </x:row>
    <x:row r="499" ht="24" customHeight="1">
      <x:c r="A499" s="1" t="str">
        <x:v>RESULT</x:v>
      </x:c>
      <x:c r="B499" s="1" t="str">
        <x:v>Round1</x:v>
      </x:c>
      <x:c r="C499" s="1" t="str">
        <x:v>JacksonDatabind_95</x:v>
      </x:c>
      <x:c r="D499" s="1" t="str">
        <x:v>INCONCLUSIVE</x:v>
      </x:c>
      <x:c r="E499" s="5" t="n">
        <x:v>0.4357</x:v>
      </x:c>
      <x:c r="F499" s="4" t="n">
        <x:v>0</x:v>
      </x:c>
      <x:c r="G499" s="4" t="n">
        <x:v>12718</x:v>
      </x:c>
      <x:c r="H499" s="6" t="n">
        <x:v>65.33</x:v>
      </x:c>
      <x:c r="I499" s="16" t="n">
        <x:v>1</x:v>
      </x:c>
      <x:c r="J499" t="n">
        <x:v>459</x:v>
      </x:c>
      <x:c r="K499" s="4" t="n">
        <x:v>200</x:v>
      </x:c>
      <x:c r="L499" s="4" t="n">
        <x:v>271</x:v>
      </x:c>
      <x:c r="M499" s="4" t="n">
        <x:v>97</x:v>
      </x:c>
      <x:c r="N499" s="5" t="n">
        <x:v>0.3579</x:v>
      </x:c>
    </x:row>
    <x:row r="500" ht="24" customHeight="1">
      <x:c r="A500" s="1" t="str">
        <x:v>RESULT</x:v>
      </x:c>
      <x:c r="B500" s="1" t="str">
        <x:v>Round1</x:v>
      </x:c>
      <x:c r="C500" s="1" t="str">
        <x:v>JacksonDatabind_96</x:v>
      </x:c>
      <x:c r="D500" s="1" t="str">
        <x:v>NOT_AVAILABLE</x:v>
      </x:c>
      <x:c r="E500" s="5"/>
      <x:c r="F500" s="4" t="n">
        <x:v>0</x:v>
      </x:c>
      <x:c r="G500" s="4"/>
      <x:c r="H500" s="6"/>
      <x:c r="I500" s="16" t="n">
        <x:v>1</x:v>
      </x:c>
      <x:c r="J500"/>
      <x:c r="K500" s="4"/>
      <x:c r="L500" s="4"/>
      <x:c r="M500" s="4"/>
      <x:c r="N500" s="5"/>
    </x:row>
    <x:row r="501" ht="24" customHeight="1">
      <x:c r="A501" s="1" t="str">
        <x:v>RESULT</x:v>
      </x:c>
      <x:c r="B501" s="1" t="str">
        <x:v>Round1</x:v>
      </x:c>
      <x:c r="C501" s="1" t="str">
        <x:v>JacksonDatabind_97</x:v>
      </x:c>
      <x:c r="D501" s="1" t="str">
        <x:v>NOT_AVAILABLE</x:v>
      </x:c>
      <x:c r="E501" s="5"/>
      <x:c r="F501" s="4" t="n">
        <x:v>0</x:v>
      </x:c>
      <x:c r="G501" s="4" t="n">
        <x:v>10335</x:v>
      </x:c>
      <x:c r="H501" s="6" t="n">
        <x:v>48.64</x:v>
      </x:c>
      <x:c r="I501" s="16" t="n">
        <x:v>1</x:v>
      </x:c>
      <x:c r="J501"/>
      <x:c r="K501" s="4"/>
      <x:c r="L501" s="4"/>
      <x:c r="M501" s="4"/>
      <x:c r="N501" s="5"/>
    </x:row>
    <x:row r="502" ht="24" customHeight="1">
      <x:c r="A502" s="1" t="str">
        <x:v>RESULT</x:v>
      </x:c>
      <x:c r="B502" s="1" t="str">
        <x:v>Round1</x:v>
      </x:c>
      <x:c r="C502" s="1" t="str">
        <x:v>JacksonDatabind_98</x:v>
      </x:c>
      <x:c r="D502" s="1" t="str">
        <x:v>INCONCLUSIVE</x:v>
      </x:c>
      <x:c r="E502" s="5" t="n">
        <x:v>0</x:v>
      </x:c>
      <x:c r="F502" s="4" t="n">
        <x:v>0</x:v>
      </x:c>
      <x:c r="G502" s="4"/>
      <x:c r="H502" s="6"/>
      <x:c r="I502" s="16" t="n">
        <x:v>1</x:v>
      </x:c>
      <x:c r="J502" t="n">
        <x:v>207</x:v>
      </x:c>
      <x:c r="K502" s="4" t="n">
        <x:v>0</x:v>
      </x:c>
      <x:c r="L502" s="4" t="n">
        <x:v>92</x:v>
      </x:c>
      <x:c r="M502" s="4" t="n">
        <x:v>0</x:v>
      </x:c>
      <x:c r="N502" s="5" t="n">
        <x:v>0</x:v>
      </x:c>
    </x:row>
    <x:row r="503" ht="24" customHeight="1">
      <x:c r="A503" s="1" t="str">
        <x:v>RESULT</x:v>
      </x:c>
      <x:c r="B503" s="1" t="str">
        <x:v>Round1</x:v>
      </x:c>
      <x:c r="C503" s="1" t="str">
        <x:v>JacksonDatabind_99</x:v>
      </x:c>
      <x:c r="D503" s="1" t="str">
        <x:v>NOT_AVAILABLE</x:v>
      </x:c>
      <x:c r="E503" s="5"/>
      <x:c r="F503" s="4" t="n">
        <x:v>0</x:v>
      </x:c>
      <x:c r="G503" s="4"/>
      <x:c r="H503" s="6"/>
      <x:c r="I503" s="16" t="n">
        <x:v>1</x:v>
      </x:c>
      <x:c r="J503"/>
      <x:c r="K503" s="4"/>
      <x:c r="L503" s="4"/>
      <x:c r="M503" s="4"/>
      <x:c r="N503" s="5"/>
    </x:row>
    <x:row r="504" ht="24" customHeight="1">
      <x:c r="A504" s="1" t="str">
        <x:v>RESULT</x:v>
      </x:c>
      <x:c r="B504" s="1" t="str">
        <x:v>Round1</x:v>
      </x:c>
      <x:c r="C504" s="1" t="str">
        <x:v>JacksonXml_1</x:v>
      </x:c>
      <x:c r="D504" s="1" t="str">
        <x:v>NOT_REVEALING</x:v>
      </x:c>
      <x:c r="E504" s="5" t="n">
        <x:v>0.2279</x:v>
      </x:c>
      <x:c r="F504" s="4" t="n">
        <x:v>0</x:v>
      </x:c>
      <x:c r="G504" s="4"/>
      <x:c r="H504" s="6"/>
      <x:c r="I504" s="16" t="n">
        <x:v>1</x:v>
      </x:c>
      <x:c r="J504" t="n">
        <x:v>294</x:v>
      </x:c>
      <x:c r="K504" s="4" t="n">
        <x:v>67</x:v>
      </x:c>
      <x:c r="L504" s="4" t="n">
        <x:v>147</x:v>
      </x:c>
      <x:c r="M504" s="4" t="n">
        <x:v>27</x:v>
      </x:c>
      <x:c r="N504" s="5" t="n">
        <x:v>0.1837</x:v>
      </x:c>
    </x:row>
    <x:row r="505" ht="24" customHeight="1">
      <x:c r="A505" s="1" t="str">
        <x:v>RESULT</x:v>
      </x:c>
      <x:c r="B505" s="1" t="str">
        <x:v>Round1</x:v>
      </x:c>
      <x:c r="C505" s="1" t="str">
        <x:v>JacksonXml_2</x:v>
      </x:c>
      <x:c r="D505" s="1" t="str">
        <x:v>NOT_AVAILABLE</x:v>
      </x:c>
      <x:c r="E505" s="5"/>
      <x:c r="F505" s="4" t="n">
        <x:v>0</x:v>
      </x:c>
      <x:c r="G505" s="4"/>
      <x:c r="H505" s="6"/>
      <x:c r="I505" s="16" t="n">
        <x:v>1</x:v>
      </x:c>
      <x:c r="J505"/>
      <x:c r="K505" s="4"/>
      <x:c r="L505" s="4"/>
      <x:c r="M505" s="4"/>
      <x:c r="N505" s="5"/>
    </x:row>
    <x:row r="506" ht="24" customHeight="1">
      <x:c r="A506" s="1" t="str">
        <x:v>RESULT</x:v>
      </x:c>
      <x:c r="B506" s="1" t="str">
        <x:v>Round1</x:v>
      </x:c>
      <x:c r="C506" s="1" t="str">
        <x:v>JacksonXml_3</x:v>
      </x:c>
      <x:c r="D506" s="1" t="str">
        <x:v>NOT_REVEALING</x:v>
      </x:c>
      <x:c r="E506" s="5" t="n">
        <x:v>0.2271</x:v>
      </x:c>
      <x:c r="F506" s="4" t="n">
        <x:v>0</x:v>
      </x:c>
      <x:c r="G506" s="4"/>
      <x:c r="H506" s="6"/>
      <x:c r="I506" s="16" t="n">
        <x:v>1</x:v>
      </x:c>
      <x:c r="J506" t="n">
        <x:v>295</x:v>
      </x:c>
      <x:c r="K506" s="4" t="n">
        <x:v>67</x:v>
      </x:c>
      <x:c r="L506" s="4" t="n">
        <x:v>151</x:v>
      </x:c>
      <x:c r="M506" s="4" t="n">
        <x:v>27</x:v>
      </x:c>
      <x:c r="N506" s="5" t="n">
        <x:v>0.1788</x:v>
      </x:c>
    </x:row>
    <x:row r="507" ht="24" customHeight="1">
      <x:c r="A507" s="1" t="str">
        <x:v>RESULT</x:v>
      </x:c>
      <x:c r="B507" s="1" t="str">
        <x:v>Round1</x:v>
      </x:c>
      <x:c r="C507" s="1" t="str">
        <x:v>JacksonXml_4</x:v>
      </x:c>
      <x:c r="D507" s="1" t="str">
        <x:v>NOT_REVEALING</x:v>
      </x:c>
      <x:c r="E507" s="5" t="n">
        <x:v>0.2773</x:v>
      </x:c>
      <x:c r="F507" s="4" t="n">
        <x:v>0</x:v>
      </x:c>
      <x:c r="G507" s="4"/>
      <x:c r="H507" s="6"/>
      <x:c r="I507" s="16" t="n">
        <x:v>1</x:v>
      </x:c>
      <x:c r="J507" t="n">
        <x:v>119</x:v>
      </x:c>
      <x:c r="K507" s="4" t="n">
        <x:v>33</x:v>
      </x:c>
      <x:c r="L507" s="4" t="n">
        <x:v>58</x:v>
      </x:c>
      <x:c r="M507" s="4" t="n">
        <x:v>10</x:v>
      </x:c>
      <x:c r="N507" s="5" t="n">
        <x:v>0.1724</x:v>
      </x:c>
    </x:row>
    <x:row r="508" ht="24" customHeight="1">
      <x:c r="A508" s="1" t="str">
        <x:v>RESULT</x:v>
      </x:c>
      <x:c r="B508" s="1" t="str">
        <x:v>Round1</x:v>
      </x:c>
      <x:c r="C508" s="1" t="str">
        <x:v>JacksonXml_5</x:v>
      </x:c>
      <x:c r="D508" s="1" t="str">
        <x:v>NOT_REVEALING</x:v>
      </x:c>
      <x:c r="E508" s="5" t="n">
        <x:v>0.34380000000000005</x:v>
      </x:c>
      <x:c r="F508" s="4" t="n">
        <x:v>0</x:v>
      </x:c>
      <x:c r="G508" s="4"/>
      <x:c r="H508" s="6"/>
      <x:c r="I508" s="16" t="n">
        <x:v>1</x:v>
      </x:c>
      <x:c r="J508" t="n">
        <x:v>96</x:v>
      </x:c>
      <x:c r="K508" s="4" t="n">
        <x:v>33</x:v>
      </x:c>
      <x:c r="L508" s="4" t="n">
        <x:v>48</x:v>
      </x:c>
      <x:c r="M508" s="4" t="n">
        <x:v>10</x:v>
      </x:c>
      <x:c r="N508" s="5" t="n">
        <x:v>0.20829999999999999</x:v>
      </x:c>
    </x:row>
    <x:row r="509" ht="24" customHeight="1">
      <x:c r="A509" s="1" t="str">
        <x:v>RESULT</x:v>
      </x:c>
      <x:c r="B509" s="1" t="str">
        <x:v>Round1</x:v>
      </x:c>
      <x:c r="C509" s="1" t="str">
        <x:v>JacksonXml_6</x:v>
      </x:c>
      <x:c r="D509" s="1" t="str">
        <x:v>INCONCLUSIVE</x:v>
      </x:c>
      <x:c r="E509" s="5" t="n">
        <x:v>0.0722</x:v>
      </x:c>
      <x:c r="F509" s="4" t="n">
        <x:v>0</x:v>
      </x:c>
      <x:c r="G509" s="4"/>
      <x:c r="H509" s="6"/>
      <x:c r="I509" s="16" t="n">
        <x:v>1</x:v>
      </x:c>
      <x:c r="J509" t="n">
        <x:v>485</x:v>
      </x:c>
      <x:c r="K509" s="4" t="n">
        <x:v>35</x:v>
      </x:c>
      <x:c r="L509" s="4" t="n">
        <x:v>222</x:v>
      </x:c>
      <x:c r="M509" s="4" t="n">
        <x:v>8</x:v>
      </x:c>
      <x:c r="N509" s="5" t="n">
        <x:v>0.036000000000000004</x:v>
      </x:c>
    </x:row>
    <x:row r="510" ht="24" customHeight="1">
      <x:c r="A510" s="1" t="str">
        <x:v>RESULT</x:v>
      </x:c>
      <x:c r="B510" s="1" t="str">
        <x:v>Round1</x:v>
      </x:c>
      <x:c r="C510" s="1" t="str">
        <x:v>Jsoup_1</x:v>
      </x:c>
      <x:c r="D510" s="1" t="str">
        <x:v>NOT_REVEALING</x:v>
      </x:c>
      <x:c r="E510" s="5" t="n">
        <x:v>1</x:v>
      </x:c>
      <x:c r="F510" s="4" t="n">
        <x:v>0</x:v>
      </x:c>
      <x:c r="G510" s="4" t="n">
        <x:v>5074</x:v>
      </x:c>
      <x:c r="H510" s="6" t="n">
        <x:v>27.59</x:v>
      </x:c>
      <x:c r="I510" s="16" t="n">
        <x:v>1</x:v>
      </x:c>
      <x:c r="J510" t="n">
        <x:v>46</x:v>
      </x:c>
      <x:c r="K510" s="4" t="n">
        <x:v>46</x:v>
      </x:c>
      <x:c r="L510" s="4" t="n">
        <x:v>18</x:v>
      </x:c>
      <x:c r="M510" s="4" t="n">
        <x:v>18</x:v>
      </x:c>
      <x:c r="N510" s="5" t="n">
        <x:v>1</x:v>
      </x:c>
    </x:row>
    <x:row r="511" ht="24" customHeight="1">
      <x:c r="A511" s="1" t="str">
        <x:v>RESULT</x:v>
      </x:c>
      <x:c r="B511" s="1" t="str">
        <x:v>Round1</x:v>
      </x:c>
      <x:c r="C511" s="1" t="str">
        <x:v>Jsoup_10</x:v>
      </x:c>
      <x:c r="D511" s="1" t="str">
        <x:v>INCONCLUSIVE</x:v>
      </x:c>
      <x:c r="E511" s="5" t="n">
        <x:v>0.9804999999999999</x:v>
      </x:c>
      <x:c r="F511" s="4" t="n">
        <x:v>0</x:v>
      </x:c>
      <x:c r="G511" s="4" t="n">
        <x:v>17022</x:v>
      </x:c>
      <x:c r="H511" s="6" t="n">
        <x:v>81.71</x:v>
      </x:c>
      <x:c r="I511" s="16" t="n">
        <x:v>1</x:v>
      </x:c>
      <x:c r="J511" t="n">
        <x:v>154</x:v>
      </x:c>
      <x:c r="K511" s="4" t="n">
        <x:v>151</x:v>
      </x:c>
      <x:c r="L511" s="4" t="n">
        <x:v>48</x:v>
      </x:c>
      <x:c r="M511" s="4" t="n">
        <x:v>48</x:v>
      </x:c>
      <x:c r="N511" s="5" t="n">
        <x:v>1</x:v>
      </x:c>
    </x:row>
    <x:row r="512" ht="24" customHeight="1">
      <x:c r="A512" s="1" t="str">
        <x:v>RESULT</x:v>
      </x:c>
      <x:c r="B512" s="1" t="str">
        <x:v>Round1</x:v>
      </x:c>
      <x:c r="C512" s="1" t="str">
        <x:v>Jsoup_11</x:v>
      </x:c>
      <x:c r="D512" s="1" t="str">
        <x:v>INCONCLUSIVE</x:v>
      </x:c>
      <x:c r="E512" s="5" t="n">
        <x:v>0.9747</x:v>
      </x:c>
      <x:c r="F512" s="4" t="n">
        <x:v>0</x:v>
      </x:c>
      <x:c r="G512" s="4" t="n">
        <x:v>10807</x:v>
      </x:c>
      <x:c r="H512" s="6" t="n">
        <x:v>30.64</x:v>
      </x:c>
      <x:c r="I512" s="16" t="n">
        <x:v>1</x:v>
      </x:c>
      <x:c r="J512" t="n">
        <x:v>198</x:v>
      </x:c>
      <x:c r="K512" s="4" t="n">
        <x:v>193</x:v>
      </x:c>
      <x:c r="L512" s="4" t="n">
        <x:v>120</x:v>
      </x:c>
      <x:c r="M512" s="4" t="n">
        <x:v>114</x:v>
      </x:c>
      <x:c r="N512" s="5" t="n">
        <x:v>0.95</x:v>
      </x:c>
    </x:row>
    <x:row r="513" ht="24" customHeight="1">
      <x:c r="A513" s="1" t="str">
        <x:v>RESULT</x:v>
      </x:c>
      <x:c r="B513" s="1" t="str">
        <x:v>Round1</x:v>
      </x:c>
      <x:c r="C513" s="1" t="str">
        <x:v>Jsoup_12</x:v>
      </x:c>
      <x:c r="D513" s="1" t="str">
        <x:v>INCONCLUSIVE</x:v>
      </x:c>
      <x:c r="E513" s="5" t="n">
        <x:v>0.9771</x:v>
      </x:c>
      <x:c r="F513" s="4" t="n">
        <x:v>0</x:v>
      </x:c>
      <x:c r="G513" s="4" t="n">
        <x:v>12465</x:v>
      </x:c>
      <x:c r="H513" s="6" t="n">
        <x:v>38.48</x:v>
      </x:c>
      <x:c r="I513" s="16" t="n">
        <x:v>1</x:v>
      </x:c>
      <x:c r="J513" t="n">
        <x:v>218</x:v>
      </x:c>
      <x:c r="K513" s="4" t="n">
        <x:v>213</x:v>
      </x:c>
      <x:c r="L513" s="4" t="n">
        <x:v>132</x:v>
      </x:c>
      <x:c r="M513" s="4" t="n">
        <x:v>126</x:v>
      </x:c>
      <x:c r="N513" s="5" t="n">
        <x:v>0.9545</x:v>
      </x:c>
    </x:row>
    <x:row r="514" ht="24" customHeight="1">
      <x:c r="A514" s="1" t="str">
        <x:v>RESULT</x:v>
      </x:c>
      <x:c r="B514" s="1" t="str">
        <x:v>Round1</x:v>
      </x:c>
      <x:c r="C514" s="1" t="str">
        <x:v>Jsoup_13</x:v>
      </x:c>
      <x:c r="D514" s="1" t="str">
        <x:v>NOT_AVAILABLE</x:v>
      </x:c>
      <x:c r="E514" s="5"/>
      <x:c r="F514" s="4" t="n">
        <x:v>0</x:v>
      </x:c>
      <x:c r="G514" s="4" t="n">
        <x:v>14251</x:v>
      </x:c>
      <x:c r="H514" s="6" t="n">
        <x:v>83.97</x:v>
      </x:c>
      <x:c r="I514" s="16" t="n">
        <x:v>1</x:v>
      </x:c>
      <x:c r="J514"/>
      <x:c r="K514" s="4"/>
      <x:c r="L514" s="4"/>
      <x:c r="M514" s="4"/>
      <x:c r="N514" s="5"/>
    </x:row>
    <x:row r="515" ht="24" customHeight="1">
      <x:c r="A515" s="1" t="str">
        <x:v>RESULT</x:v>
      </x:c>
      <x:c r="B515" s="1" t="str">
        <x:v>Round1</x:v>
      </x:c>
      <x:c r="C515" s="1" t="str">
        <x:v>Jsoup_14</x:v>
      </x:c>
      <x:c r="D515" s="1" t="str">
        <x:v>NOT_AVAILABLE</x:v>
      </x:c>
      <x:c r="E515" s="5"/>
      <x:c r="F515" s="4" t="n">
        <x:v>0</x:v>
      </x:c>
      <x:c r="G515" s="4" t="n">
        <x:v>45549</x:v>
      </x:c>
      <x:c r="H515" s="6" t="n">
        <x:v>152.86</x:v>
      </x:c>
      <x:c r="I515" s="16" t="n">
        <x:v>1</x:v>
      </x:c>
      <x:c r="J515"/>
      <x:c r="K515" s="4"/>
      <x:c r="L515" s="4"/>
      <x:c r="M515" s="4"/>
      <x:c r="N515" s="5"/>
    </x:row>
    <x:row r="516" ht="24" customHeight="1">
      <x:c r="A516" s="1" t="str">
        <x:v>RESULT</x:v>
      </x:c>
      <x:c r="B516" s="1" t="str">
        <x:v>Round1</x:v>
      </x:c>
      <x:c r="C516" s="1" t="str">
        <x:v>Jsoup_15</x:v>
      </x:c>
      <x:c r="D516" s="1" t="str">
        <x:v>NOT_AVAILABLE</x:v>
      </x:c>
      <x:c r="E516" s="5"/>
      <x:c r="F516" s="4" t="n">
        <x:v>0</x:v>
      </x:c>
      <x:c r="G516" s="4" t="n">
        <x:v>46050</x:v>
      </x:c>
      <x:c r="H516" s="6" t="n">
        <x:v>173.83</x:v>
      </x:c>
      <x:c r="I516" s="16" t="n">
        <x:v>1</x:v>
      </x:c>
      <x:c r="J516"/>
      <x:c r="K516" s="4"/>
      <x:c r="L516" s="4"/>
      <x:c r="M516" s="4"/>
      <x:c r="N516" s="5"/>
    </x:row>
    <x:row r="517" ht="24" customHeight="1">
      <x:c r="A517" s="1" t="str">
        <x:v>RESULT</x:v>
      </x:c>
      <x:c r="B517" s="1" t="str">
        <x:v>Round1</x:v>
      </x:c>
      <x:c r="C517" s="1" t="str">
        <x:v>Jsoup_16</x:v>
      </x:c>
      <x:c r="D517" s="1" t="str">
        <x:v>INCONCLUSIVE</x:v>
      </x:c>
      <x:c r="E517" s="5" t="n">
        <x:v>1</x:v>
      </x:c>
      <x:c r="F517" s="4" t="n">
        <x:v>0</x:v>
      </x:c>
      <x:c r="G517" s="4" t="n">
        <x:v>3021</x:v>
      </x:c>
      <x:c r="H517" s="6" t="n">
        <x:v>13.13</x:v>
      </x:c>
      <x:c r="I517" s="16" t="n">
        <x:v>1</x:v>
      </x:c>
      <x:c r="J517" t="n">
        <x:v>14</x:v>
      </x:c>
      <x:c r="K517" s="4" t="n">
        <x:v>14</x:v>
      </x:c>
      <x:c r="L517" s="4" t="n">
        <x:v>4</x:v>
      </x:c>
      <x:c r="M517" s="4" t="n">
        <x:v>4</x:v>
      </x:c>
      <x:c r="N517" s="5" t="n">
        <x:v>1</x:v>
      </x:c>
    </x:row>
    <x:row r="518" ht="24" customHeight="1">
      <x:c r="A518" s="1" t="str">
        <x:v>RESULT</x:v>
      </x:c>
      <x:c r="B518" s="1" t="str">
        <x:v>Round1</x:v>
      </x:c>
      <x:c r="C518" s="1" t="str">
        <x:v>Jsoup_17</x:v>
      </x:c>
      <x:c r="D518" s="1" t="str">
        <x:v>NOT_AVAILABLE</x:v>
      </x:c>
      <x:c r="E518" s="5"/>
      <x:c r="F518" s="4" t="n">
        <x:v>0</x:v>
      </x:c>
      <x:c r="G518" s="4"/>
      <x:c r="H518" s="6"/>
      <x:c r="I518" s="16" t="n">
        <x:v>1</x:v>
      </x:c>
      <x:c r="J518"/>
      <x:c r="K518" s="4"/>
      <x:c r="L518" s="4"/>
      <x:c r="M518" s="4"/>
      <x:c r="N518" s="5"/>
    </x:row>
    <x:row r="519" ht="24" customHeight="1">
      <x:c r="A519" s="1" t="str">
        <x:v>RESULT</x:v>
      </x:c>
      <x:c r="B519" s="1" t="str">
        <x:v>Round1</x:v>
      </x:c>
      <x:c r="C519" s="1" t="str">
        <x:v>Jsoup_18</x:v>
      </x:c>
      <x:c r="D519" s="1" t="str">
        <x:v>INCONCLUSIVE</x:v>
      </x:c>
      <x:c r="E519" s="5" t="n">
        <x:v>1</x:v>
      </x:c>
      <x:c r="F519" s="4" t="n">
        <x:v>0</x:v>
      </x:c>
      <x:c r="G519" s="4" t="n">
        <x:v>8136</x:v>
      </x:c>
      <x:c r="H519" s="6" t="n">
        <x:v>31.78</x:v>
      </x:c>
      <x:c r="I519" s="16" t="n">
        <x:v>1</x:v>
      </x:c>
      <x:c r="J519" t="n">
        <x:v>97</x:v>
      </x:c>
      <x:c r="K519" s="4" t="n">
        <x:v>97</x:v>
      </x:c>
      <x:c r="L519" s="4" t="n">
        <x:v>82</x:v>
      </x:c>
      <x:c r="M519" s="4" t="n">
        <x:v>77</x:v>
      </x:c>
      <x:c r="N519" s="5" t="n">
        <x:v>0.9390000000000001</x:v>
      </x:c>
    </x:row>
    <x:row r="520" ht="24" customHeight="1">
      <x:c r="A520" s="1" t="str">
        <x:v>RESULT</x:v>
      </x:c>
      <x:c r="B520" s="1" t="str">
        <x:v>Round1</x:v>
      </x:c>
      <x:c r="C520" s="1" t="str">
        <x:v>Jsoup_19</x:v>
      </x:c>
      <x:c r="D520" s="1" t="str">
        <x:v>INCONCLUSIVE</x:v>
      </x:c>
      <x:c r="E520" s="5" t="n">
        <x:v>0.9932</x:v>
      </x:c>
      <x:c r="F520" s="4" t="n">
        <x:v>0</x:v>
      </x:c>
      <x:c r="G520" s="4" t="n">
        <x:v>12726</x:v>
      </x:c>
      <x:c r="H520" s="6" t="n">
        <x:v>53.61</x:v>
      </x:c>
      <x:c r="I520" s="16" t="n">
        <x:v>1</x:v>
      </x:c>
      <x:c r="J520" t="n">
        <x:v>147</x:v>
      </x:c>
      <x:c r="K520" s="4" t="n">
        <x:v>146</x:v>
      </x:c>
      <x:c r="L520" s="4" t="n">
        <x:v>52</x:v>
      </x:c>
      <x:c r="M520" s="4" t="n">
        <x:v>48</x:v>
      </x:c>
      <x:c r="N520" s="5" t="n">
        <x:v>0.9231</x:v>
      </x:c>
    </x:row>
    <x:row r="521" ht="24" customHeight="1">
      <x:c r="A521" s="1" t="str">
        <x:v>RESULT</x:v>
      </x:c>
      <x:c r="B521" s="1" t="str">
        <x:v>Round1</x:v>
      </x:c>
      <x:c r="C521" s="1" t="str">
        <x:v>Jsoup_2</x:v>
      </x:c>
      <x:c r="D521" s="1" t="str">
        <x:v>INCONCLUSIVE</x:v>
      </x:c>
      <x:c r="E521" s="5" t="n">
        <x:v>0.9876999999999999</x:v>
      </x:c>
      <x:c r="F521" s="4" t="n">
        <x:v>0</x:v>
      </x:c>
      <x:c r="G521" s="4" t="n">
        <x:v>9767</x:v>
      </x:c>
      <x:c r="H521" s="6" t="n">
        <x:v>38.96</x:v>
      </x:c>
      <x:c r="I521" s="16" t="n">
        <x:v>1</x:v>
      </x:c>
      <x:c r="J521" t="n">
        <x:v>162</x:v>
      </x:c>
      <x:c r="K521" s="4" t="n">
        <x:v>160</x:v>
      </x:c>
      <x:c r="L521" s="4" t="n">
        <x:v>86</x:v>
      </x:c>
      <x:c r="M521" s="4" t="n">
        <x:v>78</x:v>
      </x:c>
      <x:c r="N521" s="5" t="n">
        <x:v>0.907</x:v>
      </x:c>
    </x:row>
    <x:row r="522" ht="24" customHeight="1">
      <x:c r="A522" s="1" t="str">
        <x:v>RESULT</x:v>
      </x:c>
      <x:c r="B522" s="1" t="str">
        <x:v>Round1</x:v>
      </x:c>
      <x:c r="C522" s="1" t="str">
        <x:v>Jsoup_20</x:v>
      </x:c>
      <x:c r="D522" s="1" t="str">
        <x:v>INCONCLUSIVE</x:v>
      </x:c>
      <x:c r="E522" s="5" t="n">
        <x:v>1</x:v>
      </x:c>
      <x:c r="F522" s="4" t="n">
        <x:v>0</x:v>
      </x:c>
      <x:c r="G522" s="4" t="n">
        <x:v>7056</x:v>
      </x:c>
      <x:c r="H522" s="6" t="n">
        <x:v>27.17</x:v>
      </x:c>
      <x:c r="I522" s="16" t="n">
        <x:v>1</x:v>
      </x:c>
      <x:c r="J522" t="n">
        <x:v>44</x:v>
      </x:c>
      <x:c r="K522" s="4" t="n">
        <x:v>44</x:v>
      </x:c>
      <x:c r="L522" s="4" t="n">
        <x:v>22</x:v>
      </x:c>
      <x:c r="M522" s="4" t="n">
        <x:v>21</x:v>
      </x:c>
      <x:c r="N522" s="5" t="n">
        <x:v>0.9545</x:v>
      </x:c>
    </x:row>
    <x:row r="523" ht="24" customHeight="1">
      <x:c r="A523" s="1" t="str">
        <x:v>RESULT</x:v>
      </x:c>
      <x:c r="B523" s="1" t="str">
        <x:v>Round1</x:v>
      </x:c>
      <x:c r="C523" s="1" t="str">
        <x:v>Jsoup_21</x:v>
      </x:c>
      <x:c r="D523" s="1" t="str">
        <x:v>INCONCLUSIVE</x:v>
      </x:c>
      <x:c r="E523" s="5" t="n">
        <x:v>0.9734999999999999</x:v>
      </x:c>
      <x:c r="F523" s="4" t="n">
        <x:v>0</x:v>
      </x:c>
      <x:c r="G523" s="4" t="n">
        <x:v>15943</x:v>
      </x:c>
      <x:c r="H523" s="6" t="n">
        <x:v>59.7</x:v>
      </x:c>
      <x:c r="I523" s="16" t="n">
        <x:v>1</x:v>
      </x:c>
      <x:c r="J523" t="n">
        <x:v>189</x:v>
      </x:c>
      <x:c r="K523" s="4" t="n">
        <x:v>184</x:v>
      </x:c>
      <x:c r="L523" s="4" t="n">
        <x:v>96</x:v>
      </x:c>
      <x:c r="M523" s="4" t="n">
        <x:v>91</x:v>
      </x:c>
      <x:c r="N523" s="5" t="n">
        <x:v>0.9479000000000001</x:v>
      </x:c>
    </x:row>
    <x:row r="524" ht="24" customHeight="1">
      <x:c r="A524" s="1" t="str">
        <x:v>RESULT</x:v>
      </x:c>
      <x:c r="B524" s="1" t="str">
        <x:v>Round1</x:v>
      </x:c>
      <x:c r="C524" s="1" t="str">
        <x:v>Jsoup_22</x:v>
      </x:c>
      <x:c r="D524" s="1" t="str">
        <x:v>NOT_AVAILABLE</x:v>
      </x:c>
      <x:c r="E524" s="5"/>
      <x:c r="F524" s="4" t="n">
        <x:v>0</x:v>
      </x:c>
      <x:c r="G524" s="4" t="n">
        <x:v>15248</x:v>
      </x:c>
      <x:c r="H524" s="6" t="n">
        <x:v>120.21</x:v>
      </x:c>
      <x:c r="I524" s="16" t="n">
        <x:v>1</x:v>
      </x:c>
      <x:c r="J524"/>
      <x:c r="K524" s="4"/>
      <x:c r="L524" s="4"/>
      <x:c r="M524" s="4"/>
      <x:c r="N524" s="5"/>
    </x:row>
    <x:row r="525" ht="24" customHeight="1">
      <x:c r="A525" s="1" t="str">
        <x:v>RESULT</x:v>
      </x:c>
      <x:c r="B525" s="1" t="str">
        <x:v>Round1</x:v>
      </x:c>
      <x:c r="C525" s="1" t="str">
        <x:v>Jsoup_23</x:v>
      </x:c>
      <x:c r="D525" s="1" t="str">
        <x:v>INCONCLUSIVE</x:v>
      </x:c>
      <x:c r="E525" s="5" t="n">
        <x:v>0.9954000000000001</x:v>
      </x:c>
      <x:c r="F525" s="4" t="n">
        <x:v>0</x:v>
      </x:c>
      <x:c r="G525" s="4" t="n">
        <x:v>22235</x:v>
      </x:c>
      <x:c r="H525" s="6" t="n">
        <x:v>118.7</x:v>
      </x:c>
      <x:c r="I525" s="16" t="n">
        <x:v>1</x:v>
      </x:c>
      <x:c r="J525" t="n">
        <x:v>217</x:v>
      </x:c>
      <x:c r="K525" s="4" t="n">
        <x:v>216</x:v>
      </x:c>
      <x:c r="L525" s="4" t="n">
        <x:v>152</x:v>
      </x:c>
      <x:c r="M525" s="4" t="n">
        <x:v>142</x:v>
      </x:c>
      <x:c r="N525" s="5" t="n">
        <x:v>0.9342</x:v>
      </x:c>
    </x:row>
    <x:row r="526" ht="24" customHeight="1">
      <x:c r="A526" s="1" t="str">
        <x:v>RESULT</x:v>
      </x:c>
      <x:c r="B526" s="1" t="str">
        <x:v>Round1</x:v>
      </x:c>
      <x:c r="C526" s="1" t="str">
        <x:v>Jsoup_24</x:v>
      </x:c>
      <x:c r="D526" s="1" t="str">
        <x:v>NOT_AVAILABLE</x:v>
      </x:c>
      <x:c r="E526" s="5"/>
      <x:c r="F526" s="4" t="n">
        <x:v>0</x:v>
      </x:c>
      <x:c r="G526" s="4"/>
      <x:c r="H526" s="6" t="n">
        <x:v>134.67</x:v>
      </x:c>
      <x:c r="I526" s="16" t="n">
        <x:v>1</x:v>
      </x:c>
      <x:c r="J526"/>
      <x:c r="K526" s="4"/>
      <x:c r="L526" s="4"/>
      <x:c r="M526" s="4"/>
      <x:c r="N526" s="5"/>
    </x:row>
    <x:row r="527" ht="24" customHeight="1">
      <x:c r="A527" s="1" t="str">
        <x:v>RESULT</x:v>
      </x:c>
      <x:c r="B527" s="1" t="str">
        <x:v>Round1</x:v>
      </x:c>
      <x:c r="C527" s="1" t="str">
        <x:v>Jsoup_25</x:v>
      </x:c>
      <x:c r="D527" s="1" t="str">
        <x:v>NOT_AVAILABLE</x:v>
      </x:c>
      <x:c r="E527" s="5"/>
      <x:c r="F527" s="4" t="n">
        <x:v>0</x:v>
      </x:c>
      <x:c r="G527" s="4" t="n">
        <x:v>7411</x:v>
      </x:c>
      <x:c r="H527" s="6" t="n">
        <x:v>30.64</x:v>
      </x:c>
      <x:c r="I527" s="16" t="n">
        <x:v>1</x:v>
      </x:c>
      <x:c r="J527"/>
      <x:c r="K527" s="4"/>
      <x:c r="L527" s="4"/>
      <x:c r="M527" s="4"/>
      <x:c r="N527" s="5"/>
    </x:row>
    <x:row r="528" ht="24" customHeight="1">
      <x:c r="A528" s="1" t="str">
        <x:v>RESULT</x:v>
      </x:c>
      <x:c r="B528" s="1" t="str">
        <x:v>Round1</x:v>
      </x:c>
      <x:c r="C528" s="1" t="str">
        <x:v>Jsoup_26</x:v>
      </x:c>
      <x:c r="D528" s="1" t="str">
        <x:v>NOT_REVEALING</x:v>
      </x:c>
      <x:c r="E528" s="5" t="n">
        <x:v>1</x:v>
      </x:c>
      <x:c r="F528" s="4" t="n">
        <x:v>0</x:v>
      </x:c>
      <x:c r="G528" s="4" t="n">
        <x:v>6849</x:v>
      </x:c>
      <x:c r="H528" s="6" t="n">
        <x:v>30.04</x:v>
      </x:c>
      <x:c r="I528" s="16" t="n">
        <x:v>1</x:v>
      </x:c>
      <x:c r="J528" t="n">
        <x:v>49</x:v>
      </x:c>
      <x:c r="K528" s="4" t="n">
        <x:v>49</x:v>
      </x:c>
      <x:c r="L528" s="4" t="n">
        <x:v>14</x:v>
      </x:c>
      <x:c r="M528" s="4" t="n">
        <x:v>14</x:v>
      </x:c>
      <x:c r="N528" s="5" t="n">
        <x:v>1</x:v>
      </x:c>
    </x:row>
    <x:row r="529" ht="24" customHeight="1">
      <x:c r="A529" s="1" t="str">
        <x:v>RESULT</x:v>
      </x:c>
      <x:c r="B529" s="1" t="str">
        <x:v>Round1</x:v>
      </x:c>
      <x:c r="C529" s="1" t="str">
        <x:v>Jsoup_27</x:v>
      </x:c>
      <x:c r="D529" s="1" t="str">
        <x:v>INCONCLUSIVE</x:v>
      </x:c>
      <x:c r="E529" s="5" t="n">
        <x:v>1</x:v>
      </x:c>
      <x:c r="F529" s="4" t="n">
        <x:v>0</x:v>
      </x:c>
      <x:c r="G529" s="4" t="n">
        <x:v>7083</x:v>
      </x:c>
      <x:c r="H529" s="6" t="n">
        <x:v>29.21</x:v>
      </x:c>
      <x:c r="I529" s="16" t="n">
        <x:v>1</x:v>
      </x:c>
      <x:c r="J529" t="n">
        <x:v>48</x:v>
      </x:c>
      <x:c r="K529" s="4" t="n">
        <x:v>48</x:v>
      </x:c>
      <x:c r="L529" s="4" t="n">
        <x:v>24</x:v>
      </x:c>
      <x:c r="M529" s="4" t="n">
        <x:v>22</x:v>
      </x:c>
      <x:c r="N529" s="5" t="n">
        <x:v>0.9167000000000001</x:v>
      </x:c>
    </x:row>
    <x:row r="530" ht="24" customHeight="1">
      <x:c r="A530" s="1" t="str">
        <x:v>RESULT</x:v>
      </x:c>
      <x:c r="B530" s="1" t="str">
        <x:v>Round1</x:v>
      </x:c>
      <x:c r="C530" s="1" t="str">
        <x:v>Jsoup_28</x:v>
      </x:c>
      <x:c r="D530" s="1" t="str">
        <x:v>NOT_AVAILABLE</x:v>
      </x:c>
      <x:c r="E530" s="5"/>
      <x:c r="F530" s="4" t="n">
        <x:v>0</x:v>
      </x:c>
      <x:c r="G530" s="4" t="n">
        <x:v>18719</x:v>
      </x:c>
      <x:c r="H530" s="6" t="n">
        <x:v>94.03</x:v>
      </x:c>
      <x:c r="I530" s="16" t="n">
        <x:v>1</x:v>
      </x:c>
      <x:c r="J530"/>
      <x:c r="K530" s="4"/>
      <x:c r="L530" s="4"/>
      <x:c r="M530" s="4"/>
      <x:c r="N530" s="5"/>
    </x:row>
    <x:row r="531" ht="24" customHeight="1">
      <x:c r="A531" s="1" t="str">
        <x:v>RESULT</x:v>
      </x:c>
      <x:c r="B531" s="1" t="str">
        <x:v>Round1</x:v>
      </x:c>
      <x:c r="C531" s="1" t="str">
        <x:v>Jsoup_29</x:v>
      </x:c>
      <x:c r="D531" s="1" t="str">
        <x:v>NOT_REVEALING</x:v>
      </x:c>
      <x:c r="E531" s="5" t="n">
        <x:v>0.9658</x:v>
      </x:c>
      <x:c r="F531" s="4" t="n">
        <x:v>0</x:v>
      </x:c>
      <x:c r="G531" s="4" t="n">
        <x:v>8601</x:v>
      </x:c>
      <x:c r="H531" s="6" t="n">
        <x:v>31.59</x:v>
      </x:c>
      <x:c r="I531" s="16" t="n">
        <x:v>1</x:v>
      </x:c>
      <x:c r="J531" t="n">
        <x:v>117</x:v>
      </x:c>
      <x:c r="K531" s="4" t="n">
        <x:v>113</x:v>
      </x:c>
      <x:c r="L531" s="4" t="n">
        <x:v>36</x:v>
      </x:c>
      <x:c r="M531" s="4" t="n">
        <x:v>35</x:v>
      </x:c>
      <x:c r="N531" s="5" t="n">
        <x:v>0.9722</x:v>
      </x:c>
    </x:row>
    <x:row r="532" ht="24" customHeight="1">
      <x:c r="A532" s="1" t="str">
        <x:v>RESULT</x:v>
      </x:c>
      <x:c r="B532" s="1" t="str">
        <x:v>Round1</x:v>
      </x:c>
      <x:c r="C532" s="1" t="str">
        <x:v>Jsoup_3</x:v>
      </x:c>
      <x:c r="D532" s="1" t="str">
        <x:v>INCONCLUSIVE</x:v>
      </x:c>
      <x:c r="E532" s="5" t="n">
        <x:v>0.9342</x:v>
      </x:c>
      <x:c r="F532" s="4" t="n">
        <x:v>0</x:v>
      </x:c>
      <x:c r="G532" s="4" t="n">
        <x:v>34880</x:v>
      </x:c>
      <x:c r="H532" s="6" t="n">
        <x:v>154.35</x:v>
      </x:c>
      <x:c r="I532" s="16" t="n">
        <x:v>1</x:v>
      </x:c>
      <x:c r="J532" t="n">
        <x:v>593</x:v>
      </x:c>
      <x:c r="K532" s="4" t="n">
        <x:v>554</x:v>
      </x:c>
      <x:c r="L532" s="4" t="n">
        <x:v>294</x:v>
      </x:c>
      <x:c r="M532" s="4" t="n">
        <x:v>251</x:v>
      </x:c>
      <x:c r="N532" s="5" t="n">
        <x:v>0.8537</x:v>
      </x:c>
    </x:row>
    <x:row r="533" ht="24" customHeight="1">
      <x:c r="A533" s="1" t="str">
        <x:v>RESULT</x:v>
      </x:c>
      <x:c r="B533" s="1" t="str">
        <x:v>Round1</x:v>
      </x:c>
      <x:c r="C533" s="1" t="str">
        <x:v>Jsoup_30</x:v>
      </x:c>
      <x:c r="D533" s="1" t="str">
        <x:v>INCONCLUSIVE</x:v>
      </x:c>
      <x:c r="E533" s="5" t="n">
        <x:v>1</x:v>
      </x:c>
      <x:c r="F533" s="4" t="n">
        <x:v>0</x:v>
      </x:c>
      <x:c r="G533" s="4" t="n">
        <x:v>5128</x:v>
      </x:c>
      <x:c r="H533" s="6" t="n">
        <x:v>27.58</x:v>
      </x:c>
      <x:c r="I533" s="16" t="n">
        <x:v>1</x:v>
      </x:c>
      <x:c r="J533" t="n">
        <x:v>50</x:v>
      </x:c>
      <x:c r="K533" s="4" t="n">
        <x:v>50</x:v>
      </x:c>
      <x:c r="L533" s="4" t="n">
        <x:v>16</x:v>
      </x:c>
      <x:c r="M533" s="4" t="n">
        <x:v>16</x:v>
      </x:c>
      <x:c r="N533" s="5" t="n">
        <x:v>1</x:v>
      </x:c>
    </x:row>
    <x:row r="534" ht="24" customHeight="1">
      <x:c r="A534" s="1" t="str">
        <x:v>RESULT</x:v>
      </x:c>
      <x:c r="B534" s="1" t="str">
        <x:v>Round1</x:v>
      </x:c>
      <x:c r="C534" s="1" t="str">
        <x:v>Jsoup_31</x:v>
      </x:c>
      <x:c r="D534" s="1" t="str">
        <x:v>NOT_AVAILABLE</x:v>
      </x:c>
      <x:c r="E534" s="5"/>
      <x:c r="F534" s="4" t="n">
        <x:v>0</x:v>
      </x:c>
      <x:c r="G534" s="4" t="n">
        <x:v>63636</x:v>
      </x:c>
      <x:c r="H534" s="6" t="n">
        <x:v>242.04</x:v>
      </x:c>
      <x:c r="I534" s="16" t="n">
        <x:v>1</x:v>
      </x:c>
      <x:c r="J534"/>
      <x:c r="K534" s="4"/>
      <x:c r="L534" s="4"/>
      <x:c r="M534" s="4"/>
      <x:c r="N534" s="5"/>
    </x:row>
    <x:row r="535" ht="24" customHeight="1">
      <x:c r="A535" s="1" t="str">
        <x:v>RESULT</x:v>
      </x:c>
      <x:c r="B535" s="1" t="str">
        <x:v>Round1</x:v>
      </x:c>
      <x:c r="C535" s="1" t="str">
        <x:v>Jsoup_32</x:v>
      </x:c>
      <x:c r="D535" s="1" t="str">
        <x:v>INCONCLUSIVE</x:v>
      </x:c>
      <x:c r="E535" s="5" t="n">
        <x:v>0.9637</x:v>
      </x:c>
      <x:c r="F535" s="4" t="n">
        <x:v>0</x:v>
      </x:c>
      <x:c r="G535" s="4" t="n">
        <x:v>12484</x:v>
      </x:c>
      <x:c r="H535" s="6" t="n">
        <x:v>45.38</x:v>
      </x:c>
      <x:c r="I535" s="16" t="n">
        <x:v>1</x:v>
      </x:c>
      <x:c r="J535" t="n">
        <x:v>303</x:v>
      </x:c>
      <x:c r="K535" s="4" t="n">
        <x:v>292</x:v>
      </x:c>
      <x:c r="L535" s="4" t="n">
        <x:v>140</x:v>
      </x:c>
      <x:c r="M535" s="4" t="n">
        <x:v>118</x:v>
      </x:c>
      <x:c r="N535" s="5" t="n">
        <x:v>0.8429000000000001</x:v>
      </x:c>
    </x:row>
    <x:row r="536" ht="24" customHeight="1">
      <x:c r="A536" s="1" t="str">
        <x:v>RESULT</x:v>
      </x:c>
      <x:c r="B536" s="1" t="str">
        <x:v>Round1</x:v>
      </x:c>
      <x:c r="C536" s="1" t="str">
        <x:v>Jsoup_33</x:v>
      </x:c>
      <x:c r="D536" s="1" t="str">
        <x:v>NOT_AVAILABLE</x:v>
      </x:c>
      <x:c r="E536" s="5"/>
      <x:c r="F536" s="4" t="n">
        <x:v>0</x:v>
      </x:c>
      <x:c r="G536" s="4" t="n">
        <x:v>13770</x:v>
      </x:c>
      <x:c r="H536" s="6" t="n">
        <x:v>41.71</x:v>
      </x:c>
      <x:c r="I536" s="16" t="n">
        <x:v>1</x:v>
      </x:c>
      <x:c r="J536"/>
      <x:c r="K536" s="4"/>
      <x:c r="L536" s="4"/>
      <x:c r="M536" s="4"/>
      <x:c r="N536" s="5"/>
    </x:row>
    <x:row r="537" ht="24" customHeight="1">
      <x:c r="A537" s="1" t="str">
        <x:v>RESULT</x:v>
      </x:c>
      <x:c r="B537" s="1" t="str">
        <x:v>Round1</x:v>
      </x:c>
      <x:c r="C537" s="1" t="str">
        <x:v>Jsoup_34</x:v>
      </x:c>
      <x:c r="D537" s="1" t="str">
        <x:v>NOT_AVAILABLE</x:v>
      </x:c>
      <x:c r="E537" s="5"/>
      <x:c r="F537" s="4" t="n">
        <x:v>0</x:v>
      </x:c>
      <x:c r="G537" s="4"/>
      <x:c r="H537" s="6" t="n">
        <x:v>22.01</x:v>
      </x:c>
      <x:c r="I537" s="16" t="n">
        <x:v>1</x:v>
      </x:c>
      <x:c r="J537"/>
      <x:c r="K537" s="4"/>
      <x:c r="L537" s="4"/>
      <x:c r="M537" s="4"/>
      <x:c r="N537" s="5"/>
    </x:row>
    <x:row r="538" ht="24" customHeight="1">
      <x:c r="A538" s="1" t="str">
        <x:v>RESULT</x:v>
      </x:c>
      <x:c r="B538" s="1" t="str">
        <x:v>Round1</x:v>
      </x:c>
      <x:c r="C538" s="1" t="str">
        <x:v>Jsoup_35</x:v>
      </x:c>
      <x:c r="D538" s="1" t="str">
        <x:v>NOT_AVAILABLE</x:v>
      </x:c>
      <x:c r="E538" s="5"/>
      <x:c r="F538" s="4" t="n">
        <x:v>0</x:v>
      </x:c>
      <x:c r="G538" s="4" t="n">
        <x:v>47745</x:v>
      </x:c>
      <x:c r="H538" s="6" t="n">
        <x:v>157.1</x:v>
      </x:c>
      <x:c r="I538" s="16" t="n">
        <x:v>1</x:v>
      </x:c>
      <x:c r="J538"/>
      <x:c r="K538" s="4"/>
      <x:c r="L538" s="4"/>
      <x:c r="M538" s="4"/>
      <x:c r="N538" s="5"/>
    </x:row>
    <x:row r="539" ht="24" customHeight="1">
      <x:c r="A539" s="1" t="str">
        <x:v>RESULT</x:v>
      </x:c>
      <x:c r="B539" s="1" t="str">
        <x:v>Round1</x:v>
      </x:c>
      <x:c r="C539" s="1" t="str">
        <x:v>Jsoup_36</x:v>
      </x:c>
      <x:c r="D539" s="1" t="str">
        <x:v>NOT_AVAILABLE</x:v>
      </x:c>
      <x:c r="E539" s="5"/>
      <x:c r="F539" s="4" t="n">
        <x:v>0</x:v>
      </x:c>
      <x:c r="G539" s="4"/>
      <x:c r="H539" s="6" t="n">
        <x:v>39.34</x:v>
      </x:c>
      <x:c r="I539" s="16" t="n">
        <x:v>1</x:v>
      </x:c>
      <x:c r="J539"/>
      <x:c r="K539" s="4"/>
      <x:c r="L539" s="4"/>
      <x:c r="M539" s="4"/>
      <x:c r="N539" s="5"/>
    </x:row>
    <x:row r="540" ht="24" customHeight="1">
      <x:c r="A540" s="1" t="str">
        <x:v>RESULT</x:v>
      </x:c>
      <x:c r="B540" s="1" t="str">
        <x:v>Round1</x:v>
      </x:c>
      <x:c r="C540" s="1" t="str">
        <x:v>Jsoup_37</x:v>
      </x:c>
      <x:c r="D540" s="1" t="str">
        <x:v>INCONCLUSIVE</x:v>
      </x:c>
      <x:c r="E540" s="5" t="n">
        <x:v>0.9609000000000001</x:v>
      </x:c>
      <x:c r="F540" s="4" t="n">
        <x:v>0</x:v>
      </x:c>
      <x:c r="G540" s="4" t="n">
        <x:v>15770</x:v>
      </x:c>
      <x:c r="H540" s="6" t="n">
        <x:v>97.94</x:v>
      </x:c>
      <x:c r="I540" s="16" t="n">
        <x:v>1</x:v>
      </x:c>
      <x:c r="J540" t="n">
        <x:v>307</x:v>
      </x:c>
      <x:c r="K540" s="4" t="n">
        <x:v>295</x:v>
      </x:c>
      <x:c r="L540" s="4" t="n">
        <x:v>152</x:v>
      </x:c>
      <x:c r="M540" s="4" t="n">
        <x:v>124</x:v>
      </x:c>
      <x:c r="N540" s="5" t="n">
        <x:v>0.8158</x:v>
      </x:c>
    </x:row>
    <x:row r="541" ht="24" customHeight="1">
      <x:c r="A541" s="1" t="str">
        <x:v>RESULT</x:v>
      </x:c>
      <x:c r="B541" s="1" t="str">
        <x:v>Round1</x:v>
      </x:c>
      <x:c r="C541" s="1" t="str">
        <x:v>Jsoup_38</x:v>
      </x:c>
      <x:c r="D541" s="1" t="str">
        <x:v>NOT_AVAILABLE</x:v>
      </x:c>
      <x:c r="E541" s="5"/>
      <x:c r="F541" s="4" t="n">
        <x:v>0</x:v>
      </x:c>
      <x:c r="G541" s="4"/>
      <x:c r="H541" s="6"/>
      <x:c r="I541" s="16" t="n">
        <x:v>1</x:v>
      </x:c>
      <x:c r="J541"/>
      <x:c r="K541" s="4"/>
      <x:c r="L541" s="4"/>
      <x:c r="M541" s="4"/>
      <x:c r="N541" s="5"/>
    </x:row>
    <x:row r="542" ht="24" customHeight="1">
      <x:c r="A542" s="1" t="str">
        <x:v>RESULT</x:v>
      </x:c>
      <x:c r="B542" s="1" t="str">
        <x:v>Round1</x:v>
      </x:c>
      <x:c r="C542" s="1" t="str">
        <x:v>Jsoup_39</x:v>
      </x:c>
      <x:c r="D542" s="1" t="str">
        <x:v>NOT_REVEALING</x:v>
      </x:c>
      <x:c r="E542" s="5" t="n">
        <x:v>0.9732999999999999</x:v>
      </x:c>
      <x:c r="F542" s="4" t="n">
        <x:v>0</x:v>
      </x:c>
      <x:c r="G542" s="4" t="n">
        <x:v>7817</x:v>
      </x:c>
      <x:c r="H542" s="6" t="n">
        <x:v>30.45</x:v>
      </x:c>
      <x:c r="I542" s="16" t="n">
        <x:v>1</x:v>
      </x:c>
      <x:c r="J542" t="n">
        <x:v>75</x:v>
      </x:c>
      <x:c r="K542" s="4" t="n">
        <x:v>73</x:v>
      </x:c>
      <x:c r="L542" s="4" t="n">
        <x:v>46</x:v>
      </x:c>
      <x:c r="M542" s="4" t="n">
        <x:v>41</x:v>
      </x:c>
      <x:c r="N542" s="5" t="n">
        <x:v>0.8913</x:v>
      </x:c>
    </x:row>
    <x:row r="543" ht="24" customHeight="1">
      <x:c r="A543" s="1" t="str">
        <x:v>RESULT</x:v>
      </x:c>
      <x:c r="B543" s="1" t="str">
        <x:v>Round1</x:v>
      </x:c>
      <x:c r="C543" s="1" t="str">
        <x:v>Jsoup_4</x:v>
      </x:c>
      <x:c r="D543" s="1" t="str">
        <x:v>NOT_AVAILABLE</x:v>
      </x:c>
      <x:c r="E543" s="5"/>
      <x:c r="F543" s="4" t="n">
        <x:v>0</x:v>
      </x:c>
      <x:c r="G543" s="4"/>
      <x:c r="H543" s="6"/>
      <x:c r="I543" s="16" t="n">
        <x:v>1</x:v>
      </x:c>
      <x:c r="J543"/>
      <x:c r="K543" s="4"/>
      <x:c r="L543" s="4"/>
      <x:c r="M543" s="4"/>
      <x:c r="N543" s="5"/>
    </x:row>
    <x:row r="544" ht="24" customHeight="1">
      <x:c r="A544" s="1" t="str">
        <x:v>RESULT</x:v>
      </x:c>
      <x:c r="B544" s="1" t="str">
        <x:v>Round1</x:v>
      </x:c>
      <x:c r="C544" s="1" t="str">
        <x:v>Jsoup_40</x:v>
      </x:c>
      <x:c r="D544" s="1" t="str">
        <x:v>INCONCLUSIVE</x:v>
      </x:c>
      <x:c r="E544" s="5" t="n">
        <x:v>1</x:v>
      </x:c>
      <x:c r="F544" s="4" t="n">
        <x:v>0</x:v>
      </x:c>
      <x:c r="G544" s="4" t="n">
        <x:v>4032</x:v>
      </x:c>
      <x:c r="H544" s="6" t="n">
        <x:v>17.45</x:v>
      </x:c>
      <x:c r="I544" s="16" t="n">
        <x:v>1</x:v>
      </x:c>
      <x:c r="J544" t="n">
        <x:v>17</x:v>
      </x:c>
      <x:c r="K544" s="4" t="n">
        <x:v>17</x:v>
      </x:c>
      <x:c r="L544" s="4" t="n">
        <x:v>6</x:v>
      </x:c>
      <x:c r="M544" s="4" t="n">
        <x:v>6</x:v>
      </x:c>
      <x:c r="N544" s="5" t="n">
        <x:v>1</x:v>
      </x:c>
    </x:row>
    <x:row r="545" ht="24" customHeight="1">
      <x:c r="A545" s="1" t="str">
        <x:v>RESULT</x:v>
      </x:c>
      <x:c r="B545" s="1" t="str">
        <x:v>Round1</x:v>
      </x:c>
      <x:c r="C545" s="1" t="str">
        <x:v>Jsoup_41</x:v>
      </x:c>
      <x:c r="D545" s="1" t="str">
        <x:v>NOT_AVAILABLE</x:v>
      </x:c>
      <x:c r="E545" s="5"/>
      <x:c r="F545" s="4" t="n">
        <x:v>0</x:v>
      </x:c>
      <x:c r="G545" s="4"/>
      <x:c r="H545" s="6" t="n">
        <x:v>46.57</x:v>
      </x:c>
      <x:c r="I545" s="16" t="n">
        <x:v>1</x:v>
      </x:c>
      <x:c r="J545"/>
      <x:c r="K545" s="4"/>
      <x:c r="L545" s="4"/>
      <x:c r="M545" s="4"/>
      <x:c r="N545" s="5"/>
    </x:row>
    <x:row r="546" ht="24" customHeight="1">
      <x:c r="A546" s="1" t="str">
        <x:v>RESULT</x:v>
      </x:c>
      <x:c r="B546" s="1" t="str">
        <x:v>Round1</x:v>
      </x:c>
      <x:c r="C546" s="1" t="str">
        <x:v>Jsoup_42</x:v>
      </x:c>
      <x:c r="D546" s="1" t="str">
        <x:v>NOT_REVEALING</x:v>
      </x:c>
      <x:c r="E546" s="5" t="n">
        <x:v>1</x:v>
      </x:c>
      <x:c r="F546" s="4" t="n">
        <x:v>0</x:v>
      </x:c>
      <x:c r="G546" s="4" t="n">
        <x:v>7316</x:v>
      </x:c>
      <x:c r="H546" s="6" t="n">
        <x:v>30.36</x:v>
      </x:c>
      <x:c r="I546" s="16" t="n">
        <x:v>1</x:v>
      </x:c>
      <x:c r="J546" t="n">
        <x:v>40</x:v>
      </x:c>
      <x:c r="K546" s="4" t="n">
        <x:v>40</x:v>
      </x:c>
      <x:c r="L546" s="4" t="n">
        <x:v>24</x:v>
      </x:c>
      <x:c r="M546" s="4" t="n">
        <x:v>24</x:v>
      </x:c>
      <x:c r="N546" s="5" t="n">
        <x:v>1</x:v>
      </x:c>
    </x:row>
    <x:row r="547" ht="24" customHeight="1">
      <x:c r="A547" s="1" t="str">
        <x:v>RESULT</x:v>
      </x:c>
      <x:c r="B547" s="1" t="str">
        <x:v>Round1</x:v>
      </x:c>
      <x:c r="C547" s="1" t="str">
        <x:v>Jsoup_43</x:v>
      </x:c>
      <x:c r="D547" s="1" t="str">
        <x:v>NOT_AVAILABLE</x:v>
      </x:c>
      <x:c r="E547" s="5"/>
      <x:c r="F547" s="4" t="n">
        <x:v>0</x:v>
      </x:c>
      <x:c r="G547" s="4"/>
      <x:c r="H547" s="6" t="n">
        <x:v>47.21</x:v>
      </x:c>
      <x:c r="I547" s="16" t="n">
        <x:v>1</x:v>
      </x:c>
      <x:c r="J547"/>
      <x:c r="K547" s="4"/>
      <x:c r="L547" s="4"/>
      <x:c r="M547" s="4"/>
      <x:c r="N547" s="5"/>
    </x:row>
    <x:row r="548" ht="24" customHeight="1">
      <x:c r="A548" s="1" t="str">
        <x:v>RESULT</x:v>
      </x:c>
      <x:c r="B548" s="1" t="str">
        <x:v>Round1</x:v>
      </x:c>
      <x:c r="C548" s="1" t="str">
        <x:v>Jsoup_44</x:v>
      </x:c>
      <x:c r="D548" s="1" t="str">
        <x:v>NOT_AVAILABLE</x:v>
      </x:c>
      <x:c r="E548" s="5"/>
      <x:c r="F548" s="4" t="n">
        <x:v>0</x:v>
      </x:c>
      <x:c r="G548" s="4" t="n">
        <x:v>5219</x:v>
      </x:c>
      <x:c r="H548" s="6" t="n">
        <x:v>43.87</x:v>
      </x:c>
      <x:c r="I548" s="16" t="n">
        <x:v>1</x:v>
      </x:c>
      <x:c r="J548"/>
      <x:c r="K548" s="4"/>
      <x:c r="L548" s="4"/>
      <x:c r="M548" s="4"/>
      <x:c r="N548" s="5"/>
    </x:row>
    <x:row r="549" ht="24" customHeight="1">
      <x:c r="A549" s="1" t="str">
        <x:v>RESULT</x:v>
      </x:c>
      <x:c r="B549" s="1" t="str">
        <x:v>Round1</x:v>
      </x:c>
      <x:c r="C549" s="1" t="str">
        <x:v>Jsoup_45</x:v>
      </x:c>
      <x:c r="D549" s="1" t="str">
        <x:v>NOT_AVAILABLE</x:v>
      </x:c>
      <x:c r="E549" s="5"/>
      <x:c r="F549" s="4" t="n">
        <x:v>0</x:v>
      </x:c>
      <x:c r="G549" s="4" t="n">
        <x:v>13958</x:v>
      </x:c>
      <x:c r="H549" s="6" t="n">
        <x:v>48.91</x:v>
      </x:c>
      <x:c r="I549" s="16" t="n">
        <x:v>1</x:v>
      </x:c>
      <x:c r="J549"/>
      <x:c r="K549" s="4"/>
      <x:c r="L549" s="4"/>
      <x:c r="M549" s="4"/>
      <x:c r="N549" s="5"/>
    </x:row>
    <x:row r="550" ht="24" customHeight="1">
      <x:c r="A550" s="1" t="str">
        <x:v>RESULT</x:v>
      </x:c>
      <x:c r="B550" s="1" t="str">
        <x:v>Round1</x:v>
      </x:c>
      <x:c r="C550" s="1" t="str">
        <x:v>Jsoup_46</x:v>
      </x:c>
      <x:c r="D550" s="1" t="str">
        <x:v>INCONCLUSIVE</x:v>
      </x:c>
      <x:c r="E550" s="5" t="n">
        <x:v>0.9831</x:v>
      </x:c>
      <x:c r="F550" s="4" t="n">
        <x:v>0</x:v>
      </x:c>
      <x:c r="G550" s="4" t="n">
        <x:v>8307</x:v>
      </x:c>
      <x:c r="H550" s="6" t="n">
        <x:v>42.19</x:v>
      </x:c>
      <x:c r="I550" s="16" t="n">
        <x:v>1</x:v>
      </x:c>
      <x:c r="J550" t="n">
        <x:v>118</x:v>
      </x:c>
      <x:c r="K550" s="4" t="n">
        <x:v>116</x:v>
      </x:c>
      <x:c r="L550" s="4" t="n">
        <x:v>51</x:v>
      </x:c>
      <x:c r="M550" s="4" t="n">
        <x:v>50</x:v>
      </x:c>
      <x:c r="N550" s="5" t="n">
        <x:v>0.9804</x:v>
      </x:c>
    </x:row>
    <x:row r="551" ht="24" customHeight="1">
      <x:c r="A551" s="1" t="str">
        <x:v>RESULT</x:v>
      </x:c>
      <x:c r="B551" s="1" t="str">
        <x:v>Round1</x:v>
      </x:c>
      <x:c r="C551" s="1" t="str">
        <x:v>Jsoup_47</x:v>
      </x:c>
      <x:c r="D551" s="1" t="str">
        <x:v>NOT_REVEALING</x:v>
      </x:c>
      <x:c r="E551" s="5" t="n">
        <x:v>0.9745999999999999</x:v>
      </x:c>
      <x:c r="F551" s="4" t="n">
        <x:v>0</x:v>
      </x:c>
      <x:c r="G551" s="4" t="n">
        <x:v>7560</x:v>
      </x:c>
      <x:c r="H551" s="6" t="n">
        <x:v>28.84</x:v>
      </x:c>
      <x:c r="I551" s="16" t="n">
        <x:v>1</x:v>
      </x:c>
      <x:c r="J551" t="n">
        <x:v>118</x:v>
      </x:c>
      <x:c r="K551" s="4" t="n">
        <x:v>115</x:v>
      </x:c>
      <x:c r="L551" s="4" t="n">
        <x:v>51</x:v>
      </x:c>
      <x:c r="M551" s="4" t="n">
        <x:v>50</x:v>
      </x:c>
      <x:c r="N551" s="5" t="n">
        <x:v>0.9804</x:v>
      </x:c>
    </x:row>
    <x:row r="552" ht="24" customHeight="1">
      <x:c r="A552" s="1" t="str">
        <x:v>RESULT</x:v>
      </x:c>
      <x:c r="B552" s="1" t="str">
        <x:v>Round1</x:v>
      </x:c>
      <x:c r="C552" s="1" t="str">
        <x:v>Jsoup_48</x:v>
      </x:c>
      <x:c r="D552" s="1" t="str">
        <x:v>INCONCLUSIVE</x:v>
      </x:c>
      <x:c r="E552" s="5" t="n">
        <x:v>0.5032</x:v>
      </x:c>
      <x:c r="F552" s="4" t="n">
        <x:v>0</x:v>
      </x:c>
      <x:c r="G552" s="4" t="n">
        <x:v>16217</x:v>
      </x:c>
      <x:c r="H552" s="6" t="n">
        <x:v>69.25</x:v>
      </x:c>
      <x:c r="I552" s="16" t="n">
        <x:v>1</x:v>
      </x:c>
      <x:c r="J552" t="n">
        <x:v>469</x:v>
      </x:c>
      <x:c r="K552" s="4" t="n">
        <x:v>236</x:v>
      </x:c>
      <x:c r="L552" s="4" t="n">
        <x:v>170</x:v>
      </x:c>
      <x:c r="M552" s="4" t="n">
        <x:v>53</x:v>
      </x:c>
      <x:c r="N552" s="5" t="n">
        <x:v>0.3118</x:v>
      </x:c>
    </x:row>
    <x:row r="553" ht="24" customHeight="1">
      <x:c r="A553" s="1" t="str">
        <x:v>RESULT</x:v>
      </x:c>
      <x:c r="B553" s="1" t="str">
        <x:v>Round1</x:v>
      </x:c>
      <x:c r="C553" s="1" t="str">
        <x:v>Jsoup_49</x:v>
      </x:c>
      <x:c r="D553" s="1" t="str">
        <x:v>NOT_AVAILABLE</x:v>
      </x:c>
      <x:c r="E553" s="5"/>
      <x:c r="F553" s="4" t="n">
        <x:v>0</x:v>
      </x:c>
      <x:c r="G553" s="4"/>
      <x:c r="H553" s="6" t="n">
        <x:v>24.88</x:v>
      </x:c>
      <x:c r="I553" s="16" t="n">
        <x:v>1</x:v>
      </x:c>
      <x:c r="J553"/>
      <x:c r="K553" s="4"/>
      <x:c r="L553" s="4"/>
      <x:c r="M553" s="4"/>
      <x:c r="N553" s="5"/>
    </x:row>
    <x:row r="554" ht="24" customHeight="1">
      <x:c r="A554" s="1" t="str">
        <x:v>RESULT</x:v>
      </x:c>
      <x:c r="B554" s="1" t="str">
        <x:v>Round1</x:v>
      </x:c>
      <x:c r="C554" s="1" t="str">
        <x:v>Jsoup_5</x:v>
      </x:c>
      <x:c r="D554" s="1" t="str">
        <x:v>INCONCLUSIVE</x:v>
      </x:c>
      <x:c r="E554" s="5" t="n">
        <x:v>0.9884000000000001</x:v>
      </x:c>
      <x:c r="F554" s="4" t="n">
        <x:v>0</x:v>
      </x:c>
      <x:c r="G554" s="4" t="n">
        <x:v>9017</x:v>
      </x:c>
      <x:c r="H554" s="6" t="n">
        <x:v>37.23</x:v>
      </x:c>
      <x:c r="I554" s="16" t="n">
        <x:v>1</x:v>
      </x:c>
      <x:c r="J554" t="n">
        <x:v>172</x:v>
      </x:c>
      <x:c r="K554" s="4" t="n">
        <x:v>170</x:v>
      </x:c>
      <x:c r="L554" s="4" t="n">
        <x:v>92</x:v>
      </x:c>
      <x:c r="M554" s="4" t="n">
        <x:v>85</x:v>
      </x:c>
      <x:c r="N554" s="5" t="n">
        <x:v>0.9239</x:v>
      </x:c>
    </x:row>
    <x:row r="555" ht="24" customHeight="1">
      <x:c r="A555" s="1" t="str">
        <x:v>RESULT</x:v>
      </x:c>
      <x:c r="B555" s="1" t="str">
        <x:v>Round1</x:v>
      </x:c>
      <x:c r="C555" s="1" t="str">
        <x:v>Jsoup_50</x:v>
      </x:c>
      <x:c r="D555" s="1" t="str">
        <x:v>NOT_AVAILABLE</x:v>
      </x:c>
      <x:c r="E555" s="5"/>
      <x:c r="F555" s="4" t="n">
        <x:v>0</x:v>
      </x:c>
      <x:c r="G555" s="4"/>
      <x:c r="H555" s="6" t="n">
        <x:v>39.03</x:v>
      </x:c>
      <x:c r="I555" s="16" t="n">
        <x:v>1</x:v>
      </x:c>
      <x:c r="J555"/>
      <x:c r="K555" s="4"/>
      <x:c r="L555" s="4"/>
      <x:c r="M555" s="4"/>
      <x:c r="N555" s="5"/>
    </x:row>
    <x:row r="556" ht="24" customHeight="1">
      <x:c r="A556" s="1" t="str">
        <x:v>RESULT</x:v>
      </x:c>
      <x:c r="B556" s="1" t="str">
        <x:v>Round1</x:v>
      </x:c>
      <x:c r="C556" s="1" t="str">
        <x:v>Jsoup_51</x:v>
      </x:c>
      <x:c r="D556" s="1" t="str">
        <x:v>INCONCLUSIVE</x:v>
      </x:c>
      <x:c r="E556" s="5" t="n">
        <x:v>1</x:v>
      </x:c>
      <x:c r="F556" s="4" t="n">
        <x:v>0</x:v>
      </x:c>
      <x:c r="G556" s="4" t="n">
        <x:v>10987</x:v>
      </x:c>
      <x:c r="H556" s="6" t="n">
        <x:v>47.27</x:v>
      </x:c>
      <x:c r="I556" s="16" t="n">
        <x:v>1</x:v>
      </x:c>
      <x:c r="J556" t="n">
        <x:v>195</x:v>
      </x:c>
      <x:c r="K556" s="4" t="n">
        <x:v>195</x:v>
      </x:c>
      <x:c r="L556" s="4" t="n">
        <x:v>186</x:v>
      </x:c>
      <x:c r="M556" s="4" t="n">
        <x:v>171</x:v>
      </x:c>
      <x:c r="N556" s="5" t="n">
        <x:v>0.9194</x:v>
      </x:c>
    </x:row>
    <x:row r="557" ht="24" customHeight="1">
      <x:c r="A557" s="1" t="str">
        <x:v>RESULT</x:v>
      </x:c>
      <x:c r="B557" s="1" t="str">
        <x:v>Round1</x:v>
      </x:c>
      <x:c r="C557" s="1" t="str">
        <x:v>Jsoup_52</x:v>
      </x:c>
      <x:c r="D557" s="1" t="str">
        <x:v>NOT_AVAILABLE</x:v>
      </x:c>
      <x:c r="E557" s="5"/>
      <x:c r="F557" s="4" t="n">
        <x:v>0</x:v>
      </x:c>
      <x:c r="G557" s="4" t="n">
        <x:v>14390</x:v>
      </x:c>
      <x:c r="H557" s="6" t="n">
        <x:v>152.81</x:v>
      </x:c>
      <x:c r="I557" s="16" t="n">
        <x:v>1</x:v>
      </x:c>
      <x:c r="J557"/>
      <x:c r="K557" s="4"/>
      <x:c r="L557" s="4"/>
      <x:c r="M557" s="4"/>
      <x:c r="N557" s="5"/>
    </x:row>
    <x:row r="558" ht="24" customHeight="1">
      <x:c r="A558" s="1" t="str">
        <x:v>RESULT</x:v>
      </x:c>
      <x:c r="B558" s="1" t="str">
        <x:v>Round1</x:v>
      </x:c>
      <x:c r="C558" s="1" t="str">
        <x:v>Jsoup_53</x:v>
      </x:c>
      <x:c r="D558" s="1" t="str">
        <x:v>INCONCLUSIVE</x:v>
      </x:c>
      <x:c r="E558" s="5" t="n">
        <x:v>0.9923000000000001</x:v>
      </x:c>
      <x:c r="F558" s="4" t="n">
        <x:v>0</x:v>
      </x:c>
      <x:c r="G558" s="4" t="n">
        <x:v>9840</x:v>
      </x:c>
      <x:c r="H558" s="6" t="n">
        <x:v>33.16</x:v>
      </x:c>
      <x:c r="I558" s="16" t="n">
        <x:v>1</x:v>
      </x:c>
      <x:c r="J558" t="n">
        <x:v>130</x:v>
      </x:c>
      <x:c r="K558" s="4" t="n">
        <x:v>129</x:v>
      </x:c>
      <x:c r="L558" s="4" t="n">
        <x:v>108</x:v>
      </x:c>
      <x:c r="M558" s="4" t="n">
        <x:v>102</x:v>
      </x:c>
      <x:c r="N558" s="5" t="n">
        <x:v>0.9444</x:v>
      </x:c>
    </x:row>
    <x:row r="559" ht="24" customHeight="1">
      <x:c r="A559" s="1" t="str">
        <x:v>RESULT</x:v>
      </x:c>
      <x:c r="B559" s="1" t="str">
        <x:v>Round1</x:v>
      </x:c>
      <x:c r="C559" s="1" t="str">
        <x:v>Jsoup_54</x:v>
      </x:c>
      <x:c r="D559" s="1" t="str">
        <x:v>INCONCLUSIVE</x:v>
      </x:c>
      <x:c r="E559" s="5" t="n">
        <x:v>1</x:v>
      </x:c>
      <x:c r="F559" s="4" t="n">
        <x:v>0</x:v>
      </x:c>
      <x:c r="G559" s="4" t="n">
        <x:v>8912</x:v>
      </x:c>
      <x:c r="H559" s="6" t="n">
        <x:v>48.44</x:v>
      </x:c>
      <x:c r="I559" s="16" t="n">
        <x:v>1</x:v>
      </x:c>
      <x:c r="J559" t="n">
        <x:v>71</x:v>
      </x:c>
      <x:c r="K559" s="4" t="n">
        <x:v>71</x:v>
      </x:c>
      <x:c r="L559" s="4" t="n">
        <x:v>26</x:v>
      </x:c>
      <x:c r="M559" s="4" t="n">
        <x:v>26</x:v>
      </x:c>
      <x:c r="N559" s="5" t="n">
        <x:v>1</x:v>
      </x:c>
    </x:row>
    <x:row r="560" ht="24" customHeight="1">
      <x:c r="A560" s="1" t="str">
        <x:v>RESULT</x:v>
      </x:c>
      <x:c r="B560" s="1" t="str">
        <x:v>Round1</x:v>
      </x:c>
      <x:c r="C560" s="1" t="str">
        <x:v>Jsoup_55</x:v>
      </x:c>
      <x:c r="D560" s="1" t="str">
        <x:v>NOT_AVAILABLE</x:v>
      </x:c>
      <x:c r="E560" s="5"/>
      <x:c r="F560" s="4" t="n">
        <x:v>0</x:v>
      </x:c>
      <x:c r="G560" s="4" t="n">
        <x:v>35047</x:v>
      </x:c>
      <x:c r="H560" s="6" t="n">
        <x:v>122.62</x:v>
      </x:c>
      <x:c r="I560" s="16" t="n">
        <x:v>1</x:v>
      </x:c>
      <x:c r="J560"/>
      <x:c r="K560" s="4"/>
      <x:c r="L560" s="4"/>
      <x:c r="M560" s="4"/>
      <x:c r="N560" s="5"/>
    </x:row>
    <x:row r="561" ht="24" customHeight="1">
      <x:c r="A561" s="1" t="str">
        <x:v>RESULT</x:v>
      </x:c>
      <x:c r="B561" s="1" t="str">
        <x:v>Round1</x:v>
      </x:c>
      <x:c r="C561" s="1" t="str">
        <x:v>Jsoup_56</x:v>
      </x:c>
      <x:c r="D561" s="1" t="str">
        <x:v>NOT_AVAILABLE</x:v>
      </x:c>
      <x:c r="E561" s="5"/>
      <x:c r="F561" s="4" t="n">
        <x:v>0</x:v>
      </x:c>
      <x:c r="G561" s="4" t="n">
        <x:v>21927</x:v>
      </x:c>
      <x:c r="H561" s="6" t="n">
        <x:v>212.77</x:v>
      </x:c>
      <x:c r="I561" s="16" t="n">
        <x:v>1</x:v>
      </x:c>
      <x:c r="J561"/>
      <x:c r="K561" s="4"/>
      <x:c r="L561" s="4"/>
      <x:c r="M561" s="4"/>
      <x:c r="N561" s="5"/>
    </x:row>
    <x:row r="562" ht="24" customHeight="1">
      <x:c r="A562" s="1" t="str">
        <x:v>RESULT</x:v>
      </x:c>
      <x:c r="B562" s="1" t="str">
        <x:v>Round1</x:v>
      </x:c>
      <x:c r="C562" s="1" t="str">
        <x:v>Jsoup_57</x:v>
      </x:c>
      <x:c r="D562" s="1" t="str">
        <x:v>NOT_REVEALING</x:v>
      </x:c>
      <x:c r="E562" s="5" t="n">
        <x:v>0.9684999999999999</x:v>
      </x:c>
      <x:c r="F562" s="4" t="n">
        <x:v>0</x:v>
      </x:c>
      <x:c r="G562" s="4" t="n">
        <x:v>10440</x:v>
      </x:c>
      <x:c r="H562" s="6" t="n">
        <x:v>41.99</x:v>
      </x:c>
      <x:c r="I562" s="16" t="n">
        <x:v>1</x:v>
      </x:c>
      <x:c r="J562" t="n">
        <x:v>127</x:v>
      </x:c>
      <x:c r="K562" s="4" t="n">
        <x:v>123</x:v>
      </x:c>
      <x:c r="L562" s="4" t="n">
        <x:v>76</x:v>
      </x:c>
      <x:c r="M562" s="4" t="n">
        <x:v>75</x:v>
      </x:c>
      <x:c r="N562" s="5" t="n">
        <x:v>0.9868000000000001</x:v>
      </x:c>
    </x:row>
    <x:row r="563" ht="24" customHeight="1">
      <x:c r="A563" s="1" t="str">
        <x:v>RESULT</x:v>
      </x:c>
      <x:c r="B563" s="1" t="str">
        <x:v>Round1</x:v>
      </x:c>
      <x:c r="C563" s="1" t="str">
        <x:v>Jsoup_58</x:v>
      </x:c>
      <x:c r="D563" s="1" t="str">
        <x:v>INCONCLUSIVE</x:v>
      </x:c>
      <x:c r="E563" s="5" t="n">
        <x:v>1</x:v>
      </x:c>
      <x:c r="F563" s="4" t="n">
        <x:v>0</x:v>
      </x:c>
      <x:c r="G563" s="4" t="n">
        <x:v>23226</x:v>
      </x:c>
      <x:c r="H563" s="6" t="n">
        <x:v>97.8</x:v>
      </x:c>
      <x:c r="I563" s="16" t="n">
        <x:v>1</x:v>
      </x:c>
      <x:c r="J563" t="n">
        <x:v>127</x:v>
      </x:c>
      <x:c r="K563" s="4" t="n">
        <x:v>127</x:v>
      </x:c>
      <x:c r="L563" s="4" t="n">
        <x:v>32</x:v>
      </x:c>
      <x:c r="M563" s="4" t="n">
        <x:v>32</x:v>
      </x:c>
      <x:c r="N563" s="5" t="n">
        <x:v>1</x:v>
      </x:c>
    </x:row>
    <x:row r="564" ht="24" customHeight="1">
      <x:c r="A564" s="1" t="str">
        <x:v>RESULT</x:v>
      </x:c>
      <x:c r="B564" s="1" t="str">
        <x:v>Round1</x:v>
      </x:c>
      <x:c r="C564" s="1" t="str">
        <x:v>Jsoup_59</x:v>
      </x:c>
      <x:c r="D564" s="1" t="str">
        <x:v>INCONCLUSIVE</x:v>
      </x:c>
      <x:c r="E564" s="5" t="n">
        <x:v>0.9125</x:v>
      </x:c>
      <x:c r="F564" s="4" t="n">
        <x:v>0</x:v>
      </x:c>
      <x:c r="G564" s="4" t="n">
        <x:v>7669</x:v>
      </x:c>
      <x:c r="H564" s="6" t="n">
        <x:v>25.14</x:v>
      </x:c>
      <x:c r="I564" s="16" t="n">
        <x:v>1</x:v>
      </x:c>
      <x:c r="J564" t="n">
        <x:v>160</x:v>
      </x:c>
      <x:c r="K564" s="4" t="n">
        <x:v>146</x:v>
      </x:c>
      <x:c r="L564" s="4" t="n">
        <x:v>44</x:v>
      </x:c>
      <x:c r="M564" s="4" t="n">
        <x:v>44</x:v>
      </x:c>
      <x:c r="N564" s="5" t="n">
        <x:v>1</x:v>
      </x:c>
    </x:row>
    <x:row r="565" ht="24" customHeight="1">
      <x:c r="A565" s="1" t="str">
        <x:v>RESULT</x:v>
      </x:c>
      <x:c r="B565" s="1" t="str">
        <x:v>Round1</x:v>
      </x:c>
      <x:c r="C565" s="1" t="str">
        <x:v>Jsoup_6</x:v>
      </x:c>
      <x:c r="D565" s="1" t="str">
        <x:v>NOT_AVAILABLE</x:v>
      </x:c>
      <x:c r="E565" s="5"/>
      <x:c r="F565" s="4" t="n">
        <x:v>0</x:v>
      </x:c>
      <x:c r="G565" s="4"/>
      <x:c r="H565" s="6"/>
      <x:c r="I565" s="16" t="n">
        <x:v>1</x:v>
      </x:c>
      <x:c r="J565"/>
      <x:c r="K565" s="4"/>
      <x:c r="L565" s="4"/>
      <x:c r="M565" s="4"/>
      <x:c r="N565" s="5"/>
    </x:row>
    <x:row r="566" ht="24" customHeight="1">
      <x:c r="A566" s="1" t="str">
        <x:v>RESULT</x:v>
      </x:c>
      <x:c r="B566" s="1" t="str">
        <x:v>Round1</x:v>
      </x:c>
      <x:c r="C566" s="1" t="str">
        <x:v>Jsoup_60</x:v>
      </x:c>
      <x:c r="D566" s="1" t="str">
        <x:v>INCONCLUSIVE</x:v>
      </x:c>
      <x:c r="E566" s="5" t="n">
        <x:v>0.9890000000000001</x:v>
      </x:c>
      <x:c r="F566" s="4" t="n">
        <x:v>0</x:v>
      </x:c>
      <x:c r="G566" s="4" t="n">
        <x:v>21774</x:v>
      </x:c>
      <x:c r="H566" s="6" t="n">
        <x:v>74.45</x:v>
      </x:c>
      <x:c r="I566" s="16" t="n">
        <x:v>1</x:v>
      </x:c>
      <x:c r="J566" t="n">
        <x:v>365</x:v>
      </x:c>
      <x:c r="K566" s="4" t="n">
        <x:v>361</x:v>
      </x:c>
      <x:c r="L566" s="4" t="n">
        <x:v>258</x:v>
      </x:c>
      <x:c r="M566" s="4" t="n">
        <x:v>251</x:v>
      </x:c>
      <x:c r="N566" s="5" t="n">
        <x:v>0.9729000000000001</x:v>
      </x:c>
    </x:row>
    <x:row r="567" ht="24" customHeight="1">
      <x:c r="A567" s="1" t="str">
        <x:v>RESULT</x:v>
      </x:c>
      <x:c r="B567" s="1" t="str">
        <x:v>Round1</x:v>
      </x:c>
      <x:c r="C567" s="1" t="str">
        <x:v>Jsoup_61</x:v>
      </x:c>
      <x:c r="D567" s="1" t="str">
        <x:v>NOT_AVAILABLE</x:v>
      </x:c>
      <x:c r="E567" s="5"/>
      <x:c r="F567" s="4" t="n">
        <x:v>0</x:v>
      </x:c>
      <x:c r="G567" s="4" t="n">
        <x:v>15611</x:v>
      </x:c>
      <x:c r="H567" s="6" t="n">
        <x:v>48.3</x:v>
      </x:c>
      <x:c r="I567" s="16" t="n">
        <x:v>1</x:v>
      </x:c>
      <x:c r="J567"/>
      <x:c r="K567" s="4"/>
      <x:c r="L567" s="4"/>
      <x:c r="M567" s="4"/>
      <x:c r="N567" s="5"/>
    </x:row>
    <x:row r="568" ht="24" customHeight="1">
      <x:c r="A568" s="1" t="str">
        <x:v>RESULT</x:v>
      </x:c>
      <x:c r="B568" s="1" t="str">
        <x:v>Round1</x:v>
      </x:c>
      <x:c r="C568" s="1" t="str">
        <x:v>Jsoup_62</x:v>
      </x:c>
      <x:c r="D568" s="1" t="str">
        <x:v>NOT_AVAILABLE</x:v>
      </x:c>
      <x:c r="E568" s="5"/>
      <x:c r="F568" s="4" t="n">
        <x:v>0</x:v>
      </x:c>
      <x:c r="G568" s="4" t="n">
        <x:v>41601</x:v>
      </x:c>
      <x:c r="H568" s="6" t="n">
        <x:v>146.61</x:v>
      </x:c>
      <x:c r="I568" s="16" t="n">
        <x:v>1</x:v>
      </x:c>
      <x:c r="J568"/>
      <x:c r="K568" s="4"/>
      <x:c r="L568" s="4"/>
      <x:c r="M568" s="4"/>
      <x:c r="N568" s="5"/>
    </x:row>
    <x:row r="569" ht="24" customHeight="1">
      <x:c r="A569" s="1" t="str">
        <x:v>RESULT</x:v>
      </x:c>
      <x:c r="B569" s="1" t="str">
        <x:v>Round1</x:v>
      </x:c>
      <x:c r="C569" s="1" t="str">
        <x:v>Jsoup_63</x:v>
      </x:c>
      <x:c r="D569" s="1" t="str">
        <x:v>NOT_AVAILABLE</x:v>
      </x:c>
      <x:c r="E569" s="5"/>
      <x:c r="F569" s="4" t="n">
        <x:v>0</x:v>
      </x:c>
      <x:c r="G569" s="4" t="n">
        <x:v>28421</x:v>
      </x:c>
      <x:c r="H569" s="6" t="n">
        <x:v>106.23</x:v>
      </x:c>
      <x:c r="I569" s="16" t="n">
        <x:v>1</x:v>
      </x:c>
      <x:c r="J569"/>
      <x:c r="K569" s="4"/>
      <x:c r="L569" s="4"/>
      <x:c r="M569" s="4"/>
      <x:c r="N569" s="5"/>
    </x:row>
    <x:row r="570" ht="24" customHeight="1">
      <x:c r="A570" s="1" t="str">
        <x:v>RESULT</x:v>
      </x:c>
      <x:c r="B570" s="1" t="str">
        <x:v>Round1</x:v>
      </x:c>
      <x:c r="C570" s="1" t="str">
        <x:v>Jsoup_64</x:v>
      </x:c>
      <x:c r="D570" s="1" t="str">
        <x:v>NOT_AVAILABLE</x:v>
      </x:c>
      <x:c r="E570" s="5"/>
      <x:c r="F570" s="4" t="n">
        <x:v>0</x:v>
      </x:c>
      <x:c r="G570" s="4"/>
      <x:c r="H570" s="6"/>
      <x:c r="I570" s="16" t="n">
        <x:v>1</x:v>
      </x:c>
      <x:c r="J570"/>
      <x:c r="K570" s="4"/>
      <x:c r="L570" s="4"/>
      <x:c r="M570" s="4"/>
      <x:c r="N570" s="5"/>
    </x:row>
    <x:row r="571" ht="24" customHeight="1">
      <x:c r="A571" s="1" t="str">
        <x:v>RESULT</x:v>
      </x:c>
      <x:c r="B571" s="1" t="str">
        <x:v>Round1</x:v>
      </x:c>
      <x:c r="C571" s="1" t="str">
        <x:v>Jsoup_65</x:v>
      </x:c>
      <x:c r="D571" s="1" t="str">
        <x:v>NOT_AVAILABLE</x:v>
      </x:c>
      <x:c r="E571" s="5"/>
      <x:c r="F571" s="4" t="n">
        <x:v>0</x:v>
      </x:c>
      <x:c r="G571" s="4"/>
      <x:c r="H571" s="6" t="n">
        <x:v>45.3</x:v>
      </x:c>
      <x:c r="I571" s="16" t="n">
        <x:v>1</x:v>
      </x:c>
      <x:c r="J571"/>
      <x:c r="K571" s="4"/>
      <x:c r="L571" s="4"/>
      <x:c r="M571" s="4"/>
      <x:c r="N571" s="5"/>
    </x:row>
    <x:row r="572" ht="24" customHeight="1">
      <x:c r="A572" s="1" t="str">
        <x:v>RESULT</x:v>
      </x:c>
      <x:c r="B572" s="1" t="str">
        <x:v>Round1</x:v>
      </x:c>
      <x:c r="C572" s="1" t="str">
        <x:v>Jsoup_66</x:v>
      </x:c>
      <x:c r="D572" s="1" t="str">
        <x:v>INCONCLUSIVE</x:v>
      </x:c>
      <x:c r="E572" s="5" t="n">
        <x:v>0.9308</x:v>
      </x:c>
      <x:c r="F572" s="4" t="n">
        <x:v>0</x:v>
      </x:c>
      <x:c r="G572" s="4" t="n">
        <x:v>14127</x:v>
      </x:c>
      <x:c r="H572" s="6" t="n">
        <x:v>40.26</x:v>
      </x:c>
      <x:c r="I572" s="16" t="n">
        <x:v>1</x:v>
      </x:c>
      <x:c r="J572" t="n">
        <x:v>390</x:v>
      </x:c>
      <x:c r="K572" s="4" t="n">
        <x:v>363</x:v>
      </x:c>
      <x:c r="L572" s="4" t="n">
        <x:v>204</x:v>
      </x:c>
      <x:c r="M572" s="4" t="n">
        <x:v>166</x:v>
      </x:c>
      <x:c r="N572" s="5" t="n">
        <x:v>0.8137000000000001</x:v>
      </x:c>
    </x:row>
    <x:row r="573" ht="24" customHeight="1">
      <x:c r="A573" s="1" t="str">
        <x:v>RESULT</x:v>
      </x:c>
      <x:c r="B573" s="1" t="str">
        <x:v>Round1</x:v>
      </x:c>
      <x:c r="C573" s="1" t="str">
        <x:v>Jsoup_67</x:v>
      </x:c>
      <x:c r="D573" s="1" t="str">
        <x:v>NOT_AVAILABLE</x:v>
      </x:c>
      <x:c r="E573" s="5"/>
      <x:c r="F573" s="4" t="n">
        <x:v>0</x:v>
      </x:c>
      <x:c r="G573" s="4"/>
      <x:c r="H573" s="6" t="n">
        <x:v>16.03</x:v>
      </x:c>
      <x:c r="I573" s="16" t="n">
        <x:v>1</x:v>
      </x:c>
      <x:c r="J573"/>
      <x:c r="K573" s="4"/>
      <x:c r="L573" s="4"/>
      <x:c r="M573" s="4"/>
      <x:c r="N573" s="5"/>
    </x:row>
    <x:row r="574" ht="24" customHeight="1">
      <x:c r="A574" s="1" t="str">
        <x:v>RESULT</x:v>
      </x:c>
      <x:c r="B574" s="1" t="str">
        <x:v>Round1</x:v>
      </x:c>
      <x:c r="C574" s="1" t="str">
        <x:v>Jsoup_68</x:v>
      </x:c>
      <x:c r="D574" s="1" t="str">
        <x:v>NOT_AVAILABLE</x:v>
      </x:c>
      <x:c r="E574" s="5"/>
      <x:c r="F574" s="4" t="n">
        <x:v>0</x:v>
      </x:c>
      <x:c r="G574" s="4" t="n">
        <x:v>15601</x:v>
      </x:c>
      <x:c r="H574" s="6" t="n">
        <x:v>52.44</x:v>
      </x:c>
      <x:c r="I574" s="16" t="n">
        <x:v>1</x:v>
      </x:c>
      <x:c r="J574"/>
      <x:c r="K574" s="4"/>
      <x:c r="L574" s="4"/>
      <x:c r="M574" s="4"/>
      <x:c r="N574" s="5"/>
    </x:row>
    <x:row r="575" ht="24" customHeight="1">
      <x:c r="A575" s="1" t="str">
        <x:v>RESULT</x:v>
      </x:c>
      <x:c r="B575" s="1" t="str">
        <x:v>Round1</x:v>
      </x:c>
      <x:c r="C575" s="1" t="str">
        <x:v>Jsoup_69</x:v>
      </x:c>
      <x:c r="D575" s="1" t="str">
        <x:v>NOT_REVEALING</x:v>
      </x:c>
      <x:c r="E575" s="5" t="n">
        <x:v>1</x:v>
      </x:c>
      <x:c r="F575" s="4" t="n">
        <x:v>0</x:v>
      </x:c>
      <x:c r="G575" s="4" t="n">
        <x:v>6663</x:v>
      </x:c>
      <x:c r="H575" s="6" t="n">
        <x:v>27.49</x:v>
      </x:c>
      <x:c r="I575" s="16" t="n">
        <x:v>1</x:v>
      </x:c>
      <x:c r="J575" t="n">
        <x:v>39</x:v>
      </x:c>
      <x:c r="K575" s="4" t="n">
        <x:v>39</x:v>
      </x:c>
      <x:c r="L575" s="4" t="n">
        <x:v>28</x:v>
      </x:c>
      <x:c r="M575" s="4" t="n">
        <x:v>28</x:v>
      </x:c>
      <x:c r="N575" s="5" t="n">
        <x:v>1</x:v>
      </x:c>
    </x:row>
    <x:row r="576" ht="24" customHeight="1">
      <x:c r="A576" s="1" t="str">
        <x:v>RESULT</x:v>
      </x:c>
      <x:c r="B576" s="1" t="str">
        <x:v>Round1</x:v>
      </x:c>
      <x:c r="C576" s="1" t="str">
        <x:v>Jsoup_7</x:v>
      </x:c>
      <x:c r="D576" s="1" t="str">
        <x:v>NOT_AVAILABLE</x:v>
      </x:c>
      <x:c r="E576" s="5"/>
      <x:c r="F576" s="4" t="n">
        <x:v>0</x:v>
      </x:c>
      <x:c r="G576" s="4" t="n">
        <x:v>8596</x:v>
      </x:c>
      <x:c r="H576" s="6" t="n">
        <x:v>55.81</x:v>
      </x:c>
      <x:c r="I576" s="16" t="n">
        <x:v>1</x:v>
      </x:c>
      <x:c r="J576"/>
      <x:c r="K576" s="4"/>
      <x:c r="L576" s="4"/>
      <x:c r="M576" s="4"/>
      <x:c r="N576" s="5"/>
    </x:row>
    <x:row r="577" ht="24" customHeight="1">
      <x:c r="A577" s="1" t="str">
        <x:v>RESULT</x:v>
      </x:c>
      <x:c r="B577" s="1" t="str">
        <x:v>Round1</x:v>
      </x:c>
      <x:c r="C577" s="1" t="str">
        <x:v>Jsoup_70</x:v>
      </x:c>
      <x:c r="D577" s="1" t="str">
        <x:v>INCONCLUSIVE</x:v>
      </x:c>
      <x:c r="E577" s="5" t="n">
        <x:v>0.9619</x:v>
      </x:c>
      <x:c r="F577" s="4" t="n">
        <x:v>0</x:v>
      </x:c>
      <x:c r="G577" s="4" t="n">
        <x:v>15461</x:v>
      </x:c>
      <x:c r="H577" s="6" t="n">
        <x:v>39.13</x:v>
      </x:c>
      <x:c r="I577" s="16" t="n">
        <x:v>1</x:v>
      </x:c>
      <x:c r="J577" t="n">
        <x:v>394</x:v>
      </x:c>
      <x:c r="K577" s="4" t="n">
        <x:v>379</x:v>
      </x:c>
      <x:c r="L577" s="4" t="n">
        <x:v>206</x:v>
      </x:c>
      <x:c r="M577" s="4" t="n">
        <x:v>167</x:v>
      </x:c>
      <x:c r="N577" s="5" t="n">
        <x:v>0.8107</x:v>
      </x:c>
    </x:row>
    <x:row r="578" ht="24" customHeight="1">
      <x:c r="A578" s="1" t="str">
        <x:v>RESULT</x:v>
      </x:c>
      <x:c r="B578" s="1" t="str">
        <x:v>Round1</x:v>
      </x:c>
      <x:c r="C578" s="1" t="str">
        <x:v>Jsoup_71</x:v>
      </x:c>
      <x:c r="D578" s="1" t="str">
        <x:v>NOT_AVAILABLE</x:v>
      </x:c>
      <x:c r="E578" s="5"/>
      <x:c r="F578" s="4" t="n">
        <x:v>0</x:v>
      </x:c>
      <x:c r="G578" s="4" t="n">
        <x:v>26642</x:v>
      </x:c>
      <x:c r="H578" s="6" t="n">
        <x:v>93.36</x:v>
      </x:c>
      <x:c r="I578" s="16" t="n">
        <x:v>1</x:v>
      </x:c>
      <x:c r="J578"/>
      <x:c r="K578" s="4"/>
      <x:c r="L578" s="4"/>
      <x:c r="M578" s="4"/>
      <x:c r="N578" s="5"/>
    </x:row>
    <x:row r="579" ht="24" customHeight="1">
      <x:c r="A579" s="1" t="str">
        <x:v>RESULT</x:v>
      </x:c>
      <x:c r="B579" s="1" t="str">
        <x:v>Round1</x:v>
      </x:c>
      <x:c r="C579" s="1" t="str">
        <x:v>Jsoup_72</x:v>
      </x:c>
      <x:c r="D579" s="1" t="str">
        <x:v>INCONCLUSIVE</x:v>
      </x:c>
      <x:c r="E579" s="5" t="n">
        <x:v>0.9868000000000001</x:v>
      </x:c>
      <x:c r="F579" s="4" t="n">
        <x:v>0</x:v>
      </x:c>
      <x:c r="G579" s="4" t="n">
        <x:v>12100</x:v>
      </x:c>
      <x:c r="H579" s="6" t="n">
        <x:v>63.25</x:v>
      </x:c>
      <x:c r="I579" s="16" t="n">
        <x:v>1</x:v>
      </x:c>
      <x:c r="J579" t="n">
        <x:v>228</x:v>
      </x:c>
      <x:c r="K579" s="4" t="n">
        <x:v>225</x:v>
      </x:c>
      <x:c r="L579" s="4" t="n">
        <x:v>198</x:v>
      </x:c>
      <x:c r="M579" s="4" t="n">
        <x:v>178</x:v>
      </x:c>
      <x:c r="N579" s="5" t="n">
        <x:v>0.899</x:v>
      </x:c>
    </x:row>
    <x:row r="580" ht="24" customHeight="1">
      <x:c r="A580" s="1" t="str">
        <x:v>RESULT</x:v>
      </x:c>
      <x:c r="B580" s="1" t="str">
        <x:v>Round1</x:v>
      </x:c>
      <x:c r="C580" s="1" t="str">
        <x:v>Jsoup_73</x:v>
      </x:c>
      <x:c r="D580" s="1" t="str">
        <x:v>NOT_AVAILABLE</x:v>
      </x:c>
      <x:c r="E580" s="5"/>
      <x:c r="F580" s="4" t="n">
        <x:v>0</x:v>
      </x:c>
      <x:c r="G580" s="4" t="n">
        <x:v>9540</x:v>
      </x:c>
      <x:c r="H580" s="6" t="n">
        <x:v>59.53</x:v>
      </x:c>
      <x:c r="I580" s="16" t="n">
        <x:v>1</x:v>
      </x:c>
      <x:c r="J580"/>
      <x:c r="K580" s="4"/>
      <x:c r="L580" s="4"/>
      <x:c r="M580" s="4"/>
      <x:c r="N580" s="5"/>
    </x:row>
    <x:row r="581" ht="24" customHeight="1">
      <x:c r="A581" s="1" t="str">
        <x:v>RESULT</x:v>
      </x:c>
      <x:c r="B581" s="1" t="str">
        <x:v>Round1</x:v>
      </x:c>
      <x:c r="C581" s="1" t="str">
        <x:v>Jsoup_74</x:v>
      </x:c>
      <x:c r="D581" s="1" t="str">
        <x:v>INCONCLUSIVE</x:v>
      </x:c>
      <x:c r="E581" s="5" t="n">
        <x:v>1</x:v>
      </x:c>
      <x:c r="F581" s="4" t="n">
        <x:v>0</x:v>
      </x:c>
      <x:c r="G581" s="4" t="n">
        <x:v>10435</x:v>
      </x:c>
      <x:c r="H581" s="6" t="n">
        <x:v>51.22</x:v>
      </x:c>
      <x:c r="I581" s="16" t="n">
        <x:v>1</x:v>
      </x:c>
      <x:c r="J581" t="n">
        <x:v>83</x:v>
      </x:c>
      <x:c r="K581" s="4" t="n">
        <x:v>83</x:v>
      </x:c>
      <x:c r="L581" s="4" t="n">
        <x:v>74</x:v>
      </x:c>
      <x:c r="M581" s="4" t="n">
        <x:v>73</x:v>
      </x:c>
      <x:c r="N581" s="5" t="n">
        <x:v>0.9865</x:v>
      </x:c>
    </x:row>
    <x:row r="582" ht="24" customHeight="1">
      <x:c r="A582" s="1" t="str">
        <x:v>RESULT</x:v>
      </x:c>
      <x:c r="B582" s="1" t="str">
        <x:v>Round1</x:v>
      </x:c>
      <x:c r="C582" s="1" t="str">
        <x:v>Jsoup_75</x:v>
      </x:c>
      <x:c r="D582" s="1" t="str">
        <x:v>INCONCLUSIVE</x:v>
      </x:c>
      <x:c r="E582" s="5" t="n">
        <x:v>0.9702</x:v>
      </x:c>
      <x:c r="F582" s="4" t="n">
        <x:v>0</x:v>
      </x:c>
      <x:c r="G582" s="4" t="n">
        <x:v>11005</x:v>
      </x:c>
      <x:c r="H582" s="6" t="n">
        <x:v>46.06</x:v>
      </x:c>
      <x:c r="I582" s="16" t="n">
        <x:v>1</x:v>
      </x:c>
      <x:c r="J582" t="n">
        <x:v>168</x:v>
      </x:c>
      <x:c r="K582" s="4" t="n">
        <x:v>163</x:v>
      </x:c>
      <x:c r="L582" s="4" t="n">
        <x:v>84</x:v>
      </x:c>
      <x:c r="M582" s="4" t="n">
        <x:v>80</x:v>
      </x:c>
      <x:c r="N582" s="5" t="n">
        <x:v>0.9523999999999999</x:v>
      </x:c>
    </x:row>
    <x:row r="583" ht="24" customHeight="1">
      <x:c r="A583" s="1" t="str">
        <x:v>RESULT</x:v>
      </x:c>
      <x:c r="B583" s="1" t="str">
        <x:v>Round1</x:v>
      </x:c>
      <x:c r="C583" s="1" t="str">
        <x:v>Jsoup_76</x:v>
      </x:c>
      <x:c r="D583" s="1" t="str">
        <x:v>NOT_AVAILABLE</x:v>
      </x:c>
      <x:c r="E583" s="5"/>
      <x:c r="F583" s="4" t="n">
        <x:v>0</x:v>
      </x:c>
      <x:c r="G583" s="4"/>
      <x:c r="H583" s="6"/>
      <x:c r="I583" s="16" t="n">
        <x:v>1</x:v>
      </x:c>
      <x:c r="J583"/>
      <x:c r="K583" s="4"/>
      <x:c r="L583" s="4"/>
      <x:c r="M583" s="4"/>
      <x:c r="N583" s="5"/>
    </x:row>
    <x:row r="584" ht="24" customHeight="1">
      <x:c r="A584" s="1" t="str">
        <x:v>RESULT</x:v>
      </x:c>
      <x:c r="B584" s="1" t="str">
        <x:v>Round1</x:v>
      </x:c>
      <x:c r="C584" s="1" t="str">
        <x:v>Jsoup_77</x:v>
      </x:c>
      <x:c r="D584" s="1" t="str">
        <x:v>NOT_AVAILABLE</x:v>
      </x:c>
      <x:c r="E584" s="5"/>
      <x:c r="F584" s="4" t="n">
        <x:v>0</x:v>
      </x:c>
      <x:c r="G584" s="4"/>
      <x:c r="H584" s="6" t="n">
        <x:v>17.58</x:v>
      </x:c>
      <x:c r="I584" s="16" t="n">
        <x:v>1</x:v>
      </x:c>
      <x:c r="J584"/>
      <x:c r="K584" s="4"/>
      <x:c r="L584" s="4"/>
      <x:c r="M584" s="4"/>
      <x:c r="N584" s="5"/>
    </x:row>
    <x:row r="585" ht="24" customHeight="1">
      <x:c r="A585" s="1" t="str">
        <x:v>RESULT</x:v>
      </x:c>
      <x:c r="B585" s="1" t="str">
        <x:v>Round1</x:v>
      </x:c>
      <x:c r="C585" s="1" t="str">
        <x:v>Jsoup_78</x:v>
      </x:c>
      <x:c r="D585" s="1" t="str">
        <x:v>NOT_REVEALING</x:v>
      </x:c>
      <x:c r="E585" s="5" t="n">
        <x:v>0.9725</x:v>
      </x:c>
      <x:c r="F585" s="4" t="n">
        <x:v>0</x:v>
      </x:c>
      <x:c r="G585" s="4" t="n">
        <x:v>9289</x:v>
      </x:c>
      <x:c r="H585" s="6" t="n">
        <x:v>51.58</x:v>
      </x:c>
      <x:c r="I585" s="16" t="n">
        <x:v>1</x:v>
      </x:c>
      <x:c r="J585" t="n">
        <x:v>109</x:v>
      </x:c>
      <x:c r="K585" s="4" t="n">
        <x:v>106</x:v>
      </x:c>
      <x:c r="L585" s="4" t="n">
        <x:v>88</x:v>
      </x:c>
      <x:c r="M585" s="4" t="n">
        <x:v>75</x:v>
      </x:c>
      <x:c r="N585" s="5" t="n">
        <x:v>0.8523000000000001</x:v>
      </x:c>
    </x:row>
    <x:row r="586" ht="24" customHeight="1">
      <x:c r="A586" s="1" t="str">
        <x:v>RESULT</x:v>
      </x:c>
      <x:c r="B586" s="1" t="str">
        <x:v>Round1</x:v>
      </x:c>
      <x:c r="C586" s="1" t="str">
        <x:v>Jsoup_79</x:v>
      </x:c>
      <x:c r="D586" s="1" t="str">
        <x:v>INCONCLUSIVE</x:v>
      </x:c>
      <x:c r="E586" s="5" t="n">
        <x:v>1</x:v>
      </x:c>
      <x:c r="F586" s="4" t="n">
        <x:v>0</x:v>
      </x:c>
      <x:c r="G586" s="4" t="n">
        <x:v>5663</x:v>
      </x:c>
      <x:c r="H586" s="6" t="n">
        <x:v>25.57</x:v>
      </x:c>
      <x:c r="I586" s="16" t="n">
        <x:v>1</x:v>
      </x:c>
      <x:c r="J586" t="n">
        <x:v>33</x:v>
      </x:c>
      <x:c r="K586" s="4" t="n">
        <x:v>33</x:v>
      </x:c>
      <x:c r="L586" s="4" t="n">
        <x:v>14</x:v>
      </x:c>
      <x:c r="M586" s="4" t="n">
        <x:v>14</x:v>
      </x:c>
      <x:c r="N586" s="5" t="n">
        <x:v>1</x:v>
      </x:c>
    </x:row>
    <x:row r="587" ht="24" customHeight="1">
      <x:c r="A587" s="1" t="str">
        <x:v>RESULT</x:v>
      </x:c>
      <x:c r="B587" s="1" t="str">
        <x:v>Round1</x:v>
      </x:c>
      <x:c r="C587" s="1" t="str">
        <x:v>Jsoup_8</x:v>
      </x:c>
      <x:c r="D587" s="1" t="str">
        <x:v>NOT_AVAILABLE</x:v>
      </x:c>
      <x:c r="E587" s="5"/>
      <x:c r="F587" s="4" t="n">
        <x:v>0</x:v>
      </x:c>
      <x:c r="G587" s="4" t="n">
        <x:v>13650</x:v>
      </x:c>
      <x:c r="H587" s="6" t="n">
        <x:v>79.72</x:v>
      </x:c>
      <x:c r="I587" s="16" t="n">
        <x:v>1</x:v>
      </x:c>
      <x:c r="J587"/>
      <x:c r="K587" s="4"/>
      <x:c r="L587" s="4"/>
      <x:c r="M587" s="4"/>
      <x:c r="N587" s="5"/>
    </x:row>
    <x:row r="588" ht="24" customHeight="1">
      <x:c r="A588" s="1" t="str">
        <x:v>RESULT</x:v>
      </x:c>
      <x:c r="B588" s="1" t="str">
        <x:v>Round1</x:v>
      </x:c>
      <x:c r="C588" s="1" t="str">
        <x:v>Jsoup_80</x:v>
      </x:c>
      <x:c r="D588" s="1" t="str">
        <x:v>NOT_AVAILABLE</x:v>
      </x:c>
      <x:c r="E588" s="5"/>
      <x:c r="F588" s="4" t="n">
        <x:v>0</x:v>
      </x:c>
      <x:c r="G588" s="4" t="n">
        <x:v>8607</x:v>
      </x:c>
      <x:c r="H588" s="6" t="n">
        <x:v>49.49</x:v>
      </x:c>
      <x:c r="I588" s="16" t="n">
        <x:v>1</x:v>
      </x:c>
      <x:c r="J588"/>
      <x:c r="K588" s="4"/>
      <x:c r="L588" s="4"/>
      <x:c r="M588" s="4"/>
      <x:c r="N588" s="5"/>
    </x:row>
    <x:row r="589" ht="24" customHeight="1">
      <x:c r="A589" s="1" t="str">
        <x:v>RESULT</x:v>
      </x:c>
      <x:c r="B589" s="1" t="str">
        <x:v>Round1</x:v>
      </x:c>
      <x:c r="C589" s="1" t="str">
        <x:v>Jsoup_81</x:v>
      </x:c>
      <x:c r="D589" s="1" t="str">
        <x:v>INCONCLUSIVE</x:v>
      </x:c>
      <x:c r="E589" s="5" t="n">
        <x:v>0.9573</x:v>
      </x:c>
      <x:c r="F589" s="4" t="n">
        <x:v>0</x:v>
      </x:c>
      <x:c r="G589" s="4" t="n">
        <x:v>9751</x:v>
      </x:c>
      <x:c r="H589" s="6" t="n">
        <x:v>58.09</x:v>
      </x:c>
      <x:c r="I589" s="16" t="n">
        <x:v>1</x:v>
      </x:c>
      <x:c r="J589" t="n">
        <x:v>117</x:v>
      </x:c>
      <x:c r="K589" s="4" t="n">
        <x:v>112</x:v>
      </x:c>
      <x:c r="L589" s="4" t="n">
        <x:v>94</x:v>
      </x:c>
      <x:c r="M589" s="4" t="n">
        <x:v>71</x:v>
      </x:c>
      <x:c r="N589" s="5" t="n">
        <x:v>0.7553</x:v>
      </x:c>
    </x:row>
    <x:row r="590" ht="24" customHeight="1">
      <x:c r="A590" s="1" t="str">
        <x:v>RESULT</x:v>
      </x:c>
      <x:c r="B590" s="1" t="str">
        <x:v>Round1</x:v>
      </x:c>
      <x:c r="C590" s="1" t="str">
        <x:v>Jsoup_82</x:v>
      </x:c>
      <x:c r="D590" s="1" t="str">
        <x:v>INCONCLUSIVE</x:v>
      </x:c>
      <x:c r="E590" s="5" t="n">
        <x:v>0.9645999999999999</x:v>
      </x:c>
      <x:c r="F590" s="4" t="n">
        <x:v>0</x:v>
      </x:c>
      <x:c r="G590" s="4" t="n">
        <x:v>9852</x:v>
      </x:c>
      <x:c r="H590" s="6" t="n">
        <x:v>34.48</x:v>
      </x:c>
      <x:c r="I590" s="16" t="n">
        <x:v>1</x:v>
      </x:c>
      <x:c r="J590" t="n">
        <x:v>113</x:v>
      </x:c>
      <x:c r="K590" s="4" t="n">
        <x:v>109</x:v>
      </x:c>
      <x:c r="L590" s="4" t="n">
        <x:v>96</x:v>
      </x:c>
      <x:c r="M590" s="4" t="n">
        <x:v>78</x:v>
      </x:c>
      <x:c r="N590" s="5" t="n">
        <x:v>0.8125</x:v>
      </x:c>
    </x:row>
    <x:row r="591" ht="24" customHeight="1">
      <x:c r="A591" s="1" t="str">
        <x:v>RESULT</x:v>
      </x:c>
      <x:c r="B591" s="1" t="str">
        <x:v>Round1</x:v>
      </x:c>
      <x:c r="C591" s="1" t="str">
        <x:v>Jsoup_83</x:v>
      </x:c>
      <x:c r="D591" s="1" t="str">
        <x:v>NOT_AVAILABLE</x:v>
      </x:c>
      <x:c r="E591" s="5"/>
      <x:c r="F591" s="4" t="n">
        <x:v>0</x:v>
      </x:c>
      <x:c r="G591" s="4" t="n">
        <x:v>10759</x:v>
      </x:c>
      <x:c r="H591" s="6" t="n">
        <x:v>170.92</x:v>
      </x:c>
      <x:c r="I591" s="16" t="n">
        <x:v>1</x:v>
      </x:c>
      <x:c r="J591"/>
      <x:c r="K591" s="4"/>
      <x:c r="L591" s="4"/>
      <x:c r="M591" s="4"/>
      <x:c r="N591" s="5"/>
    </x:row>
    <x:row r="592" ht="24" customHeight="1">
      <x:c r="A592" s="1" t="str">
        <x:v>RESULT</x:v>
      </x:c>
      <x:c r="B592" s="1" t="str">
        <x:v>Round1</x:v>
      </x:c>
      <x:c r="C592" s="1" t="str">
        <x:v>Jsoup_84</x:v>
      </x:c>
      <x:c r="D592" s="1" t="str">
        <x:v>INCONCLUSIVE</x:v>
      </x:c>
      <x:c r="E592" s="5" t="n">
        <x:v>0.9737</x:v>
      </x:c>
      <x:c r="F592" s="4" t="n">
        <x:v>0</x:v>
      </x:c>
      <x:c r="G592" s="4" t="n">
        <x:v>7351</x:v>
      </x:c>
      <x:c r="H592" s="6" t="n">
        <x:v>35.55</x:v>
      </x:c>
      <x:c r="I592" s="16" t="n">
        <x:v>1</x:v>
      </x:c>
      <x:c r="J592" t="n">
        <x:v>76</x:v>
      </x:c>
      <x:c r="K592" s="4" t="n">
        <x:v>74</x:v>
      </x:c>
      <x:c r="L592" s="4" t="n">
        <x:v>28</x:v>
      </x:c>
      <x:c r="M592" s="4" t="n">
        <x:v>28</x:v>
      </x:c>
      <x:c r="N592" s="5" t="n">
        <x:v>1</x:v>
      </x:c>
    </x:row>
    <x:row r="593" ht="24" customHeight="1">
      <x:c r="A593" s="1" t="str">
        <x:v>RESULT</x:v>
      </x:c>
      <x:c r="B593" s="1" t="str">
        <x:v>Round1</x:v>
      </x:c>
      <x:c r="C593" s="1" t="str">
        <x:v>Jsoup_85</x:v>
      </x:c>
      <x:c r="D593" s="1" t="str">
        <x:v>NOT_REVEALING</x:v>
      </x:c>
      <x:c r="E593" s="5" t="n">
        <x:v>0.8923000000000001</x:v>
      </x:c>
      <x:c r="F593" s="4" t="n">
        <x:v>0</x:v>
      </x:c>
      <x:c r="G593" s="4"/>
      <x:c r="H593" s="6"/>
      <x:c r="I593" s="16" t="n">
        <x:v>1</x:v>
      </x:c>
      <x:c r="J593" t="n">
        <x:v>65</x:v>
      </x:c>
      <x:c r="K593" s="4" t="n">
        <x:v>58</x:v>
      </x:c>
      <x:c r="L593" s="4" t="n">
        <x:v>50</x:v>
      </x:c>
      <x:c r="M593" s="4" t="n">
        <x:v>29</x:v>
      </x:c>
      <x:c r="N593" s="5" t="n">
        <x:v>0.58</x:v>
      </x:c>
    </x:row>
    <x:row r="594" ht="24" customHeight="1">
      <x:c r="A594" s="1" t="str">
        <x:v>RESULT</x:v>
      </x:c>
      <x:c r="B594" s="1" t="str">
        <x:v>Round1</x:v>
      </x:c>
      <x:c r="C594" s="1" t="str">
        <x:v>Jsoup_86</x:v>
      </x:c>
      <x:c r="D594" s="1" t="str">
        <x:v>NOT_AVAILABLE</x:v>
      </x:c>
      <x:c r="E594" s="5"/>
      <x:c r="F594" s="4" t="n">
        <x:v>0</x:v>
      </x:c>
      <x:c r="G594" s="4" t="n">
        <x:v>4263</x:v>
      </x:c>
      <x:c r="H594" s="6" t="n">
        <x:v>23.66</x:v>
      </x:c>
      <x:c r="I594" s="16" t="n">
        <x:v>1</x:v>
      </x:c>
      <x:c r="J594"/>
      <x:c r="K594" s="4"/>
      <x:c r="L594" s="4"/>
      <x:c r="M594" s="4"/>
      <x:c r="N594" s="5"/>
    </x:row>
    <x:row r="595" ht="24" customHeight="1">
      <x:c r="A595" s="1" t="str">
        <x:v>RESULT</x:v>
      </x:c>
      <x:c r="B595" s="1" t="str">
        <x:v>Round1</x:v>
      </x:c>
      <x:c r="C595" s="1" t="str">
        <x:v>Jsoup_87</x:v>
      </x:c>
      <x:c r="D595" s="1" t="str">
        <x:v>NOT_AVAILABLE</x:v>
      </x:c>
      <x:c r="E595" s="5"/>
      <x:c r="F595" s="4" t="n">
        <x:v>0</x:v>
      </x:c>
      <x:c r="G595" s="4" t="n">
        <x:v>39922</x:v>
      </x:c>
      <x:c r="H595" s="6" t="n">
        <x:v>137.8</x:v>
      </x:c>
      <x:c r="I595" s="16" t="n">
        <x:v>1</x:v>
      </x:c>
      <x:c r="J595"/>
      <x:c r="K595" s="4"/>
      <x:c r="L595" s="4"/>
      <x:c r="M595" s="4"/>
      <x:c r="N595" s="5"/>
    </x:row>
    <x:row r="596" ht="24" customHeight="1">
      <x:c r="A596" s="1" t="str">
        <x:v>RESULT</x:v>
      </x:c>
      <x:c r="B596" s="1" t="str">
        <x:v>Round1</x:v>
      </x:c>
      <x:c r="C596" s="1" t="str">
        <x:v>Jsoup_88</x:v>
      </x:c>
      <x:c r="D596" s="1" t="str">
        <x:v>NOT_REVEALING</x:v>
      </x:c>
      <x:c r="E596" s="5" t="n">
        <x:v>0.8939</x:v>
      </x:c>
      <x:c r="F596" s="4" t="n">
        <x:v>0</x:v>
      </x:c>
      <x:c r="G596" s="4"/>
      <x:c r="H596" s="6"/>
      <x:c r="I596" s="16" t="n">
        <x:v>1</x:v>
      </x:c>
      <x:c r="J596" t="n">
        <x:v>66</x:v>
      </x:c>
      <x:c r="K596" s="4" t="n">
        <x:v>59</x:v>
      </x:c>
      <x:c r="L596" s="4" t="n">
        <x:v>50</x:v>
      </x:c>
      <x:c r="M596" s="4" t="n">
        <x:v>29</x:v>
      </x:c>
      <x:c r="N596" s="5" t="n">
        <x:v>0.58</x:v>
      </x:c>
    </x:row>
    <x:row r="597" ht="24" customHeight="1">
      <x:c r="A597" s="1" t="str">
        <x:v>RESULT</x:v>
      </x:c>
      <x:c r="B597" s="1" t="str">
        <x:v>Round1</x:v>
      </x:c>
      <x:c r="C597" s="1" t="str">
        <x:v>Jsoup_89</x:v>
      </x:c>
      <x:c r="D597" s="1" t="str">
        <x:v>NOT_REVEALING</x:v>
      </x:c>
      <x:c r="E597" s="5" t="n">
        <x:v>0.8939</x:v>
      </x:c>
      <x:c r="F597" s="4" t="n">
        <x:v>0</x:v>
      </x:c>
      <x:c r="G597" s="4"/>
      <x:c r="H597" s="6"/>
      <x:c r="I597" s="16" t="n">
        <x:v>1</x:v>
      </x:c>
      <x:c r="J597" t="n">
        <x:v>66</x:v>
      </x:c>
      <x:c r="K597" s="4" t="n">
        <x:v>59</x:v>
      </x:c>
      <x:c r="L597" s="4" t="n">
        <x:v>50</x:v>
      </x:c>
      <x:c r="M597" s="4" t="n">
        <x:v>29</x:v>
      </x:c>
      <x:c r="N597" s="5" t="n">
        <x:v>0.58</x:v>
      </x:c>
    </x:row>
    <x:row r="598" ht="24" customHeight="1">
      <x:c r="A598" s="1" t="str">
        <x:v>RESULT</x:v>
      </x:c>
      <x:c r="B598" s="1" t="str">
        <x:v>Round1</x:v>
      </x:c>
      <x:c r="C598" s="1" t="str">
        <x:v>Jsoup_9</x:v>
      </x:c>
      <x:c r="D598" s="1" t="str">
        <x:v>NOT_AVAILABLE</x:v>
      </x:c>
      <x:c r="E598" s="5"/>
      <x:c r="F598" s="4" t="n">
        <x:v>0</x:v>
      </x:c>
      <x:c r="G598" s="4"/>
      <x:c r="H598" s="6"/>
      <x:c r="I598" s="16" t="n">
        <x:v>1</x:v>
      </x:c>
      <x:c r="J598"/>
      <x:c r="K598" s="4"/>
      <x:c r="L598" s="4"/>
      <x:c r="M598" s="4"/>
      <x:c r="N598" s="5"/>
    </x:row>
    <x:row r="599" ht="24" customHeight="1">
      <x:c r="A599" s="1" t="str">
        <x:v>RESULT</x:v>
      </x:c>
      <x:c r="B599" s="1" t="str">
        <x:v>Round1</x:v>
      </x:c>
      <x:c r="C599" s="1" t="str">
        <x:v>Jsoup_90</x:v>
      </x:c>
      <x:c r="D599" s="1" t="str">
        <x:v>NOT_REVEALING</x:v>
      </x:c>
      <x:c r="E599" s="5" t="n">
        <x:v>0.5503</x:v>
      </x:c>
      <x:c r="F599" s="4" t="n">
        <x:v>0</x:v>
      </x:c>
      <x:c r="G599" s="4" t="n">
        <x:v>17539</x:v>
      </x:c>
      <x:c r="H599" s="6" t="n">
        <x:v>42.22</x:v>
      </x:c>
      <x:c r="I599" s="16" t="n">
        <x:v>1</x:v>
      </x:c>
      <x:c r="J599" t="n">
        <x:v>596</x:v>
      </x:c>
      <x:c r="K599" s="4" t="n">
        <x:v>328</x:v>
      </x:c>
      <x:c r="L599" s="4" t="n">
        <x:v>234</x:v>
      </x:c>
      <x:c r="M599" s="4" t="n">
        <x:v>79</x:v>
      </x:c>
      <x:c r="N599" s="5" t="n">
        <x:v>0.33759999999999996</x:v>
      </x:c>
    </x:row>
    <x:row r="600" ht="24" customHeight="1">
      <x:c r="A600" s="1" t="str">
        <x:v>RESULT</x:v>
      </x:c>
      <x:c r="B600" s="1" t="str">
        <x:v>Round1</x:v>
      </x:c>
      <x:c r="C600" s="1" t="str">
        <x:v>Jsoup_91</x:v>
      </x:c>
      <x:c r="D600" s="1" t="str">
        <x:v>NOT_REVEALING</x:v>
      </x:c>
      <x:c r="E600" s="5" t="n">
        <x:v>0.992</x:v>
      </x:c>
      <x:c r="F600" s="4" t="n">
        <x:v>0</x:v>
      </x:c>
      <x:c r="G600" s="4" t="n">
        <x:v>14269</x:v>
      </x:c>
      <x:c r="H600" s="6" t="n">
        <x:v>61.52</x:v>
      </x:c>
      <x:c r="I600" s="16" t="n">
        <x:v>1</x:v>
      </x:c>
      <x:c r="J600" t="n">
        <x:v>249</x:v>
      </x:c>
      <x:c r="K600" s="4" t="n">
        <x:v>247</x:v>
      </x:c>
      <x:c r="L600" s="4" t="n">
        <x:v>190</x:v>
      </x:c>
      <x:c r="M600" s="4" t="n">
        <x:v>177</x:v>
      </x:c>
      <x:c r="N600" s="5" t="n">
        <x:v>0.9316</x:v>
      </x:c>
    </x:row>
    <x:row r="601" ht="24" customHeight="1">
      <x:c r="A601" s="1" t="str">
        <x:v>RESULT</x:v>
      </x:c>
      <x:c r="B601" s="1" t="str">
        <x:v>Round1</x:v>
      </x:c>
      <x:c r="C601" s="1" t="str">
        <x:v>Jsoup_92</x:v>
      </x:c>
      <x:c r="D601" s="1" t="str">
        <x:v>NOT_AVAILABLE</x:v>
      </x:c>
      <x:c r="E601" s="5"/>
      <x:c r="F601" s="4" t="n">
        <x:v>0</x:v>
      </x:c>
      <x:c r="G601" s="4" t="n">
        <x:v>53909</x:v>
      </x:c>
      <x:c r="H601" s="6" t="n">
        <x:v>289.16</x:v>
      </x:c>
      <x:c r="I601" s="16" t="n">
        <x:v>1</x:v>
      </x:c>
      <x:c r="J601"/>
      <x:c r="K601" s="4"/>
      <x:c r="L601" s="4"/>
      <x:c r="M601" s="4"/>
      <x:c r="N601" s="5"/>
    </x:row>
    <x:row r="602" ht="24" customHeight="1">
      <x:c r="A602" s="1" t="str">
        <x:v>RESULT</x:v>
      </x:c>
      <x:c r="B602" s="1" t="str">
        <x:v>Round1</x:v>
      </x:c>
      <x:c r="C602" s="1" t="str">
        <x:v>Jsoup_93</x:v>
      </x:c>
      <x:c r="D602" s="1" t="str">
        <x:v>NOT_REVEALING</x:v>
      </x:c>
      <x:c r="E602" s="5" t="n">
        <x:v>1</x:v>
      </x:c>
      <x:c r="F602" s="4" t="n">
        <x:v>0</x:v>
      </x:c>
      <x:c r="G602" s="4" t="n">
        <x:v>6122</x:v>
      </x:c>
      <x:c r="H602" s="6" t="n">
        <x:v>37.09</x:v>
      </x:c>
      <x:c r="I602" s="16" t="n">
        <x:v>1</x:v>
      </x:c>
      <x:c r="J602" t="n">
        <x:v>42</x:v>
      </x:c>
      <x:c r="K602" s="4" t="n">
        <x:v>42</x:v>
      </x:c>
      <x:c r="L602" s="4" t="n">
        <x:v>28</x:v>
      </x:c>
      <x:c r="M602" s="4" t="n">
        <x:v>28</x:v>
      </x:c>
      <x:c r="N602" s="5" t="n">
        <x:v>1</x:v>
      </x:c>
    </x:row>
    <x:row r="603" ht="24" customHeight="1">
      <x:c r="A603" s="1" t="str">
        <x:v>RESULT</x:v>
      </x:c>
      <x:c r="B603" s="1" t="str">
        <x:v>Round1</x:v>
      </x:c>
      <x:c r="C603" s="1" t="str">
        <x:v>JxPath_1</x:v>
      </x:c>
      <x:c r="D603" s="1" t="str">
        <x:v>INCONCLUSIVE</x:v>
      </x:c>
      <x:c r="E603" s="5" t="n">
        <x:v>0.26780000000000004</x:v>
      </x:c>
      <x:c r="F603" s="4" t="n">
        <x:v>0</x:v>
      </x:c>
      <x:c r="G603" s="4"/>
      <x:c r="H603" s="6"/>
      <x:c r="I603" s="16" t="n">
        <x:v>1</x:v>
      </x:c>
      <x:c r="J603" t="n">
        <x:v>773</x:v>
      </x:c>
      <x:c r="K603" s="4" t="n">
        <x:v>207</x:v>
      </x:c>
      <x:c r="L603" s="4" t="n">
        <x:v>556</x:v>
      </x:c>
      <x:c r="M603" s="4" t="n">
        <x:v>114</x:v>
      </x:c>
      <x:c r="N603" s="5" t="n">
        <x:v>0.205</x:v>
      </x:c>
    </x:row>
    <x:row r="604" ht="24" customHeight="1">
      <x:c r="A604" s="1" t="str">
        <x:v>RESULT</x:v>
      </x:c>
      <x:c r="B604" s="1" t="str">
        <x:v>Round1</x:v>
      </x:c>
      <x:c r="C604" s="1" t="str">
        <x:v>JxPath_10</x:v>
      </x:c>
      <x:c r="D604" s="1" t="str">
        <x:v>NOT_AVAILABLE</x:v>
      </x:c>
      <x:c r="E604" s="5"/>
      <x:c r="F604" s="4" t="n">
        <x:v>0</x:v>
      </x:c>
      <x:c r="G604" s="4" t="n">
        <x:v>13739</x:v>
      </x:c>
      <x:c r="H604" s="6" t="n">
        <x:v>84.78</x:v>
      </x:c>
      <x:c r="I604" s="16" t="n">
        <x:v>1</x:v>
      </x:c>
      <x:c r="J604"/>
      <x:c r="K604" s="4"/>
      <x:c r="L604" s="4"/>
      <x:c r="M604" s="4"/>
      <x:c r="N604" s="5"/>
    </x:row>
    <x:row r="605" ht="24" customHeight="1">
      <x:c r="A605" s="1" t="str">
        <x:v>RESULT</x:v>
      </x:c>
      <x:c r="B605" s="1" t="str">
        <x:v>Round1</x:v>
      </x:c>
      <x:c r="C605" s="1" t="str">
        <x:v>JxPath_11</x:v>
      </x:c>
      <x:c r="D605" s="1" t="str">
        <x:v>INCONCLUSIVE</x:v>
      </x:c>
      <x:c r="E605" s="5" t="n">
        <x:v>0.4</x:v>
      </x:c>
      <x:c r="F605" s="4" t="n">
        <x:v>0</x:v>
      </x:c>
      <x:c r="G605" s="4" t="n">
        <x:v>20878</x:v>
      </x:c>
      <x:c r="H605" s="6" t="n">
        <x:v>95.21</x:v>
      </x:c>
      <x:c r="I605" s="16" t="n">
        <x:v>1</x:v>
      </x:c>
      <x:c r="J605" t="n">
        <x:v>110</x:v>
      </x:c>
      <x:c r="K605" s="4" t="n">
        <x:v>44</x:v>
      </x:c>
      <x:c r="L605" s="4" t="n">
        <x:v>84</x:v>
      </x:c>
      <x:c r="M605" s="4" t="n">
        <x:v>29</x:v>
      </x:c>
      <x:c r="N605" s="5" t="n">
        <x:v>0.3452</x:v>
      </x:c>
    </x:row>
    <x:row r="606" ht="24" customHeight="1">
      <x:c r="A606" s="1" t="str">
        <x:v>RESULT</x:v>
      </x:c>
      <x:c r="B606" s="1" t="str">
        <x:v>Round1</x:v>
      </x:c>
      <x:c r="C606" s="1" t="str">
        <x:v>JxPath_12</x:v>
      </x:c>
      <x:c r="D606" s="1" t="str">
        <x:v>NOT_AVAILABLE</x:v>
      </x:c>
      <x:c r="E606" s="5"/>
      <x:c r="F606" s="4" t="n">
        <x:v>0</x:v>
      </x:c>
      <x:c r="G606" s="4" t="n">
        <x:v>12826</x:v>
      </x:c>
      <x:c r="H606" s="6" t="n">
        <x:v>36.5</x:v>
      </x:c>
      <x:c r="I606" s="16" t="n">
        <x:v>1</x:v>
      </x:c>
      <x:c r="J606"/>
      <x:c r="K606" s="4"/>
      <x:c r="L606" s="4"/>
      <x:c r="M606" s="4"/>
      <x:c r="N606" s="5"/>
    </x:row>
    <x:row r="607" ht="24" customHeight="1">
      <x:c r="A607" s="1" t="str">
        <x:v>RESULT</x:v>
      </x:c>
      <x:c r="B607" s="1" t="str">
        <x:v>Round1</x:v>
      </x:c>
      <x:c r="C607" s="1" t="str">
        <x:v>JxPath_13</x:v>
      </x:c>
      <x:c r="D607" s="1" t="str">
        <x:v>NOT_AVAILABLE</x:v>
      </x:c>
      <x:c r="E607" s="5"/>
      <x:c r="F607" s="4" t="n">
        <x:v>0</x:v>
      </x:c>
      <x:c r="G607" s="4" t="n">
        <x:v>22915</x:v>
      </x:c>
      <x:c r="H607" s="6" t="n">
        <x:v>84.17</x:v>
      </x:c>
      <x:c r="I607" s="16" t="n">
        <x:v>1</x:v>
      </x:c>
      <x:c r="J607"/>
      <x:c r="K607" s="4"/>
      <x:c r="L607" s="4"/>
      <x:c r="M607" s="4"/>
      <x:c r="N607" s="5"/>
    </x:row>
    <x:row r="608" ht="24" customHeight="1">
      <x:c r="A608" s="1" t="str">
        <x:v>RESULT</x:v>
      </x:c>
      <x:c r="B608" s="1" t="str">
        <x:v>Round1</x:v>
      </x:c>
      <x:c r="C608" s="1" t="str">
        <x:v>JxPath_14</x:v>
      </x:c>
      <x:c r="D608" s="1" t="str">
        <x:v>NOT_AVAILABLE</x:v>
      </x:c>
      <x:c r="E608" s="5"/>
      <x:c r="F608" s="4" t="n">
        <x:v>0</x:v>
      </x:c>
      <x:c r="G608" s="4" t="n">
        <x:v>20647</x:v>
      </x:c>
      <x:c r="H608" s="6" t="n">
        <x:v>84.18</x:v>
      </x:c>
      <x:c r="I608" s="16" t="n">
        <x:v>1</x:v>
      </x:c>
      <x:c r="J608"/>
      <x:c r="K608" s="4"/>
      <x:c r="L608" s="4"/>
      <x:c r="M608" s="4"/>
      <x:c r="N608" s="5"/>
    </x:row>
    <x:row r="609" ht="24" customHeight="1">
      <x:c r="A609" s="1" t="str">
        <x:v>RESULT</x:v>
      </x:c>
      <x:c r="B609" s="1" t="str">
        <x:v>Round1</x:v>
      </x:c>
      <x:c r="C609" s="1" t="str">
        <x:v>JxPath_15</x:v>
      </x:c>
      <x:c r="D609" s="1" t="str">
        <x:v>INCONCLUSIVE</x:v>
      </x:c>
      <x:c r="E609" s="5" t="n">
        <x:v>1</x:v>
      </x:c>
      <x:c r="F609" s="4" t="n">
        <x:v>0</x:v>
      </x:c>
      <x:c r="G609" s="4" t="n">
        <x:v>8159</x:v>
      </x:c>
      <x:c r="H609" s="6" t="n">
        <x:v>37.74</x:v>
      </x:c>
      <x:c r="I609" s="16" t="n">
        <x:v>1</x:v>
      </x:c>
      <x:c r="J609" t="n">
        <x:v>18</x:v>
      </x:c>
      <x:c r="K609" s="4" t="n">
        <x:v>18</x:v>
      </x:c>
      <x:c r="L609" s="4" t="n">
        <x:v>12</x:v>
      </x:c>
      <x:c r="M609" s="4" t="n">
        <x:v>12</x:v>
      </x:c>
      <x:c r="N609" s="5" t="n">
        <x:v>1</x:v>
      </x:c>
    </x:row>
    <x:row r="610" ht="24" customHeight="1">
      <x:c r="A610" s="1" t="str">
        <x:v>RESULT</x:v>
      </x:c>
      <x:c r="B610" s="1" t="str">
        <x:v>Round1</x:v>
      </x:c>
      <x:c r="C610" s="1" t="str">
        <x:v>JxPath_16</x:v>
      </x:c>
      <x:c r="D610" s="1" t="str">
        <x:v>NOT_AVAILABLE</x:v>
      </x:c>
      <x:c r="E610" s="5"/>
      <x:c r="F610" s="4" t="n">
        <x:v>0</x:v>
      </x:c>
      <x:c r="G610" s="4" t="n">
        <x:v>34033</x:v>
      </x:c>
      <x:c r="H610" s="6" t="n">
        <x:v>130.85</x:v>
      </x:c>
      <x:c r="I610" s="16" t="n">
        <x:v>1</x:v>
      </x:c>
      <x:c r="J610"/>
      <x:c r="K610" s="4"/>
      <x:c r="L610" s="4"/>
      <x:c r="M610" s="4"/>
      <x:c r="N610" s="5"/>
    </x:row>
    <x:row r="611" ht="24" customHeight="1">
      <x:c r="A611" s="1" t="str">
        <x:v>RESULT</x:v>
      </x:c>
      <x:c r="B611" s="1" t="str">
        <x:v>Round1</x:v>
      </x:c>
      <x:c r="C611" s="1" t="str">
        <x:v>JxPath_17</x:v>
      </x:c>
      <x:c r="D611" s="1" t="str">
        <x:v>INCONCLUSIVE</x:v>
      </x:c>
      <x:c r="E611" s="5" t="n">
        <x:v>0.41590000000000005</x:v>
      </x:c>
      <x:c r="F611" s="4" t="n">
        <x:v>0</x:v>
      </x:c>
      <x:c r="G611" s="4" t="n">
        <x:v>17792</x:v>
      </x:c>
      <x:c r="H611" s="6" t="n">
        <x:v>80.86</x:v>
      </x:c>
      <x:c r="I611" s="16" t="n">
        <x:v>1</x:v>
      </x:c>
      <x:c r="J611" t="n">
        <x:v>113</x:v>
      </x:c>
      <x:c r="K611" s="4" t="n">
        <x:v>47</x:v>
      </x:c>
      <x:c r="L611" s="4" t="n">
        <x:v>86</x:v>
      </x:c>
      <x:c r="M611" s="4" t="n">
        <x:v>31</x:v>
      </x:c>
      <x:c r="N611" s="5" t="n">
        <x:v>0.3605</x:v>
      </x:c>
    </x:row>
    <x:row r="612" ht="24" customHeight="1">
      <x:c r="A612" s="1" t="str">
        <x:v>RESULT</x:v>
      </x:c>
      <x:c r="B612" s="1" t="str">
        <x:v>Round1</x:v>
      </x:c>
      <x:c r="C612" s="1" t="str">
        <x:v>JxPath_18</x:v>
      </x:c>
      <x:c r="D612" s="1" t="str">
        <x:v>INCONCLUSIVE</x:v>
      </x:c>
      <x:c r="E612" s="5" t="n">
        <x:v>1</x:v>
      </x:c>
      <x:c r="F612" s="4" t="n">
        <x:v>0</x:v>
      </x:c>
      <x:c r="G612" s="4" t="n">
        <x:v>8171</x:v>
      </x:c>
      <x:c r="H612" s="6" t="n">
        <x:v>50.19</x:v>
      </x:c>
      <x:c r="I612" s="16" t="n">
        <x:v>1</x:v>
      </x:c>
      <x:c r="J612" t="n">
        <x:v>29</x:v>
      </x:c>
      <x:c r="K612" s="4" t="n">
        <x:v>29</x:v>
      </x:c>
      <x:c r="L612" s="4" t="n">
        <x:v>14</x:v>
      </x:c>
      <x:c r="M612" s="4" t="n">
        <x:v>14</x:v>
      </x:c>
      <x:c r="N612" s="5" t="n">
        <x:v>1</x:v>
      </x:c>
    </x:row>
    <x:row r="613" ht="24" customHeight="1">
      <x:c r="A613" s="1" t="str">
        <x:v>RESULT</x:v>
      </x:c>
      <x:c r="B613" s="1" t="str">
        <x:v>Round1</x:v>
      </x:c>
      <x:c r="C613" s="1" t="str">
        <x:v>JxPath_19</x:v>
      </x:c>
      <x:c r="D613" s="1" t="str">
        <x:v>NOT_AVAILABLE</x:v>
      </x:c>
      <x:c r="E613" s="5"/>
      <x:c r="F613" s="4" t="n">
        <x:v>0</x:v>
      </x:c>
      <x:c r="G613" s="4" t="n">
        <x:v>33683</x:v>
      </x:c>
      <x:c r="H613" s="6" t="n">
        <x:v>138.9</x:v>
      </x:c>
      <x:c r="I613" s="16" t="n">
        <x:v>1</x:v>
      </x:c>
      <x:c r="J613"/>
      <x:c r="K613" s="4"/>
      <x:c r="L613" s="4"/>
      <x:c r="M613" s="4"/>
      <x:c r="N613" s="5"/>
    </x:row>
    <x:row r="614" ht="24" customHeight="1">
      <x:c r="A614" s="1" t="str">
        <x:v>RESULT</x:v>
      </x:c>
      <x:c r="B614" s="1" t="str">
        <x:v>Round1</x:v>
      </x:c>
      <x:c r="C614" s="1" t="str">
        <x:v>JxPath_2</x:v>
      </x:c>
      <x:c r="D614" s="1" t="str">
        <x:v>INCONCLUSIVE</x:v>
      </x:c>
      <x:c r="E614" s="5" t="n">
        <x:v>0.9473999999999999</x:v>
      </x:c>
      <x:c r="F614" s="4" t="n">
        <x:v>0</x:v>
      </x:c>
      <x:c r="G614" s="4" t="n">
        <x:v>9663</x:v>
      </x:c>
      <x:c r="H614" s="6" t="n">
        <x:v>43.31</x:v>
      </x:c>
      <x:c r="I614" s="16" t="n">
        <x:v>1</x:v>
      </x:c>
      <x:c r="J614" t="n">
        <x:v>38</x:v>
      </x:c>
      <x:c r="K614" s="4" t="n">
        <x:v>36</x:v>
      </x:c>
      <x:c r="L614" s="4" t="n">
        <x:v>12</x:v>
      </x:c>
      <x:c r="M614" s="4" t="n">
        <x:v>11</x:v>
      </x:c>
      <x:c r="N614" s="5" t="n">
        <x:v>0.9167000000000001</x:v>
      </x:c>
    </x:row>
    <x:row r="615" ht="24" customHeight="1">
      <x:c r="A615" s="1" t="str">
        <x:v>RESULT</x:v>
      </x:c>
      <x:c r="B615" s="1" t="str">
        <x:v>Round1</x:v>
      </x:c>
      <x:c r="C615" s="1" t="str">
        <x:v>JxPath_20</x:v>
      </x:c>
      <x:c r="D615" s="1" t="str">
        <x:v>NOT_AVAILABLE</x:v>
      </x:c>
      <x:c r="E615" s="5"/>
      <x:c r="F615" s="4" t="n">
        <x:v>0</x:v>
      </x:c>
      <x:c r="G615" s="4" t="n">
        <x:v>17417</x:v>
      </x:c>
      <x:c r="H615" s="6" t="n">
        <x:v>74.23</x:v>
      </x:c>
      <x:c r="I615" s="16" t="n">
        <x:v>1</x:v>
      </x:c>
      <x:c r="J615"/>
      <x:c r="K615" s="4"/>
      <x:c r="L615" s="4"/>
      <x:c r="M615" s="4"/>
      <x:c r="N615" s="5"/>
    </x:row>
    <x:row r="616" ht="24" customHeight="1">
      <x:c r="A616" s="1" t="str">
        <x:v>RESULT</x:v>
      </x:c>
      <x:c r="B616" s="1" t="str">
        <x:v>Round1</x:v>
      </x:c>
      <x:c r="C616" s="1" t="str">
        <x:v>JxPath_21</x:v>
      </x:c>
      <x:c r="D616" s="1" t="str">
        <x:v>INCONCLUSIVE</x:v>
      </x:c>
      <x:c r="E616" s="5" t="n">
        <x:v>0.5857</x:v>
      </x:c>
      <x:c r="F616" s="4" t="n">
        <x:v>0</x:v>
      </x:c>
      <x:c r="G616" s="4"/>
      <x:c r="H616" s="6"/>
      <x:c r="I616" s="16" t="n">
        <x:v>1</x:v>
      </x:c>
      <x:c r="J616" t="n">
        <x:v>70</x:v>
      </x:c>
      <x:c r="K616" s="4" t="n">
        <x:v>41</x:v>
      </x:c>
      <x:c r="L616" s="4" t="n">
        <x:v>52</x:v>
      </x:c>
      <x:c r="M616" s="4" t="n">
        <x:v>21</x:v>
      </x:c>
      <x:c r="N616" s="5" t="n">
        <x:v>0.40380000000000005</x:v>
      </x:c>
    </x:row>
    <x:row r="617" ht="24" customHeight="1">
      <x:c r="A617" s="1" t="str">
        <x:v>RESULT</x:v>
      </x:c>
      <x:c r="B617" s="1" t="str">
        <x:v>Round1</x:v>
      </x:c>
      <x:c r="C617" s="1" t="str">
        <x:v>JxPath_22</x:v>
      </x:c>
      <x:c r="D617" s="1" t="str">
        <x:v>INCONCLUSIVE</x:v>
      </x:c>
      <x:c r="E617" s="5" t="n">
        <x:v>0</x:v>
      </x:c>
      <x:c r="F617" s="4" t="n">
        <x:v>0</x:v>
      </x:c>
      <x:c r="G617" s="4"/>
      <x:c r="H617" s="6"/>
      <x:c r="I617" s="16" t="n">
        <x:v>1</x:v>
      </x:c>
      <x:c r="J617" t="n">
        <x:v>354</x:v>
      </x:c>
      <x:c r="K617" s="4" t="n">
        <x:v>0</x:v>
      </x:c>
      <x:c r="L617" s="4" t="n">
        <x:v>274</x:v>
      </x:c>
      <x:c r="M617" s="4" t="n">
        <x:v>0</x:v>
      </x:c>
      <x:c r="N617" s="5" t="n">
        <x:v>0</x:v>
      </x:c>
    </x:row>
    <x:row r="618" ht="24" customHeight="1">
      <x:c r="A618" s="1" t="str">
        <x:v>RESULT</x:v>
      </x:c>
      <x:c r="B618" s="1" t="str">
        <x:v>Round1</x:v>
      </x:c>
      <x:c r="C618" s="1" t="str">
        <x:v>JxPath_3</x:v>
      </x:c>
      <x:c r="D618" s="1" t="str">
        <x:v>NOT_AVAILABLE</x:v>
      </x:c>
      <x:c r="E618" s="5"/>
      <x:c r="F618" s="4" t="n">
        <x:v>0</x:v>
      </x:c>
      <x:c r="G618" s="4" t="n">
        <x:v>15129</x:v>
      </x:c>
      <x:c r="H618" s="6" t="n">
        <x:v>98.34</x:v>
      </x:c>
      <x:c r="I618" s="16" t="n">
        <x:v>1</x:v>
      </x:c>
      <x:c r="J618"/>
      <x:c r="K618" s="4"/>
      <x:c r="L618" s="4"/>
      <x:c r="M618" s="4"/>
      <x:c r="N618" s="5"/>
    </x:row>
    <x:row r="619" ht="24" customHeight="1">
      <x:c r="A619" s="1" t="str">
        <x:v>RESULT</x:v>
      </x:c>
      <x:c r="B619" s="1" t="str">
        <x:v>Round1</x:v>
      </x:c>
      <x:c r="C619" s="1" t="str">
        <x:v>JxPath_4</x:v>
      </x:c>
      <x:c r="D619" s="1" t="str">
        <x:v>NOT_AVAILABLE</x:v>
      </x:c>
      <x:c r="E619" s="5"/>
      <x:c r="F619" s="4" t="n">
        <x:v>0</x:v>
      </x:c>
      <x:c r="G619" s="4" t="n">
        <x:v>33722</x:v>
      </x:c>
      <x:c r="H619" s="6" t="n">
        <x:v>137.99</x:v>
      </x:c>
      <x:c r="I619" s="16" t="n">
        <x:v>1</x:v>
      </x:c>
      <x:c r="J619"/>
      <x:c r="K619" s="4"/>
      <x:c r="L619" s="4"/>
      <x:c r="M619" s="4"/>
      <x:c r="N619" s="5"/>
    </x:row>
    <x:row r="620" ht="24" customHeight="1">
      <x:c r="A620" s="1" t="str">
        <x:v>RESULT</x:v>
      </x:c>
      <x:c r="B620" s="1" t="str">
        <x:v>Round1</x:v>
      </x:c>
      <x:c r="C620" s="1" t="str">
        <x:v>JxPath_5</x:v>
      </x:c>
      <x:c r="D620" s="1" t="str">
        <x:v>NOT_AVAILABLE</x:v>
      </x:c>
      <x:c r="E620" s="5"/>
      <x:c r="F620" s="4" t="n">
        <x:v>0</x:v>
      </x:c>
      <x:c r="G620" s="4" t="n">
        <x:v>12022</x:v>
      </x:c>
      <x:c r="H620" s="6" t="n">
        <x:v>44.34</x:v>
      </x:c>
      <x:c r="I620" s="16" t="n">
        <x:v>1</x:v>
      </x:c>
      <x:c r="J620"/>
      <x:c r="K620" s="4"/>
      <x:c r="L620" s="4"/>
      <x:c r="M620" s="4"/>
      <x:c r="N620" s="5"/>
    </x:row>
    <x:row r="621" ht="24" customHeight="1">
      <x:c r="A621" s="1" t="str">
        <x:v>RESULT</x:v>
      </x:c>
      <x:c r="B621" s="1" t="str">
        <x:v>Round1</x:v>
      </x:c>
      <x:c r="C621" s="1" t="str">
        <x:v>JxPath_6</x:v>
      </x:c>
      <x:c r="D621" s="1" t="str">
        <x:v>NOT_AVAILABLE</x:v>
      </x:c>
      <x:c r="E621" s="5"/>
      <x:c r="F621" s="4" t="n">
        <x:v>0</x:v>
      </x:c>
      <x:c r="G621" s="4" t="n">
        <x:v>14711</x:v>
      </x:c>
      <x:c r="H621" s="6" t="n">
        <x:v>87.73</x:v>
      </x:c>
      <x:c r="I621" s="16" t="n">
        <x:v>1</x:v>
      </x:c>
      <x:c r="J621"/>
      <x:c r="K621" s="4"/>
      <x:c r="L621" s="4"/>
      <x:c r="M621" s="4"/>
      <x:c r="N621" s="5"/>
    </x:row>
    <x:row r="622" ht="24" customHeight="1">
      <x:c r="A622" s="1" t="str">
        <x:v>RESULT</x:v>
      </x:c>
      <x:c r="B622" s="1" t="str">
        <x:v>Round1</x:v>
      </x:c>
      <x:c r="C622" s="1" t="str">
        <x:v>JxPath_7</x:v>
      </x:c>
      <x:c r="D622" s="1" t="str">
        <x:v>NOT_AVAILABLE</x:v>
      </x:c>
      <x:c r="E622" s="5"/>
      <x:c r="F622" s="4" t="n">
        <x:v>0</x:v>
      </x:c>
      <x:c r="G622" s="4" t="n">
        <x:v>29545</x:v>
      </x:c>
      <x:c r="H622" s="6" t="n">
        <x:v>216.51</x:v>
      </x:c>
      <x:c r="I622" s="16" t="n">
        <x:v>1</x:v>
      </x:c>
      <x:c r="J622"/>
      <x:c r="K622" s="4"/>
      <x:c r="L622" s="4"/>
      <x:c r="M622" s="4"/>
      <x:c r="N622" s="5"/>
    </x:row>
    <x:row r="623" ht="24" customHeight="1">
      <x:c r="A623" s="1" t="str">
        <x:v>RESULT</x:v>
      </x:c>
      <x:c r="B623" s="1" t="str">
        <x:v>Round1</x:v>
      </x:c>
      <x:c r="C623" s="1" t="str">
        <x:v>JxPath_8</x:v>
      </x:c>
      <x:c r="D623" s="1" t="str">
        <x:v>NOT_AVAILABLE</x:v>
      </x:c>
      <x:c r="E623" s="5"/>
      <x:c r="F623" s="4" t="n">
        <x:v>0</x:v>
      </x:c>
      <x:c r="G623" s="4" t="n">
        <x:v>12766</x:v>
      </x:c>
      <x:c r="H623" s="6" t="n">
        <x:v>57.39</x:v>
      </x:c>
      <x:c r="I623" s="16" t="n">
        <x:v>1</x:v>
      </x:c>
      <x:c r="J623"/>
      <x:c r="K623" s="4"/>
      <x:c r="L623" s="4"/>
      <x:c r="M623" s="4"/>
      <x:c r="N623" s="5"/>
    </x:row>
    <x:row r="624" ht="24" customHeight="1">
      <x:c r="A624" s="1" t="str">
        <x:v>RESULT</x:v>
      </x:c>
      <x:c r="B624" s="1" t="str">
        <x:v>Round1</x:v>
      </x:c>
      <x:c r="C624" s="1" t="str">
        <x:v>JxPath_9</x:v>
      </x:c>
      <x:c r="D624" s="1" t="str">
        <x:v>NOT_AVAILABLE</x:v>
      </x:c>
      <x:c r="E624" s="5"/>
      <x:c r="F624" s="4" t="n">
        <x:v>0</x:v>
      </x:c>
      <x:c r="G624" s="4" t="n">
        <x:v>31096</x:v>
      </x:c>
      <x:c r="H624" s="6" t="n">
        <x:v>156.17</x:v>
      </x:c>
      <x:c r="I624" s="16" t="n">
        <x:v>1</x:v>
      </x:c>
      <x:c r="J624"/>
      <x:c r="K624" s="4"/>
      <x:c r="L624" s="4"/>
      <x:c r="M624" s="4"/>
      <x:c r="N624" s="5"/>
    </x:row>
    <x:row r="625" ht="24" customHeight="1">
      <x:c r="A625" s="1" t="str">
        <x:v>RESULT</x:v>
      </x:c>
      <x:c r="B625" s="1" t="str">
        <x:v>Round1</x:v>
      </x:c>
      <x:c r="C625" s="1" t="str">
        <x:v>Lang_1</x:v>
      </x:c>
      <x:c r="D625" s="1" t="str">
        <x:v>INCONCLUSIVE</x:v>
      </x:c>
      <x:c r="E625" s="5" t="n">
        <x:v>0.9732999999999999</x:v>
      </x:c>
      <x:c r="F625" s="4" t="n">
        <x:v>0</x:v>
      </x:c>
      <x:c r="G625" s="4" t="n">
        <x:v>15953</x:v>
      </x:c>
      <x:c r="H625" s="6" t="n">
        <x:v>51.92</x:v>
      </x:c>
      <x:c r="I625" s="16" t="n">
        <x:v>1</x:v>
      </x:c>
      <x:c r="J625" t="n">
        <x:v>375</x:v>
      </x:c>
      <x:c r="K625" s="4" t="n">
        <x:v>365</x:v>
      </x:c>
      <x:c r="L625" s="4" t="n">
        <x:v>338</x:v>
      </x:c>
      <x:c r="M625" s="4" t="n">
        <x:v>294</x:v>
      </x:c>
      <x:c r="N625" s="5" t="n">
        <x:v>0.8698</x:v>
      </x:c>
    </x:row>
    <x:row r="626" ht="24" customHeight="1">
      <x:c r="A626" s="1" t="str">
        <x:v>RESULT</x:v>
      </x:c>
      <x:c r="B626" s="1" t="str">
        <x:v>Round1</x:v>
      </x:c>
      <x:c r="C626" s="1" t="str">
        <x:v>Lang_10</x:v>
      </x:c>
      <x:c r="D626" s="1" t="str">
        <x:v>NOT_AVAILABLE</x:v>
      </x:c>
      <x:c r="E626" s="5"/>
      <x:c r="F626" s="4" t="n">
        <x:v>0</x:v>
      </x:c>
      <x:c r="G626" s="4" t="n">
        <x:v>11370</x:v>
      </x:c>
      <x:c r="H626" s="6" t="n">
        <x:v>34.43</x:v>
      </x:c>
      <x:c r="I626" s="16" t="n">
        <x:v>1</x:v>
      </x:c>
      <x:c r="J626"/>
      <x:c r="K626" s="4"/>
      <x:c r="L626" s="4"/>
      <x:c r="M626" s="4"/>
      <x:c r="N626" s="5"/>
    </x:row>
    <x:row r="627" ht="24" customHeight="1">
      <x:c r="A627" s="1" t="str">
        <x:v>RESULT</x:v>
      </x:c>
      <x:c r="B627" s="1" t="str">
        <x:v>Round1</x:v>
      </x:c>
      <x:c r="C627" s="1" t="str">
        <x:v>Lang_11</x:v>
      </x:c>
      <x:c r="D627" s="1" t="str">
        <x:v>NOT_REVEALING</x:v>
      </x:c>
      <x:c r="E627" s="5" t="n">
        <x:v>1</x:v>
      </x:c>
      <x:c r="F627" s="4" t="n">
        <x:v>0</x:v>
      </x:c>
      <x:c r="G627" s="4" t="n">
        <x:v>8696</x:v>
      </x:c>
      <x:c r="H627" s="6" t="n">
        <x:v>31.55</x:v>
      </x:c>
      <x:c r="I627" s="16" t="n">
        <x:v>1</x:v>
      </x:c>
      <x:c r="J627" t="n">
        <x:v>56</x:v>
      </x:c>
      <x:c r="K627" s="4" t="n">
        <x:v>56</x:v>
      </x:c>
      <x:c r="L627" s="4" t="n">
        <x:v>54</x:v>
      </x:c>
      <x:c r="M627" s="4" t="n">
        <x:v>54</x:v>
      </x:c>
      <x:c r="N627" s="5" t="n">
        <x:v>1</x:v>
      </x:c>
    </x:row>
    <x:row r="628" ht="24" customHeight="1">
      <x:c r="A628" s="1" t="str">
        <x:v>RESULT</x:v>
      </x:c>
      <x:c r="B628" s="1" t="str">
        <x:v>Round1</x:v>
      </x:c>
      <x:c r="C628" s="1" t="str">
        <x:v>Lang_12</x:v>
      </x:c>
      <x:c r="D628" s="1" t="str">
        <x:v>INCONCLUSIVE</x:v>
      </x:c>
      <x:c r="E628" s="5" t="n">
        <x:v>1</x:v>
      </x:c>
      <x:c r="F628" s="4" t="n">
        <x:v>0</x:v>
      </x:c>
      <x:c r="G628" s="4" t="n">
        <x:v>9083</x:v>
      </x:c>
      <x:c r="H628" s="6" t="n">
        <x:v>30.59</x:v>
      </x:c>
      <x:c r="I628" s="16" t="n">
        <x:v>1</x:v>
      </x:c>
      <x:c r="J628" t="n">
        <x:v>52</x:v>
      </x:c>
      <x:c r="K628" s="4" t="n">
        <x:v>52</x:v>
      </x:c>
      <x:c r="L628" s="4" t="n">
        <x:v>48</x:v>
      </x:c>
      <x:c r="M628" s="4" t="n">
        <x:v>48</x:v>
      </x:c>
      <x:c r="N628" s="5" t="n">
        <x:v>1</x:v>
      </x:c>
    </x:row>
    <x:row r="629" ht="24" customHeight="1">
      <x:c r="A629" s="1" t="str">
        <x:v>RESULT</x:v>
      </x:c>
      <x:c r="B629" s="1" t="str">
        <x:v>Round1</x:v>
      </x:c>
      <x:c r="C629" s="1" t="str">
        <x:v>Lang_13</x:v>
      </x:c>
      <x:c r="D629" s="1" t="str">
        <x:v>NOT_REVEALING</x:v>
      </x:c>
      <x:c r="E629" s="5" t="n">
        <x:v>0.9688</x:v>
      </x:c>
      <x:c r="F629" s="4" t="n">
        <x:v>0</x:v>
      </x:c>
      <x:c r="G629" s="4" t="n">
        <x:v>15488</x:v>
      </x:c>
      <x:c r="H629" s="6" t="n">
        <x:v>74.11</x:v>
      </x:c>
      <x:c r="I629" s="16" t="n">
        <x:v>1</x:v>
      </x:c>
      <x:c r="J629" t="n">
        <x:v>64</x:v>
      </x:c>
      <x:c r="K629" s="4" t="n">
        <x:v>62</x:v>
      </x:c>
      <x:c r="L629" s="4" t="n">
        <x:v>14</x:v>
      </x:c>
      <x:c r="M629" s="4" t="n">
        <x:v>13</x:v>
      </x:c>
      <x:c r="N629" s="5" t="n">
        <x:v>0.9286</x:v>
      </x:c>
    </x:row>
    <x:row r="630" ht="24" customHeight="1">
      <x:c r="A630" s="1" t="str">
        <x:v>RESULT</x:v>
      </x:c>
      <x:c r="B630" s="1" t="str">
        <x:v>Round1</x:v>
      </x:c>
      <x:c r="C630" s="1" t="str">
        <x:v>Lang_14</x:v>
      </x:c>
      <x:c r="D630" s="1" t="str">
        <x:v>INCONCLUSIVE</x:v>
      </x:c>
      <x:c r="E630" s="5" t="n">
        <x:v>0.8429000000000001</x:v>
      </x:c>
      <x:c r="F630" s="4" t="n">
        <x:v>0</x:v>
      </x:c>
      <x:c r="G630" s="4" t="n">
        <x:v>34417</x:v>
      </x:c>
      <x:c r="H630" s="6" t="n">
        <x:v>87.65</x:v>
      </x:c>
      <x:c r="I630" s="16" t="n">
        <x:v>1</x:v>
      </x:c>
      <x:c r="J630" t="n">
        <x:v>1292</x:v>
      </x:c>
      <x:c r="K630" s="4" t="n">
        <x:v>1089</x:v>
      </x:c>
      <x:c r="L630" s="4" t="n">
        <x:v>1141</x:v>
      </x:c>
      <x:c r="M630" s="4" t="n">
        <x:v>903</x:v>
      </x:c>
      <x:c r="N630" s="5" t="n">
        <x:v>0.7914</x:v>
      </x:c>
    </x:row>
    <x:row r="631" ht="24" customHeight="1">
      <x:c r="A631" s="1" t="str">
        <x:v>RESULT</x:v>
      </x:c>
      <x:c r="B631" s="1" t="str">
        <x:v>Round1</x:v>
      </x:c>
      <x:c r="C631" s="1" t="str">
        <x:v>Lang_15</x:v>
      </x:c>
      <x:c r="D631" s="1" t="str">
        <x:v>INCONCLUSIVE</x:v>
      </x:c>
      <x:c r="E631" s="5" t="n">
        <x:v>0.8863</x:v>
      </x:c>
      <x:c r="F631" s="4" t="n">
        <x:v>0</x:v>
      </x:c>
      <x:c r="G631" s="4" t="n">
        <x:v>13261</x:v>
      </x:c>
      <x:c r="H631" s="6" t="n">
        <x:v>51.66</x:v>
      </x:c>
      <x:c r="I631" s="16" t="n">
        <x:v>1</x:v>
      </x:c>
      <x:c r="J631" t="n">
        <x:v>299</x:v>
      </x:c>
      <x:c r="K631" s="4" t="n">
        <x:v>265</x:v>
      </x:c>
      <x:c r="L631" s="4" t="n">
        <x:v>284</x:v>
      </x:c>
      <x:c r="M631" s="4" t="n">
        <x:v>239</x:v>
      </x:c>
      <x:c r="N631" s="5" t="n">
        <x:v>0.8415</x:v>
      </x:c>
    </x:row>
    <x:row r="632" ht="24" customHeight="1">
      <x:c r="A632" s="1" t="str">
        <x:v>RESULT</x:v>
      </x:c>
      <x:c r="B632" s="1" t="str">
        <x:v>Round1</x:v>
      </x:c>
      <x:c r="C632" s="1" t="str">
        <x:v>Lang_16</x:v>
      </x:c>
      <x:c r="D632" s="1" t="str">
        <x:v>NOT_AVAILABLE</x:v>
      </x:c>
      <x:c r="E632" s="5"/>
      <x:c r="F632" s="4" t="n">
        <x:v>0</x:v>
      </x:c>
      <x:c r="G632" s="4"/>
      <x:c r="H632" s="6" t="n">
        <x:v>57.86</x:v>
      </x:c>
      <x:c r="I632" s="16" t="n">
        <x:v>1</x:v>
      </x:c>
      <x:c r="J632"/>
      <x:c r="K632" s="4"/>
      <x:c r="L632" s="4"/>
      <x:c r="M632" s="4"/>
      <x:c r="N632" s="5"/>
    </x:row>
    <x:row r="633" ht="24" customHeight="1">
      <x:c r="A633" s="1" t="str">
        <x:v>RESULT</x:v>
      </x:c>
      <x:c r="B633" s="1" t="str">
        <x:v>Round1</x:v>
      </x:c>
      <x:c r="C633" s="1" t="str">
        <x:v>Lang_17</x:v>
      </x:c>
      <x:c r="D633" s="1" t="str">
        <x:v>INCONCLUSIVE</x:v>
      </x:c>
      <x:c r="E633" s="5" t="n">
        <x:v>1</x:v>
      </x:c>
      <x:c r="F633" s="4" t="n">
        <x:v>0</x:v>
      </x:c>
      <x:c r="G633" s="4" t="n">
        <x:v>5295</x:v>
      </x:c>
      <x:c r="H633" s="6" t="n">
        <x:v>33.77</x:v>
      </x:c>
      <x:c r="I633" s="16" t="n">
        <x:v>1</x:v>
      </x:c>
      <x:c r="J633" t="n">
        <x:v>33</x:v>
      </x:c>
      <x:c r="K633" s="4" t="n">
        <x:v>33</x:v>
      </x:c>
      <x:c r="L633" s="4" t="n">
        <x:v>14</x:v>
      </x:c>
      <x:c r="M633" s="4" t="n">
        <x:v>14</x:v>
      </x:c>
      <x:c r="N633" s="5" t="n">
        <x:v>1</x:v>
      </x:c>
    </x:row>
    <x:row r="634" ht="24" customHeight="1">
      <x:c r="A634" s="1" t="str">
        <x:v>RESULT</x:v>
      </x:c>
      <x:c r="B634" s="1" t="str">
        <x:v>Round1</x:v>
      </x:c>
      <x:c r="C634" s="1" t="str">
        <x:v>Lang_19</x:v>
      </x:c>
      <x:c r="D634" s="1" t="str">
        <x:v>INCONCLUSIVE</x:v>
      </x:c>
      <x:c r="E634" s="5" t="n">
        <x:v>1</x:v>
      </x:c>
      <x:c r="F634" s="4" t="n">
        <x:v>0</x:v>
      </x:c>
      <x:c r="G634" s="4" t="n">
        <x:v>4679</x:v>
      </x:c>
      <x:c r="H634" s="6" t="n">
        <x:v>26.88</x:v>
      </x:c>
      <x:c r="I634" s="16" t="n">
        <x:v>1</x:v>
      </x:c>
      <x:c r="J634" t="n">
        <x:v>27</x:v>
      </x:c>
      <x:c r="K634" s="4" t="n">
        <x:v>27</x:v>
      </x:c>
      <x:c r="L634" s="4" t="n">
        <x:v>18</x:v>
      </x:c>
      <x:c r="M634" s="4" t="n">
        <x:v>18</x:v>
      </x:c>
      <x:c r="N634" s="5" t="n">
        <x:v>1</x:v>
      </x:c>
    </x:row>
    <x:row r="635" ht="24" customHeight="1">
      <x:c r="A635" s="1" t="str">
        <x:v>RESULT</x:v>
      </x:c>
      <x:c r="B635" s="1" t="str">
        <x:v>Round1</x:v>
      </x:c>
      <x:c r="C635" s="1" t="str">
        <x:v>Lang_20</x:v>
      </x:c>
      <x:c r="D635" s="1" t="str">
        <x:v>INCONCLUSIVE</x:v>
      </x:c>
      <x:c r="E635" s="5" t="n">
        <x:v>0.9145</x:v>
      </x:c>
      <x:c r="F635" s="4" t="n">
        <x:v>0</x:v>
      </x:c>
      <x:c r="G635" s="4" t="n">
        <x:v>34351</x:v>
      </x:c>
      <x:c r="H635" s="6" t="n">
        <x:v>82.27</x:v>
      </x:c>
      <x:c r="I635" s="16" t="n">
        <x:v>1</x:v>
      </x:c>
      <x:c r="J635" t="n">
        <x:v>1298</x:v>
      </x:c>
      <x:c r="K635" s="4" t="n">
        <x:v>1187</x:v>
      </x:c>
      <x:c r="L635" s="4" t="n">
        <x:v>1149</x:v>
      </x:c>
      <x:c r="M635" s="4" t="n">
        <x:v>998</x:v>
      </x:c>
      <x:c r="N635" s="5" t="n">
        <x:v>0.8686</x:v>
      </x:c>
    </x:row>
    <x:row r="636" ht="24" customHeight="1">
      <x:c r="A636" s="1" t="str">
        <x:v>RESULT</x:v>
      </x:c>
      <x:c r="B636" s="1" t="str">
        <x:v>Round1</x:v>
      </x:c>
      <x:c r="C636" s="1" t="str">
        <x:v>Lang_21</x:v>
      </x:c>
      <x:c r="D636" s="1" t="str">
        <x:v>NOT_REVEALING</x:v>
      </x:c>
      <x:c r="E636" s="5" t="n">
        <x:v>0.9812000000000001</x:v>
      </x:c>
      <x:c r="F636" s="4" t="n">
        <x:v>0</x:v>
      </x:c>
      <x:c r="G636" s="4" t="n">
        <x:v>17437</x:v>
      </x:c>
      <x:c r="H636" s="6" t="n">
        <x:v>58.84</x:v>
      </x:c>
      <x:c r="I636" s="16" t="n">
        <x:v>1</x:v>
      </x:c>
      <x:c r="J636" t="n">
        <x:v>319</x:v>
      </x:c>
      <x:c r="K636" s="4" t="n">
        <x:v>313</x:v>
      </x:c>
      <x:c r="L636" s="4" t="n">
        <x:v>218</x:v>
      </x:c>
      <x:c r="M636" s="4" t="n">
        <x:v>208</x:v>
      </x:c>
      <x:c r="N636" s="5" t="n">
        <x:v>0.9541</x:v>
      </x:c>
    </x:row>
    <x:row r="637" ht="24" customHeight="1">
      <x:c r="A637" s="1" t="str">
        <x:v>RESULT</x:v>
      </x:c>
      <x:c r="B637" s="1" t="str">
        <x:v>Round1</x:v>
      </x:c>
      <x:c r="C637" s="1" t="str">
        <x:v>Lang_22</x:v>
      </x:c>
      <x:c r="D637" s="1" t="str">
        <x:v>INCONCLUSIVE</x:v>
      </x:c>
      <x:c r="E637" s="5" t="n">
        <x:v>0.9712000000000001</x:v>
      </x:c>
      <x:c r="F637" s="4" t="n">
        <x:v>0</x:v>
      </x:c>
      <x:c r="G637" s="4" t="n">
        <x:v>14253</x:v>
      </x:c>
      <x:c r="H637" s="6" t="n">
        <x:v>62.33</x:v>
      </x:c>
      <x:c r="I637" s="16" t="n">
        <x:v>1</x:v>
      </x:c>
      <x:c r="J637" t="n">
        <x:v>278</x:v>
      </x:c>
      <x:c r="K637" s="4" t="n">
        <x:v>270</x:v>
      </x:c>
      <x:c r="L637" s="4" t="n">
        <x:v>188</x:v>
      </x:c>
      <x:c r="M637" s="4" t="n">
        <x:v>171</x:v>
      </x:c>
      <x:c r="N637" s="5" t="n">
        <x:v>0.9096</x:v>
      </x:c>
    </x:row>
    <x:row r="638" ht="24" customHeight="1">
      <x:c r="A638" s="1" t="str">
        <x:v>RESULT</x:v>
      </x:c>
      <x:c r="B638" s="1" t="str">
        <x:v>Round1</x:v>
      </x:c>
      <x:c r="C638" s="1" t="str">
        <x:v>Lang_23</x:v>
      </x:c>
      <x:c r="D638" s="1" t="str">
        <x:v>INCONCLUSIVE</x:v>
      </x:c>
      <x:c r="E638" s="5" t="n">
        <x:v>0.9340999999999999</x:v>
      </x:c>
      <x:c r="F638" s="4" t="n">
        <x:v>0</x:v>
      </x:c>
      <x:c r="G638" s="4" t="n">
        <x:v>8298</x:v>
      </x:c>
      <x:c r="H638" s="6" t="n">
        <x:v>25.74</x:v>
      </x:c>
      <x:c r="I638" s="16" t="n">
        <x:v>1</x:v>
      </x:c>
      <x:c r="J638" t="n">
        <x:v>167</x:v>
      </x:c>
      <x:c r="K638" s="4" t="n">
        <x:v>156</x:v>
      </x:c>
      <x:c r="L638" s="4" t="n">
        <x:v>99</x:v>
      </x:c>
      <x:c r="M638" s="4" t="n">
        <x:v>79</x:v>
      </x:c>
      <x:c r="N638" s="5" t="n">
        <x:v>0.7979999999999999</x:v>
      </x:c>
    </x:row>
    <x:row r="639" ht="24" customHeight="1">
      <x:c r="A639" s="1" t="str">
        <x:v>RESULT</x:v>
      </x:c>
      <x:c r="B639" s="1" t="str">
        <x:v>Round1</x:v>
      </x:c>
      <x:c r="C639" s="1" t="str">
        <x:v>Lang_24</x:v>
      </x:c>
      <x:c r="D639" s="1" t="str">
        <x:v>INCONCLUSIVE</x:v>
      </x:c>
      <x:c r="E639" s="5" t="n">
        <x:v>0.9814</x:v>
      </x:c>
      <x:c r="F639" s="4" t="n">
        <x:v>0</x:v>
      </x:c>
      <x:c r="G639" s="4" t="n">
        <x:v>16669</x:v>
      </x:c>
      <x:c r="H639" s="6" t="n">
        <x:v>62.76</x:v>
      </x:c>
      <x:c r="I639" s="16" t="n">
        <x:v>1</x:v>
      </x:c>
      <x:c r="J639" t="n">
        <x:v>376</x:v>
      </x:c>
      <x:c r="K639" s="4" t="n">
        <x:v>369</x:v>
      </x:c>
      <x:c r="L639" s="4" t="n">
        <x:v>356</x:v>
      </x:c>
      <x:c r="M639" s="4" t="n">
        <x:v>331</x:v>
      </x:c>
      <x:c r="N639" s="5" t="n">
        <x:v>0.9298000000000001</x:v>
      </x:c>
    </x:row>
    <x:row r="640" ht="24" customHeight="1">
      <x:c r="A640" s="1" t="str">
        <x:v>RESULT</x:v>
      </x:c>
      <x:c r="B640" s="1" t="str">
        <x:v>Round1</x:v>
      </x:c>
      <x:c r="C640" s="1" t="str">
        <x:v>Lang_26</x:v>
      </x:c>
      <x:c r="D640" s="1" t="str">
        <x:v>NOT_AVAILABLE</x:v>
      </x:c>
      <x:c r="E640" s="5"/>
      <x:c r="F640" s="4" t="n">
        <x:v>0</x:v>
      </x:c>
      <x:c r="G640" s="4"/>
      <x:c r="H640" s="6" t="n">
        <x:v>20.14</x:v>
      </x:c>
      <x:c r="I640" s="16" t="n">
        <x:v>1</x:v>
      </x:c>
      <x:c r="J640"/>
      <x:c r="K640" s="4"/>
      <x:c r="L640" s="4"/>
      <x:c r="M640" s="4"/>
      <x:c r="N640" s="5"/>
    </x:row>
    <x:row r="641" ht="24" customHeight="1">
      <x:c r="A641" s="1" t="str">
        <x:v>RESULT</x:v>
      </x:c>
      <x:c r="B641" s="1" t="str">
        <x:v>Round1</x:v>
      </x:c>
      <x:c r="C641" s="1" t="str">
        <x:v>Lang_27</x:v>
      </x:c>
      <x:c r="D641" s="1" t="str">
        <x:v>INCONCLUSIVE</x:v>
      </x:c>
      <x:c r="E641" s="5" t="n">
        <x:v>0.9599</x:v>
      </x:c>
      <x:c r="F641" s="4" t="n">
        <x:v>0</x:v>
      </x:c>
      <x:c r="G641" s="4" t="n">
        <x:v>16296</x:v>
      </x:c>
      <x:c r="H641" s="6" t="n">
        <x:v>53.81</x:v>
      </x:c>
      <x:c r="I641" s="16" t="n">
        <x:v>1</x:v>
      </x:c>
      <x:c r="J641" t="n">
        <x:v>374</x:v>
      </x:c>
      <x:c r="K641" s="4" t="n">
        <x:v>359</x:v>
      </x:c>
      <x:c r="L641" s="4" t="n">
        <x:v>352</x:v>
      </x:c>
      <x:c r="M641" s="4" t="n">
        <x:v>319</x:v>
      </x:c>
      <x:c r="N641" s="5" t="n">
        <x:v>0.9062</x:v>
      </x:c>
    </x:row>
    <x:row r="642" ht="24" customHeight="1">
      <x:c r="A642" s="1" t="str">
        <x:v>RESULT</x:v>
      </x:c>
      <x:c r="B642" s="1" t="str">
        <x:v>Round1</x:v>
      </x:c>
      <x:c r="C642" s="1" t="str">
        <x:v>Lang_28</x:v>
      </x:c>
      <x:c r="D642" s="1" t="str">
        <x:v>NOT_REVEALING</x:v>
      </x:c>
      <x:c r="E642" s="5" t="n">
        <x:v>1</x:v>
      </x:c>
      <x:c r="F642" s="4" t="n">
        <x:v>0</x:v>
      </x:c>
      <x:c r="G642" s="4" t="n">
        <x:v>6025</x:v>
      </x:c>
      <x:c r="H642" s="6" t="n">
        <x:v>25.72</x:v>
      </x:c>
      <x:c r="I642" s="16" t="n">
        <x:v>1</x:v>
      </x:c>
      <x:c r="J642" t="n">
        <x:v>20</x:v>
      </x:c>
      <x:c r="K642" s="4" t="n">
        <x:v>20</x:v>
      </x:c>
      <x:c r="L642" s="4" t="n">
        <x:v>14</x:v>
      </x:c>
      <x:c r="M642" s="4" t="n">
        <x:v>14</x:v>
      </x:c>
      <x:c r="N642" s="5" t="n">
        <x:v>1</x:v>
      </x:c>
    </x:row>
    <x:row r="643" ht="24" customHeight="1">
      <x:c r="A643" s="1" t="str">
        <x:v>RESULT</x:v>
      </x:c>
      <x:c r="B643" s="1" t="str">
        <x:v>Round1</x:v>
      </x:c>
      <x:c r="C643" s="1" t="str">
        <x:v>Lang_29</x:v>
      </x:c>
      <x:c r="D643" s="1" t="str">
        <x:v>NOT_AVAILABLE</x:v>
      </x:c>
      <x:c r="E643" s="5"/>
      <x:c r="F643" s="4" t="n">
        <x:v>0</x:v>
      </x:c>
      <x:c r="G643" s="4"/>
      <x:c r="H643" s="6"/>
      <x:c r="I643" s="16" t="n">
        <x:v>1</x:v>
      </x:c>
      <x:c r="J643"/>
      <x:c r="K643" s="4"/>
      <x:c r="L643" s="4"/>
      <x:c r="M643" s="4"/>
      <x:c r="N643" s="5"/>
    </x:row>
    <x:row r="644" ht="24" customHeight="1">
      <x:c r="A644" s="1" t="str">
        <x:v>RESULT</x:v>
      </x:c>
      <x:c r="B644" s="1" t="str">
        <x:v>Round1</x:v>
      </x:c>
      <x:c r="C644" s="1" t="str">
        <x:v>Lang_3</x:v>
      </x:c>
      <x:c r="D644" s="1" t="str">
        <x:v>INCONCLUSIVE</x:v>
      </x:c>
      <x:c r="E644" s="5" t="n">
        <x:v>0.9490999999999999</x:v>
      </x:c>
      <x:c r="F644" s="4" t="n">
        <x:v>0</x:v>
      </x:c>
      <x:c r="G644" s="4" t="n">
        <x:v>15631</x:v>
      </x:c>
      <x:c r="H644" s="6" t="n">
        <x:v>48.44</x:v>
      </x:c>
      <x:c r="I644" s="16" t="n">
        <x:v>1</x:v>
      </x:c>
      <x:c r="J644" t="n">
        <x:v>373</x:v>
      </x:c>
      <x:c r="K644" s="4" t="n">
        <x:v>354</x:v>
      </x:c>
      <x:c r="L644" s="4" t="n">
        <x:v>334</x:v>
      </x:c>
      <x:c r="M644" s="4" t="n">
        <x:v>284</x:v>
      </x:c>
      <x:c r="N644" s="5" t="n">
        <x:v>0.8503000000000001</x:v>
      </x:c>
    </x:row>
    <x:row r="645" ht="24" customHeight="1">
      <x:c r="A645" s="1" t="str">
        <x:v>RESULT</x:v>
      </x:c>
      <x:c r="B645" s="1" t="str">
        <x:v>Round1</x:v>
      </x:c>
      <x:c r="C645" s="1" t="str">
        <x:v>Lang_30</x:v>
      </x:c>
      <x:c r="D645" s="1" t="str">
        <x:v>NOT_AVAILABLE</x:v>
      </x:c>
      <x:c r="E645" s="5"/>
      <x:c r="F645" s="4" t="n">
        <x:v>0</x:v>
      </x:c>
      <x:c r="G645" s="4"/>
      <x:c r="H645" s="6"/>
      <x:c r="I645" s="16" t="n">
        <x:v>1</x:v>
      </x:c>
      <x:c r="J645"/>
      <x:c r="K645" s="4"/>
      <x:c r="L645" s="4"/>
      <x:c r="M645" s="4"/>
      <x:c r="N645" s="5"/>
    </x:row>
    <x:row r="646" ht="24" customHeight="1">
      <x:c r="A646" s="1" t="str">
        <x:v>RESULT</x:v>
      </x:c>
      <x:c r="B646" s="1" t="str">
        <x:v>Round1</x:v>
      </x:c>
      <x:c r="C646" s="1" t="str">
        <x:v>Lang_31</x:v>
      </x:c>
      <x:c r="D646" s="1" t="str">
        <x:v>NOT_AVAILABLE</x:v>
      </x:c>
      <x:c r="E646" s="5"/>
      <x:c r="F646" s="4" t="n">
        <x:v>0</x:v>
      </x:c>
      <x:c r="G646" s="4"/>
      <x:c r="H646" s="6"/>
      <x:c r="I646" s="16" t="n">
        <x:v>1</x:v>
      </x:c>
      <x:c r="J646"/>
      <x:c r="K646" s="4"/>
      <x:c r="L646" s="4"/>
      <x:c r="M646" s="4"/>
      <x:c r="N646" s="5"/>
    </x:row>
    <x:row r="647" ht="24" customHeight="1">
      <x:c r="A647" s="1" t="str">
        <x:v>RESULT</x:v>
      </x:c>
      <x:c r="B647" s="1" t="str">
        <x:v>Round1</x:v>
      </x:c>
      <x:c r="C647" s="1" t="str">
        <x:v>Lang_32</x:v>
      </x:c>
      <x:c r="D647" s="1" t="str">
        <x:v>NOT_REVEALING</x:v>
      </x:c>
      <x:c r="E647" s="5" t="n">
        <x:v>0.4384</x:v>
      </x:c>
      <x:c r="F647" s="4" t="n">
        <x:v>0</x:v>
      </x:c>
      <x:c r="G647" s="4"/>
      <x:c r="H647" s="6"/>
      <x:c r="I647" s="16" t="n">
        <x:v>1</x:v>
      </x:c>
      <x:c r="J647" t="n">
        <x:v>146</x:v>
      </x:c>
      <x:c r="K647" s="4" t="n">
        <x:v>64</x:v>
      </x:c>
      <x:c r="L647" s="4" t="n">
        <x:v>86</x:v>
      </x:c>
      <x:c r="M647" s="4" t="n">
        <x:v>21</x:v>
      </x:c>
      <x:c r="N647" s="5" t="n">
        <x:v>0.24420000000000003</x:v>
      </x:c>
    </x:row>
    <x:row r="648" ht="24" customHeight="1">
      <x:c r="A648" s="1" t="str">
        <x:v>RESULT</x:v>
      </x:c>
      <x:c r="B648" s="1" t="str">
        <x:v>Round1</x:v>
      </x:c>
      <x:c r="C648" s="1" t="str">
        <x:v>Lang_33</x:v>
      </x:c>
      <x:c r="D648" s="1" t="str">
        <x:v>INCONCLUSIVE</x:v>
      </x:c>
      <x:c r="E648" s="5" t="n">
        <x:v>0.2622</x:v>
      </x:c>
      <x:c r="F648" s="4" t="n">
        <x:v>0</x:v>
      </x:c>
      <x:c r="G648" s="4"/>
      <x:c r="H648" s="6"/>
      <x:c r="I648" s="16" t="n">
        <x:v>1</x:v>
      </x:c>
      <x:c r="J648" t="n">
        <x:v>286</x:v>
      </x:c>
      <x:c r="K648" s="4" t="n">
        <x:v>75</x:v>
      </x:c>
      <x:c r="L648" s="4" t="n">
        <x:v>216</x:v>
      </x:c>
      <x:c r="M648" s="4" t="n">
        <x:v>28</x:v>
      </x:c>
      <x:c r="N648" s="5" t="n">
        <x:v>0.12960000000000002</x:v>
      </x:c>
    </x:row>
    <x:row r="649" ht="24" customHeight="1">
      <x:c r="A649" s="1" t="str">
        <x:v>RESULT</x:v>
      </x:c>
      <x:c r="B649" s="1" t="str">
        <x:v>Round1</x:v>
      </x:c>
      <x:c r="C649" s="1" t="str">
        <x:v>Lang_34</x:v>
      </x:c>
      <x:c r="D649" s="1" t="str">
        <x:v>NOT_REVEALING</x:v>
      </x:c>
      <x:c r="E649" s="5" t="n">
        <x:v>0.3262</x:v>
      </x:c>
      <x:c r="F649" s="4" t="n">
        <x:v>0</x:v>
      </x:c>
      <x:c r="G649" s="4"/>
      <x:c r="H649" s="6"/>
      <x:c r="I649" s="16" t="n">
        <x:v>1</x:v>
      </x:c>
      <x:c r="J649" t="n">
        <x:v>515</x:v>
      </x:c>
      <x:c r="K649" s="4" t="n">
        <x:v>168</x:v>
      </x:c>
      <x:c r="L649" s="4" t="n">
        <x:v>216</x:v>
      </x:c>
      <x:c r="M649" s="4" t="n">
        <x:v>49</x:v>
      </x:c>
      <x:c r="N649" s="5" t="n">
        <x:v>0.22690000000000002</x:v>
      </x:c>
    </x:row>
    <x:row r="650" ht="24" customHeight="1">
      <x:c r="A650" s="1" t="str">
        <x:v>RESULT</x:v>
      </x:c>
      <x:c r="B650" s="1" t="str">
        <x:v>Round1</x:v>
      </x:c>
      <x:c r="C650" s="1" t="str">
        <x:v>Lang_35</x:v>
      </x:c>
      <x:c r="D650" s="1" t="str">
        <x:v>NOT_REVEALING</x:v>
      </x:c>
      <x:c r="E650" s="5" t="n">
        <x:v>0.0757</x:v>
      </x:c>
      <x:c r="F650" s="4" t="n">
        <x:v>0</x:v>
      </x:c>
      <x:c r="G650" s="4"/>
      <x:c r="H650" s="6"/>
      <x:c r="I650" s="16" t="n">
        <x:v>1</x:v>
      </x:c>
      <x:c r="J650" t="n">
        <x:v>964</x:v>
      </x:c>
      <x:c r="K650" s="4" t="n">
        <x:v>73</x:v>
      </x:c>
      <x:c r="L650" s="4" t="n">
        <x:v>806</x:v>
      </x:c>
      <x:c r="M650" s="4" t="n">
        <x:v>31</x:v>
      </x:c>
      <x:c r="N650" s="5" t="n">
        <x:v>0.0385</x:v>
      </x:c>
    </x:row>
    <x:row r="651" ht="24" customHeight="1">
      <x:c r="A651" s="1" t="str">
        <x:v>RESULT</x:v>
      </x:c>
      <x:c r="B651" s="1" t="str">
        <x:v>Round1</x:v>
      </x:c>
      <x:c r="C651" s="1" t="str">
        <x:v>Lang_36</x:v>
      </x:c>
      <x:c r="D651" s="1" t="str">
        <x:v>INCONCLUSIVE</x:v>
      </x:c>
      <x:c r="E651" s="5" t="n">
        <x:v>0.4459</x:v>
      </x:c>
      <x:c r="F651" s="4" t="n">
        <x:v>0</x:v>
      </x:c>
      <x:c r="G651" s="4"/>
      <x:c r="H651" s="6"/>
      <x:c r="I651" s="16" t="n">
        <x:v>1</x:v>
      </x:c>
      <x:c r="J651" t="n">
        <x:v>370</x:v>
      </x:c>
      <x:c r="K651" s="4" t="n">
        <x:v>165</x:v>
      </x:c>
      <x:c r="L651" s="4" t="n">
        <x:v>344</x:v>
      </x:c>
      <x:c r="M651" s="4" t="n">
        <x:v>120</x:v>
      </x:c>
      <x:c r="N651" s="5" t="n">
        <x:v>0.3488</x:v>
      </x:c>
    </x:row>
    <x:row r="652" ht="24" customHeight="1">
      <x:c r="A652" s="1" t="str">
        <x:v>RESULT</x:v>
      </x:c>
      <x:c r="B652" s="1" t="str">
        <x:v>Round1</x:v>
      </x:c>
      <x:c r="C652" s="1" t="str">
        <x:v>Lang_37</x:v>
      </x:c>
      <x:c r="D652" s="1" t="str">
        <x:v>NOT_REVEALING</x:v>
      </x:c>
      <x:c r="E652" s="5" t="n">
        <x:v>0.0747</x:v>
      </x:c>
      <x:c r="F652" s="4" t="n">
        <x:v>0</x:v>
      </x:c>
      <x:c r="G652" s="4"/>
      <x:c r="H652" s="6"/>
      <x:c r="I652" s="16" t="n">
        <x:v>1</x:v>
      </x:c>
      <x:c r="J652" t="n">
        <x:v>951</x:v>
      </x:c>
      <x:c r="K652" s="4" t="n">
        <x:v>71</x:v>
      </x:c>
      <x:c r="L652" s="4" t="n">
        <x:v>804</x:v>
      </x:c>
      <x:c r="M652" s="4" t="n">
        <x:v>31</x:v>
      </x:c>
      <x:c r="N652" s="5" t="n">
        <x:v>0.038599999999999995</x:v>
      </x:c>
    </x:row>
    <x:row r="653" ht="24" customHeight="1">
      <x:c r="A653" s="1" t="str">
        <x:v>RESULT</x:v>
      </x:c>
      <x:c r="B653" s="1" t="str">
        <x:v>Round1</x:v>
      </x:c>
      <x:c r="C653" s="1" t="str">
        <x:v>Lang_38</x:v>
      </x:c>
      <x:c r="D653" s="1" t="str">
        <x:v>NOT_AVAILABLE</x:v>
      </x:c>
      <x:c r="E653" s="5"/>
      <x:c r="F653" s="4" t="n">
        <x:v>0</x:v>
      </x:c>
      <x:c r="G653" s="4"/>
      <x:c r="H653" s="6"/>
      <x:c r="I653" s="16" t="n">
        <x:v>1</x:v>
      </x:c>
      <x:c r="J653"/>
      <x:c r="K653" s="4"/>
      <x:c r="L653" s="4"/>
      <x:c r="M653" s="4"/>
      <x:c r="N653" s="5"/>
    </x:row>
    <x:row r="654" ht="24" customHeight="1">
      <x:c r="A654" s="1" t="str">
        <x:v>RESULT</x:v>
      </x:c>
      <x:c r="B654" s="1" t="str">
        <x:v>Round1</x:v>
      </x:c>
      <x:c r="C654" s="1" t="str">
        <x:v>Lang_39</x:v>
      </x:c>
      <x:c r="D654" s="1" t="str">
        <x:v>NOT_AVAILABLE</x:v>
      </x:c>
      <x:c r="E654" s="5"/>
      <x:c r="F654" s="4" t="n">
        <x:v>0</x:v>
      </x:c>
      <x:c r="G654" s="4"/>
      <x:c r="H654" s="6"/>
      <x:c r="I654" s="16" t="n">
        <x:v>1</x:v>
      </x:c>
      <x:c r="J654"/>
      <x:c r="K654" s="4"/>
      <x:c r="L654" s="4"/>
      <x:c r="M654" s="4"/>
      <x:c r="N654" s="5"/>
    </x:row>
    <x:row r="655" ht="24" customHeight="1">
      <x:c r="A655" s="1" t="str">
        <x:v>RESULT</x:v>
      </x:c>
      <x:c r="B655" s="1" t="str">
        <x:v>Round1</x:v>
      </x:c>
      <x:c r="C655" s="1" t="str">
        <x:v>Lang_4</x:v>
      </x:c>
      <x:c r="D655" s="1" t="str">
        <x:v>NOT_REVEALING</x:v>
      </x:c>
      <x:c r="E655" s="5" t="n">
        <x:v>1</x:v>
      </x:c>
      <x:c r="F655" s="4" t="n">
        <x:v>0</x:v>
      </x:c>
      <x:c r="G655" s="4" t="n">
        <x:v>5022</x:v>
      </x:c>
      <x:c r="H655" s="6" t="n">
        <x:v>22.76</x:v>
      </x:c>
      <x:c r="I655" s="16" t="n">
        <x:v>1</x:v>
      </x:c>
      <x:c r="J655" t="n">
        <x:v>25</x:v>
      </x:c>
      <x:c r="K655" s="4" t="n">
        <x:v>25</x:v>
      </x:c>
      <x:c r="L655" s="4" t="n">
        <x:v>14</x:v>
      </x:c>
      <x:c r="M655" s="4" t="n">
        <x:v>14</x:v>
      </x:c>
      <x:c r="N655" s="5" t="n">
        <x:v>1</x:v>
      </x:c>
    </x:row>
    <x:row r="656" ht="24" customHeight="1">
      <x:c r="A656" s="1" t="str">
        <x:v>RESULT</x:v>
      </x:c>
      <x:c r="B656" s="1" t="str">
        <x:v>Round1</x:v>
      </x:c>
      <x:c r="C656" s="1" t="str">
        <x:v>Lang_40</x:v>
      </x:c>
      <x:c r="D656" s="1" t="str">
        <x:v>NOT_REVEALING</x:v>
      </x:c>
      <x:c r="E656" s="5" t="n">
        <x:v>0.0602</x:v>
      </x:c>
      <x:c r="F656" s="4" t="n">
        <x:v>0</x:v>
      </x:c>
      <x:c r="G656" s="4"/>
      <x:c r="H656" s="6"/>
      <x:c r="I656" s="16" t="n">
        <x:v>1</x:v>
      </x:c>
      <x:c r="J656" t="n">
        <x:v>1096</x:v>
      </x:c>
      <x:c r="K656" s="4" t="n">
        <x:v>66</x:v>
      </x:c>
      <x:c r="L656" s="4" t="n">
        <x:v>997</x:v>
      </x:c>
      <x:c r="M656" s="4" t="n">
        <x:v>51</x:v>
      </x:c>
      <x:c r="N656" s="5" t="n">
        <x:v>0.0512</x:v>
      </x:c>
    </x:row>
    <x:row r="657" ht="24" customHeight="1">
      <x:c r="A657" s="1" t="str">
        <x:v>RESULT</x:v>
      </x:c>
      <x:c r="B657" s="1" t="str">
        <x:v>Round1</x:v>
      </x:c>
      <x:c r="C657" s="1" t="str">
        <x:v>Lang_41</x:v>
      </x:c>
      <x:c r="D657" s="1" t="str">
        <x:v>INCONCLUSIVE</x:v>
      </x:c>
      <x:c r="E657" s="5" t="n">
        <x:v>0.2161</x:v>
      </x:c>
      <x:c r="F657" s="4" t="n">
        <x:v>0</x:v>
      </x:c>
      <x:c r="G657" s="4"/>
      <x:c r="H657" s="6"/>
      <x:c r="I657" s="16" t="n">
        <x:v>1</x:v>
      </x:c>
      <x:c r="J657" t="n">
        <x:v>273</x:v>
      </x:c>
      <x:c r="K657" s="4" t="n">
        <x:v>59</x:v>
      </x:c>
      <x:c r="L657" s="4" t="n">
        <x:v>198</x:v>
      </x:c>
      <x:c r="M657" s="4" t="n">
        <x:v>17</x:v>
      </x:c>
      <x:c r="N657" s="5" t="n">
        <x:v>0.0859</x:v>
      </x:c>
    </x:row>
    <x:row r="658" ht="24" customHeight="1">
      <x:c r="A658" s="1" t="str">
        <x:v>RESULT</x:v>
      </x:c>
      <x:c r="B658" s="1" t="str">
        <x:v>Round1</x:v>
      </x:c>
      <x:c r="C658" s="1" t="str">
        <x:v>Lang_42</x:v>
      </x:c>
      <x:c r="D658" s="1" t="str">
        <x:v>NOT_REVEALING</x:v>
      </x:c>
      <x:c r="E658" s="5" t="n">
        <x:v>0.4396</x:v>
      </x:c>
      <x:c r="F658" s="4" t="n">
        <x:v>0</x:v>
      </x:c>
      <x:c r="G658" s="4"/>
      <x:c r="H658" s="6"/>
      <x:c r="I658" s="16" t="n">
        <x:v>1</x:v>
      </x:c>
      <x:c r="J658" t="n">
        <x:v>207</x:v>
      </x:c>
      <x:c r="K658" s="4" t="n">
        <x:v>91</x:v>
      </x:c>
      <x:c r="L658" s="4" t="n">
        <x:v>64</x:v>
      </x:c>
      <x:c r="M658" s="4" t="n">
        <x:v>25</x:v>
      </x:c>
      <x:c r="N658" s="5" t="n">
        <x:v>0.3906</x:v>
      </x:c>
    </x:row>
    <x:row r="659" ht="24" customHeight="1">
      <x:c r="A659" s="1" t="str">
        <x:v>RESULT</x:v>
      </x:c>
      <x:c r="B659" s="1" t="str">
        <x:v>Round1</x:v>
      </x:c>
      <x:c r="C659" s="1" t="str">
        <x:v>Lang_43</x:v>
      </x:c>
      <x:c r="D659" s="1" t="str">
        <x:v>NOT_REVEALING</x:v>
      </x:c>
      <x:c r="E659" s="5" t="n">
        <x:v>0.4157</x:v>
      </x:c>
      <x:c r="F659" s="4" t="n">
        <x:v>0</x:v>
      </x:c>
      <x:c r="G659" s="4"/>
      <x:c r="H659" s="6"/>
      <x:c r="I659" s="16" t="n">
        <x:v>1</x:v>
      </x:c>
      <x:c r="J659" t="n">
        <x:v>166</x:v>
      </x:c>
      <x:c r="K659" s="4" t="n">
        <x:v>69</x:v>
      </x:c>
      <x:c r="L659" s="4" t="n">
        <x:v>99</x:v>
      </x:c>
      <x:c r="M659" s="4" t="n">
        <x:v>27</x:v>
      </x:c>
      <x:c r="N659" s="5" t="n">
        <x:v>0.2727</x:v>
      </x:c>
    </x:row>
    <x:row r="660" ht="24" customHeight="1">
      <x:c r="A660" s="1" t="str">
        <x:v>RESULT</x:v>
      </x:c>
      <x:c r="B660" s="1" t="str">
        <x:v>Round1</x:v>
      </x:c>
      <x:c r="C660" s="1" t="str">
        <x:v>Lang_44</x:v>
      </x:c>
      <x:c r="D660" s="1" t="str">
        <x:v>NOT_REVEALING</x:v>
      </x:c>
      <x:c r="E660" s="5" t="n">
        <x:v>0.4</x:v>
      </x:c>
      <x:c r="F660" s="4" t="n">
        <x:v>0</x:v>
      </x:c>
      <x:c r="G660" s="4"/>
      <x:c r="H660" s="6"/>
      <x:c r="I660" s="16" t="n">
        <x:v>1</x:v>
      </x:c>
      <x:c r="J660" t="n">
        <x:v>190</x:v>
      </x:c>
      <x:c r="K660" s="4" t="n">
        <x:v>76</x:v>
      </x:c>
      <x:c r="L660" s="4" t="n">
        <x:v>216</x:v>
      </x:c>
      <x:c r="M660" s="4" t="n">
        <x:v>62</x:v>
      </x:c>
      <x:c r="N660" s="5" t="n">
        <x:v>0.287</x:v>
      </x:c>
    </x:row>
    <x:row r="661" ht="24" customHeight="1">
      <x:c r="A661" s="1" t="str">
        <x:v>RESULT</x:v>
      </x:c>
      <x:c r="B661" s="1" t="str">
        <x:v>Round1</x:v>
      </x:c>
      <x:c r="C661" s="1" t="str">
        <x:v>Lang_45</x:v>
      </x:c>
      <x:c r="D661" s="1" t="str">
        <x:v>NOT_AVAILABLE</x:v>
      </x:c>
      <x:c r="E661" s="5"/>
      <x:c r="F661" s="4" t="n">
        <x:v>0</x:v>
      </x:c>
      <x:c r="G661" s="4"/>
      <x:c r="H661" s="6"/>
      <x:c r="I661" s="16" t="n">
        <x:v>1</x:v>
      </x:c>
      <x:c r="J661"/>
      <x:c r="K661" s="4"/>
      <x:c r="L661" s="4"/>
      <x:c r="M661" s="4"/>
      <x:c r="N661" s="5"/>
    </x:row>
    <x:row r="662" ht="24" customHeight="1">
      <x:c r="A662" s="1" t="str">
        <x:v>RESULT</x:v>
      </x:c>
      <x:c r="B662" s="1" t="str">
        <x:v>Round1</x:v>
      </x:c>
      <x:c r="C662" s="1" t="str">
        <x:v>Lang_46</x:v>
      </x:c>
      <x:c r="D662" s="1" t="str">
        <x:v>NOT_AVAILABLE</x:v>
      </x:c>
      <x:c r="E662" s="5"/>
      <x:c r="F662" s="4" t="n">
        <x:v>0</x:v>
      </x:c>
      <x:c r="G662" s="4"/>
      <x:c r="H662" s="6"/>
      <x:c r="I662" s="16" t="n">
        <x:v>1</x:v>
      </x:c>
      <x:c r="J662"/>
      <x:c r="K662" s="4"/>
      <x:c r="L662" s="4"/>
      <x:c r="M662" s="4"/>
      <x:c r="N662" s="5"/>
    </x:row>
    <x:row r="663" ht="24" customHeight="1">
      <x:c r="A663" s="1" t="str">
        <x:v>RESULT</x:v>
      </x:c>
      <x:c r="B663" s="1" t="str">
        <x:v>Round1</x:v>
      </x:c>
      <x:c r="C663" s="1" t="str">
        <x:v>Lang_47</x:v>
      </x:c>
      <x:c r="D663" s="1" t="str">
        <x:v>NOT_REVEALING</x:v>
      </x:c>
      <x:c r="E663" s="5" t="n">
        <x:v>0.0647</x:v>
      </x:c>
      <x:c r="F663" s="4" t="n">
        <x:v>0</x:v>
      </x:c>
      <x:c r="G663" s="4"/>
      <x:c r="H663" s="6"/>
      <x:c r="I663" s="16" t="n">
        <x:v>1</x:v>
      </x:c>
      <x:c r="J663" t="n">
        <x:v>696</x:v>
      </x:c>
      <x:c r="K663" s="4" t="n">
        <x:v>45</x:v>
      </x:c>
      <x:c r="L663" s="4" t="n">
        <x:v>492</x:v>
      </x:c>
      <x:c r="M663" s="4" t="n">
        <x:v>11</x:v>
      </x:c>
      <x:c r="N663" s="5" t="n">
        <x:v>0.022400000000000003</x:v>
      </x:c>
    </x:row>
    <x:row r="664" ht="24" customHeight="1">
      <x:c r="A664" s="1" t="str">
        <x:v>RESULT</x:v>
      </x:c>
      <x:c r="B664" s="1" t="str">
        <x:v>Round1</x:v>
      </x:c>
      <x:c r="C664" s="1" t="str">
        <x:v>Lang_49</x:v>
      </x:c>
      <x:c r="D664" s="1" t="str">
        <x:v>NOT_REVEALING</x:v>
      </x:c>
      <x:c r="E664" s="5" t="n">
        <x:v>0.3442</x:v>
      </x:c>
      <x:c r="F664" s="4" t="n">
        <x:v>0</x:v>
      </x:c>
      <x:c r="G664" s="4"/>
      <x:c r="H664" s="6"/>
      <x:c r="I664" s="16" t="n">
        <x:v>1</x:v>
      </x:c>
      <x:c r="J664" t="n">
        <x:v>276</x:v>
      </x:c>
      <x:c r="K664" s="4" t="n">
        <x:v>95</x:v>
      </x:c>
      <x:c r="L664" s="4" t="n">
        <x:v>184</x:v>
      </x:c>
      <x:c r="M664" s="4" t="n">
        <x:v>51</x:v>
      </x:c>
      <x:c r="N664" s="5" t="n">
        <x:v>0.2772</x:v>
      </x:c>
    </x:row>
    <x:row r="665" ht="24" customHeight="1">
      <x:c r="A665" s="1" t="str">
        <x:v>RESULT</x:v>
      </x:c>
      <x:c r="B665" s="1" t="str">
        <x:v>Round1</x:v>
      </x:c>
      <x:c r="C665" s="1" t="str">
        <x:v>Lang_5</x:v>
      </x:c>
      <x:c r="D665" s="1" t="str">
        <x:v>NOT_REVEALING</x:v>
      </x:c>
      <x:c r="E665" s="5" t="n">
        <x:v>1</x:v>
      </x:c>
      <x:c r="F665" s="4" t="n">
        <x:v>0</x:v>
      </x:c>
      <x:c r="G665" s="4" t="n">
        <x:v>9622</x:v>
      </x:c>
      <x:c r="H665" s="6" t="n">
        <x:v>35.61</x:v>
      </x:c>
      <x:c r="I665" s="16" t="n">
        <x:v>1</x:v>
      </x:c>
      <x:c r="J665" t="n">
        <x:v>82</x:v>
      </x:c>
      <x:c r="K665" s="4" t="n">
        <x:v>82</x:v>
      </x:c>
      <x:c r="L665" s="4" t="n">
        <x:v>56</x:v>
      </x:c>
      <x:c r="M665" s="4" t="n">
        <x:v>56</x:v>
      </x:c>
      <x:c r="N665" s="5" t="n">
        <x:v>1</x:v>
      </x:c>
    </x:row>
    <x:row r="666" ht="24" customHeight="1">
      <x:c r="A666" s="1" t="str">
        <x:v>RESULT</x:v>
      </x:c>
      <x:c r="B666" s="1" t="str">
        <x:v>Round1</x:v>
      </x:c>
      <x:c r="C666" s="1" t="str">
        <x:v>Lang_50</x:v>
      </x:c>
      <x:c r="D666" s="1" t="str">
        <x:v>NOT_AVAILABLE</x:v>
      </x:c>
      <x:c r="E666" s="5"/>
      <x:c r="F666" s="4" t="n">
        <x:v>0</x:v>
      </x:c>
      <x:c r="G666" s="4"/>
      <x:c r="H666" s="6"/>
      <x:c r="I666" s="16" t="n">
        <x:v>1</x:v>
      </x:c>
      <x:c r="J666"/>
      <x:c r="K666" s="4"/>
      <x:c r="L666" s="4"/>
      <x:c r="M666" s="4"/>
      <x:c r="N666" s="5"/>
    </x:row>
    <x:row r="667" ht="24" customHeight="1">
      <x:c r="A667" s="1" t="str">
        <x:v>RESULT</x:v>
      </x:c>
      <x:c r="B667" s="1" t="str">
        <x:v>Round1</x:v>
      </x:c>
      <x:c r="C667" s="1" t="str">
        <x:v>Lang_51</x:v>
      </x:c>
      <x:c r="D667" s="1" t="str">
        <x:v>NOT_REVEALING</x:v>
      </x:c>
      <x:c r="E667" s="5" t="n">
        <x:v>0.152</x:v>
      </x:c>
      <x:c r="F667" s="4" t="n">
        <x:v>0</x:v>
      </x:c>
      <x:c r="G667" s="4"/>
      <x:c r="H667" s="6"/>
      <x:c r="I667" s="16" t="n">
        <x:v>1</x:v>
      </x:c>
      <x:c r="J667" t="n">
        <x:v>171</x:v>
      </x:c>
      <x:c r="K667" s="4" t="n">
        <x:v>26</x:v>
      </x:c>
      <x:c r="L667" s="4" t="n">
        <x:v>212</x:v>
      </x:c>
      <x:c r="M667" s="4" t="n">
        <x:v>27</x:v>
      </x:c>
      <x:c r="N667" s="5" t="n">
        <x:v>0.1274</x:v>
      </x:c>
    </x:row>
    <x:row r="668" ht="24" customHeight="1">
      <x:c r="A668" s="1" t="str">
        <x:v>RESULT</x:v>
      </x:c>
      <x:c r="B668" s="1" t="str">
        <x:v>Round1</x:v>
      </x:c>
      <x:c r="C668" s="1" t="str">
        <x:v>Lang_52</x:v>
      </x:c>
      <x:c r="D668" s="1" t="str">
        <x:v>NOT_AVAILABLE</x:v>
      </x:c>
      <x:c r="E668" s="5"/>
      <x:c r="F668" s="4" t="n">
        <x:v>0</x:v>
      </x:c>
      <x:c r="G668" s="4"/>
      <x:c r="H668" s="6"/>
      <x:c r="I668" s="16" t="n">
        <x:v>1</x:v>
      </x:c>
      <x:c r="J668"/>
      <x:c r="K668" s="4"/>
      <x:c r="L668" s="4"/>
      <x:c r="M668" s="4"/>
      <x:c r="N668" s="5"/>
    </x:row>
    <x:row r="669" ht="24" customHeight="1">
      <x:c r="A669" s="1" t="str">
        <x:v>RESULT</x:v>
      </x:c>
      <x:c r="B669" s="1" t="str">
        <x:v>Round1</x:v>
      </x:c>
      <x:c r="C669" s="1" t="str">
        <x:v>Lang_53</x:v>
      </x:c>
      <x:c r="D669" s="1" t="str">
        <x:v>NOT_REVEALING</x:v>
      </x:c>
      <x:c r="E669" s="5" t="n">
        <x:v>0.3226</x:v>
      </x:c>
      <x:c r="F669" s="4" t="n">
        <x:v>0</x:v>
      </x:c>
      <x:c r="G669" s="4"/>
      <x:c r="H669" s="6"/>
      <x:c r="I669" s="16" t="n">
        <x:v>1</x:v>
      </x:c>
      <x:c r="J669" t="n">
        <x:v>217</x:v>
      </x:c>
      <x:c r="K669" s="4" t="n">
        <x:v>70</x:v>
      </x:c>
      <x:c r="L669" s="4" t="n">
        <x:v>175</x:v>
      </x:c>
      <x:c r="M669" s="4" t="n">
        <x:v>39</x:v>
      </x:c>
      <x:c r="N669" s="5" t="n">
        <x:v>0.2229</x:v>
      </x:c>
    </x:row>
    <x:row r="670" ht="24" customHeight="1">
      <x:c r="A670" s="1" t="str">
        <x:v>RESULT</x:v>
      </x:c>
      <x:c r="B670" s="1" t="str">
        <x:v>Round1</x:v>
      </x:c>
      <x:c r="C670" s="1" t="str">
        <x:v>Lang_54</x:v>
      </x:c>
      <x:c r="D670" s="1" t="str">
        <x:v>NOT_REVEALING</x:v>
      </x:c>
      <x:c r="E670" s="5" t="n">
        <x:v>0.4304</x:v>
      </x:c>
      <x:c r="F670" s="4" t="n">
        <x:v>0</x:v>
      </x:c>
      <x:c r="G670" s="4"/>
      <x:c r="H670" s="6"/>
      <x:c r="I670" s="16" t="n">
        <x:v>1</x:v>
      </x:c>
      <x:c r="J670" t="n">
        <x:v>79</x:v>
      </x:c>
      <x:c r="K670" s="4" t="n">
        <x:v>34</x:v>
      </x:c>
      <x:c r="L670" s="4" t="n">
        <x:v>64</x:v>
      </x:c>
      <x:c r="M670" s="4" t="n">
        <x:v>25</x:v>
      </x:c>
      <x:c r="N670" s="5" t="n">
        <x:v>0.3906</x:v>
      </x:c>
    </x:row>
    <x:row r="671" ht="24" customHeight="1">
      <x:c r="A671" s="1" t="str">
        <x:v>RESULT</x:v>
      </x:c>
      <x:c r="B671" s="1" t="str">
        <x:v>Round1</x:v>
      </x:c>
      <x:c r="C671" s="1" t="str">
        <x:v>Lang_55</x:v>
      </x:c>
      <x:c r="D671" s="1" t="str">
        <x:v>NOT_REVEALING</x:v>
      </x:c>
      <x:c r="E671" s="5" t="n">
        <x:v>0.7719</x:v>
      </x:c>
      <x:c r="F671" s="4" t="n">
        <x:v>0</x:v>
      </x:c>
      <x:c r="G671" s="4"/>
      <x:c r="H671" s="6"/>
      <x:c r="I671" s="16" t="n">
        <x:v>1</x:v>
      </x:c>
      <x:c r="J671" t="n">
        <x:v>57</x:v>
      </x:c>
      <x:c r="K671" s="4" t="n">
        <x:v>44</x:v>
      </x:c>
      <x:c r="L671" s="4" t="n">
        <x:v>26</x:v>
      </x:c>
      <x:c r="M671" s="4" t="n">
        <x:v>12</x:v>
      </x:c>
      <x:c r="N671" s="5" t="n">
        <x:v>0.46149999999999997</x:v>
      </x:c>
    </x:row>
    <x:row r="672" ht="24" customHeight="1">
      <x:c r="A672" s="1" t="str">
        <x:v>RESULT</x:v>
      </x:c>
      <x:c r="B672" s="1" t="str">
        <x:v>Round1</x:v>
      </x:c>
      <x:c r="C672" s="1" t="str">
        <x:v>Lang_56</x:v>
      </x:c>
      <x:c r="D672" s="1" t="str">
        <x:v>NOT_AVAILABLE</x:v>
      </x:c>
      <x:c r="E672" s="5"/>
      <x:c r="F672" s="4" t="n">
        <x:v>0</x:v>
      </x:c>
      <x:c r="G672" s="4"/>
      <x:c r="H672" s="6"/>
      <x:c r="I672" s="16" t="n">
        <x:v>1</x:v>
      </x:c>
      <x:c r="J672"/>
      <x:c r="K672" s="4"/>
      <x:c r="L672" s="4"/>
      <x:c r="M672" s="4"/>
      <x:c r="N672" s="5"/>
    </x:row>
    <x:row r="673" ht="24" customHeight="1">
      <x:c r="A673" s="1" t="str">
        <x:v>RESULT</x:v>
      </x:c>
      <x:c r="B673" s="1" t="str">
        <x:v>Round1</x:v>
      </x:c>
      <x:c r="C673" s="1" t="str">
        <x:v>Lang_57</x:v>
      </x:c>
      <x:c r="D673" s="1" t="str">
        <x:v>REVEALING</x:v>
      </x:c>
      <x:c r="E673" s="5" t="n">
        <x:v>0.4177</x:v>
      </x:c>
      <x:c r="F673" s="4" t="n">
        <x:v>1</x:v>
      </x:c>
      <x:c r="G673" s="4"/>
      <x:c r="H673" s="6"/>
      <x:c r="I673" s="16" t="n">
        <x:v>1</x:v>
      </x:c>
      <x:c r="J673" t="n">
        <x:v>79</x:v>
      </x:c>
      <x:c r="K673" s="4" t="n">
        <x:v>33</x:v>
      </x:c>
      <x:c r="L673" s="4" t="n">
        <x:v>64</x:v>
      </x:c>
      <x:c r="M673" s="4" t="n">
        <x:v>25</x:v>
      </x:c>
      <x:c r="N673" s="5" t="n">
        <x:v>0.3906</x:v>
      </x:c>
    </x:row>
    <x:row r="674" ht="24" customHeight="1">
      <x:c r="A674" s="1" t="str">
        <x:v>RESULT</x:v>
      </x:c>
      <x:c r="B674" s="1" t="str">
        <x:v>Round1</x:v>
      </x:c>
      <x:c r="C674" s="1" t="str">
        <x:v>Lang_58</x:v>
      </x:c>
      <x:c r="D674" s="1" t="str">
        <x:v>NOT_REVEALING</x:v>
      </x:c>
      <x:c r="E674" s="5" t="n">
        <x:v>0.2345</x:v>
      </x:c>
      <x:c r="F674" s="4" t="n">
        <x:v>0</x:v>
      </x:c>
      <x:c r="G674" s="4"/>
      <x:c r="H674" s="6"/>
      <x:c r="I674" s="16" t="n">
        <x:v>1</x:v>
      </x:c>
      <x:c r="J674" t="n">
        <x:v>435</x:v>
      </x:c>
      <x:c r="K674" s="4" t="n">
        <x:v>102</x:v>
      </x:c>
      <x:c r="L674" s="4" t="n">
        <x:v>420</x:v>
      </x:c>
      <x:c r="M674" s="4" t="n">
        <x:v>62</x:v>
      </x:c>
      <x:c r="N674" s="5" t="n">
        <x:v>0.1476</x:v>
      </x:c>
    </x:row>
    <x:row r="675" ht="24" customHeight="1">
      <x:c r="A675" s="1" t="str">
        <x:v>RESULT</x:v>
      </x:c>
      <x:c r="B675" s="1" t="str">
        <x:v>Round1</x:v>
      </x:c>
      <x:c r="C675" s="1" t="str">
        <x:v>Lang_59</x:v>
      </x:c>
      <x:c r="D675" s="1" t="str">
        <x:v>NOT_REVEALING</x:v>
      </x:c>
      <x:c r="E675" s="5" t="n">
        <x:v>0.06860000000000001</x:v>
      </x:c>
      <x:c r="F675" s="4" t="n">
        <x:v>0</x:v>
      </x:c>
      <x:c r="G675" s="4"/>
      <x:c r="H675" s="6"/>
      <x:c r="I675" s="16" t="n">
        <x:v>1</x:v>
      </x:c>
      <x:c r="J675" t="n">
        <x:v>656</x:v>
      </x:c>
      <x:c r="K675" s="4" t="n">
        <x:v>45</x:v>
      </x:c>
      <x:c r="L675" s="4" t="n">
        <x:v>464</x:v>
      </x:c>
      <x:c r="M675" s="4" t="n">
        <x:v>11</x:v>
      </x:c>
      <x:c r="N675" s="5" t="n">
        <x:v>0.023700000000000002</x:v>
      </x:c>
    </x:row>
    <x:row r="676" ht="24" customHeight="1">
      <x:c r="A676" s="1" t="str">
        <x:v>RESULT</x:v>
      </x:c>
      <x:c r="B676" s="1" t="str">
        <x:v>Round1</x:v>
      </x:c>
      <x:c r="C676" s="1" t="str">
        <x:v>Lang_6</x:v>
      </x:c>
      <x:c r="D676" s="1" t="str">
        <x:v>INCONCLUSIVE</x:v>
      </x:c>
      <x:c r="E676" s="5" t="n">
        <x:v>1</x:v>
      </x:c>
      <x:c r="F676" s="4" t="n">
        <x:v>0</x:v>
      </x:c>
      <x:c r="G676" s="4" t="n">
        <x:v>5632</x:v>
      </x:c>
      <x:c r="H676" s="6" t="n">
        <x:v>24</x:v>
      </x:c>
      <x:c r="I676" s="16" t="n">
        <x:v>1</x:v>
      </x:c>
      <x:c r="J676" t="n">
        <x:v>30</x:v>
      </x:c>
      <x:c r="K676" s="4" t="n">
        <x:v>30</x:v>
      </x:c>
      <x:c r="L676" s="4" t="n">
        <x:v>12</x:v>
      </x:c>
      <x:c r="M676" s="4" t="n">
        <x:v>12</x:v>
      </x:c>
      <x:c r="N676" s="5" t="n">
        <x:v>1</x:v>
      </x:c>
    </x:row>
    <x:row r="677" ht="24" customHeight="1">
      <x:c r="A677" s="1" t="str">
        <x:v>RESULT</x:v>
      </x:c>
      <x:c r="B677" s="1" t="str">
        <x:v>Round1</x:v>
      </x:c>
      <x:c r="C677" s="1" t="str">
        <x:v>Lang_60</x:v>
      </x:c>
      <x:c r="D677" s="1" t="str">
        <x:v>NOT_REVEALING</x:v>
      </x:c>
      <x:c r="E677" s="5" t="n">
        <x:v>0.06860000000000001</x:v>
      </x:c>
      <x:c r="F677" s="4" t="n">
        <x:v>0</x:v>
      </x:c>
      <x:c r="G677" s="4"/>
      <x:c r="H677" s="6"/>
      <x:c r="I677" s="16" t="n">
        <x:v>1</x:v>
      </x:c>
      <x:c r="J677" t="n">
        <x:v>656</x:v>
      </x:c>
      <x:c r="K677" s="4" t="n">
        <x:v>45</x:v>
      </x:c>
      <x:c r="L677" s="4" t="n">
        <x:v>464</x:v>
      </x:c>
      <x:c r="M677" s="4" t="n">
        <x:v>11</x:v>
      </x:c>
      <x:c r="N677" s="5" t="n">
        <x:v>0.023700000000000002</x:v>
      </x:c>
    </x:row>
    <x:row r="678" ht="24" customHeight="1">
      <x:c r="A678" s="1" t="str">
        <x:v>RESULT</x:v>
      </x:c>
      <x:c r="B678" s="1" t="str">
        <x:v>Round1</x:v>
      </x:c>
      <x:c r="C678" s="1" t="str">
        <x:v>Lang_61</x:v>
      </x:c>
      <x:c r="D678" s="1" t="str">
        <x:v>NOT_REVEALING</x:v>
      </x:c>
      <x:c r="E678" s="5" t="n">
        <x:v>0.06860000000000001</x:v>
      </x:c>
      <x:c r="F678" s="4" t="n">
        <x:v>0</x:v>
      </x:c>
      <x:c r="G678" s="4"/>
      <x:c r="H678" s="6"/>
      <x:c r="I678" s="16" t="n">
        <x:v>1</x:v>
      </x:c>
      <x:c r="J678" t="n">
        <x:v>656</x:v>
      </x:c>
      <x:c r="K678" s="4" t="n">
        <x:v>45</x:v>
      </x:c>
      <x:c r="L678" s="4" t="n">
        <x:v>464</x:v>
      </x:c>
      <x:c r="M678" s="4" t="n">
        <x:v>11</x:v>
      </x:c>
      <x:c r="N678" s="5" t="n">
        <x:v>0.023700000000000002</x:v>
      </x:c>
    </x:row>
    <x:row r="679" ht="24" customHeight="1">
      <x:c r="A679" s="1" t="str">
        <x:v>RESULT</x:v>
      </x:c>
      <x:c r="B679" s="1" t="str">
        <x:v>Round1</x:v>
      </x:c>
      <x:c r="C679" s="1" t="str">
        <x:v>Lang_62</x:v>
      </x:c>
      <x:c r="D679" s="1" t="str">
        <x:v>NOT_REVEALING</x:v>
      </x:c>
      <x:c r="E679" s="5" t="n">
        <x:v>0.32780000000000004</x:v>
      </x:c>
      <x:c r="F679" s="4" t="n">
        <x:v>0</x:v>
      </x:c>
      <x:c r="G679" s="4"/>
      <x:c r="H679" s="6"/>
      <x:c r="I679" s="16" t="n">
        <x:v>1</x:v>
      </x:c>
      <x:c r="J679" t="n">
        <x:v>241</x:v>
      </x:c>
      <x:c r="K679" s="4" t="n">
        <x:v>79</x:v>
      </x:c>
      <x:c r="L679" s="4" t="n">
        <x:v>90</x:v>
      </x:c>
      <x:c r="M679" s="4" t="n">
        <x:v>25</x:v>
      </x:c>
      <x:c r="N679" s="5" t="n">
        <x:v>0.2778</x:v>
      </x:c>
    </x:row>
    <x:row r="680" ht="24" customHeight="1">
      <x:c r="A680" s="1" t="str">
        <x:v>RESULT</x:v>
      </x:c>
      <x:c r="B680" s="1" t="str">
        <x:v>Round1</x:v>
      </x:c>
      <x:c r="C680" s="1" t="str">
        <x:v>Lang_63</x:v>
      </x:c>
      <x:c r="D680" s="1" t="str">
        <x:v>NOT_REVEALING</x:v>
      </x:c>
      <x:c r="E680" s="5" t="n">
        <x:v>0.5317000000000001</x:v>
      </x:c>
      <x:c r="F680" s="4" t="n">
        <x:v>0</x:v>
      </x:c>
      <x:c r="G680" s="4"/>
      <x:c r="H680" s="6"/>
      <x:c r="I680" s="16" t="n">
        <x:v>1</x:v>
      </x:c>
      <x:c r="J680" t="n">
        <x:v>252</x:v>
      </x:c>
      <x:c r="K680" s="4" t="n">
        <x:v>134</x:v>
      </x:c>
      <x:c r="L680" s="4" t="n">
        <x:v>135</x:v>
      </x:c>
      <x:c r="M680" s="4" t="n">
        <x:v>61</x:v>
      </x:c>
      <x:c r="N680" s="5" t="n">
        <x:v>0.45189999999999997</x:v>
      </x:c>
    </x:row>
    <x:row r="681" ht="24" customHeight="1">
      <x:c r="A681" s="1" t="str">
        <x:v>RESULT</x:v>
      </x:c>
      <x:c r="B681" s="1" t="str">
        <x:v>Round1</x:v>
      </x:c>
      <x:c r="C681" s="1" t="str">
        <x:v>Lang_64</x:v>
      </x:c>
      <x:c r="D681" s="1" t="str">
        <x:v>NOT_REVEALING</x:v>
      </x:c>
      <x:c r="E681" s="5" t="n">
        <x:v>0.6667000000000001</x:v>
      </x:c>
      <x:c r="F681" s="4" t="n">
        <x:v>0</x:v>
      </x:c>
      <x:c r="G681" s="4"/>
      <x:c r="H681" s="6"/>
      <x:c r="I681" s="16" t="n">
        <x:v>1</x:v>
      </x:c>
      <x:c r="J681" t="n">
        <x:v>18</x:v>
      </x:c>
      <x:c r="K681" s="4" t="n">
        <x:v>12</x:v>
      </x:c>
      <x:c r="L681" s="4" t="n">
        <x:v>8</x:v>
      </x:c>
      <x:c r="M681" s="4" t="n">
        <x:v>5</x:v>
      </x:c>
      <x:c r="N681" s="5" t="n">
        <x:v>0.625</x:v>
      </x:c>
    </x:row>
    <x:row r="682" ht="24" customHeight="1">
      <x:c r="A682" s="1" t="str">
        <x:v>RESULT</x:v>
      </x:c>
      <x:c r="B682" s="1" t="str">
        <x:v>Round1</x:v>
      </x:c>
      <x:c r="C682" s="1" t="str">
        <x:v>Lang_65</x:v>
      </x:c>
      <x:c r="D682" s="1" t="str">
        <x:v>NOT_REVEALING</x:v>
      </x:c>
      <x:c r="E682" s="5" t="n">
        <x:v>0.2615</x:v>
      </x:c>
      <x:c r="F682" s="4" t="n">
        <x:v>0</x:v>
      </x:c>
      <x:c r="G682" s="4"/>
      <x:c r="H682" s="6"/>
      <x:c r="I682" s="16" t="n">
        <x:v>1</x:v>
      </x:c>
      <x:c r="J682" t="n">
        <x:v>195</x:v>
      </x:c>
      <x:c r="K682" s="4" t="n">
        <x:v>51</x:v>
      </x:c>
      <x:c r="L682" s="4" t="n">
        <x:v>149</x:v>
      </x:c>
      <x:c r="M682" s="4" t="n">
        <x:v>29</x:v>
      </x:c>
      <x:c r="N682" s="5" t="n">
        <x:v>0.1946</x:v>
      </x:c>
    </x:row>
    <x:row r="683" ht="24" customHeight="1">
      <x:c r="A683" s="1" t="str">
        <x:v>RESULT</x:v>
      </x:c>
      <x:c r="B683" s="1" t="str">
        <x:v>Round1</x:v>
      </x:c>
      <x:c r="C683" s="1" t="str">
        <x:v>Lang_7</x:v>
      </x:c>
      <x:c r="D683" s="1" t="str">
        <x:v>INCONCLUSIVE</x:v>
      </x:c>
      <x:c r="E683" s="5" t="n">
        <x:v>0.9553</x:v>
      </x:c>
      <x:c r="F683" s="4" t="n">
        <x:v>0</x:v>
      </x:c>
      <x:c r="G683" s="4" t="n">
        <x:v>16605</x:v>
      </x:c>
      <x:c r="H683" s="6" t="n">
        <x:v>53.03</x:v>
      </x:c>
      <x:c r="I683" s="16" t="n">
        <x:v>1</x:v>
      </x:c>
      <x:c r="J683" t="n">
        <x:v>380</x:v>
      </x:c>
      <x:c r="K683" s="4" t="n">
        <x:v>363</x:v>
      </x:c>
      <x:c r="L683" s="4" t="n">
        <x:v>366</x:v>
      </x:c>
      <x:c r="M683" s="4" t="n">
        <x:v>316</x:v>
      </x:c>
      <x:c r="N683" s="5" t="n">
        <x:v>0.8634000000000001</x:v>
      </x:c>
    </x:row>
    <x:row r="684" ht="24" customHeight="1">
      <x:c r="A684" s="1" t="str">
        <x:v>RESULT</x:v>
      </x:c>
      <x:c r="B684" s="1" t="str">
        <x:v>Round1</x:v>
      </x:c>
      <x:c r="C684" s="1" t="str">
        <x:v>Lang_8</x:v>
      </x:c>
      <x:c r="D684" s="1" t="str">
        <x:v>INCONCLUSIVE</x:v>
      </x:c>
      <x:c r="E684" s="5" t="n">
        <x:v>0.9732999999999999</x:v>
      </x:c>
      <x:c r="F684" s="4" t="n">
        <x:v>0</x:v>
      </x:c>
      <x:c r="G684" s="4" t="n">
        <x:v>14513</x:v>
      </x:c>
      <x:c r="H684" s="6" t="n">
        <x:v>54.69</x:v>
      </x:c>
      <x:c r="I684" s="16" t="n">
        <x:v>1</x:v>
      </x:c>
      <x:c r="J684" t="n">
        <x:v>337</x:v>
      </x:c>
      <x:c r="K684" s="4" t="n">
        <x:v>328</x:v>
      </x:c>
      <x:c r="L684" s="4" t="n">
        <x:v>150</x:v>
      </x:c>
      <x:c r="M684" s="4" t="n">
        <x:v>139</x:v>
      </x:c>
      <x:c r="N684" s="5" t="n">
        <x:v>0.9267</x:v>
      </x:c>
    </x:row>
    <x:row r="685" ht="24" customHeight="1">
      <x:c r="A685" s="1" t="str">
        <x:v>RESULT</x:v>
      </x:c>
      <x:c r="B685" s="1" t="str">
        <x:v>Round1</x:v>
      </x:c>
      <x:c r="C685" s="1" t="str">
        <x:v>Lang_9</x:v>
      </x:c>
      <x:c r="D685" s="1" t="str">
        <x:v>NOT_AVAILABLE</x:v>
      </x:c>
      <x:c r="E685" s="5"/>
      <x:c r="F685" s="4" t="n">
        <x:v>0</x:v>
      </x:c>
      <x:c r="G685" s="4"/>
      <x:c r="H685" s="6" t="n">
        <x:v>23.11</x:v>
      </x:c>
      <x:c r="I685" s="16" t="n">
        <x:v>1</x:v>
      </x:c>
      <x:c r="J685"/>
      <x:c r="K685" s="4"/>
      <x:c r="L685" s="4"/>
      <x:c r="M685" s="4"/>
      <x:c r="N685" s="5"/>
    </x:row>
    <x:row r="686" ht="24" customHeight="1">
      <x:c r="A686" s="1" t="str">
        <x:v>RESULT</x:v>
      </x:c>
      <x:c r="B686" s="1" t="str">
        <x:v>Round1</x:v>
      </x:c>
      <x:c r="C686" s="1" t="str">
        <x:v>Math_1</x:v>
      </x:c>
      <x:c r="D686" s="1" t="str">
        <x:v>NOT_REVEALING</x:v>
      </x:c>
      <x:c r="E686" s="5" t="n">
        <x:v>0.3718</x:v>
      </x:c>
      <x:c r="F686" s="4" t="n">
        <x:v>0</x:v>
      </x:c>
      <x:c r="G686" s="4"/>
      <x:c r="H686" s="6"/>
      <x:c r="I686" s="16" t="n">
        <x:v>1</x:v>
      </x:c>
      <x:c r="J686" t="n">
        <x:v>425</x:v>
      </x:c>
      <x:c r="K686" s="4" t="n">
        <x:v>158</x:v>
      </x:c>
      <x:c r="L686" s="4" t="n">
        <x:v>192</x:v>
      </x:c>
      <x:c r="M686" s="4" t="n">
        <x:v>60</x:v>
      </x:c>
      <x:c r="N686" s="5" t="n">
        <x:v>0.3125</x:v>
      </x:c>
    </x:row>
    <x:row r="687" ht="24" customHeight="1">
      <x:c r="A687" s="1" t="str">
        <x:v>RESULT</x:v>
      </x:c>
      <x:c r="B687" s="1" t="str">
        <x:v>Round1</x:v>
      </x:c>
      <x:c r="C687" s="1" t="str">
        <x:v>Math_10</x:v>
      </x:c>
      <x:c r="D687" s="1" t="str">
        <x:v>NOT_REVEALING</x:v>
      </x:c>
      <x:c r="E687" s="5" t="n">
        <x:v>0.0018</x:v>
      </x:c>
      <x:c r="F687" s="4" t="n">
        <x:v>0</x:v>
      </x:c>
      <x:c r="G687" s="4"/>
      <x:c r="H687" s="6"/>
      <x:c r="I687" s="16" t="n">
        <x:v>1</x:v>
      </x:c>
      <x:c r="J687" t="n">
        <x:v>553</x:v>
      </x:c>
      <x:c r="K687" s="4" t="n">
        <x:v>1</x:v>
      </x:c>
      <x:c r="L687" s="4" t="n">
        <x:v>286</x:v>
      </x:c>
      <x:c r="M687" s="4" t="n">
        <x:v>0</x:v>
      </x:c>
      <x:c r="N687" s="5" t="n">
        <x:v>0</x:v>
      </x:c>
    </x:row>
    <x:row r="688" ht="24" customHeight="1">
      <x:c r="A688" s="1" t="str">
        <x:v>RESULT</x:v>
      </x:c>
      <x:c r="B688" s="1" t="str">
        <x:v>Round1</x:v>
      </x:c>
      <x:c r="C688" s="1" t="str">
        <x:v>Math_100</x:v>
      </x:c>
      <x:c r="D688" s="1" t="str">
        <x:v>NOT_REVEALING</x:v>
      </x:c>
      <x:c r="E688" s="5" t="n">
        <x:v>0</x:v>
      </x:c>
      <x:c r="F688" s="4" t="n">
        <x:v>0</x:v>
      </x:c>
      <x:c r="G688" s="4"/>
      <x:c r="H688" s="6"/>
      <x:c r="I688" s="16" t="n">
        <x:v>1</x:v>
      </x:c>
      <x:c r="J688" t="n">
        <x:v>73</x:v>
      </x:c>
      <x:c r="K688" s="4" t="n">
        <x:v>0</x:v>
      </x:c>
      <x:c r="L688" s="4" t="n">
        <x:v>22</x:v>
      </x:c>
      <x:c r="M688" s="4" t="n">
        <x:v>0</x:v>
      </x:c>
      <x:c r="N688" s="5" t="n">
        <x:v>0</x:v>
      </x:c>
    </x:row>
    <x:row r="689" ht="24" customHeight="1">
      <x:c r="A689" s="1" t="str">
        <x:v>RESULT</x:v>
      </x:c>
      <x:c r="B689" s="1" t="str">
        <x:v>Round1</x:v>
      </x:c>
      <x:c r="C689" s="1" t="str">
        <x:v>Math_101</x:v>
      </x:c>
      <x:c r="D689" s="1" t="str">
        <x:v>NOT_REVEALING</x:v>
      </x:c>
      <x:c r="E689" s="5" t="n">
        <x:v>0</x:v>
      </x:c>
      <x:c r="F689" s="4" t="n">
        <x:v>0</x:v>
      </x:c>
      <x:c r="G689" s="4"/>
      <x:c r="H689" s="6"/>
      <x:c r="I689" s="16" t="n">
        <x:v>1</x:v>
      </x:c>
      <x:c r="J689" t="n">
        <x:v>143</x:v>
      </x:c>
      <x:c r="K689" s="4" t="n">
        <x:v>0</x:v>
      </x:c>
      <x:c r="L689" s="4" t="n">
        <x:v>52</x:v>
      </x:c>
      <x:c r="M689" s="4" t="n">
        <x:v>0</x:v>
      </x:c>
      <x:c r="N689" s="5" t="n">
        <x:v>0</x:v>
      </x:c>
    </x:row>
    <x:row r="690" ht="24" customHeight="1">
      <x:c r="A690" s="1" t="str">
        <x:v>RESULT</x:v>
      </x:c>
      <x:c r="B690" s="1" t="str">
        <x:v>Round1</x:v>
      </x:c>
      <x:c r="C690" s="1" t="str">
        <x:v>Math_102</x:v>
      </x:c>
      <x:c r="D690" s="1" t="str">
        <x:v>NOT_REVEALING</x:v>
      </x:c>
      <x:c r="E690" s="5" t="n">
        <x:v>0</x:v>
      </x:c>
      <x:c r="F690" s="4" t="n">
        <x:v>0</x:v>
      </x:c>
      <x:c r="G690" s="4"/>
      <x:c r="H690" s="6"/>
      <x:c r="I690" s="16" t="n">
        <x:v>1</x:v>
      </x:c>
      <x:c r="J690" t="n">
        <x:v>111</x:v>
      </x:c>
      <x:c r="K690" s="4" t="n">
        <x:v>0</x:v>
      </x:c>
      <x:c r="L690" s="4" t="n">
        <x:v>86</x:v>
      </x:c>
      <x:c r="M690" s="4" t="n">
        <x:v>0</x:v>
      </x:c>
      <x:c r="N690" s="5" t="n">
        <x:v>0</x:v>
      </x:c>
    </x:row>
    <x:row r="691" ht="24" customHeight="1">
      <x:c r="A691" s="1" t="str">
        <x:v>RESULT</x:v>
      </x:c>
      <x:c r="B691" s="1" t="str">
        <x:v>Round1</x:v>
      </x:c>
      <x:c r="C691" s="1" t="str">
        <x:v>Math_103</x:v>
      </x:c>
      <x:c r="D691" s="1" t="str">
        <x:v>NOT_AVAILABLE</x:v>
      </x:c>
      <x:c r="E691" s="5"/>
      <x:c r="F691" s="4" t="n">
        <x:v>0</x:v>
      </x:c>
      <x:c r="G691" s="4"/>
      <x:c r="H691" s="6" t="n">
        <x:v>30.07</x:v>
      </x:c>
      <x:c r="I691" s="16" t="n">
        <x:v>1</x:v>
      </x:c>
      <x:c r="J691"/>
      <x:c r="K691" s="4"/>
      <x:c r="L691" s="4"/>
      <x:c r="M691" s="4"/>
      <x:c r="N691" s="5"/>
    </x:row>
    <x:row r="692" ht="24" customHeight="1">
      <x:c r="A692" s="1" t="str">
        <x:v>RESULT</x:v>
      </x:c>
      <x:c r="B692" s="1" t="str">
        <x:v>Round1</x:v>
      </x:c>
      <x:c r="C692" s="1" t="str">
        <x:v>Math_104</x:v>
      </x:c>
      <x:c r="D692" s="1" t="str">
        <x:v>NOT_REVEALING</x:v>
      </x:c>
      <x:c r="E692" s="5" t="n">
        <x:v>0.7659999999999999</x:v>
      </x:c>
      <x:c r="F692" s="4" t="n">
        <x:v>0</x:v>
      </x:c>
      <x:c r="G692" s="4"/>
      <x:c r="H692" s="6"/>
      <x:c r="I692" s="16" t="n">
        <x:v>1</x:v>
      </x:c>
      <x:c r="J692" t="n">
        <x:v>47</x:v>
      </x:c>
      <x:c r="K692" s="4" t="n">
        <x:v>36</x:v>
      </x:c>
      <x:c r="L692" s="4" t="n">
        <x:v>40</x:v>
      </x:c>
      <x:c r="M692" s="4" t="n">
        <x:v>27</x:v>
      </x:c>
      <x:c r="N692" s="5" t="n">
        <x:v>0.675</x:v>
      </x:c>
    </x:row>
    <x:row r="693" ht="24" customHeight="1">
      <x:c r="A693" s="1" t="str">
        <x:v>RESULT</x:v>
      </x:c>
      <x:c r="B693" s="1" t="str">
        <x:v>Round1</x:v>
      </x:c>
      <x:c r="C693" s="1" t="str">
        <x:v>Math_105</x:v>
      </x:c>
      <x:c r="D693" s="1" t="str">
        <x:v>NOT_REVEALING</x:v>
      </x:c>
      <x:c r="E693" s="5" t="n">
        <x:v>0.7323999999999999</x:v>
      </x:c>
      <x:c r="F693" s="4" t="n">
        <x:v>0</x:v>
      </x:c>
      <x:c r="G693" s="4"/>
      <x:c r="H693" s="6"/>
      <x:c r="I693" s="16" t="n">
        <x:v>1</x:v>
      </x:c>
      <x:c r="J693" t="n">
        <x:v>71</x:v>
      </x:c>
      <x:c r="K693" s="4" t="n">
        <x:v>52</x:v>
      </x:c>
      <x:c r="L693" s="4" t="n">
        <x:v>18</x:v>
      </x:c>
      <x:c r="M693" s="4" t="n">
        <x:v>9</x:v>
      </x:c>
      <x:c r="N693" s="5" t="n">
        <x:v>0.5</x:v>
      </x:c>
    </x:row>
    <x:row r="694" ht="24" customHeight="1">
      <x:c r="A694" s="1" t="str">
        <x:v>RESULT</x:v>
      </x:c>
      <x:c r="B694" s="1" t="str">
        <x:v>Round1</x:v>
      </x:c>
      <x:c r="C694" s="1" t="str">
        <x:v>Math_106</x:v>
      </x:c>
      <x:c r="D694" s="1" t="str">
        <x:v>NOT_REVEALING</x:v>
      </x:c>
      <x:c r="E694" s="5" t="n">
        <x:v>0.807</x:v>
      </x:c>
      <x:c r="F694" s="4" t="n">
        <x:v>0</x:v>
      </x:c>
      <x:c r="G694" s="4"/>
      <x:c r="H694" s="6"/>
      <x:c r="I694" s="16" t="n">
        <x:v>1</x:v>
      </x:c>
      <x:c r="J694" t="n">
        <x:v>57</x:v>
      </x:c>
      <x:c r="K694" s="4" t="n">
        <x:v>46</x:v>
      </x:c>
      <x:c r="L694" s="4" t="n">
        <x:v>15</x:v>
      </x:c>
      <x:c r="M694" s="4" t="n">
        <x:v>9</x:v>
      </x:c>
      <x:c r="N694" s="5" t="n">
        <x:v>0.6</x:v>
      </x:c>
    </x:row>
    <x:row r="695" ht="24" customHeight="1">
      <x:c r="A695" s="1" t="str">
        <x:v>RESULT</x:v>
      </x:c>
      <x:c r="B695" s="1" t="str">
        <x:v>Round1</x:v>
      </x:c>
      <x:c r="C695" s="1" t="str">
        <x:v>Math_11</x:v>
      </x:c>
      <x:c r="D695" s="1" t="str">
        <x:v>NOT_REVEALING</x:v>
      </x:c>
      <x:c r="E695" s="5" t="n">
        <x:v>0</x:v>
      </x:c>
      <x:c r="F695" s="4" t="n">
        <x:v>0</x:v>
      </x:c>
      <x:c r="G695" s="4"/>
      <x:c r="H695" s="6"/>
      <x:c r="I695" s="16" t="n">
        <x:v>1</x:v>
      </x:c>
      <x:c r="J695" t="n">
        <x:v>59</x:v>
      </x:c>
      <x:c r="K695" s="4" t="n">
        <x:v>0</x:v>
      </x:c>
      <x:c r="L695" s="4" t="n">
        <x:v>28</x:v>
      </x:c>
      <x:c r="M695" s="4" t="n">
        <x:v>0</x:v>
      </x:c>
      <x:c r="N695" s="5" t="n">
        <x:v>0</x:v>
      </x:c>
    </x:row>
    <x:row r="696" ht="24" customHeight="1">
      <x:c r="A696" s="1" t="str">
        <x:v>RESULT</x:v>
      </x:c>
      <x:c r="B696" s="1" t="str">
        <x:v>Round1</x:v>
      </x:c>
      <x:c r="C696" s="1" t="str">
        <x:v>Math_12</x:v>
      </x:c>
      <x:c r="D696" s="1" t="str">
        <x:v>NOT_REVEALING</x:v>
      </x:c>
      <x:c r="E696" s="5" t="n">
        <x:v>1</x:v>
      </x:c>
      <x:c r="F696" s="4" t="n">
        <x:v>0</x:v>
      </x:c>
      <x:c r="G696" s="4" t="n">
        <x:v>8233</x:v>
      </x:c>
      <x:c r="H696" s="6" t="n">
        <x:v>33.5</x:v>
      </x:c>
      <x:c r="I696" s="16" t="n">
        <x:v>1</x:v>
      </x:c>
      <x:c r="J696" t="n">
        <x:v>48</x:v>
      </x:c>
      <x:c r="K696" s="4" t="n">
        <x:v>48</x:v>
      </x:c>
      <x:c r="L696" s="4" t="n">
        <x:v>14</x:v>
      </x:c>
      <x:c r="M696" s="4" t="n">
        <x:v>14</x:v>
      </x:c>
      <x:c r="N696" s="5" t="n">
        <x:v>1</x:v>
      </x:c>
    </x:row>
    <x:row r="697" ht="24" customHeight="1">
      <x:c r="A697" s="1" t="str">
        <x:v>RESULT</x:v>
      </x:c>
      <x:c r="B697" s="1" t="str">
        <x:v>Round1</x:v>
      </x:c>
      <x:c r="C697" s="1" t="str">
        <x:v>Math_13</x:v>
      </x:c>
      <x:c r="D697" s="1" t="str">
        <x:v>NOT_REVEALING</x:v>
      </x:c>
      <x:c r="E697" s="5" t="n">
        <x:v>0</x:v>
      </x:c>
      <x:c r="F697" s="4" t="n">
        <x:v>0</x:v>
      </x:c>
      <x:c r="G697" s="4"/>
      <x:c r="H697" s="6"/>
      <x:c r="I697" s="16" t="n">
        <x:v>1</x:v>
      </x:c>
      <x:c r="J697" t="n">
        <x:v>81</x:v>
      </x:c>
      <x:c r="K697" s="4" t="n">
        <x:v>0</x:v>
      </x:c>
      <x:c r="L697" s="4" t="n">
        <x:v>18</x:v>
      </x:c>
      <x:c r="M697" s="4" t="n">
        <x:v>0</x:v>
      </x:c>
      <x:c r="N697" s="5" t="n">
        <x:v>0</x:v>
      </x:c>
    </x:row>
    <x:row r="698" ht="24" customHeight="1">
      <x:c r="A698" s="1" t="str">
        <x:v>RESULT</x:v>
      </x:c>
      <x:c r="B698" s="1" t="str">
        <x:v>Round1</x:v>
      </x:c>
      <x:c r="C698" s="1" t="str">
        <x:v>Math_14</x:v>
      </x:c>
      <x:c r="D698" s="1" t="str">
        <x:v>NOT_REVEALING</x:v>
      </x:c>
      <x:c r="E698" s="5" t="n">
        <x:v>0.25489999999999996</x:v>
      </x:c>
      <x:c r="F698" s="4" t="n">
        <x:v>0</x:v>
      </x:c>
      <x:c r="G698" s="4" t="n">
        <x:v>4256</x:v>
      </x:c>
      <x:c r="H698" s="6" t="n">
        <x:v>19.46</x:v>
      </x:c>
      <x:c r="I698" s="16" t="n">
        <x:v>1</x:v>
      </x:c>
      <x:c r="J698" t="n">
        <x:v>51</x:v>
      </x:c>
      <x:c r="K698" s="4" t="n">
        <x:v>13</x:v>
      </x:c>
      <x:c r="L698" s="4" t="n">
        <x:v>14</x:v>
      </x:c>
      <x:c r="M698" s="4" t="n">
        <x:v>4</x:v>
      </x:c>
      <x:c r="N698" s="5" t="n">
        <x:v>0.2857</x:v>
      </x:c>
    </x:row>
    <x:row r="699" ht="24" customHeight="1">
      <x:c r="A699" s="1" t="str">
        <x:v>RESULT</x:v>
      </x:c>
      <x:c r="B699" s="1" t="str">
        <x:v>Round1</x:v>
      </x:c>
      <x:c r="C699" s="1" t="str">
        <x:v>Math_15</x:v>
      </x:c>
      <x:c r="D699" s="1" t="str">
        <x:v>NOT_REVEALING</x:v>
      </x:c>
      <x:c r="E699" s="5" t="n">
        <x:v>0.0087</x:v>
      </x:c>
      <x:c r="F699" s="4" t="n">
        <x:v>0</x:v>
      </x:c>
      <x:c r="G699" s="4"/>
      <x:c r="H699" s="6"/>
      <x:c r="I699" s="16" t="n">
        <x:v>1</x:v>
      </x:c>
      <x:c r="J699" t="n">
        <x:v>1497</x:v>
      </x:c>
      <x:c r="K699" s="4" t="n">
        <x:v>13</x:v>
      </x:c>
      <x:c r="L699" s="4" t="n">
        <x:v>798</x:v>
      </x:c>
      <x:c r="M699" s="4" t="n">
        <x:v>0</x:v>
      </x:c>
      <x:c r="N699" s="5" t="n">
        <x:v>0</x:v>
      </x:c>
    </x:row>
    <x:row r="700" ht="24" customHeight="1">
      <x:c r="A700" s="1" t="str">
        <x:v>RESULT</x:v>
      </x:c>
      <x:c r="B700" s="1" t="str">
        <x:v>Round1</x:v>
      </x:c>
      <x:c r="C700" s="1" t="str">
        <x:v>Math_16</x:v>
      </x:c>
      <x:c r="D700" s="1" t="str">
        <x:v>NOT_REVEALING</x:v>
      </x:c>
      <x:c r="E700" s="5" t="n">
        <x:v>0.008100000000000001</x:v>
      </x:c>
      <x:c r="F700" s="4" t="n">
        <x:v>0</x:v>
      </x:c>
      <x:c r="G700" s="4"/>
      <x:c r="H700" s="6"/>
      <x:c r="I700" s="16" t="n">
        <x:v>1</x:v>
      </x:c>
      <x:c r="J700" t="n">
        <x:v>1484</x:v>
      </x:c>
      <x:c r="K700" s="4" t="n">
        <x:v>12</x:v>
      </x:c>
      <x:c r="L700" s="4" t="n">
        <x:v>790</x:v>
      </x:c>
      <x:c r="M700" s="4" t="n">
        <x:v>0</x:v>
      </x:c>
      <x:c r="N700" s="5" t="n">
        <x:v>0</x:v>
      </x:c>
    </x:row>
    <x:row r="701" ht="24" customHeight="1">
      <x:c r="A701" s="1" t="str">
        <x:v>RESULT</x:v>
      </x:c>
      <x:c r="B701" s="1" t="str">
        <x:v>Round1</x:v>
      </x:c>
      <x:c r="C701" s="1" t="str">
        <x:v>Math_17</x:v>
      </x:c>
      <x:c r="D701" s="1" t="str">
        <x:v>NOT_REVEALING</x:v>
      </x:c>
      <x:c r="E701" s="5" t="n">
        <x:v>0</x:v>
      </x:c>
      <x:c r="F701" s="4" t="n">
        <x:v>0</x:v>
      </x:c>
      <x:c r="G701" s="4"/>
      <x:c r="H701" s="6"/>
      <x:c r="I701" s="16" t="n">
        <x:v>1</x:v>
      </x:c>
      <x:c r="J701" t="n">
        <x:v>1029</x:v>
      </x:c>
      <x:c r="K701" s="4" t="n">
        <x:v>0</x:v>
      </x:c>
      <x:c r="L701" s="4" t="n">
        <x:v>738</x:v>
      </x:c>
      <x:c r="M701" s="4" t="n">
        <x:v>0</x:v>
      </x:c>
      <x:c r="N701" s="5" t="n">
        <x:v>0</x:v>
      </x:c>
    </x:row>
    <x:row r="702" ht="24" customHeight="1">
      <x:c r="A702" s="1" t="str">
        <x:v>RESULT</x:v>
      </x:c>
      <x:c r="B702" s="1" t="str">
        <x:v>Round1</x:v>
      </x:c>
      <x:c r="C702" s="1" t="str">
        <x:v>Math_18</x:v>
      </x:c>
      <x:c r="D702" s="1" t="str">
        <x:v>INCONCLUSIVE</x:v>
      </x:c>
      <x:c r="E702" s="5" t="n">
        <x:v>0.002</x:v>
      </x:c>
      <x:c r="F702" s="4" t="n">
        <x:v>0</x:v>
      </x:c>
      <x:c r="G702" s="4"/>
      <x:c r="H702" s="6"/>
      <x:c r="I702" s="16" t="n">
        <x:v>1</x:v>
      </x:c>
      <x:c r="J702" t="n">
        <x:v>510</x:v>
      </x:c>
      <x:c r="K702" s="4" t="n">
        <x:v>1</x:v>
      </x:c>
      <x:c r="L702" s="4" t="n">
        <x:v>276</x:v>
      </x:c>
      <x:c r="M702" s="4" t="n">
        <x:v>0</x:v>
      </x:c>
      <x:c r="N702" s="5" t="n">
        <x:v>0</x:v>
      </x:c>
    </x:row>
    <x:row r="703" ht="24" customHeight="1">
      <x:c r="A703" s="1" t="str">
        <x:v>RESULT</x:v>
      </x:c>
      <x:c r="B703" s="1" t="str">
        <x:v>Round1</x:v>
      </x:c>
      <x:c r="C703" s="1" t="str">
        <x:v>Math_19</x:v>
      </x:c>
      <x:c r="D703" s="1" t="str">
        <x:v>INCONCLUSIVE</x:v>
      </x:c>
      <x:c r="E703" s="5" t="n">
        <x:v>0.002</x:v>
      </x:c>
      <x:c r="F703" s="4" t="n">
        <x:v>0</x:v>
      </x:c>
      <x:c r="G703" s="4"/>
      <x:c r="H703" s="6"/>
      <x:c r="I703" s="16" t="n">
        <x:v>1</x:v>
      </x:c>
      <x:c r="J703" t="n">
        <x:v>501</x:v>
      </x:c>
      <x:c r="K703" s="4" t="n">
        <x:v>1</x:v>
      </x:c>
      <x:c r="L703" s="4" t="n">
        <x:v>272</x:v>
      </x:c>
      <x:c r="M703" s="4" t="n">
        <x:v>0</x:v>
      </x:c>
      <x:c r="N703" s="5" t="n">
        <x:v>0</x:v>
      </x:c>
    </x:row>
    <x:row r="704" ht="24" customHeight="1">
      <x:c r="A704" s="1" t="str">
        <x:v>RESULT</x:v>
      </x:c>
      <x:c r="B704" s="1" t="str">
        <x:v>Round1</x:v>
      </x:c>
      <x:c r="C704" s="1" t="str">
        <x:v>Math_2</x:v>
      </x:c>
      <x:c r="D704" s="1" t="str">
        <x:v>NOT_REVEALING</x:v>
      </x:c>
      <x:c r="E704" s="5" t="n">
        <x:v>0.7027</x:v>
      </x:c>
      <x:c r="F704" s="4" t="n">
        <x:v>0</x:v>
      </x:c>
      <x:c r="G704" s="4"/>
      <x:c r="H704" s="6"/>
      <x:c r="I704" s="16" t="n">
        <x:v>1</x:v>
      </x:c>
      <x:c r="J704" t="n">
        <x:v>74</x:v>
      </x:c>
      <x:c r="K704" s="4" t="n">
        <x:v>52</x:v>
      </x:c>
      <x:c r="L704" s="4" t="n">
        <x:v>26</x:v>
      </x:c>
      <x:c r="M704" s="4" t="n">
        <x:v>15</x:v>
      </x:c>
      <x:c r="N704" s="5" t="n">
        <x:v>0.5769</x:v>
      </x:c>
    </x:row>
    <x:row r="705" ht="24" customHeight="1">
      <x:c r="A705" s="1" t="str">
        <x:v>RESULT</x:v>
      </x:c>
      <x:c r="B705" s="1" t="str">
        <x:v>Round1</x:v>
      </x:c>
      <x:c r="C705" s="1" t="str">
        <x:v>Math_20</x:v>
      </x:c>
      <x:c r="D705" s="1" t="str">
        <x:v>INCONCLUSIVE</x:v>
      </x:c>
      <x:c r="E705" s="5" t="n">
        <x:v>0.002</x:v>
      </x:c>
      <x:c r="F705" s="4" t="n">
        <x:v>0</x:v>
      </x:c>
      <x:c r="G705" s="4"/>
      <x:c r="H705" s="6"/>
      <x:c r="I705" s="16" t="n">
        <x:v>1</x:v>
      </x:c>
      <x:c r="J705" t="n">
        <x:v>500</x:v>
      </x:c>
      <x:c r="K705" s="4" t="n">
        <x:v>1</x:v>
      </x:c>
      <x:c r="L705" s="4" t="n">
        <x:v>268</x:v>
      </x:c>
      <x:c r="M705" s="4" t="n">
        <x:v>0</x:v>
      </x:c>
      <x:c r="N705" s="5" t="n">
        <x:v>0</x:v>
      </x:c>
    </x:row>
    <x:row r="706" ht="24" customHeight="1">
      <x:c r="A706" s="1" t="str">
        <x:v>RESULT</x:v>
      </x:c>
      <x:c r="B706" s="1" t="str">
        <x:v>Round1</x:v>
      </x:c>
      <x:c r="C706" s="1" t="str">
        <x:v>Math_21</x:v>
      </x:c>
      <x:c r="D706" s="1" t="str">
        <x:v>NOT_REVEALING</x:v>
      </x:c>
      <x:c r="E706" s="5" t="n">
        <x:v>1</x:v>
      </x:c>
      <x:c r="F706" s="4" t="n">
        <x:v>0</x:v>
      </x:c>
      <x:c r="G706" s="4" t="n">
        <x:v>7048</x:v>
      </x:c>
      <x:c r="H706" s="6" t="n">
        <x:v>43.99</x:v>
      </x:c>
      <x:c r="I706" s="16" t="n">
        <x:v>1</x:v>
      </x:c>
      <x:c r="J706" t="n">
        <x:v>52</x:v>
      </x:c>
      <x:c r="K706" s="4" t="n">
        <x:v>52</x:v>
      </x:c>
      <x:c r="L706" s="4" t="n">
        <x:v>28</x:v>
      </x:c>
      <x:c r="M706" s="4" t="n">
        <x:v>28</x:v>
      </x:c>
      <x:c r="N706" s="5" t="n">
        <x:v>1</x:v>
      </x:c>
    </x:row>
    <x:row r="707" ht="24" customHeight="1">
      <x:c r="A707" s="1" t="str">
        <x:v>RESULT</x:v>
      </x:c>
      <x:c r="B707" s="1" t="str">
        <x:v>Round1</x:v>
      </x:c>
      <x:c r="C707" s="1" t="str">
        <x:v>Math_22</x:v>
      </x:c>
      <x:c r="D707" s="1" t="str">
        <x:v>INCONCLUSIVE</x:v>
      </x:c>
      <x:c r="E707" s="5" t="n">
        <x:v>0.3837</x:v>
      </x:c>
      <x:c r="F707" s="4" t="n">
        <x:v>0</x:v>
      </x:c>
      <x:c r="G707" s="4" t="n">
        <x:v>7511</x:v>
      </x:c>
      <x:c r="H707" s="6" t="n">
        <x:v>29.11</x:v>
      </x:c>
      <x:c r="I707" s="16" t="n">
        <x:v>1</x:v>
      </x:c>
      <x:c r="J707" t="n">
        <x:v>86</x:v>
      </x:c>
      <x:c r="K707" s="4" t="n">
        <x:v>33</x:v>
      </x:c>
      <x:c r="L707" s="4" t="n">
        <x:v>22</x:v>
      </x:c>
      <x:c r="M707" s="4" t="n">
        <x:v>10</x:v>
      </x:c>
      <x:c r="N707" s="5" t="n">
        <x:v>0.4545</x:v>
      </x:c>
    </x:row>
    <x:row r="708" ht="24" customHeight="1">
      <x:c r="A708" s="1" t="str">
        <x:v>RESULT</x:v>
      </x:c>
      <x:c r="B708" s="1" t="str">
        <x:v>Round1</x:v>
      </x:c>
      <x:c r="C708" s="1" t="str">
        <x:v>Math_23</x:v>
      </x:c>
      <x:c r="D708" s="1" t="str">
        <x:v>NOT_REVEALING</x:v>
      </x:c>
      <x:c r="E708" s="5" t="n">
        <x:v>0.0165</x:v>
      </x:c>
      <x:c r="F708" s="4" t="n">
        <x:v>0</x:v>
      </x:c>
      <x:c r="G708" s="4"/>
      <x:c r="H708" s="6"/>
      <x:c r="I708" s="16" t="n">
        <x:v>1</x:v>
      </x:c>
      <x:c r="J708" t="n">
        <x:v>121</x:v>
      </x:c>
      <x:c r="K708" s="4" t="n">
        <x:v>2</x:v>
      </x:c>
      <x:c r="L708" s="4" t="n">
        <x:v>74</x:v>
      </x:c>
      <x:c r="M708" s="4" t="n">
        <x:v>0</x:v>
      </x:c>
      <x:c r="N708" s="5" t="n">
        <x:v>0</x:v>
      </x:c>
    </x:row>
    <x:row r="709" ht="24" customHeight="1">
      <x:c r="A709" s="1" t="str">
        <x:v>RESULT</x:v>
      </x:c>
      <x:c r="B709" s="1" t="str">
        <x:v>Round1</x:v>
      </x:c>
      <x:c r="C709" s="1" t="str">
        <x:v>Math_24</x:v>
      </x:c>
      <x:c r="D709" s="1" t="str">
        <x:v>NOT_REVEALING</x:v>
      </x:c>
      <x:c r="E709" s="5" t="n">
        <x:v>0.0167</x:v>
      </x:c>
      <x:c r="F709" s="4" t="n">
        <x:v>0</x:v>
      </x:c>
      <x:c r="G709" s="4"/>
      <x:c r="H709" s="6"/>
      <x:c r="I709" s="16" t="n">
        <x:v>1</x:v>
      </x:c>
      <x:c r="J709" t="n">
        <x:v>120</x:v>
      </x:c>
      <x:c r="K709" s="4" t="n">
        <x:v>2</x:v>
      </x:c>
      <x:c r="L709" s="4" t="n">
        <x:v>74</x:v>
      </x:c>
      <x:c r="M709" s="4" t="n">
        <x:v>0</x:v>
      </x:c>
      <x:c r="N709" s="5" t="n">
        <x:v>0</x:v>
      </x:c>
    </x:row>
    <x:row r="710" ht="24" customHeight="1">
      <x:c r="A710" s="1" t="str">
        <x:v>RESULT</x:v>
      </x:c>
      <x:c r="B710" s="1" t="str">
        <x:v>Round1</x:v>
      </x:c>
      <x:c r="C710" s="1" t="str">
        <x:v>Math_25</x:v>
      </x:c>
      <x:c r="D710" s="1" t="str">
        <x:v>INCONCLUSIVE</x:v>
      </x:c>
      <x:c r="E710" s="5" t="n">
        <x:v>0</x:v>
      </x:c>
      <x:c r="F710" s="4" t="n">
        <x:v>0</x:v>
      </x:c>
      <x:c r="G710" s="4"/>
      <x:c r="H710" s="6"/>
      <x:c r="I710" s="16" t="n">
        <x:v>1</x:v>
      </x:c>
      <x:c r="J710" t="n">
        <x:v>94</x:v>
      </x:c>
      <x:c r="K710" s="4" t="n">
        <x:v>0</x:v>
      </x:c>
      <x:c r="L710" s="4" t="n">
        <x:v>28</x:v>
      </x:c>
      <x:c r="M710" s="4" t="n">
        <x:v>0</x:v>
      </x:c>
      <x:c r="N710" s="5" t="n">
        <x:v>0</x:v>
      </x:c>
    </x:row>
    <x:row r="711" ht="24" customHeight="1">
      <x:c r="A711" s="1" t="str">
        <x:v>RESULT</x:v>
      </x:c>
      <x:c r="B711" s="1" t="str">
        <x:v>Round1</x:v>
      </x:c>
      <x:c r="C711" s="1" t="str">
        <x:v>Math_26</x:v>
      </x:c>
      <x:c r="D711" s="1" t="str">
        <x:v>NOT_AVAILABLE</x:v>
      </x:c>
      <x:c r="E711" s="5"/>
      <x:c r="F711" s="4" t="n">
        <x:v>0</x:v>
      </x:c>
      <x:c r="G711" s="4"/>
      <x:c r="H711" s="6"/>
      <x:c r="I711" s="16" t="n">
        <x:v>1</x:v>
      </x:c>
      <x:c r="J711"/>
      <x:c r="K711" s="4"/>
      <x:c r="L711" s="4"/>
      <x:c r="M711" s="4"/>
      <x:c r="N711" s="5"/>
    </x:row>
    <x:row r="712" ht="24" customHeight="1">
      <x:c r="A712" s="1" t="str">
        <x:v>RESULT</x:v>
      </x:c>
      <x:c r="B712" s="1" t="str">
        <x:v>Round1</x:v>
      </x:c>
      <x:c r="C712" s="1" t="str">
        <x:v>Math_27</x:v>
      </x:c>
      <x:c r="D712" s="1" t="str">
        <x:v>NOT_AVAILABLE</x:v>
      </x:c>
      <x:c r="E712" s="5"/>
      <x:c r="F712" s="4" t="n">
        <x:v>0</x:v>
      </x:c>
      <x:c r="G712" s="4"/>
      <x:c r="H712" s="6"/>
      <x:c r="I712" s="16" t="n">
        <x:v>1</x:v>
      </x:c>
      <x:c r="J712"/>
      <x:c r="K712" s="4"/>
      <x:c r="L712" s="4"/>
      <x:c r="M712" s="4"/>
      <x:c r="N712" s="5"/>
    </x:row>
    <x:row r="713" ht="24" customHeight="1">
      <x:c r="A713" s="1" t="str">
        <x:v>RESULT</x:v>
      </x:c>
      <x:c r="B713" s="1" t="str">
        <x:v>Round1</x:v>
      </x:c>
      <x:c r="C713" s="1" t="str">
        <x:v>Math_28</x:v>
      </x:c>
      <x:c r="D713" s="1" t="str">
        <x:v>NOT_REVEALING</x:v>
      </x:c>
      <x:c r="E713" s="5" t="n">
        <x:v>0</x:v>
      </x:c>
      <x:c r="F713" s="4" t="n">
        <x:v>0</x:v>
      </x:c>
      <x:c r="G713" s="4"/>
      <x:c r="H713" s="6"/>
      <x:c r="I713" s="16" t="n">
        <x:v>1</x:v>
      </x:c>
      <x:c r="J713" t="n">
        <x:v>79</x:v>
      </x:c>
      <x:c r="K713" s="4" t="n">
        <x:v>0</x:v>
      </x:c>
      <x:c r="L713" s="4" t="n">
        <x:v>48</x:v>
      </x:c>
      <x:c r="M713" s="4" t="n">
        <x:v>0</x:v>
      </x:c>
      <x:c r="N713" s="5" t="n">
        <x:v>0</x:v>
      </x:c>
    </x:row>
    <x:row r="714" ht="24" customHeight="1">
      <x:c r="A714" s="1" t="str">
        <x:v>RESULT</x:v>
      </x:c>
      <x:c r="B714" s="1" t="str">
        <x:v>Round1</x:v>
      </x:c>
      <x:c r="C714" s="1" t="str">
        <x:v>Math_29</x:v>
      </x:c>
      <x:c r="D714" s="1" t="str">
        <x:v>NOT_REVEALING</x:v>
      </x:c>
      <x:c r="E714" s="5" t="n">
        <x:v>0</x:v>
      </x:c>
      <x:c r="F714" s="4" t="n">
        <x:v>0</x:v>
      </x:c>
      <x:c r="G714" s="4"/>
      <x:c r="H714" s="6"/>
      <x:c r="I714" s="16" t="n">
        <x:v>1</x:v>
      </x:c>
      <x:c r="J714" t="n">
        <x:v>321</x:v>
      </x:c>
      <x:c r="K714" s="4" t="n">
        <x:v>0</x:v>
      </x:c>
      <x:c r="L714" s="4" t="n">
        <x:v>134</x:v>
      </x:c>
      <x:c r="M714" s="4" t="n">
        <x:v>0</x:v>
      </x:c>
      <x:c r="N714" s="5" t="n">
        <x:v>0</x:v>
      </x:c>
    </x:row>
    <x:row r="715" ht="24" customHeight="1">
      <x:c r="A715" s="1" t="str">
        <x:v>RESULT</x:v>
      </x:c>
      <x:c r="B715" s="1" t="str">
        <x:v>Round1</x:v>
      </x:c>
      <x:c r="C715" s="1" t="str">
        <x:v>Math_3</x:v>
      </x:c>
      <x:c r="D715" s="1" t="str">
        <x:v>NOT_AVAILABLE</x:v>
      </x:c>
      <x:c r="E715" s="5"/>
      <x:c r="F715" s="4" t="n">
        <x:v>0</x:v>
      </x:c>
      <x:c r="G715" s="4"/>
      <x:c r="H715" s="6"/>
      <x:c r="I715" s="16" t="n">
        <x:v>1</x:v>
      </x:c>
      <x:c r="J715"/>
      <x:c r="K715" s="4"/>
      <x:c r="L715" s="4"/>
      <x:c r="M715" s="4"/>
      <x:c r="N715" s="5"/>
    </x:row>
    <x:row r="716" ht="24" customHeight="1">
      <x:c r="A716" s="1" t="str">
        <x:v>RESULT</x:v>
      </x:c>
      <x:c r="B716" s="1" t="str">
        <x:v>Round1</x:v>
      </x:c>
      <x:c r="C716" s="1" t="str">
        <x:v>Math_30</x:v>
      </x:c>
      <x:c r="D716" s="1" t="str">
        <x:v>NOT_REVEALING</x:v>
      </x:c>
      <x:c r="E716" s="5" t="n">
        <x:v>0</x:v>
      </x:c>
      <x:c r="F716" s="4" t="n">
        <x:v>0</x:v>
      </x:c>
      <x:c r="G716" s="4"/>
      <x:c r="H716" s="6"/>
      <x:c r="I716" s="16" t="n">
        <x:v>1</x:v>
      </x:c>
      <x:c r="J716" t="n">
        <x:v>34</x:v>
      </x:c>
      <x:c r="K716" s="4" t="n">
        <x:v>0</x:v>
      </x:c>
      <x:c r="L716" s="4" t="n">
        <x:v>10</x:v>
      </x:c>
      <x:c r="M716" s="4" t="n">
        <x:v>0</x:v>
      </x:c>
      <x:c r="N716" s="5" t="n">
        <x:v>0</x:v>
      </x:c>
    </x:row>
    <x:row r="717" ht="24" customHeight="1">
      <x:c r="A717" s="1" t="str">
        <x:v>RESULT</x:v>
      </x:c>
      <x:c r="B717" s="1" t="str">
        <x:v>Round1</x:v>
      </x:c>
      <x:c r="C717" s="1" t="str">
        <x:v>Math_31</x:v>
      </x:c>
      <x:c r="D717" s="1" t="str">
        <x:v>NOT_REVEALING</x:v>
      </x:c>
      <x:c r="E717" s="5" t="n">
        <x:v>0</x:v>
      </x:c>
      <x:c r="F717" s="4" t="n">
        <x:v>0</x:v>
      </x:c>
      <x:c r="G717" s="4"/>
      <x:c r="H717" s="6"/>
      <x:c r="I717" s="16" t="n">
        <x:v>1</x:v>
      </x:c>
      <x:c r="J717" t="n">
        <x:v>59</x:v>
      </x:c>
      <x:c r="K717" s="4" t="n">
        <x:v>0</x:v>
      </x:c>
      <x:c r="L717" s="4" t="n">
        <x:v>30</x:v>
      </x:c>
      <x:c r="M717" s="4" t="n">
        <x:v>0</x:v>
      </x:c>
      <x:c r="N717" s="5" t="n">
        <x:v>0</x:v>
      </x:c>
    </x:row>
    <x:row r="718" ht="24" customHeight="1">
      <x:c r="A718" s="1" t="str">
        <x:v>RESULT</x:v>
      </x:c>
      <x:c r="B718" s="1" t="str">
        <x:v>Round1</x:v>
      </x:c>
      <x:c r="C718" s="1" t="str">
        <x:v>Math_32</x:v>
      </x:c>
      <x:c r="D718" s="1" t="str">
        <x:v>INCONCLUSIVE</x:v>
      </x:c>
      <x:c r="E718" s="5" t="n">
        <x:v>0</x:v>
      </x:c>
      <x:c r="F718" s="4" t="n">
        <x:v>0</x:v>
      </x:c>
      <x:c r="G718" s="4"/>
      <x:c r="H718" s="6"/>
      <x:c r="I718" s="16" t="n">
        <x:v>1</x:v>
      </x:c>
      <x:c r="J718" t="n">
        <x:v>169</x:v>
      </x:c>
      <x:c r="K718" s="4" t="n">
        <x:v>0</x:v>
      </x:c>
      <x:c r="L718" s="4" t="n">
        <x:v>80</x:v>
      </x:c>
      <x:c r="M718" s="4" t="n">
        <x:v>0</x:v>
      </x:c>
      <x:c r="N718" s="5" t="n">
        <x:v>0</x:v>
      </x:c>
    </x:row>
    <x:row r="719" ht="24" customHeight="1">
      <x:c r="A719" s="1" t="str">
        <x:v>RESULT</x:v>
      </x:c>
      <x:c r="B719" s="1" t="str">
        <x:v>Round1</x:v>
      </x:c>
      <x:c r="C719" s="1" t="str">
        <x:v>Math_33</x:v>
      </x:c>
      <x:c r="D719" s="1" t="str">
        <x:v>NOT_REVEALING</x:v>
      </x:c>
      <x:c r="E719" s="5" t="n">
        <x:v>0</x:v>
      </x:c>
      <x:c r="F719" s="4" t="n">
        <x:v>0</x:v>
      </x:c>
      <x:c r="G719" s="4"/>
      <x:c r="H719" s="6"/>
      <x:c r="I719" s="16" t="n">
        <x:v>1</x:v>
      </x:c>
      <x:c r="J719" t="n">
        <x:v>185</x:v>
      </x:c>
      <x:c r="K719" s="4" t="n">
        <x:v>0</x:v>
      </x:c>
      <x:c r="L719" s="4" t="n">
        <x:v>124</x:v>
      </x:c>
      <x:c r="M719" s="4" t="n">
        <x:v>0</x:v>
      </x:c>
      <x:c r="N719" s="5" t="n">
        <x:v>0</x:v>
      </x:c>
    </x:row>
    <x:row r="720" ht="24" customHeight="1">
      <x:c r="A720" s="1" t="str">
        <x:v>RESULT</x:v>
      </x:c>
      <x:c r="B720" s="1" t="str">
        <x:v>Round1</x:v>
      </x:c>
      <x:c r="C720" s="1" t="str">
        <x:v>Math_34</x:v>
      </x:c>
      <x:c r="D720" s="1" t="str">
        <x:v>NOT_REVEALING</x:v>
      </x:c>
      <x:c r="E720" s="5" t="n">
        <x:v>0</x:v>
      </x:c>
      <x:c r="F720" s="4" t="n">
        <x:v>0</x:v>
      </x:c>
      <x:c r="G720" s="4"/>
      <x:c r="H720" s="6"/>
      <x:c r="I720" s="16" t="n">
        <x:v>1</x:v>
      </x:c>
      <x:c r="J720" t="n">
        <x:v>50</x:v>
      </x:c>
      <x:c r="K720" s="4" t="n">
        <x:v>0</x:v>
      </x:c>
      <x:c r="L720" s="4" t="n">
        <x:v>22</x:v>
      </x:c>
      <x:c r="M720" s="4" t="n">
        <x:v>0</x:v>
      </x:c>
      <x:c r="N720" s="5" t="n">
        <x:v>0</x:v>
      </x:c>
    </x:row>
    <x:row r="721" ht="24" customHeight="1">
      <x:c r="A721" s="1" t="str">
        <x:v>RESULT</x:v>
      </x:c>
      <x:c r="B721" s="1" t="str">
        <x:v>Round1</x:v>
      </x:c>
      <x:c r="C721" s="1" t="str">
        <x:v>Math_35</x:v>
      </x:c>
      <x:c r="D721" s="1" t="str">
        <x:v>NOT_AVAILABLE</x:v>
      </x:c>
      <x:c r="E721" s="5"/>
      <x:c r="F721" s="4" t="n">
        <x:v>0</x:v>
      </x:c>
      <x:c r="G721" s="4" t="n">
        <x:v>6360</x:v>
      </x:c>
      <x:c r="H721" s="6" t="n">
        <x:v>28.15</x:v>
      </x:c>
      <x:c r="I721" s="16" t="n">
        <x:v>1</x:v>
      </x:c>
      <x:c r="J721"/>
      <x:c r="K721" s="4"/>
      <x:c r="L721" s="4"/>
      <x:c r="M721" s="4"/>
      <x:c r="N721" s="5"/>
    </x:row>
    <x:row r="722" ht="24" customHeight="1">
      <x:c r="A722" s="1" t="str">
        <x:v>RESULT</x:v>
      </x:c>
      <x:c r="B722" s="1" t="str">
        <x:v>Round1</x:v>
      </x:c>
      <x:c r="C722" s="1" t="str">
        <x:v>Math_36</x:v>
      </x:c>
      <x:c r="D722" s="1" t="str">
        <x:v>NOT_AVAILABLE</x:v>
      </x:c>
      <x:c r="E722" s="5"/>
      <x:c r="F722" s="4" t="n">
        <x:v>0</x:v>
      </x:c>
      <x:c r="G722" s="4"/>
      <x:c r="H722" s="6"/>
      <x:c r="I722" s="16" t="n">
        <x:v>1</x:v>
      </x:c>
      <x:c r="J722"/>
      <x:c r="K722" s="4"/>
      <x:c r="L722" s="4"/>
      <x:c r="M722" s="4"/>
      <x:c r="N722" s="5"/>
    </x:row>
    <x:row r="723" ht="24" customHeight="1">
      <x:c r="A723" s="1" t="str">
        <x:v>RESULT</x:v>
      </x:c>
      <x:c r="B723" s="1" t="str">
        <x:v>Round1</x:v>
      </x:c>
      <x:c r="C723" s="1" t="str">
        <x:v>Math_37</x:v>
      </x:c>
      <x:c r="D723" s="1" t="str">
        <x:v>NOT_REVEALING</x:v>
      </x:c>
      <x:c r="E723" s="5" t="n">
        <x:v>0.0545</x:v>
      </x:c>
      <x:c r="F723" s="4" t="n">
        <x:v>0</x:v>
      </x:c>
      <x:c r="G723" s="4"/>
      <x:c r="H723" s="6"/>
      <x:c r="I723" s="16" t="n">
        <x:v>1</x:v>
      </x:c>
      <x:c r="J723" t="n">
        <x:v>220</x:v>
      </x:c>
      <x:c r="K723" s="4" t="n">
        <x:v>12</x:v>
      </x:c>
      <x:c r="L723" s="4" t="n">
        <x:v>158</x:v>
      </x:c>
      <x:c r="M723" s="4" t="n">
        <x:v>8</x:v>
      </x:c>
      <x:c r="N723" s="5" t="n">
        <x:v>0.0506</x:v>
      </x:c>
    </x:row>
    <x:row r="724" ht="24" customHeight="1">
      <x:c r="A724" s="1" t="str">
        <x:v>RESULT</x:v>
      </x:c>
      <x:c r="B724" s="1" t="str">
        <x:v>Round1</x:v>
      </x:c>
      <x:c r="C724" s="1" t="str">
        <x:v>Math_38</x:v>
      </x:c>
      <x:c r="D724" s="1" t="str">
        <x:v>NOT_REVEALING</x:v>
      </x:c>
      <x:c r="E724" s="5" t="n">
        <x:v>0</x:v>
      </x:c>
      <x:c r="F724" s="4" t="n">
        <x:v>0</x:v>
      </x:c>
      <x:c r="G724" s="4"/>
      <x:c r="H724" s="6"/>
      <x:c r="I724" s="16" t="n">
        <x:v>1</x:v>
      </x:c>
      <x:c r="J724" t="n">
        <x:v>1200</x:v>
      </x:c>
      <x:c r="K724" s="4" t="n">
        <x:v>0</x:v>
      </x:c>
      <x:c r="L724" s="4" t="n">
        <x:v>624</x:v>
      </x:c>
      <x:c r="M724" s="4" t="n">
        <x:v>0</x:v>
      </x:c>
      <x:c r="N724" s="5" t="n">
        <x:v>0</x:v>
      </x:c>
    </x:row>
    <x:row r="725" ht="24" customHeight="1">
      <x:c r="A725" s="1" t="str">
        <x:v>RESULT</x:v>
      </x:c>
      <x:c r="B725" s="1" t="str">
        <x:v>Round1</x:v>
      </x:c>
      <x:c r="C725" s="1" t="str">
        <x:v>Math_39</x:v>
      </x:c>
      <x:c r="D725" s="1" t="str">
        <x:v>NOT_REVEALING</x:v>
      </x:c>
      <x:c r="E725" s="5" t="n">
        <x:v>0</x:v>
      </x:c>
      <x:c r="F725" s="4" t="n">
        <x:v>0</x:v>
      </x:c>
      <x:c r="G725" s="4"/>
      <x:c r="H725" s="6"/>
      <x:c r="I725" s="16" t="n">
        <x:v>1</x:v>
      </x:c>
      <x:c r="J725" t="n">
        <x:v>107</x:v>
      </x:c>
      <x:c r="K725" s="4" t="n">
        <x:v>0</x:v>
      </x:c>
      <x:c r="L725" s="4" t="n">
        <x:v>48</x:v>
      </x:c>
      <x:c r="M725" s="4" t="n">
        <x:v>0</x:v>
      </x:c>
      <x:c r="N725" s="5" t="n">
        <x:v>0</x:v>
      </x:c>
    </x:row>
    <x:row r="726" ht="24" customHeight="1">
      <x:c r="A726" s="1" t="str">
        <x:v>RESULT</x:v>
      </x:c>
      <x:c r="B726" s="1" t="str">
        <x:v>Round1</x:v>
      </x:c>
      <x:c r="C726" s="1" t="str">
        <x:v>Math_4</x:v>
      </x:c>
      <x:c r="D726" s="1" t="str">
        <x:v>INCONCLUSIVE</x:v>
      </x:c>
      <x:c r="E726" s="5" t="n">
        <x:v>0.29760000000000003</x:v>
      </x:c>
      <x:c r="F726" s="4" t="n">
        <x:v>0</x:v>
      </x:c>
      <x:c r="G726" s="4" t="n">
        <x:v>7401</x:v>
      </x:c>
      <x:c r="H726" s="6" t="n">
        <x:v>26.6</x:v>
      </x:c>
      <x:c r="I726" s="16" t="n">
        <x:v>1</x:v>
      </x:c>
      <x:c r="J726" t="n">
        <x:v>84</x:v>
      </x:c>
      <x:c r="K726" s="4" t="n">
        <x:v>25</x:v>
      </x:c>
      <x:c r="L726" s="4" t="n">
        <x:v>44</x:v>
      </x:c>
      <x:c r="M726" s="4" t="n">
        <x:v>12</x:v>
      </x:c>
      <x:c r="N726" s="5" t="n">
        <x:v>0.2727</x:v>
      </x:c>
    </x:row>
    <x:row r="727" ht="24" customHeight="1">
      <x:c r="A727" s="1" t="str">
        <x:v>RESULT</x:v>
      </x:c>
      <x:c r="B727" s="1" t="str">
        <x:v>Round1</x:v>
      </x:c>
      <x:c r="C727" s="1" t="str">
        <x:v>Math_40</x:v>
      </x:c>
      <x:c r="D727" s="1" t="str">
        <x:v>NOT_REVEALING</x:v>
      </x:c>
      <x:c r="E727" s="5" t="n">
        <x:v>0</x:v>
      </x:c>
      <x:c r="F727" s="4" t="n">
        <x:v>0</x:v>
      </x:c>
      <x:c r="G727" s="4"/>
      <x:c r="H727" s="6"/>
      <x:c r="I727" s="16" t="n">
        <x:v>1</x:v>
      </x:c>
      <x:c r="J727" t="n">
        <x:v>126</x:v>
      </x:c>
      <x:c r="K727" s="4" t="n">
        <x:v>0</x:v>
      </x:c>
      <x:c r="L727" s="4" t="n">
        <x:v>66</x:v>
      </x:c>
      <x:c r="M727" s="4" t="n">
        <x:v>0</x:v>
      </x:c>
      <x:c r="N727" s="5" t="n">
        <x:v>0</x:v>
      </x:c>
    </x:row>
    <x:row r="728" ht="24" customHeight="1">
      <x:c r="A728" s="1" t="str">
        <x:v>RESULT</x:v>
      </x:c>
      <x:c r="B728" s="1" t="str">
        <x:v>Round1</x:v>
      </x:c>
      <x:c r="C728" s="1" t="str">
        <x:v>Math_41</x:v>
      </x:c>
      <x:c r="D728" s="1" t="str">
        <x:v>NOT_REVEALING</x:v>
      </x:c>
      <x:c r="E728" s="5" t="n">
        <x:v>0</x:v>
      </x:c>
      <x:c r="F728" s="4" t="n">
        <x:v>0</x:v>
      </x:c>
      <x:c r="G728" s="4"/>
      <x:c r="H728" s="6"/>
      <x:c r="I728" s="16" t="n">
        <x:v>1</x:v>
      </x:c>
      <x:c r="J728" t="n">
        <x:v>112</x:v>
      </x:c>
      <x:c r="K728" s="4" t="n">
        <x:v>0</x:v>
      </x:c>
      <x:c r="L728" s="4" t="n">
        <x:v>46</x:v>
      </x:c>
      <x:c r="M728" s="4" t="n">
        <x:v>0</x:v>
      </x:c>
      <x:c r="N728" s="5" t="n">
        <x:v>0</x:v>
      </x:c>
    </x:row>
    <x:row r="729" ht="24" customHeight="1">
      <x:c r="A729" s="1" t="str">
        <x:v>RESULT</x:v>
      </x:c>
      <x:c r="B729" s="1" t="str">
        <x:v>Round1</x:v>
      </x:c>
      <x:c r="C729" s="1" t="str">
        <x:v>Math_42</x:v>
      </x:c>
      <x:c r="D729" s="1" t="str">
        <x:v>NOT_REVEALING</x:v>
      </x:c>
      <x:c r="E729" s="5" t="n">
        <x:v>0</x:v>
      </x:c>
      <x:c r="F729" s="4" t="n">
        <x:v>0</x:v>
      </x:c>
      <x:c r="G729" s="4"/>
      <x:c r="H729" s="6"/>
      <x:c r="I729" s="16" t="n">
        <x:v>1</x:v>
      </x:c>
      <x:c r="J729" t="n">
        <x:v>183</x:v>
      </x:c>
      <x:c r="K729" s="4" t="n">
        <x:v>0</x:v>
      </x:c>
      <x:c r="L729" s="4" t="n">
        <x:v>120</x:v>
      </x:c>
      <x:c r="M729" s="4" t="n">
        <x:v>0</x:v>
      </x:c>
      <x:c r="N729" s="5" t="n">
        <x:v>0</x:v>
      </x:c>
    </x:row>
    <x:row r="730" ht="24" customHeight="1">
      <x:c r="A730" s="1" t="str">
        <x:v>RESULT</x:v>
      </x:c>
      <x:c r="B730" s="1" t="str">
        <x:v>Round1</x:v>
      </x:c>
      <x:c r="C730" s="1" t="str">
        <x:v>Math_43</x:v>
      </x:c>
      <x:c r="D730" s="1" t="str">
        <x:v>NOT_REVEALING</x:v>
      </x:c>
      <x:c r="E730" s="5" t="n">
        <x:v>0</x:v>
      </x:c>
      <x:c r="F730" s="4" t="n">
        <x:v>0</x:v>
      </x:c>
      <x:c r="G730" s="4"/>
      <x:c r="H730" s="6"/>
      <x:c r="I730" s="16" t="n">
        <x:v>1</x:v>
      </x:c>
      <x:c r="J730" t="n">
        <x:v>192</x:v>
      </x:c>
      <x:c r="K730" s="4" t="n">
        <x:v>0</x:v>
      </x:c>
      <x:c r="L730" s="4" t="n">
        <x:v>58</x:v>
      </x:c>
      <x:c r="M730" s="4" t="n">
        <x:v>0</x:v>
      </x:c>
      <x:c r="N730" s="5" t="n">
        <x:v>0</x:v>
      </x:c>
    </x:row>
    <x:row r="731" ht="24" customHeight="1">
      <x:c r="A731" s="1" t="str">
        <x:v>RESULT</x:v>
      </x:c>
      <x:c r="B731" s="1" t="str">
        <x:v>Round1</x:v>
      </x:c>
      <x:c r="C731" s="1" t="str">
        <x:v>Math_44</x:v>
      </x:c>
      <x:c r="D731" s="1" t="str">
        <x:v>NOT_REVEALING</x:v>
      </x:c>
      <x:c r="E731" s="5" t="n">
        <x:v>0</x:v>
      </x:c>
      <x:c r="F731" s="4" t="n">
        <x:v>0</x:v>
      </x:c>
      <x:c r="G731" s="4"/>
      <x:c r="H731" s="6"/>
      <x:c r="I731" s="16" t="n">
        <x:v>1</x:v>
      </x:c>
      <x:c r="J731" t="n">
        <x:v>117</x:v>
      </x:c>
      <x:c r="K731" s="4" t="n">
        <x:v>0</x:v>
      </x:c>
      <x:c r="L731" s="4" t="n">
        <x:v>42</x:v>
      </x:c>
      <x:c r="M731" s="4" t="n">
        <x:v>0</x:v>
      </x:c>
      <x:c r="N731" s="5" t="n">
        <x:v>0</x:v>
      </x:c>
    </x:row>
    <x:row r="732" ht="24" customHeight="1">
      <x:c r="A732" s="1" t="str">
        <x:v>RESULT</x:v>
      </x:c>
      <x:c r="B732" s="1" t="str">
        <x:v>Round1</x:v>
      </x:c>
      <x:c r="C732" s="1" t="str">
        <x:v>Math_45</x:v>
      </x:c>
      <x:c r="D732" s="1" t="str">
        <x:v>NOT_REVEALING</x:v>
      </x:c>
      <x:c r="E732" s="5" t="n">
        <x:v>0</x:v>
      </x:c>
      <x:c r="F732" s="4" t="n">
        <x:v>0</x:v>
      </x:c>
      <x:c r="G732" s="4"/>
      <x:c r="H732" s="6"/>
      <x:c r="I732" s="16" t="n">
        <x:v>1</x:v>
      </x:c>
      <x:c r="J732" t="n">
        <x:v>97</x:v>
      </x:c>
      <x:c r="K732" s="4" t="n">
        <x:v>0</x:v>
      </x:c>
      <x:c r="L732" s="4" t="n">
        <x:v>22</x:v>
      </x:c>
      <x:c r="M732" s="4" t="n">
        <x:v>0</x:v>
      </x:c>
      <x:c r="N732" s="5" t="n">
        <x:v>0</x:v>
      </x:c>
    </x:row>
    <x:row r="733" ht="24" customHeight="1">
      <x:c r="A733" s="1" t="str">
        <x:v>RESULT</x:v>
      </x:c>
      <x:c r="B733" s="1" t="str">
        <x:v>Round1</x:v>
      </x:c>
      <x:c r="C733" s="1" t="str">
        <x:v>Math_46</x:v>
      </x:c>
      <x:c r="D733" s="1" t="str">
        <x:v>NOT_REVEALING</x:v>
      </x:c>
      <x:c r="E733" s="5" t="n">
        <x:v>0.0644</x:v>
      </x:c>
      <x:c r="F733" s="4" t="n">
        <x:v>0</x:v>
      </x:c>
      <x:c r="G733" s="4"/>
      <x:c r="H733" s="6"/>
      <x:c r="I733" s="16" t="n">
        <x:v>1</x:v>
      </x:c>
      <x:c r="J733" t="n">
        <x:v>202</x:v>
      </x:c>
      <x:c r="K733" s="4" t="n">
        <x:v>13</x:v>
      </x:c>
      <x:c r="L733" s="4" t="n">
        <x:v>148</x:v>
      </x:c>
      <x:c r="M733" s="4" t="n">
        <x:v>12</x:v>
      </x:c>
      <x:c r="N733" s="5" t="n">
        <x:v>0.08109999999999999</x:v>
      </x:c>
    </x:row>
    <x:row r="734" ht="24" customHeight="1">
      <x:c r="A734" s="1" t="str">
        <x:v>RESULT</x:v>
      </x:c>
      <x:c r="B734" s="1" t="str">
        <x:v>Round1</x:v>
      </x:c>
      <x:c r="C734" s="1" t="str">
        <x:v>Math_47</x:v>
      </x:c>
      <x:c r="D734" s="1" t="str">
        <x:v>NOT_REVEALING</x:v>
      </x:c>
      <x:c r="E734" s="5" t="n">
        <x:v>0.059699999999999996</x:v>
      </x:c>
      <x:c r="F734" s="4" t="n">
        <x:v>0</x:v>
      </x:c>
      <x:c r="G734" s="4"/>
      <x:c r="H734" s="6"/>
      <x:c r="I734" s="16" t="n">
        <x:v>1</x:v>
      </x:c>
      <x:c r="J734" t="n">
        <x:v>201</x:v>
      </x:c>
      <x:c r="K734" s="4" t="n">
        <x:v>12</x:v>
      </x:c>
      <x:c r="L734" s="4" t="n">
        <x:v>142</x:v>
      </x:c>
      <x:c r="M734" s="4" t="n">
        <x:v>8</x:v>
      </x:c>
      <x:c r="N734" s="5" t="n">
        <x:v>0.056299999999999996</x:v>
      </x:c>
    </x:row>
    <x:row r="735" ht="24" customHeight="1">
      <x:c r="A735" s="1" t="str">
        <x:v>RESULT</x:v>
      </x:c>
      <x:c r="B735" s="1" t="str">
        <x:v>Round1</x:v>
      </x:c>
      <x:c r="C735" s="1" t="str">
        <x:v>Math_48</x:v>
      </x:c>
      <x:c r="D735" s="1" t="str">
        <x:v>NOT_REVEALING</x:v>
      </x:c>
      <x:c r="E735" s="5" t="n">
        <x:v>0</x:v>
      </x:c>
      <x:c r="F735" s="4" t="n">
        <x:v>0</x:v>
      </x:c>
      <x:c r="G735" s="4"/>
      <x:c r="H735" s="6"/>
      <x:c r="I735" s="16" t="n">
        <x:v>1</x:v>
      </x:c>
      <x:c r="J735" t="n">
        <x:v>73</x:v>
      </x:c>
      <x:c r="K735" s="4" t="n">
        <x:v>0</x:v>
      </x:c>
      <x:c r="L735" s="4" t="n">
        <x:v>46</x:v>
      </x:c>
      <x:c r="M735" s="4" t="n">
        <x:v>0</x:v>
      </x:c>
      <x:c r="N735" s="5" t="n">
        <x:v>0</x:v>
      </x:c>
    </x:row>
    <x:row r="736" ht="24" customHeight="1">
      <x:c r="A736" s="1" t="str">
        <x:v>RESULT</x:v>
      </x:c>
      <x:c r="B736" s="1" t="str">
        <x:v>Round1</x:v>
      </x:c>
      <x:c r="C736" s="1" t="str">
        <x:v>Math_49</x:v>
      </x:c>
      <x:c r="D736" s="1" t="str">
        <x:v>NOT_REVEALING</x:v>
      </x:c>
      <x:c r="E736" s="5" t="n">
        <x:v>0</x:v>
      </x:c>
      <x:c r="F736" s="4" t="n">
        <x:v>0</x:v>
      </x:c>
      <x:c r="G736" s="4"/>
      <x:c r="H736" s="6"/>
      <x:c r="I736" s="16" t="n">
        <x:v>1</x:v>
      </x:c>
      <x:c r="J736" t="n">
        <x:v>378</x:v>
      </x:c>
      <x:c r="K736" s="4" t="n">
        <x:v>0</x:v>
      </x:c>
      <x:c r="L736" s="4" t="n">
        <x:v>152</x:v>
      </x:c>
      <x:c r="M736" s="4" t="n">
        <x:v>0</x:v>
      </x:c>
      <x:c r="N736" s="5" t="n">
        <x:v>0</x:v>
      </x:c>
    </x:row>
    <x:row r="737" ht="24" customHeight="1">
      <x:c r="A737" s="1" t="str">
        <x:v>RESULT</x:v>
      </x:c>
      <x:c r="B737" s="1" t="str">
        <x:v>Round1</x:v>
      </x:c>
      <x:c r="C737" s="1" t="str">
        <x:v>Math_5</x:v>
      </x:c>
      <x:c r="D737" s="1" t="str">
        <x:v>NOT_REVEALING</x:v>
      </x:c>
      <x:c r="E737" s="5" t="n">
        <x:v>0.053099999999999994</x:v>
      </x:c>
      <x:c r="F737" s="4" t="n">
        <x:v>0</x:v>
      </x:c>
      <x:c r="G737" s="4"/>
      <x:c r="H737" s="6"/>
      <x:c r="I737" s="16" t="n">
        <x:v>1</x:v>
      </x:c>
      <x:c r="J737" t="n">
        <x:v>226</x:v>
      </x:c>
      <x:c r="K737" s="4" t="n">
        <x:v>12</x:v>
      </x:c>
      <x:c r="L737" s="4" t="n">
        <x:v>170</x:v>
      </x:c>
      <x:c r="M737" s="4" t="n">
        <x:v>8</x:v>
      </x:c>
      <x:c r="N737" s="5" t="n">
        <x:v>0.0471</x:v>
      </x:c>
    </x:row>
    <x:row r="738" ht="24" customHeight="1">
      <x:c r="A738" s="1" t="str">
        <x:v>RESULT</x:v>
      </x:c>
      <x:c r="B738" s="1" t="str">
        <x:v>Round1</x:v>
      </x:c>
      <x:c r="C738" s="1" t="str">
        <x:v>Math_50</x:v>
      </x:c>
      <x:c r="D738" s="1" t="str">
        <x:v>NOT_REVEALING</x:v>
      </x:c>
      <x:c r="E738" s="5" t="n">
        <x:v>0</x:v>
      </x:c>
      <x:c r="F738" s="4" t="n">
        <x:v>0</x:v>
      </x:c>
      <x:c r="G738" s="4"/>
      <x:c r="H738" s="6"/>
      <x:c r="I738" s="16" t="n">
        <x:v>1</x:v>
      </x:c>
      <x:c r="J738" t="n">
        <x:v>75</x:v>
      </x:c>
      <x:c r="K738" s="4" t="n">
        <x:v>0</x:v>
      </x:c>
      <x:c r="L738" s="4" t="n">
        <x:v>48</x:v>
      </x:c>
      <x:c r="M738" s="4" t="n">
        <x:v>0</x:v>
      </x:c>
      <x:c r="N738" s="5" t="n">
        <x:v>0</x:v>
      </x:c>
    </x:row>
    <x:row r="739" ht="24" customHeight="1">
      <x:c r="A739" s="1" t="str">
        <x:v>RESULT</x:v>
      </x:c>
      <x:c r="B739" s="1" t="str">
        <x:v>Round1</x:v>
      </x:c>
      <x:c r="C739" s="1" t="str">
        <x:v>Math_51</x:v>
      </x:c>
      <x:c r="D739" s="1" t="str">
        <x:v>NOT_REVEALING</x:v>
      </x:c>
      <x:c r="E739" s="5" t="n">
        <x:v>0</x:v>
      </x:c>
      <x:c r="F739" s="4" t="n">
        <x:v>0</x:v>
      </x:c>
      <x:c r="G739" s="4"/>
      <x:c r="H739" s="6"/>
      <x:c r="I739" s="16" t="n">
        <x:v>1</x:v>
      </x:c>
      <x:c r="J739" t="n">
        <x:v>71</x:v>
      </x:c>
      <x:c r="K739" s="4" t="n">
        <x:v>0</x:v>
      </x:c>
      <x:c r="L739" s="4" t="n">
        <x:v>45</x:v>
      </x:c>
      <x:c r="M739" s="4" t="n">
        <x:v>0</x:v>
      </x:c>
      <x:c r="N739" s="5" t="n">
        <x:v>0</x:v>
      </x:c>
    </x:row>
    <x:row r="740" ht="24" customHeight="1">
      <x:c r="A740" s="1" t="str">
        <x:v>RESULT</x:v>
      </x:c>
      <x:c r="B740" s="1" t="str">
        <x:v>Round1</x:v>
      </x:c>
      <x:c r="C740" s="1" t="str">
        <x:v>Math_52</x:v>
      </x:c>
      <x:c r="D740" s="1" t="str">
        <x:v>NOT_REVEALING</x:v>
      </x:c>
      <x:c r="E740" s="5" t="n">
        <x:v>0.0218</x:v>
      </x:c>
      <x:c r="F740" s="4" t="n">
        <x:v>0</x:v>
      </x:c>
      <x:c r="G740" s="4"/>
      <x:c r="H740" s="6"/>
      <x:c r="I740" s="16" t="n">
        <x:v>1</x:v>
      </x:c>
      <x:c r="J740" t="n">
        <x:v>367</x:v>
      </x:c>
      <x:c r="K740" s="4" t="n">
        <x:v>8</x:v>
      </x:c>
      <x:c r="L740" s="4" t="n">
        <x:v>122</x:v>
      </x:c>
      <x:c r="M740" s="4" t="n">
        <x:v>1</x:v>
      </x:c>
      <x:c r="N740" s="5" t="n">
        <x:v>0.008199999999999999</x:v>
      </x:c>
    </x:row>
    <x:row r="741" ht="24" customHeight="1">
      <x:c r="A741" s="1" t="str">
        <x:v>RESULT</x:v>
      </x:c>
      <x:c r="B741" s="1" t="str">
        <x:v>Round1</x:v>
      </x:c>
      <x:c r="C741" s="1" t="str">
        <x:v>Math_53</x:v>
      </x:c>
      <x:c r="D741" s="1" t="str">
        <x:v>NOT_REVEALING</x:v>
      </x:c>
      <x:c r="E741" s="5" t="n">
        <x:v>0.0706</x:v>
      </x:c>
      <x:c r="F741" s="4" t="n">
        <x:v>0</x:v>
      </x:c>
      <x:c r="G741" s="4"/>
      <x:c r="H741" s="6"/>
      <x:c r="I741" s="16" t="n">
        <x:v>1</x:v>
      </x:c>
      <x:c r="J741" t="n">
        <x:v>170</x:v>
      </x:c>
      <x:c r="K741" s="4" t="n">
        <x:v>12</x:v>
      </x:c>
      <x:c r="L741" s="4" t="n">
        <x:v>114</x:v>
      </x:c>
      <x:c r="M741" s="4" t="n">
        <x:v>8</x:v>
      </x:c>
      <x:c r="N741" s="5" t="n">
        <x:v>0.0702</x:v>
      </x:c>
    </x:row>
    <x:row r="742" ht="24" customHeight="1">
      <x:c r="A742" s="1" t="str">
        <x:v>RESULT</x:v>
      </x:c>
      <x:c r="B742" s="1" t="str">
        <x:v>Round1</x:v>
      </x:c>
      <x:c r="C742" s="1" t="str">
        <x:v>Math_54</x:v>
      </x:c>
      <x:c r="D742" s="1" t="str">
        <x:v>NOT_REVEALING</x:v>
      </x:c>
      <x:c r="E742" s="5" t="n">
        <x:v>0</x:v>
      </x:c>
      <x:c r="F742" s="4" t="n">
        <x:v>0</x:v>
      </x:c>
      <x:c r="G742" s="4"/>
      <x:c r="H742" s="6"/>
      <x:c r="I742" s="16" t="n">
        <x:v>1</x:v>
      </x:c>
      <x:c r="J742" t="n">
        <x:v>996</x:v>
      </x:c>
      <x:c r="K742" s="4" t="n">
        <x:v>0</x:v>
      </x:c>
      <x:c r="L742" s="4" t="n">
        <x:v>694</x:v>
      </x:c>
      <x:c r="M742" s="4" t="n">
        <x:v>0</x:v>
      </x:c>
      <x:c r="N742" s="5" t="n">
        <x:v>0</x:v>
      </x:c>
    </x:row>
    <x:row r="743" ht="24" customHeight="1">
      <x:c r="A743" s="1" t="str">
        <x:v>RESULT</x:v>
      </x:c>
      <x:c r="B743" s="1" t="str">
        <x:v>Round1</x:v>
      </x:c>
      <x:c r="C743" s="1" t="str">
        <x:v>Math_55</x:v>
      </x:c>
      <x:c r="D743" s="1" t="str">
        <x:v>NOT_REVEALING</x:v>
      </x:c>
      <x:c r="E743" s="5" t="n">
        <x:v>0.1466</x:v>
      </x:c>
      <x:c r="F743" s="4" t="n">
        <x:v>0</x:v>
      </x:c>
      <x:c r="G743" s="4"/>
      <x:c r="H743" s="6"/>
      <x:c r="I743" s="16" t="n">
        <x:v>1</x:v>
      </x:c>
      <x:c r="J743" t="n">
        <x:v>116</x:v>
      </x:c>
      <x:c r="K743" s="4" t="n">
        <x:v>17</x:v>
      </x:c>
      <x:c r="L743" s="4" t="n">
        <x:v>48</x:v>
      </x:c>
      <x:c r="M743" s="4" t="n">
        <x:v>0</x:v>
      </x:c>
      <x:c r="N743" s="5" t="n">
        <x:v>0</x:v>
      </x:c>
    </x:row>
    <x:row r="744" ht="24" customHeight="1">
      <x:c r="A744" s="1" t="str">
        <x:v>RESULT</x:v>
      </x:c>
      <x:c r="B744" s="1" t="str">
        <x:v>Round1</x:v>
      </x:c>
      <x:c r="C744" s="1" t="str">
        <x:v>Math_56</x:v>
      </x:c>
      <x:c r="D744" s="1" t="str">
        <x:v>INCONCLUSIVE</x:v>
      </x:c>
      <x:c r="E744" s="5" t="n">
        <x:v>0</x:v>
      </x:c>
      <x:c r="F744" s="4" t="n">
        <x:v>0</x:v>
      </x:c>
      <x:c r="G744" s="4"/>
      <x:c r="H744" s="6"/>
      <x:c r="I744" s="16" t="n">
        <x:v>1</x:v>
      </x:c>
      <x:c r="J744" t="n">
        <x:v>75</x:v>
      </x:c>
      <x:c r="K744" s="4" t="n">
        <x:v>0</x:v>
      </x:c>
      <x:c r="L744" s="4" t="n">
        <x:v>34</x:v>
      </x:c>
      <x:c r="M744" s="4" t="n">
        <x:v>0</x:v>
      </x:c>
      <x:c r="N744" s="5" t="n">
        <x:v>0</x:v>
      </x:c>
    </x:row>
    <x:row r="745" ht="24" customHeight="1">
      <x:c r="A745" s="1" t="str">
        <x:v>RESULT</x:v>
      </x:c>
      <x:c r="B745" s="1" t="str">
        <x:v>Round1</x:v>
      </x:c>
      <x:c r="C745" s="1" t="str">
        <x:v>Math_57</x:v>
      </x:c>
      <x:c r="D745" s="1" t="str">
        <x:v>NOT_REVEALING</x:v>
      </x:c>
      <x:c r="E745" s="5" t="n">
        <x:v>0</x:v>
      </x:c>
      <x:c r="F745" s="4" t="n">
        <x:v>0</x:v>
      </x:c>
      <x:c r="G745" s="4"/>
      <x:c r="H745" s="6"/>
      <x:c r="I745" s="16" t="n">
        <x:v>1</x:v>
      </x:c>
      <x:c r="J745" t="n">
        <x:v>120</x:v>
      </x:c>
      <x:c r="K745" s="4" t="n">
        <x:v>0</x:v>
      </x:c>
      <x:c r="L745" s="4" t="n">
        <x:v>54</x:v>
      </x:c>
      <x:c r="M745" s="4" t="n">
        <x:v>0</x:v>
      </x:c>
      <x:c r="N745" s="5" t="n">
        <x:v>0</x:v>
      </x:c>
    </x:row>
    <x:row r="746" ht="24" customHeight="1">
      <x:c r="A746" s="1" t="str">
        <x:v>RESULT</x:v>
      </x:c>
      <x:c r="B746" s="1" t="str">
        <x:v>Round1</x:v>
      </x:c>
      <x:c r="C746" s="1" t="str">
        <x:v>Math_58</x:v>
      </x:c>
      <x:c r="D746" s="1" t="str">
        <x:v>INCONCLUSIVE</x:v>
      </x:c>
      <x:c r="E746" s="5" t="n">
        <x:v>0</x:v>
      </x:c>
      <x:c r="F746" s="4" t="n">
        <x:v>0</x:v>
      </x:c>
      <x:c r="G746" s="4"/>
      <x:c r="H746" s="6"/>
      <x:c r="I746" s="16" t="n">
        <x:v>1</x:v>
      </x:c>
      <x:c r="J746" t="n">
        <x:v>96</x:v>
      </x:c>
      <x:c r="K746" s="4" t="n">
        <x:v>0</x:v>
      </x:c>
      <x:c r="L746" s="4" t="n">
        <x:v>58</x:v>
      </x:c>
      <x:c r="M746" s="4" t="n">
        <x:v>0</x:v>
      </x:c>
      <x:c r="N746" s="5" t="n">
        <x:v>0</x:v>
      </x:c>
    </x:row>
    <x:row r="747" ht="24" customHeight="1">
      <x:c r="A747" s="1" t="str">
        <x:v>RESULT</x:v>
      </x:c>
      <x:c r="B747" s="1" t="str">
        <x:v>Round1</x:v>
      </x:c>
      <x:c r="C747" s="1" t="str">
        <x:v>Math_59</x:v>
      </x:c>
      <x:c r="D747" s="1" t="str">
        <x:v>NOT_REVEALING</x:v>
      </x:c>
      <x:c r="E747" s="5" t="n">
        <x:v>0.184</x:v>
      </x:c>
      <x:c r="F747" s="4" t="n">
        <x:v>0</x:v>
      </x:c>
      <x:c r="G747" s="4"/>
      <x:c r="H747" s="6"/>
      <x:c r="I747" s="16" t="n">
        <x:v>1</x:v>
      </x:c>
      <x:c r="J747" t="n">
        <x:v>1549</x:v>
      </x:c>
      <x:c r="K747" s="4" t="n">
        <x:v>285</x:v>
      </x:c>
      <x:c r="L747" s="4" t="n">
        <x:v>652</x:v>
      </x:c>
      <x:c r="M747" s="4" t="n">
        <x:v>43</x:v>
      </x:c>
      <x:c r="N747" s="5" t="n">
        <x:v>0.066</x:v>
      </x:c>
    </x:row>
    <x:row r="748" ht="24" customHeight="1">
      <x:c r="A748" s="1" t="str">
        <x:v>RESULT</x:v>
      </x:c>
      <x:c r="B748" s="1" t="str">
        <x:v>Round1</x:v>
      </x:c>
      <x:c r="C748" s="1" t="str">
        <x:v>Math_6</x:v>
      </x:c>
      <x:c r="D748" s="1" t="str">
        <x:v>INCONCLUSIVE</x:v>
      </x:c>
      <x:c r="E748" s="5" t="n">
        <x:v>0.0008</x:v>
      </x:c>
      <x:c r="F748" s="4" t="n">
        <x:v>0</x:v>
      </x:c>
      <x:c r="G748" s="4"/>
      <x:c r="H748" s="6"/>
      <x:c r="I748" s="16" t="n">
        <x:v>1</x:v>
      </x:c>
      <x:c r="J748" t="n">
        <x:v>1204</x:v>
      </x:c>
      <x:c r="K748" s="4" t="n">
        <x:v>1</x:v>
      </x:c>
      <x:c r="L748" s="4" t="n">
        <x:v>587</x:v>
      </x:c>
      <x:c r="M748" s="4" t="n">
        <x:v>0</x:v>
      </x:c>
      <x:c r="N748" s="5" t="n">
        <x:v>0</x:v>
      </x:c>
    </x:row>
    <x:row r="749" ht="24" customHeight="1">
      <x:c r="A749" s="1" t="str">
        <x:v>RESULT</x:v>
      </x:c>
      <x:c r="B749" s="1" t="str">
        <x:v>Round1</x:v>
      </x:c>
      <x:c r="C749" s="1" t="str">
        <x:v>Math_60</x:v>
      </x:c>
      <x:c r="D749" s="1" t="str">
        <x:v>NOT_AVAILABLE</x:v>
      </x:c>
      <x:c r="E749" s="5"/>
      <x:c r="F749" s="4" t="n">
        <x:v>0</x:v>
      </x:c>
      <x:c r="G749" s="4"/>
      <x:c r="H749" s="6"/>
      <x:c r="I749" s="16" t="n">
        <x:v>1</x:v>
      </x:c>
      <x:c r="J749"/>
      <x:c r="K749" s="4"/>
      <x:c r="L749" s="4"/>
      <x:c r="M749" s="4"/>
      <x:c r="N749" s="5"/>
    </x:row>
    <x:row r="750" ht="24" customHeight="1">
      <x:c r="A750" s="1" t="str">
        <x:v>RESULT</x:v>
      </x:c>
      <x:c r="B750" s="1" t="str">
        <x:v>Round1</x:v>
      </x:c>
      <x:c r="C750" s="1" t="str">
        <x:v>Math_61</x:v>
      </x:c>
      <x:c r="D750" s="1" t="str">
        <x:v>NOT_REVEALING</x:v>
      </x:c>
      <x:c r="E750" s="5" t="n">
        <x:v>0</x:v>
      </x:c>
      <x:c r="F750" s="4" t="n">
        <x:v>0</x:v>
      </x:c>
      <x:c r="G750" s="4"/>
      <x:c r="H750" s="6"/>
      <x:c r="I750" s="16" t="n">
        <x:v>1</x:v>
      </x:c>
      <x:c r="J750" t="n">
        <x:v>34</x:v>
      </x:c>
      <x:c r="K750" s="4" t="n">
        <x:v>0</x:v>
      </x:c>
      <x:c r="L750" s="4" t="n">
        <x:v>12</x:v>
      </x:c>
      <x:c r="M750" s="4" t="n">
        <x:v>0</x:v>
      </x:c>
      <x:c r="N750" s="5" t="n">
        <x:v>0</x:v>
      </x:c>
    </x:row>
    <x:row r="751" ht="24" customHeight="1">
      <x:c r="A751" s="1" t="str">
        <x:v>RESULT</x:v>
      </x:c>
      <x:c r="B751" s="1" t="str">
        <x:v>Round1</x:v>
      </x:c>
      <x:c r="C751" s="1" t="str">
        <x:v>Math_62</x:v>
      </x:c>
      <x:c r="D751" s="1" t="str">
        <x:v>INCONCLUSIVE</x:v>
      </x:c>
      <x:c r="E751" s="5" t="n">
        <x:v>0</x:v>
      </x:c>
      <x:c r="F751" s="4" t="n">
        <x:v>0</x:v>
      </x:c>
      <x:c r="G751" s="4"/>
      <x:c r="H751" s="6"/>
      <x:c r="I751" s="16" t="n">
        <x:v>1</x:v>
      </x:c>
      <x:c r="J751" t="n">
        <x:v>47</x:v>
      </x:c>
      <x:c r="K751" s="4" t="n">
        <x:v>0</x:v>
      </x:c>
      <x:c r="L751" s="4" t="n">
        <x:v>18</x:v>
      </x:c>
      <x:c r="M751" s="4" t="n">
        <x:v>0</x:v>
      </x:c>
      <x:c r="N751" s="5" t="n">
        <x:v>0</x:v>
      </x:c>
    </x:row>
    <x:row r="752" ht="24" customHeight="1">
      <x:c r="A752" s="1" t="str">
        <x:v>RESULT</x:v>
      </x:c>
      <x:c r="B752" s="1" t="str">
        <x:v>Round1</x:v>
      </x:c>
      <x:c r="C752" s="1" t="str">
        <x:v>Math_63</x:v>
      </x:c>
      <x:c r="D752" s="1" t="str">
        <x:v>NOT_REVEALING</x:v>
      </x:c>
      <x:c r="E752" s="5" t="n">
        <x:v>0.0039000000000000003</x:v>
      </x:c>
      <x:c r="F752" s="4" t="n">
        <x:v>0</x:v>
      </x:c>
      <x:c r="G752" s="4"/>
      <x:c r="H752" s="6"/>
      <x:c r="I752" s="16" t="n">
        <x:v>1</x:v>
      </x:c>
      <x:c r="J752" t="n">
        <x:v>518</x:v>
      </x:c>
      <x:c r="K752" s="4" t="n">
        <x:v>2</x:v>
      </x:c>
      <x:c r="L752" s="4" t="n">
        <x:v>441</x:v>
      </x:c>
      <x:c r="M752" s="4" t="n">
        <x:v>0</x:v>
      </x:c>
      <x:c r="N752" s="5" t="n">
        <x:v>0</x:v>
      </x:c>
    </x:row>
    <x:row r="753" ht="24" customHeight="1">
      <x:c r="A753" s="1" t="str">
        <x:v>RESULT</x:v>
      </x:c>
      <x:c r="B753" s="1" t="str">
        <x:v>Round1</x:v>
      </x:c>
      <x:c r="C753" s="1" t="str">
        <x:v>Math_64</x:v>
      </x:c>
      <x:c r="D753" s="1" t="str">
        <x:v>NOT_REVEALING</x:v>
      </x:c>
      <x:c r="E753" s="5" t="n">
        <x:v>0</x:v>
      </x:c>
      <x:c r="F753" s="4" t="n">
        <x:v>0</x:v>
      </x:c>
      <x:c r="G753" s="4"/>
      <x:c r="H753" s="6"/>
      <x:c r="I753" s="16" t="n">
        <x:v>1</x:v>
      </x:c>
      <x:c r="J753" t="n">
        <x:v>342</x:v>
      </x:c>
      <x:c r="K753" s="4" t="n">
        <x:v>0</x:v>
      </x:c>
      <x:c r="L753" s="4" t="n">
        <x:v>200</x:v>
      </x:c>
      <x:c r="M753" s="4" t="n">
        <x:v>0</x:v>
      </x:c>
      <x:c r="N753" s="5" t="n">
        <x:v>0</x:v>
      </x:c>
    </x:row>
    <x:row r="754" ht="24" customHeight="1">
      <x:c r="A754" s="1" t="str">
        <x:v>RESULT</x:v>
      </x:c>
      <x:c r="B754" s="1" t="str">
        <x:v>Round1</x:v>
      </x:c>
      <x:c r="C754" s="1" t="str">
        <x:v>Math_65</x:v>
      </x:c>
      <x:c r="D754" s="1" t="str">
        <x:v>NOT_REVEALING</x:v>
      </x:c>
      <x:c r="E754" s="5" t="n">
        <x:v>0</x:v>
      </x:c>
      <x:c r="F754" s="4" t="n">
        <x:v>0</x:v>
      </x:c>
      <x:c r="G754" s="4"/>
      <x:c r="H754" s="6"/>
      <x:c r="I754" s="16" t="n">
        <x:v>1</x:v>
      </x:c>
      <x:c r="J754" t="n">
        <x:v>96</x:v>
      </x:c>
      <x:c r="K754" s="4" t="n">
        <x:v>0</x:v>
      </x:c>
      <x:c r="L754" s="4" t="n">
        <x:v>30</x:v>
      </x:c>
      <x:c r="M754" s="4" t="n">
        <x:v>0</x:v>
      </x:c>
      <x:c r="N754" s="5" t="n">
        <x:v>0</x:v>
      </x:c>
    </x:row>
    <x:row r="755" ht="24" customHeight="1">
      <x:c r="A755" s="1" t="str">
        <x:v>RESULT</x:v>
      </x:c>
      <x:c r="B755" s="1" t="str">
        <x:v>Round1</x:v>
      </x:c>
      <x:c r="C755" s="1" t="str">
        <x:v>Math_66</x:v>
      </x:c>
      <x:c r="D755" s="1" t="str">
        <x:v>INCONCLUSIVE</x:v>
      </x:c>
      <x:c r="E755" s="5" t="n">
        <x:v>0.0098</x:v>
      </x:c>
      <x:c r="F755" s="4" t="n">
        <x:v>0</x:v>
      </x:c>
      <x:c r="G755" s="4"/>
      <x:c r="H755" s="6"/>
      <x:c r="I755" s="16" t="n">
        <x:v>1</x:v>
      </x:c>
      <x:c r="J755" t="n">
        <x:v>102</x:v>
      </x:c>
      <x:c r="K755" s="4" t="n">
        <x:v>1</x:v>
      </x:c>
      <x:c r="L755" s="4" t="n">
        <x:v>58</x:v>
      </x:c>
      <x:c r="M755" s="4" t="n">
        <x:v>0</x:v>
      </x:c>
      <x:c r="N755" s="5" t="n">
        <x:v>0</x:v>
      </x:c>
    </x:row>
    <x:row r="756" ht="24" customHeight="1">
      <x:c r="A756" s="1" t="str">
        <x:v>RESULT</x:v>
      </x:c>
      <x:c r="B756" s="1" t="str">
        <x:v>Round1</x:v>
      </x:c>
      <x:c r="C756" s="1" t="str">
        <x:v>Math_67</x:v>
      </x:c>
      <x:c r="D756" s="1" t="str">
        <x:v>NOT_REVEALING</x:v>
      </x:c>
      <x:c r="E756" s="5" t="n">
        <x:v>0</x:v>
      </x:c>
      <x:c r="F756" s="4" t="n">
        <x:v>0</x:v>
      </x:c>
      <x:c r="G756" s="4"/>
      <x:c r="H756" s="6"/>
      <x:c r="I756" s="16" t="n">
        <x:v>1</x:v>
      </x:c>
      <x:c r="J756" t="n">
        <x:v>93</x:v>
      </x:c>
      <x:c r="K756" s="4" t="n">
        <x:v>0</x:v>
      </x:c>
      <x:c r="L756" s="4" t="n">
        <x:v>34</x:v>
      </x:c>
      <x:c r="M756" s="4" t="n">
        <x:v>0</x:v>
      </x:c>
      <x:c r="N756" s="5" t="n">
        <x:v>0</x:v>
      </x:c>
    </x:row>
    <x:row r="757" ht="24" customHeight="1">
      <x:c r="A757" s="1" t="str">
        <x:v>RESULT</x:v>
      </x:c>
      <x:c r="B757" s="1" t="str">
        <x:v>Round1</x:v>
      </x:c>
      <x:c r="C757" s="1" t="str">
        <x:v>Math_68</x:v>
      </x:c>
      <x:c r="D757" s="1" t="str">
        <x:v>NOT_REVEALING</x:v>
      </x:c>
      <x:c r="E757" s="5" t="n">
        <x:v>0</x:v>
      </x:c>
      <x:c r="F757" s="4" t="n">
        <x:v>0</x:v>
      </x:c>
      <x:c r="G757" s="4"/>
      <x:c r="H757" s="6"/>
      <x:c r="I757" s="16" t="n">
        <x:v>1</x:v>
      </x:c>
      <x:c r="J757" t="n">
        <x:v>332</x:v>
      </x:c>
      <x:c r="K757" s="4" t="n">
        <x:v>0</x:v>
      </x:c>
      <x:c r="L757" s="4" t="n">
        <x:v>196</x:v>
      </x:c>
      <x:c r="M757" s="4" t="n">
        <x:v>0</x:v>
      </x:c>
      <x:c r="N757" s="5" t="n">
        <x:v>0</x:v>
      </x:c>
    </x:row>
    <x:row r="758" ht="24" customHeight="1">
      <x:c r="A758" s="1" t="str">
        <x:v>RESULT</x:v>
      </x:c>
      <x:c r="B758" s="1" t="str">
        <x:v>Round1</x:v>
      </x:c>
      <x:c r="C758" s="1" t="str">
        <x:v>Math_69</x:v>
      </x:c>
      <x:c r="D758" s="1" t="str">
        <x:v>NOT_REVEALING</x:v>
      </x:c>
      <x:c r="E758" s="5" t="n">
        <x:v>0</x:v>
      </x:c>
      <x:c r="F758" s="4" t="n">
        <x:v>0</x:v>
      </x:c>
      <x:c r="G758" s="4"/>
      <x:c r="H758" s="6"/>
      <x:c r="I758" s="16" t="n">
        <x:v>1</x:v>
      </x:c>
      <x:c r="J758" t="n">
        <x:v>75</x:v>
      </x:c>
      <x:c r="K758" s="4" t="n">
        <x:v>0</x:v>
      </x:c>
      <x:c r="L758" s="4" t="n">
        <x:v>30</x:v>
      </x:c>
      <x:c r="M758" s="4" t="n">
        <x:v>0</x:v>
      </x:c>
      <x:c r="N758" s="5" t="n">
        <x:v>0</x:v>
      </x:c>
    </x:row>
    <x:row r="759" ht="24" customHeight="1">
      <x:c r="A759" s="1" t="str">
        <x:v>RESULT</x:v>
      </x:c>
      <x:c r="B759" s="1" t="str">
        <x:v>Round1</x:v>
      </x:c>
      <x:c r="C759" s="1" t="str">
        <x:v>Math_7</x:v>
      </x:c>
      <x:c r="D759" s="1" t="str">
        <x:v>NOT_REVEALING</x:v>
      </x:c>
      <x:c r="E759" s="5" t="n">
        <x:v>0</x:v>
      </x:c>
      <x:c r="F759" s="4" t="n">
        <x:v>0</x:v>
      </x:c>
      <x:c r="G759" s="4"/>
      <x:c r="H759" s="6"/>
      <x:c r="I759" s="16" t="n">
        <x:v>1</x:v>
      </x:c>
      <x:c r="J759" t="n">
        <x:v>130</x:v>
      </x:c>
      <x:c r="K759" s="4" t="n">
        <x:v>0</x:v>
      </x:c>
      <x:c r="L759" s="4" t="n">
        <x:v>50</x:v>
      </x:c>
      <x:c r="M759" s="4" t="n">
        <x:v>0</x:v>
      </x:c>
      <x:c r="N759" s="5" t="n">
        <x:v>0</x:v>
      </x:c>
    </x:row>
    <x:row r="760" ht="24" customHeight="1">
      <x:c r="A760" s="1" t="str">
        <x:v>RESULT</x:v>
      </x:c>
      <x:c r="B760" s="1" t="str">
        <x:v>Round1</x:v>
      </x:c>
      <x:c r="C760" s="1" t="str">
        <x:v>Math_70</x:v>
      </x:c>
      <x:c r="D760" s="1" t="str">
        <x:v>NOT_AVAILABLE</x:v>
      </x:c>
      <x:c r="E760" s="5"/>
      <x:c r="F760" s="4" t="n">
        <x:v>0</x:v>
      </x:c>
      <x:c r="G760" s="4" t="n">
        <x:v>5856</x:v>
      </x:c>
      <x:c r="H760" s="6" t="n">
        <x:v>22.69</x:v>
      </x:c>
      <x:c r="I760" s="16" t="n">
        <x:v>1</x:v>
      </x:c>
      <x:c r="J760"/>
      <x:c r="K760" s="4"/>
      <x:c r="L760" s="4"/>
      <x:c r="M760" s="4"/>
      <x:c r="N760" s="5"/>
    </x:row>
    <x:row r="761" ht="24" customHeight="1">
      <x:c r="A761" s="1" t="str">
        <x:v>RESULT</x:v>
      </x:c>
      <x:c r="B761" s="1" t="str">
        <x:v>Round1</x:v>
      </x:c>
      <x:c r="C761" s="1" t="str">
        <x:v>Math_71</x:v>
      </x:c>
      <x:c r="D761" s="1" t="str">
        <x:v>NOT_REVEALING</x:v>
      </x:c>
      <x:c r="E761" s="5" t="n">
        <x:v>0</x:v>
      </x:c>
      <x:c r="F761" s="4" t="n">
        <x:v>0</x:v>
      </x:c>
      <x:c r="G761" s="4"/>
      <x:c r="H761" s="6"/>
      <x:c r="I761" s="16" t="n">
        <x:v>1</x:v>
      </x:c>
      <x:c r="J761" t="n">
        <x:v>197</x:v>
      </x:c>
      <x:c r="K761" s="4" t="n">
        <x:v>0</x:v>
      </x:c>
      <x:c r="L761" s="4" t="n">
        <x:v>98</x:v>
      </x:c>
      <x:c r="M761" s="4" t="n">
        <x:v>0</x:v>
      </x:c>
      <x:c r="N761" s="5" t="n">
        <x:v>0</x:v>
      </x:c>
    </x:row>
    <x:row r="762" ht="24" customHeight="1">
      <x:c r="A762" s="1" t="str">
        <x:v>RESULT</x:v>
      </x:c>
      <x:c r="B762" s="1" t="str">
        <x:v>Round1</x:v>
      </x:c>
      <x:c r="C762" s="1" t="str">
        <x:v>Math_72</x:v>
      </x:c>
      <x:c r="D762" s="1" t="str">
        <x:v>NOT_REVEALING</x:v>
      </x:c>
      <x:c r="E762" s="5" t="n">
        <x:v>0</x:v>
      </x:c>
      <x:c r="F762" s="4" t="n">
        <x:v>0</x:v>
      </x:c>
      <x:c r="G762" s="4"/>
      <x:c r="H762" s="6"/>
      <x:c r="I762" s="16" t="n">
        <x:v>1</x:v>
      </x:c>
      <x:c r="J762" t="n">
        <x:v>107</x:v>
      </x:c>
      <x:c r="K762" s="4" t="n">
        <x:v>0</x:v>
      </x:c>
      <x:c r="L762" s="4" t="n">
        <x:v>54</x:v>
      </x:c>
      <x:c r="M762" s="4" t="n">
        <x:v>0</x:v>
      </x:c>
      <x:c r="N762" s="5" t="n">
        <x:v>0</x:v>
      </x:c>
    </x:row>
    <x:row r="763" ht="24" customHeight="1">
      <x:c r="A763" s="1" t="str">
        <x:v>RESULT</x:v>
      </x:c>
      <x:c r="B763" s="1" t="str">
        <x:v>Round1</x:v>
      </x:c>
      <x:c r="C763" s="1" t="str">
        <x:v>Math_73</x:v>
      </x:c>
      <x:c r="D763" s="1" t="str">
        <x:v>NOT_REVEALING</x:v>
      </x:c>
      <x:c r="E763" s="5" t="n">
        <x:v>0</x:v>
      </x:c>
      <x:c r="F763" s="4" t="n">
        <x:v>0</x:v>
      </x:c>
      <x:c r="G763" s="4"/>
      <x:c r="H763" s="6"/>
      <x:c r="I763" s="16" t="n">
        <x:v>1</x:v>
      </x:c>
      <x:c r="J763" t="n">
        <x:v>104</x:v>
      </x:c>
      <x:c r="K763" s="4" t="n">
        <x:v>0</x:v>
      </x:c>
      <x:c r="L763" s="4" t="n">
        <x:v>52</x:v>
      </x:c>
      <x:c r="M763" s="4" t="n">
        <x:v>0</x:v>
      </x:c>
      <x:c r="N763" s="5" t="n">
        <x:v>0</x:v>
      </x:c>
    </x:row>
    <x:row r="764" ht="24" customHeight="1">
      <x:c r="A764" s="1" t="str">
        <x:v>RESULT</x:v>
      </x:c>
      <x:c r="B764" s="1" t="str">
        <x:v>Round1</x:v>
      </x:c>
      <x:c r="C764" s="1" t="str">
        <x:v>Math_74</x:v>
      </x:c>
      <x:c r="D764" s="1" t="str">
        <x:v>NOT_REVEALING</x:v>
      </x:c>
      <x:c r="E764" s="5" t="n">
        <x:v>0</x:v>
      </x:c>
      <x:c r="F764" s="4" t="n">
        <x:v>0</x:v>
      </x:c>
      <x:c r="G764" s="4"/>
      <x:c r="H764" s="6"/>
      <x:c r="I764" s="16" t="n">
        <x:v>1</x:v>
      </x:c>
      <x:c r="J764" t="n">
        <x:v>122</x:v>
      </x:c>
      <x:c r="K764" s="4" t="n">
        <x:v>0</x:v>
      </x:c>
      <x:c r="L764" s="4" t="n">
        <x:v>54</x:v>
      </x:c>
      <x:c r="M764" s="4" t="n">
        <x:v>0</x:v>
      </x:c>
      <x:c r="N764" s="5" t="n">
        <x:v>0</x:v>
      </x:c>
    </x:row>
    <x:row r="765" ht="24" customHeight="1">
      <x:c r="A765" s="1" t="str">
        <x:v>RESULT</x:v>
      </x:c>
      <x:c r="B765" s="1" t="str">
        <x:v>Round1</x:v>
      </x:c>
      <x:c r="C765" s="1" t="str">
        <x:v>Math_75</x:v>
      </x:c>
      <x:c r="D765" s="1" t="str">
        <x:v>NOT_REVEALING</x:v>
      </x:c>
      <x:c r="E765" s="5" t="n">
        <x:v>0</x:v>
      </x:c>
      <x:c r="F765" s="4" t="n">
        <x:v>0</x:v>
      </x:c>
      <x:c r="G765" s="4"/>
      <x:c r="H765" s="6"/>
      <x:c r="I765" s="16" t="n">
        <x:v>1</x:v>
      </x:c>
      <x:c r="J765" t="n">
        <x:v>134</x:v>
      </x:c>
      <x:c r="K765" s="4" t="n">
        <x:v>0</x:v>
      </x:c>
      <x:c r="L765" s="4" t="n">
        <x:v>48</x:v>
      </x:c>
      <x:c r="M765" s="4" t="n">
        <x:v>0</x:v>
      </x:c>
      <x:c r="N765" s="5" t="n">
        <x:v>0</x:v>
      </x:c>
    </x:row>
    <x:row r="766" ht="24" customHeight="1">
      <x:c r="A766" s="1" t="str">
        <x:v>RESULT</x:v>
      </x:c>
      <x:c r="B766" s="1" t="str">
        <x:v>Round1</x:v>
      </x:c>
      <x:c r="C766" s="1" t="str">
        <x:v>Math_76</x:v>
      </x:c>
      <x:c r="D766" s="1" t="str">
        <x:v>INCONCLUSIVE</x:v>
      </x:c>
      <x:c r="E766" s="5" t="n">
        <x:v>0</x:v>
      </x:c>
      <x:c r="F766" s="4" t="n">
        <x:v>0</x:v>
      </x:c>
      <x:c r="G766" s="4"/>
      <x:c r="H766" s="6"/>
      <x:c r="I766" s="16" t="n">
        <x:v>1</x:v>
      </x:c>
      <x:c r="J766" t="n">
        <x:v>134</x:v>
      </x:c>
      <x:c r="K766" s="4" t="n">
        <x:v>0</x:v>
      </x:c>
      <x:c r="L766" s="4" t="n">
        <x:v>54</x:v>
      </x:c>
      <x:c r="M766" s="4" t="n">
        <x:v>0</x:v>
      </x:c>
      <x:c r="N766" s="5" t="n">
        <x:v>0</x:v>
      </x:c>
    </x:row>
    <x:row r="767" ht="24" customHeight="1">
      <x:c r="A767" s="1" t="str">
        <x:v>RESULT</x:v>
      </x:c>
      <x:c r="B767" s="1" t="str">
        <x:v>Round1</x:v>
      </x:c>
      <x:c r="C767" s="1" t="str">
        <x:v>Math_77</x:v>
      </x:c>
      <x:c r="D767" s="1" t="str">
        <x:v>NOT_REVEALING</x:v>
      </x:c>
      <x:c r="E767" s="5" t="n">
        <x:v>0.0025</x:v>
      </x:c>
      <x:c r="F767" s="4" t="n">
        <x:v>0</x:v>
      </x:c>
      <x:c r="G767" s="4"/>
      <x:c r="H767" s="6"/>
      <x:c r="I767" s="16" t="n">
        <x:v>1</x:v>
      </x:c>
      <x:c r="J767" t="n">
        <x:v>799</x:v>
      </x:c>
      <x:c r="K767" s="4" t="n">
        <x:v>2</x:v>
      </x:c>
      <x:c r="L767" s="4" t="n">
        <x:v>338</x:v>
      </x:c>
      <x:c r="M767" s="4" t="n">
        <x:v>0</x:v>
      </x:c>
      <x:c r="N767" s="5" t="n">
        <x:v>0</x:v>
      </x:c>
    </x:row>
    <x:row r="768" ht="24" customHeight="1">
      <x:c r="A768" s="1" t="str">
        <x:v>RESULT</x:v>
      </x:c>
      <x:c r="B768" s="1" t="str">
        <x:v>Round1</x:v>
      </x:c>
      <x:c r="C768" s="1" t="str">
        <x:v>Math_78</x:v>
      </x:c>
      <x:c r="D768" s="1" t="str">
        <x:v>INCONCLUSIVE</x:v>
      </x:c>
      <x:c r="E768" s="5" t="n">
        <x:v>0</x:v>
      </x:c>
      <x:c r="F768" s="4" t="n">
        <x:v>0</x:v>
      </x:c>
      <x:c r="G768" s="4"/>
      <x:c r="H768" s="6"/>
      <x:c r="I768" s="16" t="n">
        <x:v>1</x:v>
      </x:c>
      <x:c r="J768" t="n">
        <x:v>90</x:v>
      </x:c>
      <x:c r="K768" s="4" t="n">
        <x:v>0</x:v>
      </x:c>
      <x:c r="L768" s="4" t="n">
        <x:v>50</x:v>
      </x:c>
      <x:c r="M768" s="4" t="n">
        <x:v>0</x:v>
      </x:c>
      <x:c r="N768" s="5" t="n">
        <x:v>0</x:v>
      </x:c>
    </x:row>
    <x:row r="769" ht="24" customHeight="1">
      <x:c r="A769" s="1" t="str">
        <x:v>RESULT</x:v>
      </x:c>
      <x:c r="B769" s="1" t="str">
        <x:v>Round1</x:v>
      </x:c>
      <x:c r="C769" s="1" t="str">
        <x:v>Math_79</x:v>
      </x:c>
      <x:c r="D769" s="1" t="str">
        <x:v>NOT_REVEALING</x:v>
      </x:c>
      <x:c r="E769" s="5" t="n">
        <x:v>0.0048</x:v>
      </x:c>
      <x:c r="F769" s="4" t="n">
        <x:v>0</x:v>
      </x:c>
      <x:c r="G769" s="4"/>
      <x:c r="H769" s="6"/>
      <x:c r="I769" s="16" t="n">
        <x:v>1</x:v>
      </x:c>
      <x:c r="J769" t="n">
        <x:v>420</x:v>
      </x:c>
      <x:c r="K769" s="4" t="n">
        <x:v>2</x:v>
      </x:c>
      <x:c r="L769" s="4" t="n">
        <x:v>345</x:v>
      </x:c>
      <x:c r="M769" s="4" t="n">
        <x:v>0</x:v>
      </x:c>
      <x:c r="N769" s="5" t="n">
        <x:v>0</x:v>
      </x:c>
    </x:row>
    <x:row r="770" ht="24" customHeight="1">
      <x:c r="A770" s="1" t="str">
        <x:v>RESULT</x:v>
      </x:c>
      <x:c r="B770" s="1" t="str">
        <x:v>Round1</x:v>
      </x:c>
      <x:c r="C770" s="1" t="str">
        <x:v>Math_8</x:v>
      </x:c>
      <x:c r="D770" s="1" t="str">
        <x:v>NOT_REVEALING</x:v>
      </x:c>
      <x:c r="E770" s="5" t="n">
        <x:v>0</x:v>
      </x:c>
      <x:c r="F770" s="4" t="n">
        <x:v>0</x:v>
      </x:c>
      <x:c r="G770" s="4"/>
      <x:c r="H770" s="6"/>
      <x:c r="I770" s="16" t="n">
        <x:v>1</x:v>
      </x:c>
      <x:c r="J770" t="n">
        <x:v>40</x:v>
      </x:c>
      <x:c r="K770" s="4" t="n">
        <x:v>0</x:v>
      </x:c>
      <x:c r="L770" s="4" t="n">
        <x:v>24</x:v>
      </x:c>
      <x:c r="M770" s="4" t="n">
        <x:v>0</x:v>
      </x:c>
      <x:c r="N770" s="5" t="n">
        <x:v>0</x:v>
      </x:c>
    </x:row>
    <x:row r="771" ht="24" customHeight="1">
      <x:c r="A771" s="1" t="str">
        <x:v>RESULT</x:v>
      </x:c>
      <x:c r="B771" s="1" t="str">
        <x:v>Round1</x:v>
      </x:c>
      <x:c r="C771" s="1" t="str">
        <x:v>Math_80</x:v>
      </x:c>
      <x:c r="D771" s="1" t="str">
        <x:v>INCONCLUSIVE</x:v>
      </x:c>
      <x:c r="E771" s="5" t="n">
        <x:v>0</x:v>
      </x:c>
      <x:c r="F771" s="4" t="n">
        <x:v>0</x:v>
      </x:c>
      <x:c r="G771" s="4"/>
      <x:c r="H771" s="6"/>
      <x:c r="I771" s="16" t="n">
        <x:v>1</x:v>
      </x:c>
      <x:c r="J771" t="n">
        <x:v>855</x:v>
      </x:c>
      <x:c r="K771" s="4" t="n">
        <x:v>0</x:v>
      </x:c>
      <x:c r="L771" s="4" t="n">
        <x:v>414</x:v>
      </x:c>
      <x:c r="M771" s="4" t="n">
        <x:v>0</x:v>
      </x:c>
      <x:c r="N771" s="5" t="n">
        <x:v>0</x:v>
      </x:c>
    </x:row>
    <x:row r="772" ht="24" customHeight="1">
      <x:c r="A772" s="1" t="str">
        <x:v>RESULT</x:v>
      </x:c>
      <x:c r="B772" s="1" t="str">
        <x:v>Round1</x:v>
      </x:c>
      <x:c r="C772" s="1" t="str">
        <x:v>Math_81</x:v>
      </x:c>
      <x:c r="D772" s="1" t="str">
        <x:v>INCONCLUSIVE</x:v>
      </x:c>
      <x:c r="E772" s="5" t="n">
        <x:v>0</x:v>
      </x:c>
      <x:c r="F772" s="4" t="n">
        <x:v>0</x:v>
      </x:c>
      <x:c r="G772" s="4"/>
      <x:c r="H772" s="6"/>
      <x:c r="I772" s="16" t="n">
        <x:v>1</x:v>
      </x:c>
      <x:c r="J772" t="n">
        <x:v>854</x:v>
      </x:c>
      <x:c r="K772" s="4" t="n">
        <x:v>0</x:v>
      </x:c>
      <x:c r="L772" s="4" t="n">
        <x:v>414</x:v>
      </x:c>
      <x:c r="M772" s="4" t="n">
        <x:v>0</x:v>
      </x:c>
      <x:c r="N772" s="5" t="n">
        <x:v>0</x:v>
      </x:c>
    </x:row>
    <x:row r="773" ht="24" customHeight="1">
      <x:c r="A773" s="1" t="str">
        <x:v>RESULT</x:v>
      </x:c>
      <x:c r="B773" s="1" t="str">
        <x:v>Round1</x:v>
      </x:c>
      <x:c r="C773" s="1" t="str">
        <x:v>Math_82</x:v>
      </x:c>
      <x:c r="D773" s="1" t="str">
        <x:v>NOT_REVEALING</x:v>
      </x:c>
      <x:c r="E773" s="5" t="n">
        <x:v>0</x:v>
      </x:c>
      <x:c r="F773" s="4" t="n">
        <x:v>0</x:v>
      </x:c>
      <x:c r="G773" s="4"/>
      <x:c r="H773" s="6"/>
      <x:c r="I773" s="16" t="n">
        <x:v>1</x:v>
      </x:c>
      <x:c r="J773" t="n">
        <x:v>60</x:v>
      </x:c>
      <x:c r="K773" s="4" t="n">
        <x:v>0</x:v>
      </x:c>
      <x:c r="L773" s="4" t="n">
        <x:v>36</x:v>
      </x:c>
      <x:c r="M773" s="4" t="n">
        <x:v>0</x:v>
      </x:c>
      <x:c r="N773" s="5" t="n">
        <x:v>0</x:v>
      </x:c>
    </x:row>
    <x:row r="774" ht="24" customHeight="1">
      <x:c r="A774" s="1" t="str">
        <x:v>RESULT</x:v>
      </x:c>
      <x:c r="B774" s="1" t="str">
        <x:v>Round1</x:v>
      </x:c>
      <x:c r="C774" s="1" t="str">
        <x:v>Math_83</x:v>
      </x:c>
      <x:c r="D774" s="1" t="str">
        <x:v>NOT_REVEALING</x:v>
      </x:c>
      <x:c r="E774" s="5" t="n">
        <x:v>0</x:v>
      </x:c>
      <x:c r="F774" s="4" t="n">
        <x:v>0</x:v>
      </x:c>
      <x:c r="G774" s="4"/>
      <x:c r="H774" s="6"/>
      <x:c r="I774" s="16" t="n">
        <x:v>1</x:v>
      </x:c>
      <x:c r="J774" t="n">
        <x:v>155</x:v>
      </x:c>
      <x:c r="K774" s="4" t="n">
        <x:v>0</x:v>
      </x:c>
      <x:c r="L774" s="4" t="n">
        <x:v>92</x:v>
      </x:c>
      <x:c r="M774" s="4" t="n">
        <x:v>0</x:v>
      </x:c>
      <x:c r="N774" s="5" t="n">
        <x:v>0</x:v>
      </x:c>
    </x:row>
    <x:row r="775" ht="24" customHeight="1">
      <x:c r="A775" s="1" t="str">
        <x:v>RESULT</x:v>
      </x:c>
      <x:c r="B775" s="1" t="str">
        <x:v>Round1</x:v>
      </x:c>
      <x:c r="C775" s="1" t="str">
        <x:v>Math_84</x:v>
      </x:c>
      <x:c r="D775" s="1" t="str">
        <x:v>NOT_AVAILABLE</x:v>
      </x:c>
      <x:c r="E775" s="5"/>
      <x:c r="F775" s="4" t="n">
        <x:v>0</x:v>
      </x:c>
      <x:c r="G775" s="4" t="n">
        <x:v>7132</x:v>
      </x:c>
      <x:c r="H775" s="6" t="n">
        <x:v>31.09</x:v>
      </x:c>
      <x:c r="I775" s="16" t="n">
        <x:v>1</x:v>
      </x:c>
      <x:c r="J775"/>
      <x:c r="K775" s="4"/>
      <x:c r="L775" s="4"/>
      <x:c r="M775" s="4"/>
      <x:c r="N775" s="5"/>
    </x:row>
    <x:row r="776" ht="24" customHeight="1">
      <x:c r="A776" s="1" t="str">
        <x:v>RESULT</x:v>
      </x:c>
      <x:c r="B776" s="1" t="str">
        <x:v>Round1</x:v>
      </x:c>
      <x:c r="C776" s="1" t="str">
        <x:v>Math_85</x:v>
      </x:c>
      <x:c r="D776" s="1" t="str">
        <x:v>NOT_REVEALING</x:v>
      </x:c>
      <x:c r="E776" s="5" t="n">
        <x:v>0</x:v>
      </x:c>
      <x:c r="F776" s="4" t="n">
        <x:v>0</x:v>
      </x:c>
      <x:c r="G776" s="4"/>
      <x:c r="H776" s="6"/>
      <x:c r="I776" s="16" t="n">
        <x:v>1</x:v>
      </x:c>
      <x:c r="J776" t="n">
        <x:v>38</x:v>
      </x:c>
      <x:c r="K776" s="4" t="n">
        <x:v>0</x:v>
      </x:c>
      <x:c r="L776" s="4" t="n">
        <x:v>22</x:v>
      </x:c>
      <x:c r="M776" s="4" t="n">
        <x:v>0</x:v>
      </x:c>
      <x:c r="N776" s="5" t="n">
        <x:v>0</x:v>
      </x:c>
    </x:row>
    <x:row r="777" ht="24" customHeight="1">
      <x:c r="A777" s="1" t="str">
        <x:v>RESULT</x:v>
      </x:c>
      <x:c r="B777" s="1" t="str">
        <x:v>Round1</x:v>
      </x:c>
      <x:c r="C777" s="1" t="str">
        <x:v>Math_86</x:v>
      </x:c>
      <x:c r="D777" s="1" t="str">
        <x:v>INCONCLUSIVE</x:v>
      </x:c>
      <x:c r="E777" s="5" t="n">
        <x:v>0</x:v>
      </x:c>
      <x:c r="F777" s="4" t="n">
        <x:v>0</x:v>
      </x:c>
      <x:c r="G777" s="4"/>
      <x:c r="H777" s="6"/>
      <x:c r="I777" s="16" t="n">
        <x:v>1</x:v>
      </x:c>
      <x:c r="J777" t="n">
        <x:v>116</x:v>
      </x:c>
      <x:c r="K777" s="4" t="n">
        <x:v>0</x:v>
      </x:c>
      <x:c r="L777" s="4" t="n">
        <x:v>60</x:v>
      </x:c>
      <x:c r="M777" s="4" t="n">
        <x:v>0</x:v>
      </x:c>
      <x:c r="N777" s="5" t="n">
        <x:v>0</x:v>
      </x:c>
    </x:row>
    <x:row r="778" ht="24" customHeight="1">
      <x:c r="A778" s="1" t="str">
        <x:v>RESULT</x:v>
      </x:c>
      <x:c r="B778" s="1" t="str">
        <x:v>Round1</x:v>
      </x:c>
      <x:c r="C778" s="1" t="str">
        <x:v>Math_87</x:v>
      </x:c>
      <x:c r="D778" s="1" t="str">
        <x:v>NOT_REVEALING</x:v>
      </x:c>
      <x:c r="E778" s="5" t="n">
        <x:v>0</x:v>
      </x:c>
      <x:c r="F778" s="4" t="n">
        <x:v>0</x:v>
      </x:c>
      <x:c r="G778" s="4"/>
      <x:c r="H778" s="6"/>
      <x:c r="I778" s="16" t="n">
        <x:v>1</x:v>
      </x:c>
      <x:c r="J778" t="n">
        <x:v>152</x:v>
      </x:c>
      <x:c r="K778" s="4" t="n">
        <x:v>0</x:v>
      </x:c>
      <x:c r="L778" s="4" t="n">
        <x:v>90</x:v>
      </x:c>
      <x:c r="M778" s="4" t="n">
        <x:v>0</x:v>
      </x:c>
      <x:c r="N778" s="5" t="n">
        <x:v>0</x:v>
      </x:c>
    </x:row>
    <x:row r="779" ht="24" customHeight="1">
      <x:c r="A779" s="1" t="str">
        <x:v>RESULT</x:v>
      </x:c>
      <x:c r="B779" s="1" t="str">
        <x:v>Round1</x:v>
      </x:c>
      <x:c r="C779" s="1" t="str">
        <x:v>Math_88</x:v>
      </x:c>
      <x:c r="D779" s="1" t="str">
        <x:v>NOT_REVEALING</x:v>
      </x:c>
      <x:c r="E779" s="5" t="n">
        <x:v>0</x:v>
      </x:c>
      <x:c r="F779" s="4" t="n">
        <x:v>0</x:v>
      </x:c>
      <x:c r="G779" s="4"/>
      <x:c r="H779" s="6"/>
      <x:c r="I779" s="16" t="n">
        <x:v>1</x:v>
      </x:c>
      <x:c r="J779" t="n">
        <x:v>152</x:v>
      </x:c>
      <x:c r="K779" s="4" t="n">
        <x:v>0</x:v>
      </x:c>
      <x:c r="L779" s="4" t="n">
        <x:v>94</x:v>
      </x:c>
      <x:c r="M779" s="4" t="n">
        <x:v>0</x:v>
      </x:c>
      <x:c r="N779" s="5" t="n">
        <x:v>0</x:v>
      </x:c>
    </x:row>
    <x:row r="780" ht="24" customHeight="1">
      <x:c r="A780" s="1" t="str">
        <x:v>RESULT</x:v>
      </x:c>
      <x:c r="B780" s="1" t="str">
        <x:v>Round1</x:v>
      </x:c>
      <x:c r="C780" s="1" t="str">
        <x:v>Math_89</x:v>
      </x:c>
      <x:c r="D780" s="1" t="str">
        <x:v>NOT_REVEALING</x:v>
      </x:c>
      <x:c r="E780" s="5" t="n">
        <x:v>0</x:v>
      </x:c>
      <x:c r="F780" s="4" t="n">
        <x:v>0</x:v>
      </x:c>
      <x:c r="G780" s="4"/>
      <x:c r="H780" s="6"/>
      <x:c r="I780" s="16" t="n">
        <x:v>1</x:v>
      </x:c>
      <x:c r="J780" t="n">
        <x:v>108</x:v>
      </x:c>
      <x:c r="K780" s="4" t="n">
        <x:v>0</x:v>
      </x:c>
      <x:c r="L780" s="4" t="n">
        <x:v>32</x:v>
      </x:c>
      <x:c r="M780" s="4" t="n">
        <x:v>0</x:v>
      </x:c>
      <x:c r="N780" s="5" t="n">
        <x:v>0</x:v>
      </x:c>
    </x:row>
    <x:row r="781" ht="24" customHeight="1">
      <x:c r="A781" s="1" t="str">
        <x:v>RESULT</x:v>
      </x:c>
      <x:c r="B781" s="1" t="str">
        <x:v>Round1</x:v>
      </x:c>
      <x:c r="C781" s="1" t="str">
        <x:v>Math_9</x:v>
      </x:c>
      <x:c r="D781" s="1" t="str">
        <x:v>NOT_REVEALING</x:v>
      </x:c>
      <x:c r="E781" s="5" t="n">
        <x:v>0</x:v>
      </x:c>
      <x:c r="F781" s="4" t="n">
        <x:v>0</x:v>
      </x:c>
      <x:c r="G781" s="4"/>
      <x:c r="H781" s="6"/>
      <x:c r="I781" s="16" t="n">
        <x:v>1</x:v>
      </x:c>
      <x:c r="J781" t="n">
        <x:v>46</x:v>
      </x:c>
      <x:c r="K781" s="4" t="n">
        <x:v>0</x:v>
      </x:c>
      <x:c r="L781" s="4" t="n">
        <x:v>16</x:v>
      </x:c>
      <x:c r="M781" s="4" t="n">
        <x:v>0</x:v>
      </x:c>
      <x:c r="N781" s="5" t="n">
        <x:v>0</x:v>
      </x:c>
    </x:row>
    <x:row r="782" ht="24" customHeight="1">
      <x:c r="A782" s="1" t="str">
        <x:v>RESULT</x:v>
      </x:c>
      <x:c r="B782" s="1" t="str">
        <x:v>Round1</x:v>
      </x:c>
      <x:c r="C782" s="1" t="str">
        <x:v>Math_90</x:v>
      </x:c>
      <x:c r="D782" s="1" t="str">
        <x:v>NOT_REVEALING</x:v>
      </x:c>
      <x:c r="E782" s="5" t="n">
        <x:v>0</x:v>
      </x:c>
      <x:c r="F782" s="4" t="n">
        <x:v>0</x:v>
      </x:c>
      <x:c r="G782" s="4"/>
      <x:c r="H782" s="6"/>
      <x:c r="I782" s="16" t="n">
        <x:v>1</x:v>
      </x:c>
      <x:c r="J782" t="n">
        <x:v>106</x:v>
      </x:c>
      <x:c r="K782" s="4" t="n">
        <x:v>0</x:v>
      </x:c>
      <x:c r="L782" s="4" t="n">
        <x:v>32</x:v>
      </x:c>
      <x:c r="M782" s="4" t="n">
        <x:v>0</x:v>
      </x:c>
      <x:c r="N782" s="5" t="n">
        <x:v>0</x:v>
      </x:c>
    </x:row>
    <x:row r="783" ht="24" customHeight="1">
      <x:c r="A783" s="1" t="str">
        <x:v>RESULT</x:v>
      </x:c>
      <x:c r="B783" s="1" t="str">
        <x:v>Round1</x:v>
      </x:c>
      <x:c r="C783" s="1" t="str">
        <x:v>Math_91</x:v>
      </x:c>
      <x:c r="D783" s="1" t="str">
        <x:v>NOT_AVAILABLE</x:v>
      </x:c>
      <x:c r="E783" s="5"/>
      <x:c r="F783" s="4" t="n">
        <x:v>0</x:v>
      </x:c>
      <x:c r="G783" s="4"/>
      <x:c r="H783" s="6"/>
      <x:c r="I783" s="16" t="n">
        <x:v>1</x:v>
      </x:c>
      <x:c r="J783"/>
      <x:c r="K783" s="4"/>
      <x:c r="L783" s="4"/>
      <x:c r="M783" s="4"/>
      <x:c r="N783" s="5"/>
    </x:row>
    <x:row r="784" ht="24" customHeight="1">
      <x:c r="A784" s="1" t="str">
        <x:v>RESULT</x:v>
      </x:c>
      <x:c r="B784" s="1" t="str">
        <x:v>Round1</x:v>
      </x:c>
      <x:c r="C784" s="1" t="str">
        <x:v>Math_92</x:v>
      </x:c>
      <x:c r="D784" s="1" t="str">
        <x:v>NOT_REVEALING</x:v>
      </x:c>
      <x:c r="E784" s="5" t="n">
        <x:v>0.0043</x:v>
      </x:c>
      <x:c r="F784" s="4" t="n">
        <x:v>0</x:v>
      </x:c>
      <x:c r="G784" s="4"/>
      <x:c r="H784" s="6"/>
      <x:c r="I784" s="16" t="n">
        <x:v>1</x:v>
      </x:c>
      <x:c r="J784" t="n">
        <x:v>231</x:v>
      </x:c>
      <x:c r="K784" s="4" t="n">
        <x:v>1</x:v>
      </x:c>
      <x:c r="L784" s="4" t="n">
        <x:v>223</x:v>
      </x:c>
      <x:c r="M784" s="4" t="n">
        <x:v>0</x:v>
      </x:c>
      <x:c r="N784" s="5" t="n">
        <x:v>0</x:v>
      </x:c>
    </x:row>
    <x:row r="785" ht="24" customHeight="1">
      <x:c r="A785" s="1" t="str">
        <x:v>RESULT</x:v>
      </x:c>
      <x:c r="B785" s="1" t="str">
        <x:v>Round1</x:v>
      </x:c>
      <x:c r="C785" s="1" t="str">
        <x:v>Math_93</x:v>
      </x:c>
      <x:c r="D785" s="1" t="str">
        <x:v>NOT_REVEALING</x:v>
      </x:c>
      <x:c r="E785" s="5" t="n">
        <x:v>0.0044</x:v>
      </x:c>
      <x:c r="F785" s="4" t="n">
        <x:v>0</x:v>
      </x:c>
      <x:c r="G785" s="4"/>
      <x:c r="H785" s="6"/>
      <x:c r="I785" s="16" t="n">
        <x:v>1</x:v>
      </x:c>
      <x:c r="J785" t="n">
        <x:v>226</x:v>
      </x:c>
      <x:c r="K785" s="4" t="n">
        <x:v>1</x:v>
      </x:c>
      <x:c r="L785" s="4" t="n">
        <x:v>217</x:v>
      </x:c>
      <x:c r="M785" s="4" t="n">
        <x:v>0</x:v>
      </x:c>
      <x:c r="N785" s="5" t="n">
        <x:v>0</x:v>
      </x:c>
    </x:row>
    <x:row r="786" ht="24" customHeight="1">
      <x:c r="A786" s="1" t="str">
        <x:v>RESULT</x:v>
      </x:c>
      <x:c r="B786" s="1" t="str">
        <x:v>Round1</x:v>
      </x:c>
      <x:c r="C786" s="1" t="str">
        <x:v>Math_94</x:v>
      </x:c>
      <x:c r="D786" s="1" t="str">
        <x:v>NOT_REVEALING</x:v>
      </x:c>
      <x:c r="E786" s="5" t="n">
        <x:v>0</x:v>
      </x:c>
      <x:c r="F786" s="4" t="n">
        <x:v>0</x:v>
      </x:c>
      <x:c r="G786" s="4"/>
      <x:c r="H786" s="6"/>
      <x:c r="I786" s="16" t="n">
        <x:v>1</x:v>
      </x:c>
      <x:c r="J786" t="n">
        <x:v>225</x:v>
      </x:c>
      <x:c r="K786" s="4" t="n">
        <x:v>0</x:v>
      </x:c>
      <x:c r="L786" s="4" t="n">
        <x:v>215</x:v>
      </x:c>
      <x:c r="M786" s="4" t="n">
        <x:v>0</x:v>
      </x:c>
      <x:c r="N786" s="5" t="n">
        <x:v>0</x:v>
      </x:c>
    </x:row>
    <x:row r="787" ht="24" customHeight="1">
      <x:c r="A787" s="1" t="str">
        <x:v>RESULT</x:v>
      </x:c>
      <x:c r="B787" s="1" t="str">
        <x:v>Round1</x:v>
      </x:c>
      <x:c r="C787" s="1" t="str">
        <x:v>Math_95</x:v>
      </x:c>
      <x:c r="D787" s="1" t="str">
        <x:v>NOT_REVEALING</x:v>
      </x:c>
      <x:c r="E787" s="5" t="n">
        <x:v>1</x:v>
      </x:c>
      <x:c r="F787" s="4" t="n">
        <x:v>0</x:v>
      </x:c>
      <x:c r="G787" s="4"/>
      <x:c r="H787" s="6"/>
      <x:c r="I787" s="16" t="n">
        <x:v>1</x:v>
      </x:c>
      <x:c r="J787" t="n">
        <x:v>30</x:v>
      </x:c>
      <x:c r="K787" s="4" t="n">
        <x:v>30</x:v>
      </x:c>
      <x:c r="L787" s="4" t="n">
        <x:v>10</x:v>
      </x:c>
      <x:c r="M787" s="4" t="n">
        <x:v>10</x:v>
      </x:c>
      <x:c r="N787" s="5" t="n">
        <x:v>1</x:v>
      </x:c>
    </x:row>
    <x:row r="788" ht="24" customHeight="1">
      <x:c r="A788" s="1" t="str">
        <x:v>RESULT</x:v>
      </x:c>
      <x:c r="B788" s="1" t="str">
        <x:v>Round1</x:v>
      </x:c>
      <x:c r="C788" s="1" t="str">
        <x:v>Math_96</x:v>
      </x:c>
      <x:c r="D788" s="1" t="str">
        <x:v>NOT_REVEALING</x:v>
      </x:c>
      <x:c r="E788" s="5" t="n">
        <x:v>0.0634</x:v>
      </x:c>
      <x:c r="F788" s="4" t="n">
        <x:v>0</x:v>
      </x:c>
      <x:c r="G788" s="4"/>
      <x:c r="H788" s="6"/>
      <x:c r="I788" s="16" t="n">
        <x:v>1</x:v>
      </x:c>
      <x:c r="J788" t="n">
        <x:v>142</x:v>
      </x:c>
      <x:c r="K788" s="4" t="n">
        <x:v>9</x:v>
      </x:c>
      <x:c r="L788" s="4" t="n">
        <x:v>102</x:v>
      </x:c>
      <x:c r="M788" s="4" t="n">
        <x:v>0</x:v>
      </x:c>
      <x:c r="N788" s="5" t="n">
        <x:v>0</x:v>
      </x:c>
    </x:row>
    <x:row r="789" ht="24" customHeight="1">
      <x:c r="A789" s="1" t="str">
        <x:v>RESULT</x:v>
      </x:c>
      <x:c r="B789" s="1" t="str">
        <x:v>Round1</x:v>
      </x:c>
      <x:c r="C789" s="1" t="str">
        <x:v>Math_97</x:v>
      </x:c>
      <x:c r="D789" s="1" t="str">
        <x:v>NOT_REVEALING</x:v>
      </x:c>
      <x:c r="E789" s="5" t="n">
        <x:v>0</x:v>
      </x:c>
      <x:c r="F789" s="4" t="n">
        <x:v>0</x:v>
      </x:c>
      <x:c r="G789" s="4"/>
      <x:c r="H789" s="6"/>
      <x:c r="I789" s="16" t="n">
        <x:v>1</x:v>
      </x:c>
      <x:c r="J789" t="n">
        <x:v>89</x:v>
      </x:c>
      <x:c r="K789" s="4" t="n">
        <x:v>0</x:v>
      </x:c>
      <x:c r="L789" s="4" t="n">
        <x:v>46</x:v>
      </x:c>
      <x:c r="M789" s="4" t="n">
        <x:v>0</x:v>
      </x:c>
      <x:c r="N789" s="5" t="n">
        <x:v>0</x:v>
      </x:c>
    </x:row>
    <x:row r="790" ht="24" customHeight="1">
      <x:c r="A790" s="1" t="str">
        <x:v>RESULT</x:v>
      </x:c>
      <x:c r="B790" s="1" t="str">
        <x:v>Round1</x:v>
      </x:c>
      <x:c r="C790" s="1" t="str">
        <x:v>Math_98</x:v>
      </x:c>
      <x:c r="D790" s="1" t="str">
        <x:v>NOT_REVEALING</x:v>
      </x:c>
      <x:c r="E790" s="5" t="n">
        <x:v>0.0033</x:v>
      </x:c>
      <x:c r="F790" s="4" t="n">
        <x:v>0</x:v>
      </x:c>
      <x:c r="G790" s="4"/>
      <x:c r="H790" s="6"/>
      <x:c r="I790" s="16" t="n">
        <x:v>1</x:v>
      </x:c>
      <x:c r="J790" t="n">
        <x:v>918</x:v>
      </x:c>
      <x:c r="K790" s="4" t="n">
        <x:v>3</x:v>
      </x:c>
      <x:c r="L790" s="4" t="n">
        <x:v>554</x:v>
      </x:c>
      <x:c r="M790" s="4" t="n">
        <x:v>0</x:v>
      </x:c>
      <x:c r="N790" s="5" t="n">
        <x:v>0</x:v>
      </x:c>
    </x:row>
    <x:row r="791" ht="24" customHeight="1">
      <x:c r="A791" s="1" t="str">
        <x:v>RESULT</x:v>
      </x:c>
      <x:c r="B791" s="1" t="str">
        <x:v>Round1</x:v>
      </x:c>
      <x:c r="C791" s="1" t="str">
        <x:v>Math_99</x:v>
      </x:c>
      <x:c r="D791" s="1" t="str">
        <x:v>NOT_REVEALING</x:v>
      </x:c>
      <x:c r="E791" s="5" t="n">
        <x:v>0.0037</x:v>
      </x:c>
      <x:c r="F791" s="4" t="n">
        <x:v>0</x:v>
      </x:c>
      <x:c r="G791" s="4"/>
      <x:c r="H791" s="6"/>
      <x:c r="I791" s="16" t="n">
        <x:v>1</x:v>
      </x:c>
      <x:c r="J791" t="n">
        <x:v>269</x:v>
      </x:c>
      <x:c r="K791" s="4" t="n">
        <x:v>1</x:v>
      </x:c>
      <x:c r="L791" s="4" t="n">
        <x:v>271</x:v>
      </x:c>
      <x:c r="M791" s="4" t="n">
        <x:v>0</x:v>
      </x:c>
      <x:c r="N791" s="5" t="n">
        <x:v>0</x:v>
      </x:c>
    </x:row>
    <x:row r="792" ht="24" customHeight="1">
      <x:c r="A792" s="1" t="str">
        <x:v>RESULT</x:v>
      </x:c>
      <x:c r="B792" s="1" t="str">
        <x:v>Round1</x:v>
      </x:c>
      <x:c r="C792" s="1" t="str">
        <x:v>Mockito_1</x:v>
      </x:c>
      <x:c r="D792" s="1" t="str">
        <x:v>INCONCLUSIVE</x:v>
      </x:c>
      <x:c r="E792" s="5" t="n">
        <x:v>1</x:v>
      </x:c>
      <x:c r="F792" s="4" t="n">
        <x:v>0</x:v>
      </x:c>
      <x:c r="G792" s="4" t="n">
        <x:v>14946</x:v>
      </x:c>
      <x:c r="H792" s="6" t="n">
        <x:v>70.27</x:v>
      </x:c>
      <x:c r="I792" s="16" t="n">
        <x:v>1</x:v>
      </x:c>
      <x:c r="J792" t="n">
        <x:v>61</x:v>
      </x:c>
      <x:c r="K792" s="4" t="n">
        <x:v>61</x:v>
      </x:c>
      <x:c r="L792" s="4" t="n">
        <x:v>52</x:v>
      </x:c>
      <x:c r="M792" s="4" t="n">
        <x:v>50</x:v>
      </x:c>
      <x:c r="N792" s="5" t="n">
        <x:v>0.9615</x:v>
      </x:c>
    </x:row>
    <x:row r="793" ht="24" customHeight="1">
      <x:c r="A793" s="1" t="str">
        <x:v>RESULT</x:v>
      </x:c>
      <x:c r="B793" s="1" t="str">
        <x:v>Round1</x:v>
      </x:c>
      <x:c r="C793" s="1" t="str">
        <x:v>Mockito_10</x:v>
      </x:c>
      <x:c r="D793" s="1" t="str">
        <x:v>INCONCLUSIVE</x:v>
      </x:c>
      <x:c r="E793" s="5" t="n">
        <x:v>0.6429</x:v>
      </x:c>
      <x:c r="F793" s="4" t="n">
        <x:v>0</x:v>
      </x:c>
      <x:c r="G793" s="4" t="n">
        <x:v>9897</x:v>
      </x:c>
      <x:c r="H793" s="6" t="n">
        <x:v>56.52</x:v>
      </x:c>
      <x:c r="I793" s="16" t="n">
        <x:v>1</x:v>
      </x:c>
      <x:c r="J793" t="n">
        <x:v>42</x:v>
      </x:c>
      <x:c r="K793" s="4" t="n">
        <x:v>27</x:v>
      </x:c>
      <x:c r="L793" s="4" t="n">
        <x:v>8</x:v>
      </x:c>
      <x:c r="M793" s="4" t="n">
        <x:v>3</x:v>
      </x:c>
      <x:c r="N793" s="5" t="n">
        <x:v>0.375</x:v>
      </x:c>
    </x:row>
    <x:row r="794" ht="24" customHeight="1">
      <x:c r="A794" s="1" t="str">
        <x:v>RESULT</x:v>
      </x:c>
      <x:c r="B794" s="1" t="str">
        <x:v>Round1</x:v>
      </x:c>
      <x:c r="C794" s="1" t="str">
        <x:v>Mockito_11</x:v>
      </x:c>
      <x:c r="D794" s="1" t="str">
        <x:v>INCONCLUSIVE</x:v>
      </x:c>
      <x:c r="E794" s="5" t="n">
        <x:v>1</x:v>
      </x:c>
      <x:c r="F794" s="4" t="n">
        <x:v>0</x:v>
      </x:c>
      <x:c r="G794" s="4" t="n">
        <x:v>4670</x:v>
      </x:c>
      <x:c r="H794" s="6" t="n">
        <x:v>18.67</x:v>
      </x:c>
      <x:c r="I794" s="16" t="n">
        <x:v>1</x:v>
      </x:c>
      <x:c r="J794" t="n">
        <x:v>14</x:v>
      </x:c>
      <x:c r="K794" s="4" t="n">
        <x:v>14</x:v>
      </x:c>
      <x:c r="L794" s="4" t="n">
        <x:v>6</x:v>
      </x:c>
      <x:c r="M794" s="4" t="n">
        <x:v>3</x:v>
      </x:c>
      <x:c r="N794" s="5" t="n">
        <x:v>0.5</x:v>
      </x:c>
    </x:row>
    <x:row r="795" ht="24" customHeight="1">
      <x:c r="A795" s="1" t="str">
        <x:v>RESULT</x:v>
      </x:c>
      <x:c r="B795" s="1" t="str">
        <x:v>Round1</x:v>
      </x:c>
      <x:c r="C795" s="1" t="str">
        <x:v>Mockito_12</x:v>
      </x:c>
      <x:c r="D795" s="1" t="str">
        <x:v>INCONCLUSIVE</x:v>
      </x:c>
      <x:c r="E795" s="5" t="n">
        <x:v>1</x:v>
      </x:c>
      <x:c r="F795" s="4" t="n">
        <x:v>0</x:v>
      </x:c>
      <x:c r="G795" s="4" t="n">
        <x:v>3283</x:v>
      </x:c>
      <x:c r="H795" s="6" t="n">
        <x:v>19.98</x:v>
      </x:c>
      <x:c r="I795" s="16" t="n">
        <x:v>1</x:v>
      </x:c>
      <x:c r="J795" t="n">
        <x:v>6</x:v>
      </x:c>
      <x:c r="K795" s="4" t="n">
        <x:v>6</x:v>
      </x:c>
      <x:c r="L795" s="4" t="n">
        <x:v>4</x:v>
      </x:c>
      <x:c r="M795" s="4" t="n">
        <x:v>3</x:v>
      </x:c>
      <x:c r="N795" s="5" t="n">
        <x:v>0.75</x:v>
      </x:c>
    </x:row>
    <x:row r="796" ht="24" customHeight="1">
      <x:c r="A796" s="1" t="str">
        <x:v>RESULT</x:v>
      </x:c>
      <x:c r="B796" s="1" t="str">
        <x:v>Round1</x:v>
      </x:c>
      <x:c r="C796" s="1" t="str">
        <x:v>Mockito_13</x:v>
      </x:c>
      <x:c r="D796" s="1" t="str">
        <x:v>NOT_AVAILABLE</x:v>
      </x:c>
      <x:c r="E796" s="5"/>
      <x:c r="F796" s="4" t="n">
        <x:v>0</x:v>
      </x:c>
      <x:c r="G796" s="4" t="n">
        <x:v>11227</x:v>
      </x:c>
      <x:c r="H796" s="6" t="n">
        <x:v>54.73</x:v>
      </x:c>
      <x:c r="I796" s="16" t="n">
        <x:v>1</x:v>
      </x:c>
      <x:c r="J796"/>
      <x:c r="K796" s="4"/>
      <x:c r="L796" s="4"/>
      <x:c r="M796" s="4"/>
      <x:c r="N796" s="5"/>
    </x:row>
    <x:row r="797" ht="24" customHeight="1">
      <x:c r="A797" s="1" t="str">
        <x:v>RESULT</x:v>
      </x:c>
      <x:c r="B797" s="1" t="str">
        <x:v>Round1</x:v>
      </x:c>
      <x:c r="C797" s="1" t="str">
        <x:v>Mockito_14</x:v>
      </x:c>
      <x:c r="D797" s="1" t="str">
        <x:v>NOT_AVAILABLE</x:v>
      </x:c>
      <x:c r="E797" s="5"/>
      <x:c r="F797" s="4" t="n">
        <x:v>0</x:v>
      </x:c>
      <x:c r="G797" s="4" t="n">
        <x:v>21453</x:v>
      </x:c>
      <x:c r="H797" s="6" t="n">
        <x:v>109.21</x:v>
      </x:c>
      <x:c r="I797" s="16" t="n">
        <x:v>1</x:v>
      </x:c>
      <x:c r="J797"/>
      <x:c r="K797" s="4"/>
      <x:c r="L797" s="4"/>
      <x:c r="M797" s="4"/>
      <x:c r="N797" s="5"/>
    </x:row>
    <x:row r="798" ht="24" customHeight="1">
      <x:c r="A798" s="1" t="str">
        <x:v>RESULT</x:v>
      </x:c>
      <x:c r="B798" s="1" t="str">
        <x:v>Round1</x:v>
      </x:c>
      <x:c r="C798" s="1" t="str">
        <x:v>Mockito_15</x:v>
      </x:c>
      <x:c r="D798" s="1" t="str">
        <x:v>NOT_REVEALING</x:v>
      </x:c>
      <x:c r="E798" s="5" t="n">
        <x:v>1</x:v>
      </x:c>
      <x:c r="F798" s="4" t="n">
        <x:v>0</x:v>
      </x:c>
      <x:c r="G798" s="4" t="n">
        <x:v>3927</x:v>
      </x:c>
      <x:c r="H798" s="6" t="n">
        <x:v>18.37</x:v>
      </x:c>
      <x:c r="I798" s="16" t="n">
        <x:v>1</x:v>
      </x:c>
      <x:c r="J798" t="n">
        <x:v>13</x:v>
      </x:c>
      <x:c r="K798" s="4" t="n">
        <x:v>13</x:v>
      </x:c>
      <x:c r="L798" s="4" t="n">
        <x:v>2</x:v>
      </x:c>
      <x:c r="M798" s="4" t="n">
        <x:v>2</x:v>
      </x:c>
      <x:c r="N798" s="5" t="n">
        <x:v>1</x:v>
      </x:c>
    </x:row>
    <x:row r="799" ht="24" customHeight="1">
      <x:c r="A799" s="1" t="str">
        <x:v>RESULT</x:v>
      </x:c>
      <x:c r="B799" s="1" t="str">
        <x:v>Round1</x:v>
      </x:c>
      <x:c r="C799" s="1" t="str">
        <x:v>Mockito_16</x:v>
      </x:c>
      <x:c r="D799" s="1" t="str">
        <x:v>NOT_AVAILABLE</x:v>
      </x:c>
      <x:c r="E799" s="5"/>
      <x:c r="F799" s="4" t="n">
        <x:v>0</x:v>
      </x:c>
      <x:c r="G799" s="4" t="n">
        <x:v>14104</x:v>
      </x:c>
      <x:c r="H799" s="6" t="n">
        <x:v>59.17</x:v>
      </x:c>
      <x:c r="I799" s="16" t="n">
        <x:v>1</x:v>
      </x:c>
      <x:c r="J799"/>
      <x:c r="K799" s="4"/>
      <x:c r="L799" s="4"/>
      <x:c r="M799" s="4"/>
      <x:c r="N799" s="5"/>
    </x:row>
    <x:row r="800" ht="24" customHeight="1">
      <x:c r="A800" s="1" t="str">
        <x:v>RESULT</x:v>
      </x:c>
      <x:c r="B800" s="1" t="str">
        <x:v>Round1</x:v>
      </x:c>
      <x:c r="C800" s="1" t="str">
        <x:v>Mockito_17</x:v>
      </x:c>
      <x:c r="D800" s="1" t="str">
        <x:v>NOT_AVAILABLE</x:v>
      </x:c>
      <x:c r="E800" s="5"/>
      <x:c r="F800" s="4" t="n">
        <x:v>0</x:v>
      </x:c>
      <x:c r="G800" s="4" t="n">
        <x:v>9328</x:v>
      </x:c>
      <x:c r="H800" s="6" t="n">
        <x:v>38.71</x:v>
      </x:c>
      <x:c r="I800" s="16" t="n">
        <x:v>1</x:v>
      </x:c>
      <x:c r="J800"/>
      <x:c r="K800" s="4"/>
      <x:c r="L800" s="4"/>
      <x:c r="M800" s="4"/>
      <x:c r="N800" s="5"/>
    </x:row>
    <x:row r="801" ht="24" customHeight="1">
      <x:c r="A801" s="1" t="str">
        <x:v>RESULT</x:v>
      </x:c>
      <x:c r="B801" s="1" t="str">
        <x:v>Round1</x:v>
      </x:c>
      <x:c r="C801" s="1" t="str">
        <x:v>Mockito_18</x:v>
      </x:c>
      <x:c r="D801" s="1" t="str">
        <x:v>NOT_AVAILABLE</x:v>
      </x:c>
      <x:c r="E801" s="5"/>
      <x:c r="F801" s="4" t="n">
        <x:v>0</x:v>
      </x:c>
      <x:c r="G801" s="4" t="n">
        <x:v>11939</x:v>
      </x:c>
      <x:c r="H801" s="6" t="n">
        <x:v>50.98</x:v>
      </x:c>
      <x:c r="I801" s="16" t="n">
        <x:v>1</x:v>
      </x:c>
      <x:c r="J801"/>
      <x:c r="K801" s="4"/>
      <x:c r="L801" s="4"/>
      <x:c r="M801" s="4"/>
      <x:c r="N801" s="5"/>
    </x:row>
    <x:row r="802" ht="24" customHeight="1">
      <x:c r="A802" s="1" t="str">
        <x:v>RESULT</x:v>
      </x:c>
      <x:c r="B802" s="1" t="str">
        <x:v>Round1</x:v>
      </x:c>
      <x:c r="C802" s="1" t="str">
        <x:v>Mockito_19</x:v>
      </x:c>
      <x:c r="D802" s="1" t="str">
        <x:v>NOT_AVAILABLE</x:v>
      </x:c>
      <x:c r="E802" s="5" t="n">
        <x:v>0.9595</x:v>
      </x:c>
      <x:c r="F802" s="4" t="n">
        <x:v>0</x:v>
      </x:c>
      <x:c r="G802" s="4" t="n">
        <x:v>29509</x:v>
      </x:c>
      <x:c r="H802" s="6" t="n">
        <x:v>143.5</x:v>
      </x:c>
      <x:c r="I802" s="16" t="n">
        <x:v>1</x:v>
      </x:c>
      <x:c r="J802" t="n">
        <x:v>74</x:v>
      </x:c>
      <x:c r="K802" s="4" t="n">
        <x:v>71</x:v>
      </x:c>
      <x:c r="L802" s="4" t="n">
        <x:v>26</x:v>
      </x:c>
      <x:c r="M802" s="4" t="n">
        <x:v>23</x:v>
      </x:c>
      <x:c r="N802" s="5" t="n">
        <x:v>0.8845999999999999</x:v>
      </x:c>
    </x:row>
    <x:row r="803" ht="24" customHeight="1">
      <x:c r="A803" s="1" t="str">
        <x:v>RESULT</x:v>
      </x:c>
      <x:c r="B803" s="1" t="str">
        <x:v>Round1</x:v>
      </x:c>
      <x:c r="C803" s="1" t="str">
        <x:v>Mockito_2</x:v>
      </x:c>
      <x:c r="D803" s="1" t="str">
        <x:v>INCONCLUSIVE</x:v>
      </x:c>
      <x:c r="E803" s="5" t="n">
        <x:v>1</x:v>
      </x:c>
      <x:c r="F803" s="4" t="n">
        <x:v>0</x:v>
      </x:c>
      <x:c r="G803" s="4" t="n">
        <x:v>3148</x:v>
      </x:c>
      <x:c r="H803" s="6" t="n">
        <x:v>14.63</x:v>
      </x:c>
      <x:c r="I803" s="16" t="n">
        <x:v>1</x:v>
      </x:c>
      <x:c r="J803" t="n">
        <x:v>9</x:v>
      </x:c>
      <x:c r="K803" s="4" t="n">
        <x:v>9</x:v>
      </x:c>
      <x:c r="L803" s="4" t="n">
        <x:v>6</x:v>
      </x:c>
      <x:c r="M803" s="4" t="n">
        <x:v>3</x:v>
      </x:c>
      <x:c r="N803" s="5" t="n">
        <x:v>0.5</x:v>
      </x:c>
    </x:row>
    <x:row r="804" ht="24" customHeight="1">
      <x:c r="A804" s="1" t="str">
        <x:v>RESULT</x:v>
      </x:c>
      <x:c r="B804" s="1" t="str">
        <x:v>Round1</x:v>
      </x:c>
      <x:c r="C804" s="1" t="str">
        <x:v>Mockito_20</x:v>
      </x:c>
      <x:c r="D804" s="1" t="str">
        <x:v>INCONCLUSIVE</x:v>
      </x:c>
      <x:c r="E804" s="5" t="n">
        <x:v>0.9</x:v>
      </x:c>
      <x:c r="F804" s="4" t="n">
        <x:v>0</x:v>
      </x:c>
      <x:c r="G804" s="4" t="n">
        <x:v>9230</x:v>
      </x:c>
      <x:c r="H804" s="6" t="n">
        <x:v>69.17</x:v>
      </x:c>
      <x:c r="I804" s="16" t="n">
        <x:v>1</x:v>
      </x:c>
      <x:c r="J804" t="n">
        <x:v>40</x:v>
      </x:c>
      <x:c r="K804" s="4" t="n">
        <x:v>36</x:v>
      </x:c>
      <x:c r="L804" s="4" t="n">
        <x:v>10</x:v>
      </x:c>
      <x:c r="M804" s="4" t="n">
        <x:v>8</x:v>
      </x:c>
      <x:c r="N804" s="5" t="n">
        <x:v>0.8</x:v>
      </x:c>
    </x:row>
    <x:row r="805" ht="24" customHeight="1">
      <x:c r="A805" s="1" t="str">
        <x:v>RESULT</x:v>
      </x:c>
      <x:c r="B805" s="1" t="str">
        <x:v>Round1</x:v>
      </x:c>
      <x:c r="C805" s="1" t="str">
        <x:v>Mockito_21</x:v>
      </x:c>
      <x:c r="D805" s="1" t="str">
        <x:v>INCONCLUSIVE</x:v>
      </x:c>
      <x:c r="E805" s="5" t="n">
        <x:v>1</x:v>
      </x:c>
      <x:c r="F805" s="4" t="n">
        <x:v>0</x:v>
      </x:c>
      <x:c r="G805" s="4" t="n">
        <x:v>4092</x:v>
      </x:c>
      <x:c r="H805" s="6" t="n">
        <x:v>24.1</x:v>
      </x:c>
      <x:c r="I805" s="16" t="n">
        <x:v>1</x:v>
      </x:c>
      <x:c r="J805" t="n">
        <x:v>16</x:v>
      </x:c>
      <x:c r="K805" s="4" t="n">
        <x:v>16</x:v>
      </x:c>
      <x:c r="L805" s="4" t="n">
        <x:v>2</x:v>
      </x:c>
      <x:c r="M805" s="4" t="n">
        <x:v>2</x:v>
      </x:c>
      <x:c r="N805" s="5" t="n">
        <x:v>1</x:v>
      </x:c>
    </x:row>
    <x:row r="806" ht="24" customHeight="1">
      <x:c r="A806" s="1" t="str">
        <x:v>RESULT</x:v>
      </x:c>
      <x:c r="B806" s="1" t="str">
        <x:v>Round1</x:v>
      </x:c>
      <x:c r="C806" s="1" t="str">
        <x:v>Mockito_22</x:v>
      </x:c>
      <x:c r="D806" s="1" t="str">
        <x:v>NOT_REVEALING</x:v>
      </x:c>
      <x:c r="E806" s="5" t="n">
        <x:v>1</x:v>
      </x:c>
      <x:c r="F806" s="4" t="n">
        <x:v>0</x:v>
      </x:c>
      <x:c r="G806" s="4" t="n">
        <x:v>5528</x:v>
      </x:c>
      <x:c r="H806" s="6" t="n">
        <x:v>22.17</x:v>
      </x:c>
      <x:c r="I806" s="16" t="n">
        <x:v>1</x:v>
      </x:c>
      <x:c r="J806" t="n">
        <x:v>13</x:v>
      </x:c>
      <x:c r="K806" s="4" t="n">
        <x:v>13</x:v>
      </x:c>
      <x:c r="L806" s="4" t="n">
        <x:v>24</x:v>
      </x:c>
      <x:c r="M806" s="4" t="n">
        <x:v>24</x:v>
      </x:c>
      <x:c r="N806" s="5" t="n">
        <x:v>1</x:v>
      </x:c>
    </x:row>
    <x:row r="807" ht="24" customHeight="1">
      <x:c r="A807" s="1" t="str">
        <x:v>RESULT</x:v>
      </x:c>
      <x:c r="B807" s="1" t="str">
        <x:v>Round1</x:v>
      </x:c>
      <x:c r="C807" s="1" t="str">
        <x:v>Mockito_23</x:v>
      </x:c>
      <x:c r="D807" s="1" t="str">
        <x:v>INCONCLUSIVE</x:v>
      </x:c>
      <x:c r="E807" s="5" t="n">
        <x:v>0.5152</x:v>
      </x:c>
      <x:c r="F807" s="4" t="n">
        <x:v>0</x:v>
      </x:c>
      <x:c r="G807" s="4" t="n">
        <x:v>11483</x:v>
      </x:c>
      <x:c r="H807" s="6" t="n">
        <x:v>51.7</x:v>
      </x:c>
      <x:c r="I807" s="16" t="n">
        <x:v>1</x:v>
      </x:c>
      <x:c r="J807" t="n">
        <x:v>33</x:v>
      </x:c>
      <x:c r="K807" s="4" t="n">
        <x:v>17</x:v>
      </x:c>
      <x:c r="L807" s="4" t="n">
        <x:v>8</x:v>
      </x:c>
      <x:c r="M807" s="4" t="n">
        <x:v>3</x:v>
      </x:c>
      <x:c r="N807" s="5" t="n">
        <x:v>0.375</x:v>
      </x:c>
    </x:row>
    <x:row r="808" ht="24" customHeight="1">
      <x:c r="A808" s="1" t="str">
        <x:v>RESULT</x:v>
      </x:c>
      <x:c r="B808" s="1" t="str">
        <x:v>Round1</x:v>
      </x:c>
      <x:c r="C808" s="1" t="str">
        <x:v>Mockito_24</x:v>
      </x:c>
      <x:c r="D808" s="1" t="str">
        <x:v>INCONCLUSIVE</x:v>
      </x:c>
      <x:c r="E808" s="5" t="n">
        <x:v>0.9318000000000001</x:v>
      </x:c>
      <x:c r="F808" s="4" t="n">
        <x:v>0</x:v>
      </x:c>
      <x:c r="G808" s="4" t="n">
        <x:v>11360</x:v>
      </x:c>
      <x:c r="H808" s="6" t="n">
        <x:v>51.86</x:v>
      </x:c>
      <x:c r="I808" s="16" t="n">
        <x:v>1</x:v>
      </x:c>
      <x:c r="J808" t="n">
        <x:v>44</x:v>
      </x:c>
      <x:c r="K808" s="4" t="n">
        <x:v>41</x:v>
      </x:c>
      <x:c r="L808" s="4" t="n">
        <x:v>36</x:v>
      </x:c>
      <x:c r="M808" s="4" t="n">
        <x:v>34</x:v>
      </x:c>
      <x:c r="N808" s="5" t="n">
        <x:v>0.9444</x:v>
      </x:c>
    </x:row>
    <x:row r="809" ht="24" customHeight="1">
      <x:c r="A809" s="1" t="str">
        <x:v>RESULT</x:v>
      </x:c>
      <x:c r="B809" s="1" t="str">
        <x:v>Round1</x:v>
      </x:c>
      <x:c r="C809" s="1" t="str">
        <x:v>Mockito_25</x:v>
      </x:c>
      <x:c r="D809" s="1" t="str">
        <x:v>INCONCLUSIVE</x:v>
      </x:c>
      <x:c r="E809" s="5" t="n">
        <x:v>0.3478</x:v>
      </x:c>
      <x:c r="F809" s="4" t="n">
        <x:v>0</x:v>
      </x:c>
      <x:c r="G809" s="4" t="n">
        <x:v>5957</x:v>
      </x:c>
      <x:c r="H809" s="6" t="n">
        <x:v>34.07</x:v>
      </x:c>
      <x:c r="I809" s="16" t="n">
        <x:v>1</x:v>
      </x:c>
      <x:c r="J809" t="n">
        <x:v>23</x:v>
      </x:c>
      <x:c r="K809" s="4" t="n">
        <x:v>8</x:v>
      </x:c>
      <x:c r="L809" s="4" t="n">
        <x:v>6</x:v>
      </x:c>
      <x:c r="M809" s="4" t="n">
        <x:v>1</x:v>
      </x:c>
      <x:c r="N809" s="5" t="n">
        <x:v>0.16670000000000001</x:v>
      </x:c>
    </x:row>
    <x:row r="810" ht="24" customHeight="1">
      <x:c r="A810" s="1" t="str">
        <x:v>RESULT</x:v>
      </x:c>
      <x:c r="B810" s="1" t="str">
        <x:v>Round1</x:v>
      </x:c>
      <x:c r="C810" s="1" t="str">
        <x:v>Mockito_26</x:v>
      </x:c>
      <x:c r="D810" s="1" t="str">
        <x:v>INCONCLUSIVE</x:v>
      </x:c>
      <x:c r="E810" s="5" t="n">
        <x:v>1</x:v>
      </x:c>
      <x:c r="F810" s="4" t="n">
        <x:v>0</x:v>
      </x:c>
      <x:c r="G810" s="4" t="n">
        <x:v>6268</x:v>
      </x:c>
      <x:c r="H810" s="6" t="n">
        <x:v>44.79</x:v>
      </x:c>
      <x:c r="I810" s="16" t="n">
        <x:v>1</x:v>
      </x:c>
      <x:c r="J810" t="n">
        <x:v>36</x:v>
      </x:c>
      <x:c r="K810" s="4" t="n">
        <x:v>36</x:v>
      </x:c>
      <x:c r="L810" s="4" t="n">
        <x:v>2</x:v>
      </x:c>
      <x:c r="M810" s="4" t="n">
        <x:v>2</x:v>
      </x:c>
      <x:c r="N810" s="5" t="n">
        <x:v>1</x:v>
      </x:c>
    </x:row>
    <x:row r="811" ht="24" customHeight="1">
      <x:c r="A811" s="1" t="str">
        <x:v>RESULT</x:v>
      </x:c>
      <x:c r="B811" s="1" t="str">
        <x:v>Round1</x:v>
      </x:c>
      <x:c r="C811" s="1" t="str">
        <x:v>Mockito_27</x:v>
      </x:c>
      <x:c r="D811" s="1" t="str">
        <x:v>NOT_AVAILABLE</x:v>
      </x:c>
      <x:c r="E811" s="5"/>
      <x:c r="F811" s="4" t="n">
        <x:v>0</x:v>
      </x:c>
      <x:c r="G811" s="4"/>
      <x:c r="H811" s="6" t="n">
        <x:v>63.09</x:v>
      </x:c>
      <x:c r="I811" s="16" t="n">
        <x:v>1</x:v>
      </x:c>
      <x:c r="J811"/>
      <x:c r="K811" s="4"/>
      <x:c r="L811" s="4"/>
      <x:c r="M811" s="4"/>
      <x:c r="N811" s="5"/>
    </x:row>
    <x:row r="812" ht="24" customHeight="1">
      <x:c r="A812" s="1" t="str">
        <x:v>RESULT</x:v>
      </x:c>
      <x:c r="B812" s="1" t="str">
        <x:v>Round1</x:v>
      </x:c>
      <x:c r="C812" s="1" t="str">
        <x:v>Mockito_28</x:v>
      </x:c>
      <x:c r="D812" s="1" t="str">
        <x:v>NOT_REVEALING</x:v>
      </x:c>
      <x:c r="E812" s="5" t="n">
        <x:v>1</x:v>
      </x:c>
      <x:c r="F812" s="4" t="n">
        <x:v>0</x:v>
      </x:c>
      <x:c r="G812" s="4" t="n">
        <x:v>5228</x:v>
      </x:c>
      <x:c r="H812" s="6" t="n">
        <x:v>22.45</x:v>
      </x:c>
      <x:c r="I812" s="16" t="n">
        <x:v>1</x:v>
      </x:c>
      <x:c r="J812" t="n">
        <x:v>30</x:v>
      </x:c>
      <x:c r="K812" s="4" t="n">
        <x:v>30</x:v>
      </x:c>
      <x:c r="L812" s="4" t="n">
        <x:v>10</x:v>
      </x:c>
      <x:c r="M812" s="4" t="n">
        <x:v>10</x:v>
      </x:c>
      <x:c r="N812" s="5" t="n">
        <x:v>1</x:v>
      </x:c>
    </x:row>
    <x:row r="813" ht="24" customHeight="1">
      <x:c r="A813" s="1" t="str">
        <x:v>RESULT</x:v>
      </x:c>
      <x:c r="B813" s="1" t="str">
        <x:v>Round1</x:v>
      </x:c>
      <x:c r="C813" s="1" t="str">
        <x:v>Mockito_29</x:v>
      </x:c>
      <x:c r="D813" s="1" t="str">
        <x:v>INCONCLUSIVE</x:v>
      </x:c>
      <x:c r="E813" s="5" t="n">
        <x:v>1</x:v>
      </x:c>
      <x:c r="F813" s="4" t="n">
        <x:v>0</x:v>
      </x:c>
      <x:c r="G813" s="4" t="n">
        <x:v>4739</x:v>
      </x:c>
      <x:c r="H813" s="6" t="n">
        <x:v>31</x:v>
      </x:c>
      <x:c r="I813" s="16" t="n">
        <x:v>1</x:v>
      </x:c>
      <x:c r="J813" t="n">
        <x:v>15</x:v>
      </x:c>
      <x:c r="K813" s="4" t="n">
        <x:v>15</x:v>
      </x:c>
      <x:c r="L813" s="4" t="n">
        <x:v>6</x:v>
      </x:c>
      <x:c r="M813" s="4" t="n">
        <x:v>6</x:v>
      </x:c>
      <x:c r="N813" s="5" t="n">
        <x:v>1</x:v>
      </x:c>
    </x:row>
    <x:row r="814" ht="24" customHeight="1">
      <x:c r="A814" s="1" t="str">
        <x:v>RESULT</x:v>
      </x:c>
      <x:c r="B814" s="1" t="str">
        <x:v>Round1</x:v>
      </x:c>
      <x:c r="C814" s="1" t="str">
        <x:v>Mockito_3</x:v>
      </x:c>
      <x:c r="D814" s="1" t="str">
        <x:v>NOT_AVAILABLE</x:v>
      </x:c>
      <x:c r="E814" s="5"/>
      <x:c r="F814" s="4" t="n">
        <x:v>0</x:v>
      </x:c>
      <x:c r="G814" s="4" t="n">
        <x:v>9278</x:v>
      </x:c>
      <x:c r="H814" s="6" t="n">
        <x:v>53.02</x:v>
      </x:c>
      <x:c r="I814" s="16" t="n">
        <x:v>1</x:v>
      </x:c>
      <x:c r="J814"/>
      <x:c r="K814" s="4"/>
      <x:c r="L814" s="4"/>
      <x:c r="M814" s="4"/>
      <x:c r="N814" s="5"/>
    </x:row>
    <x:row r="815" ht="24" customHeight="1">
      <x:c r="A815" s="1" t="str">
        <x:v>RESULT</x:v>
      </x:c>
      <x:c r="B815" s="1" t="str">
        <x:v>Round1</x:v>
      </x:c>
      <x:c r="C815" s="1" t="str">
        <x:v>Mockito_30</x:v>
      </x:c>
      <x:c r="D815" s="1" t="str">
        <x:v>NOT_REVEALING</x:v>
      </x:c>
      <x:c r="E815" s="5" t="n">
        <x:v>0.1875</x:v>
      </x:c>
      <x:c r="F815" s="4" t="n">
        <x:v>0</x:v>
      </x:c>
      <x:c r="G815" s="4" t="n">
        <x:v>5395</x:v>
      </x:c>
      <x:c r="H815" s="6" t="n">
        <x:v>29.08</x:v>
      </x:c>
      <x:c r="I815" s="16" t="n">
        <x:v>1</x:v>
      </x:c>
      <x:c r="J815" t="n">
        <x:v>112</x:v>
      </x:c>
      <x:c r="K815" s="4" t="n">
        <x:v>21</x:v>
      </x:c>
      <x:c r="L815" s="4" t="n">
        <x:v>14</x:v>
      </x:c>
      <x:c r="M815" s="4" t="n">
        <x:v>6</x:v>
      </x:c>
      <x:c r="N815" s="5" t="n">
        <x:v>0.4286</x:v>
      </x:c>
    </x:row>
    <x:row r="816" ht="24" customHeight="1">
      <x:c r="A816" s="1" t="str">
        <x:v>RESULT</x:v>
      </x:c>
      <x:c r="B816" s="1" t="str">
        <x:v>Round1</x:v>
      </x:c>
      <x:c r="C816" s="1" t="str">
        <x:v>Mockito_31</x:v>
      </x:c>
      <x:c r="D816" s="1" t="str">
        <x:v>NOT_REVEALING</x:v>
      </x:c>
      <x:c r="E816" s="5" t="n">
        <x:v>0.9473999999999999</x:v>
      </x:c>
      <x:c r="F816" s="4" t="n">
        <x:v>0</x:v>
      </x:c>
      <x:c r="G816" s="4" t="n">
        <x:v>5442</x:v>
      </x:c>
      <x:c r="H816" s="6" t="n">
        <x:v>23.01</x:v>
      </x:c>
      <x:c r="I816" s="16" t="n">
        <x:v>1</x:v>
      </x:c>
      <x:c r="J816" t="n">
        <x:v>19</x:v>
      </x:c>
      <x:c r="K816" s="4" t="n">
        <x:v>18</x:v>
      </x:c>
      <x:c r="L816" s="4" t="n">
        <x:v>6</x:v>
      </x:c>
      <x:c r="M816" s="4" t="n">
        <x:v>6</x:v>
      </x:c>
      <x:c r="N816" s="5" t="n">
        <x:v>1</x:v>
      </x:c>
    </x:row>
    <x:row r="817" ht="24" customHeight="1">
      <x:c r="A817" s="1" t="str">
        <x:v>RESULT</x:v>
      </x:c>
      <x:c r="B817" s="1" t="str">
        <x:v>Round1</x:v>
      </x:c>
      <x:c r="C817" s="1" t="str">
        <x:v>Mockito_32</x:v>
      </x:c>
      <x:c r="D817" s="1" t="str">
        <x:v>NOT_AVAILABLE</x:v>
      </x:c>
      <x:c r="E817" s="5"/>
      <x:c r="F817" s="4" t="n">
        <x:v>0</x:v>
      </x:c>
      <x:c r="G817" s="4" t="n">
        <x:v>5409</x:v>
      </x:c>
      <x:c r="H817" s="6" t="n">
        <x:v>22.45</x:v>
      </x:c>
      <x:c r="I817" s="16" t="n">
        <x:v>1</x:v>
      </x:c>
      <x:c r="J817"/>
      <x:c r="K817" s="4"/>
      <x:c r="L817" s="4"/>
      <x:c r="M817" s="4"/>
      <x:c r="N817" s="5"/>
    </x:row>
    <x:row r="818" ht="24" customHeight="1">
      <x:c r="A818" s="1" t="str">
        <x:v>RESULT</x:v>
      </x:c>
      <x:c r="B818" s="1" t="str">
        <x:v>Round1</x:v>
      </x:c>
      <x:c r="C818" s="1" t="str">
        <x:v>Mockito_33</x:v>
      </x:c>
      <x:c r="D818" s="1" t="str">
        <x:v>INCONCLUSIVE</x:v>
      </x:c>
      <x:c r="E818" s="5" t="n">
        <x:v>0.6889</x:v>
      </x:c>
      <x:c r="F818" s="4" t="n">
        <x:v>0</x:v>
      </x:c>
      <x:c r="G818" s="4"/>
      <x:c r="H818" s="6"/>
      <x:c r="I818" s="16" t="n">
        <x:v>1</x:v>
      </x:c>
      <x:c r="J818" t="n">
        <x:v>45</x:v>
      </x:c>
      <x:c r="K818" s="4" t="n">
        <x:v>31</x:v>
      </x:c>
      <x:c r="L818" s="4" t="n">
        <x:v>32</x:v>
      </x:c>
      <x:c r="M818" s="4" t="n">
        <x:v>11</x:v>
      </x:c>
      <x:c r="N818" s="5" t="n">
        <x:v>0.34380000000000005</x:v>
      </x:c>
    </x:row>
    <x:row r="819" ht="24" customHeight="1">
      <x:c r="A819" s="1" t="str">
        <x:v>RESULT</x:v>
      </x:c>
      <x:c r="B819" s="1" t="str">
        <x:v>Round1</x:v>
      </x:c>
      <x:c r="C819" s="1" t="str">
        <x:v>Mockito_34</x:v>
      </x:c>
      <x:c r="D819" s="1" t="str">
        <x:v>INCONCLUSIVE</x:v>
      </x:c>
      <x:c r="E819" s="5" t="n">
        <x:v>0.6315999999999999</x:v>
      </x:c>
      <x:c r="F819" s="4" t="n">
        <x:v>0</x:v>
      </x:c>
      <x:c r="G819" s="4"/>
      <x:c r="H819" s="6"/>
      <x:c r="I819" s="16" t="n">
        <x:v>1</x:v>
      </x:c>
      <x:c r="J819" t="n">
        <x:v>38</x:v>
      </x:c>
      <x:c r="K819" s="4" t="n">
        <x:v>24</x:v>
      </x:c>
      <x:c r="L819" s="4" t="n">
        <x:v>28</x:v>
      </x:c>
      <x:c r="M819" s="4" t="n">
        <x:v>8</x:v>
      </x:c>
      <x:c r="N819" s="5" t="n">
        <x:v>0.2857</x:v>
      </x:c>
    </x:row>
    <x:row r="820" ht="24" customHeight="1">
      <x:c r="A820" s="1" t="str">
        <x:v>RESULT</x:v>
      </x:c>
      <x:c r="B820" s="1" t="str">
        <x:v>Round1</x:v>
      </x:c>
      <x:c r="C820" s="1" t="str">
        <x:v>Mockito_35</x:v>
      </x:c>
      <x:c r="D820" s="1" t="str">
        <x:v>INCONCLUSIVE</x:v>
      </x:c>
      <x:c r="E820" s="5" t="n">
        <x:v>1</x:v>
      </x:c>
      <x:c r="F820" s="4" t="n">
        <x:v>0</x:v>
      </x:c>
      <x:c r="G820" s="4" t="n">
        <x:v>10086</x:v>
      </x:c>
      <x:c r="H820" s="6" t="n">
        <x:v>48.82</x:v>
      </x:c>
      <x:c r="I820" s="16" t="n">
        <x:v>1</x:v>
      </x:c>
      <x:c r="J820" t="n">
        <x:v>51</x:v>
      </x:c>
      <x:c r="K820" s="4" t="n">
        <x:v>51</x:v>
      </x:c>
      <x:c r="L820" s="4" t="n">
        <x:v>0</x:v>
      </x:c>
      <x:c r="M820" s="4" t="n">
        <x:v>0</x:v>
      </x:c>
      <x:c r="N820" s="5"/>
    </x:row>
    <x:row r="821" ht="24" customHeight="1">
      <x:c r="A821" s="1" t="str">
        <x:v>RESULT</x:v>
      </x:c>
      <x:c r="B821" s="1" t="str">
        <x:v>Round1</x:v>
      </x:c>
      <x:c r="C821" s="1" t="str">
        <x:v>Mockito_36</x:v>
      </x:c>
      <x:c r="D821" s="1" t="str">
        <x:v>INCONCLUSIVE</x:v>
      </x:c>
      <x:c r="E821" s="5" t="n">
        <x:v>0.8143</x:v>
      </x:c>
      <x:c r="F821" s="4" t="n">
        <x:v>0</x:v>
      </x:c>
      <x:c r="G821" s="4"/>
      <x:c r="H821" s="6"/>
      <x:c r="I821" s="16" t="n">
        <x:v>1</x:v>
      </x:c>
      <x:c r="J821" t="n">
        <x:v>70</x:v>
      </x:c>
      <x:c r="K821" s="4" t="n">
        <x:v>57</x:v>
      </x:c>
      <x:c r="L821" s="4" t="n">
        <x:v>42</x:v>
      </x:c>
      <x:c r="M821" s="4" t="n">
        <x:v>25</x:v>
      </x:c>
      <x:c r="N821" s="5" t="n">
        <x:v>0.5952000000000001</x:v>
      </x:c>
    </x:row>
    <x:row r="822" ht="24" customHeight="1">
      <x:c r="A822" s="1" t="str">
        <x:v>RESULT</x:v>
      </x:c>
      <x:c r="B822" s="1" t="str">
        <x:v>Round1</x:v>
      </x:c>
      <x:c r="C822" s="1" t="str">
        <x:v>Mockito_37</x:v>
      </x:c>
      <x:c r="D822" s="1" t="str">
        <x:v>INCONCLUSIVE</x:v>
      </x:c>
      <x:c r="E822" s="5" t="n">
        <x:v>1</x:v>
      </x:c>
      <x:c r="F822" s="4" t="n">
        <x:v>0</x:v>
      </x:c>
      <x:c r="G822" s="4"/>
      <x:c r="H822" s="6"/>
      <x:c r="I822" s="16" t="n">
        <x:v>1</x:v>
      </x:c>
      <x:c r="J822" t="n">
        <x:v>27</x:v>
      </x:c>
      <x:c r="K822" s="4" t="n">
        <x:v>27</x:v>
      </x:c>
      <x:c r="L822" s="4" t="n">
        <x:v>26</x:v>
      </x:c>
      <x:c r="M822" s="4" t="n">
        <x:v>26</x:v>
      </x:c>
      <x:c r="N822" s="5" t="n">
        <x:v>1</x:v>
      </x:c>
    </x:row>
    <x:row r="823" ht="24" customHeight="1">
      <x:c r="A823" s="1" t="str">
        <x:v>RESULT</x:v>
      </x:c>
      <x:c r="B823" s="1" t="str">
        <x:v>Round1</x:v>
      </x:c>
      <x:c r="C823" s="1" t="str">
        <x:v>Mockito_38</x:v>
      </x:c>
      <x:c r="D823" s="1" t="str">
        <x:v>NOT_AVAILABLE</x:v>
      </x:c>
      <x:c r="E823" s="5"/>
      <x:c r="F823" s="4" t="n">
        <x:v>0</x:v>
      </x:c>
      <x:c r="G823" s="4" t="n">
        <x:v>5783</x:v>
      </x:c>
      <x:c r="H823" s="6" t="n">
        <x:v>26.77</x:v>
      </x:c>
      <x:c r="I823" s="16" t="n">
        <x:v>1</x:v>
      </x:c>
      <x:c r="J823"/>
      <x:c r="K823" s="4"/>
      <x:c r="L823" s="4"/>
      <x:c r="M823" s="4"/>
      <x:c r="N823" s="5"/>
    </x:row>
    <x:row r="824" ht="24" customHeight="1">
      <x:c r="A824" s="1" t="str">
        <x:v>RESULT</x:v>
      </x:c>
      <x:c r="B824" s="1" t="str">
        <x:v>Round1</x:v>
      </x:c>
      <x:c r="C824" s="1" t="str">
        <x:v>Mockito_4</x:v>
      </x:c>
      <x:c r="D824" s="1" t="str">
        <x:v>INCONCLUSIVE</x:v>
      </x:c>
      <x:c r="E824" s="5" t="n">
        <x:v>0.8662000000000001</x:v>
      </x:c>
      <x:c r="F824" s="4" t="n">
        <x:v>0</x:v>
      </x:c>
      <x:c r="G824" s="4" t="n">
        <x:v>19362</x:v>
      </x:c>
      <x:c r="H824" s="6" t="n">
        <x:v>61.08</x:v>
      </x:c>
      <x:c r="I824" s="16" t="n">
        <x:v>1</x:v>
      </x:c>
      <x:c r="J824" t="n">
        <x:v>157</x:v>
      </x:c>
      <x:c r="K824" s="4" t="n">
        <x:v>136</x:v>
      </x:c>
      <x:c r="L824" s="4" t="n">
        <x:v>18</x:v>
      </x:c>
      <x:c r="M824" s="4" t="n">
        <x:v>8</x:v>
      </x:c>
      <x:c r="N824" s="5" t="n">
        <x:v>0.44439999999999996</x:v>
      </x:c>
    </x:row>
    <x:row r="825" ht="24" customHeight="1">
      <x:c r="A825" s="1" t="str">
        <x:v>RESULT</x:v>
      </x:c>
      <x:c r="B825" s="1" t="str">
        <x:v>Round1</x:v>
      </x:c>
      <x:c r="C825" s="1" t="str">
        <x:v>Mockito_5</x:v>
      </x:c>
      <x:c r="D825" s="1" t="str">
        <x:v>NOT_REVEALING</x:v>
      </x:c>
      <x:c r="E825" s="5" t="n">
        <x:v>1</x:v>
      </x:c>
      <x:c r="F825" s="4" t="n">
        <x:v>0</x:v>
      </x:c>
      <x:c r="G825" s="4" t="n">
        <x:v>7112</x:v>
      </x:c>
      <x:c r="H825" s="6" t="n">
        <x:v>28.08</x:v>
      </x:c>
      <x:c r="I825" s="16" t="n">
        <x:v>1</x:v>
      </x:c>
      <x:c r="J825" t="n">
        <x:v>36</x:v>
      </x:c>
      <x:c r="K825" s="4" t="n">
        <x:v>36</x:v>
      </x:c>
      <x:c r="L825" s="4" t="n">
        <x:v>12</x:v>
      </x:c>
      <x:c r="M825" s="4" t="n">
        <x:v>12</x:v>
      </x:c>
      <x:c r="N825" s="5" t="n">
        <x:v>1</x:v>
      </x:c>
    </x:row>
    <x:row r="826" ht="24" customHeight="1">
      <x:c r="A826" s="1" t="str">
        <x:v>RESULT</x:v>
      </x:c>
      <x:c r="B826" s="1" t="str">
        <x:v>Round1</x:v>
      </x:c>
      <x:c r="C826" s="1" t="str">
        <x:v>Mockito_6</x:v>
      </x:c>
      <x:c r="D826" s="1" t="str">
        <x:v>NOT_REVEALING</x:v>
      </x:c>
      <x:c r="E826" s="5" t="n">
        <x:v>1</x:v>
      </x:c>
      <x:c r="F826" s="4" t="n">
        <x:v>0</x:v>
      </x:c>
      <x:c r="G826" s="4" t="n">
        <x:v>12419</x:v>
      </x:c>
      <x:c r="H826" s="6" t="n">
        <x:v>62.38</x:v>
      </x:c>
      <x:c r="I826" s="16" t="n">
        <x:v>1</x:v>
      </x:c>
      <x:c r="J826" t="n">
        <x:v>55</x:v>
      </x:c>
      <x:c r="K826" s="4" t="n">
        <x:v>55</x:v>
      </x:c>
      <x:c r="L826" s="4" t="n">
        <x:v>0</x:v>
      </x:c>
      <x:c r="M826" s="4" t="n">
        <x:v>0</x:v>
      </x:c>
      <x:c r="N826" s="5"/>
    </x:row>
    <x:row r="827" ht="24" customHeight="1">
      <x:c r="A827" s="1" t="str">
        <x:v>RESULT</x:v>
      </x:c>
      <x:c r="B827" s="1" t="str">
        <x:v>Round1</x:v>
      </x:c>
      <x:c r="C827" s="1" t="str">
        <x:v>Mockito_7</x:v>
      </x:c>
      <x:c r="D827" s="1" t="str">
        <x:v>NOT_AVAILABLE</x:v>
      </x:c>
      <x:c r="E827" s="5"/>
      <x:c r="F827" s="4" t="n">
        <x:v>0</x:v>
      </x:c>
      <x:c r="G827" s="4" t="n">
        <x:v>9640</x:v>
      </x:c>
      <x:c r="H827" s="6" t="n">
        <x:v>38.41</x:v>
      </x:c>
      <x:c r="I827" s="16" t="n">
        <x:v>1</x:v>
      </x:c>
      <x:c r="J827"/>
      <x:c r="K827" s="4"/>
      <x:c r="L827" s="4"/>
      <x:c r="M827" s="4"/>
      <x:c r="N827" s="5"/>
    </x:row>
    <x:row r="828" ht="24" customHeight="1">
      <x:c r="A828" s="1" t="str">
        <x:v>RESULT</x:v>
      </x:c>
      <x:c r="B828" s="1" t="str">
        <x:v>Round1</x:v>
      </x:c>
      <x:c r="C828" s="1" t="str">
        <x:v>Mockito_8</x:v>
      </x:c>
      <x:c r="D828" s="1" t="str">
        <x:v>REVEALING</x:v>
      </x:c>
      <x:c r="E828" s="5" t="n">
        <x:v>0.9422</x:v>
      </x:c>
      <x:c r="F828" s="4" t="n">
        <x:v>1</x:v>
      </x:c>
      <x:c r="G828" s="4" t="n">
        <x:v>9822</x:v>
      </x:c>
      <x:c r="H828" s="6" t="n">
        <x:v>37.6</x:v>
      </x:c>
      <x:c r="I828" s="16" t="n">
        <x:v>1</x:v>
      </x:c>
      <x:c r="J828" t="n">
        <x:v>173</x:v>
      </x:c>
      <x:c r="K828" s="4" t="n">
        <x:v>163</x:v>
      </x:c>
      <x:c r="L828" s="4" t="n">
        <x:v>80</x:v>
      </x:c>
      <x:c r="M828" s="4" t="n">
        <x:v>70</x:v>
      </x:c>
      <x:c r="N828" s="5" t="n">
        <x:v>0.875</x:v>
      </x:c>
    </x:row>
    <x:row r="829" ht="24" customHeight="1">
      <x:c r="A829" s="1" t="str">
        <x:v>RESULT</x:v>
      </x:c>
      <x:c r="B829" s="1" t="str">
        <x:v>Round1</x:v>
      </x:c>
      <x:c r="C829" s="1" t="str">
        <x:v>Mockito_9</x:v>
      </x:c>
      <x:c r="D829" s="1" t="str">
        <x:v>NOT_AVAILABLE</x:v>
      </x:c>
      <x:c r="E829" s="5"/>
      <x:c r="F829" s="4" t="n">
        <x:v>0</x:v>
      </x:c>
      <x:c r="G829" s="4" t="n">
        <x:v>3787</x:v>
      </x:c>
      <x:c r="H829" s="6" t="n">
        <x:v>22.31</x:v>
      </x:c>
      <x:c r="I829" s="16" t="n">
        <x:v>1</x:v>
      </x:c>
      <x:c r="J829"/>
      <x:c r="K829" s="4"/>
      <x:c r="L829" s="4"/>
      <x:c r="M829" s="4"/>
      <x:c r="N829" s="5"/>
    </x:row>
    <x:row r="830" ht="24" customHeight="1">
      <x:c r="A830" s="1" t="str">
        <x:v>RESULT</x:v>
      </x:c>
      <x:c r="B830" s="1" t="str">
        <x:v>Round1</x:v>
      </x:c>
      <x:c r="C830" s="1" t="str">
        <x:v>Time_1</x:v>
      </x:c>
      <x:c r="D830" s="1" t="str">
        <x:v>NOT_AVAILABLE</x:v>
      </x:c>
      <x:c r="E830" s="5"/>
      <x:c r="F830" s="4" t="n">
        <x:v>0</x:v>
      </x:c>
      <x:c r="G830" s="4" t="n">
        <x:v>27551</x:v>
      </x:c>
      <x:c r="H830" s="6" t="n">
        <x:v>160.07</x:v>
      </x:c>
      <x:c r="I830" s="16" t="n">
        <x:v>1</x:v>
      </x:c>
      <x:c r="J830"/>
      <x:c r="K830" s="4"/>
      <x:c r="L830" s="4"/>
      <x:c r="M830" s="4"/>
      <x:c r="N830" s="5"/>
    </x:row>
    <x:row r="831" ht="24" customHeight="1">
      <x:c r="A831" s="1" t="str">
        <x:v>RESULT</x:v>
      </x:c>
      <x:c r="B831" s="1" t="str">
        <x:v>Round1</x:v>
      </x:c>
      <x:c r="C831" s="1" t="str">
        <x:v>Time_10</x:v>
      </x:c>
      <x:c r="D831" s="1" t="str">
        <x:v>NOT_REVEALING</x:v>
      </x:c>
      <x:c r="E831" s="5" t="n">
        <x:v>0.9859</x:v>
      </x:c>
      <x:c r="F831" s="4" t="n">
        <x:v>0</x:v>
      </x:c>
      <x:c r="G831" s="4" t="n">
        <x:v>10686</x:v>
      </x:c>
      <x:c r="H831" s="6" t="n">
        <x:v>42.38</x:v>
      </x:c>
      <x:c r="I831" s="16" t="n">
        <x:v>1</x:v>
      </x:c>
      <x:c r="J831" t="n">
        <x:v>71</x:v>
      </x:c>
      <x:c r="K831" s="4" t="n">
        <x:v>70</x:v>
      </x:c>
      <x:c r="L831" s="4" t="n">
        <x:v>46</x:v>
      </x:c>
      <x:c r="M831" s="4" t="n">
        <x:v>46</x:v>
      </x:c>
      <x:c r="N831" s="5" t="n">
        <x:v>1</x:v>
      </x:c>
    </x:row>
    <x:row r="832" ht="24" customHeight="1">
      <x:c r="A832" s="1" t="str">
        <x:v>RESULT</x:v>
      </x:c>
      <x:c r="B832" s="1" t="str">
        <x:v>Round1</x:v>
      </x:c>
      <x:c r="C832" s="1" t="str">
        <x:v>Time_11</x:v>
      </x:c>
      <x:c r="D832" s="1" t="str">
        <x:v>INCONCLUSIVE</x:v>
      </x:c>
      <x:c r="E832" s="5" t="n">
        <x:v>0.9159999999999999</x:v>
      </x:c>
      <x:c r="F832" s="4" t="n">
        <x:v>0</x:v>
      </x:c>
      <x:c r="G832" s="4" t="n">
        <x:v>16458</x:v>
      </x:c>
      <x:c r="H832" s="6" t="n">
        <x:v>58.54</x:v>
      </x:c>
      <x:c r="I832" s="16" t="n">
        <x:v>1</x:v>
      </x:c>
      <x:c r="J832" t="n">
        <x:v>393</x:v>
      </x:c>
      <x:c r="K832" s="4" t="n">
        <x:v>360</x:v>
      </x:c>
      <x:c r="L832" s="4" t="n">
        <x:v>193</x:v>
      </x:c>
      <x:c r="M832" s="4" t="n">
        <x:v>159</x:v>
      </x:c>
      <x:c r="N832" s="5" t="n">
        <x:v>0.8238</x:v>
      </x:c>
    </x:row>
    <x:row r="833" ht="24" customHeight="1">
      <x:c r="A833" s="1" t="str">
        <x:v>RESULT</x:v>
      </x:c>
      <x:c r="B833" s="1" t="str">
        <x:v>Round1</x:v>
      </x:c>
      <x:c r="C833" s="1" t="str">
        <x:v>Time_12</x:v>
      </x:c>
      <x:c r="D833" s="1" t="str">
        <x:v>NOT_AVAILABLE</x:v>
      </x:c>
      <x:c r="E833" s="5"/>
      <x:c r="F833" s="4" t="n">
        <x:v>0</x:v>
      </x:c>
      <x:c r="G833" s="4" t="n">
        <x:v>18213</x:v>
      </x:c>
      <x:c r="H833" s="6" t="n">
        <x:v>105.51</x:v>
      </x:c>
      <x:c r="I833" s="16" t="n">
        <x:v>1</x:v>
      </x:c>
      <x:c r="J833"/>
      <x:c r="K833" s="4"/>
      <x:c r="L833" s="4"/>
      <x:c r="M833" s="4"/>
      <x:c r="N833" s="5"/>
    </x:row>
    <x:row r="834" ht="24" customHeight="1">
      <x:c r="A834" s="1" t="str">
        <x:v>RESULT</x:v>
      </x:c>
      <x:c r="B834" s="1" t="str">
        <x:v>Round1</x:v>
      </x:c>
      <x:c r="C834" s="1" t="str">
        <x:v>Time_13</x:v>
      </x:c>
      <x:c r="D834" s="1" t="str">
        <x:v>NOT_AVAILABLE</x:v>
      </x:c>
      <x:c r="E834" s="5"/>
      <x:c r="F834" s="4" t="n">
        <x:v>0</x:v>
      </x:c>
      <x:c r="G834" s="4"/>
      <x:c r="H834" s="6" t="n">
        <x:v>45.51</x:v>
      </x:c>
      <x:c r="I834" s="16" t="n">
        <x:v>1</x:v>
      </x:c>
      <x:c r="J834"/>
      <x:c r="K834" s="4"/>
      <x:c r="L834" s="4"/>
      <x:c r="M834" s="4"/>
      <x:c r="N834" s="5"/>
    </x:row>
    <x:row r="835" ht="24" customHeight="1">
      <x:c r="A835" s="1" t="str">
        <x:v>RESULT</x:v>
      </x:c>
      <x:c r="B835" s="1" t="str">
        <x:v>Round1</x:v>
      </x:c>
      <x:c r="C835" s="1" t="str">
        <x:v>Time_14</x:v>
      </x:c>
      <x:c r="D835" s="1" t="str">
        <x:v>NOT_AVAILABLE</x:v>
      </x:c>
      <x:c r="E835" s="5"/>
      <x:c r="F835" s="4" t="n">
        <x:v>0</x:v>
      </x:c>
      <x:c r="G835" s="4" t="n">
        <x:v>12372</x:v>
      </x:c>
      <x:c r="H835" s="6" t="n">
        <x:v>48.65</x:v>
      </x:c>
      <x:c r="I835" s="16" t="n">
        <x:v>1</x:v>
      </x:c>
      <x:c r="J835"/>
      <x:c r="K835" s="4"/>
      <x:c r="L835" s="4"/>
      <x:c r="M835" s="4"/>
      <x:c r="N835" s="5"/>
    </x:row>
    <x:row r="836" ht="24" customHeight="1">
      <x:c r="A836" s="1" t="str">
        <x:v>RESULT</x:v>
      </x:c>
      <x:c r="B836" s="1" t="str">
        <x:v>Round1</x:v>
      </x:c>
      <x:c r="C836" s="1" t="str">
        <x:v>Time_15</x:v>
      </x:c>
      <x:c r="D836" s="1" t="str">
        <x:v>INCONCLUSIVE</x:v>
      </x:c>
      <x:c r="E836" s="5" t="n">
        <x:v>0.9333</x:v>
      </x:c>
      <x:c r="F836" s="4" t="n">
        <x:v>0</x:v>
      </x:c>
      <x:c r="G836" s="4" t="n">
        <x:v>19786</x:v>
      </x:c>
      <x:c r="H836" s="6" t="n">
        <x:v>90.47</x:v>
      </x:c>
      <x:c r="I836" s="16" t="n">
        <x:v>1</x:v>
      </x:c>
      <x:c r="J836" t="n">
        <x:v>75</x:v>
      </x:c>
      <x:c r="K836" s="4" t="n">
        <x:v>70</x:v>
      </x:c>
      <x:c r="L836" s="4" t="n">
        <x:v>70</x:v>
      </x:c>
      <x:c r="M836" s="4" t="n">
        <x:v>62</x:v>
      </x:c>
      <x:c r="N836" s="5" t="n">
        <x:v>0.8856999999999999</x:v>
      </x:c>
    </x:row>
    <x:row r="837" ht="24" customHeight="1">
      <x:c r="A837" s="1" t="str">
        <x:v>RESULT</x:v>
      </x:c>
      <x:c r="B837" s="1" t="str">
        <x:v>Round1</x:v>
      </x:c>
      <x:c r="C837" s="1" t="str">
        <x:v>Time_16</x:v>
      </x:c>
      <x:c r="D837" s="1" t="str">
        <x:v>INCONCLUSIVE</x:v>
      </x:c>
      <x:c r="E837" s="5" t="n">
        <x:v>1</x:v>
      </x:c>
      <x:c r="F837" s="4" t="n">
        <x:v>0</x:v>
      </x:c>
      <x:c r="G837" s="4" t="n">
        <x:v>11970</x:v>
      </x:c>
      <x:c r="H837" s="6" t="n">
        <x:v>45.16</x:v>
      </x:c>
      <x:c r="I837" s="16" t="n">
        <x:v>1</x:v>
      </x:c>
      <x:c r="J837" t="n">
        <x:v>207</x:v>
      </x:c>
      <x:c r="K837" s="4" t="n">
        <x:v>207</x:v>
      </x:c>
      <x:c r="L837" s="4" t="n">
        <x:v>88</x:v>
      </x:c>
      <x:c r="M837" s="4" t="n">
        <x:v>80</x:v>
      </x:c>
      <x:c r="N837" s="5" t="n">
        <x:v>0.9091</x:v>
      </x:c>
    </x:row>
    <x:row r="838" ht="24" customHeight="1">
      <x:c r="A838" s="1" t="str">
        <x:v>RESULT</x:v>
      </x:c>
      <x:c r="B838" s="1" t="str">
        <x:v>Round1</x:v>
      </x:c>
      <x:c r="C838" s="1" t="str">
        <x:v>Time_17</x:v>
      </x:c>
      <x:c r="D838" s="1" t="str">
        <x:v>NOT_AVAILABLE</x:v>
      </x:c>
      <x:c r="E838" s="5"/>
      <x:c r="F838" s="4" t="n">
        <x:v>0</x:v>
      </x:c>
      <x:c r="G838" s="4" t="n">
        <x:v>15189</x:v>
      </x:c>
      <x:c r="H838" s="6" t="n">
        <x:v>62.87</x:v>
      </x:c>
      <x:c r="I838" s="16" t="n">
        <x:v>1</x:v>
      </x:c>
      <x:c r="J838"/>
      <x:c r="K838" s="4"/>
      <x:c r="L838" s="4"/>
      <x:c r="M838" s="4"/>
      <x:c r="N838" s="5"/>
    </x:row>
    <x:row r="839" ht="24" customHeight="1">
      <x:c r="A839" s="1" t="str">
        <x:v>RESULT</x:v>
      </x:c>
      <x:c r="B839" s="1" t="str">
        <x:v>Round1</x:v>
      </x:c>
      <x:c r="C839" s="1" t="str">
        <x:v>Time_18</x:v>
      </x:c>
      <x:c r="D839" s="1" t="str">
        <x:v>NOT_AVAILABLE</x:v>
      </x:c>
      <x:c r="E839" s="5"/>
      <x:c r="F839" s="4" t="n">
        <x:v>0</x:v>
      </x:c>
      <x:c r="G839" s="4"/>
      <x:c r="H839" s="6" t="n">
        <x:v>38.41</x:v>
      </x:c>
      <x:c r="I839" s="16" t="n">
        <x:v>1</x:v>
      </x:c>
      <x:c r="J839"/>
      <x:c r="K839" s="4"/>
      <x:c r="L839" s="4"/>
      <x:c r="M839" s="4"/>
      <x:c r="N839" s="5"/>
    </x:row>
    <x:row r="840" ht="24" customHeight="1">
      <x:c r="A840" s="1" t="str">
        <x:v>RESULT</x:v>
      </x:c>
      <x:c r="B840" s="1" t="str">
        <x:v>Round1</x:v>
      </x:c>
      <x:c r="C840" s="1" t="str">
        <x:v>Time_19</x:v>
      </x:c>
      <x:c r="D840" s="1" t="str">
        <x:v>INCONCLUSIVE</x:v>
      </x:c>
      <x:c r="E840" s="5" t="n">
        <x:v>0.8659</x:v>
      </x:c>
      <x:c r="F840" s="4" t="n">
        <x:v>0</x:v>
      </x:c>
      <x:c r="G840" s="4" t="n">
        <x:v>14038</x:v>
      </x:c>
      <x:c r="H840" s="6" t="n">
        <x:v>50.77</x:v>
      </x:c>
      <x:c r="I840" s="16" t="n">
        <x:v>1</x:v>
      </x:c>
      <x:c r="J840" t="n">
        <x:v>343</x:v>
      </x:c>
      <x:c r="K840" s="4" t="n">
        <x:v>297</x:v>
      </x:c>
      <x:c r="L840" s="4" t="n">
        <x:v>162</x:v>
      </x:c>
      <x:c r="M840" s="4" t="n">
        <x:v>125</x:v>
      </x:c>
      <x:c r="N840" s="5" t="n">
        <x:v>0.7716</x:v>
      </x:c>
    </x:row>
    <x:row r="841" ht="24" customHeight="1">
      <x:c r="A841" s="1" t="str">
        <x:v>RESULT</x:v>
      </x:c>
      <x:c r="B841" s="1" t="str">
        <x:v>Round1</x:v>
      </x:c>
      <x:c r="C841" s="1" t="str">
        <x:v>Time_2</x:v>
      </x:c>
      <x:c r="D841" s="1" t="str">
        <x:v>NOT_AVAILABLE</x:v>
      </x:c>
      <x:c r="E841" s="5"/>
      <x:c r="F841" s="4" t="n">
        <x:v>0</x:v>
      </x:c>
      <x:c r="G841" s="4" t="n">
        <x:v>8157</x:v>
      </x:c>
      <x:c r="H841" s="6" t="n">
        <x:v>89.27</x:v>
      </x:c>
      <x:c r="I841" s="16" t="n">
        <x:v>1</x:v>
      </x:c>
      <x:c r="J841"/>
      <x:c r="K841" s="4"/>
      <x:c r="L841" s="4"/>
      <x:c r="M841" s="4"/>
      <x:c r="N841" s="5"/>
    </x:row>
    <x:row r="842" ht="24" customHeight="1">
      <x:c r="A842" s="1" t="str">
        <x:v>RESULT</x:v>
      </x:c>
      <x:c r="B842" s="1" t="str">
        <x:v>Round1</x:v>
      </x:c>
      <x:c r="C842" s="1" t="str">
        <x:v>Time_20</x:v>
      </x:c>
      <x:c r="D842" s="1" t="str">
        <x:v>INCONCLUSIVE</x:v>
      </x:c>
      <x:c r="E842" s="5" t="n">
        <x:v>0.8025</x:v>
      </x:c>
      <x:c r="F842" s="4" t="n">
        <x:v>0</x:v>
      </x:c>
      <x:c r="G842" s="4" t="n">
        <x:v>28825</x:v>
      </x:c>
      <x:c r="H842" s="6" t="n">
        <x:v>65.76</x:v>
      </x:c>
      <x:c r="I842" s="16" t="n">
        <x:v>1</x:v>
      </x:c>
      <x:c r="J842" t="n">
        <x:v>1033</x:v>
      </x:c>
      <x:c r="K842" s="4" t="n">
        <x:v>829</x:v>
      </x:c>
      <x:c r="L842" s="4" t="n">
        <x:v>589</x:v>
      </x:c>
      <x:c r="M842" s="4" t="n">
        <x:v>394</x:v>
      </x:c>
      <x:c r="N842" s="5" t="n">
        <x:v>0.6689</x:v>
      </x:c>
    </x:row>
    <x:row r="843" ht="24" customHeight="1">
      <x:c r="A843" s="1" t="str">
        <x:v>RESULT</x:v>
      </x:c>
      <x:c r="B843" s="1" t="str">
        <x:v>Round1</x:v>
      </x:c>
      <x:c r="C843" s="1" t="str">
        <x:v>Time_22</x:v>
      </x:c>
      <x:c r="D843" s="1" t="str">
        <x:v>NOT_AVAILABLE</x:v>
      </x:c>
      <x:c r="E843" s="5"/>
      <x:c r="F843" s="4" t="n">
        <x:v>0</x:v>
      </x:c>
      <x:c r="G843" s="4" t="n">
        <x:v>12549</x:v>
      </x:c>
      <x:c r="H843" s="6" t="n">
        <x:v>66.51</x:v>
      </x:c>
      <x:c r="I843" s="16" t="n">
        <x:v>1</x:v>
      </x:c>
      <x:c r="J843"/>
      <x:c r="K843" s="4"/>
      <x:c r="L843" s="4"/>
      <x:c r="M843" s="4"/>
      <x:c r="N843" s="5"/>
    </x:row>
    <x:row r="844" ht="24" customHeight="1">
      <x:c r="A844" s="1" t="str">
        <x:v>RESULT</x:v>
      </x:c>
      <x:c r="B844" s="1" t="str">
        <x:v>Round1</x:v>
      </x:c>
      <x:c r="C844" s="1" t="str">
        <x:v>Time_23</x:v>
      </x:c>
      <x:c r="D844" s="1" t="str">
        <x:v>NOT_AVAILABLE</x:v>
      </x:c>
      <x:c r="E844" s="5"/>
      <x:c r="F844" s="4" t="n">
        <x:v>0</x:v>
      </x:c>
      <x:c r="G844" s="4" t="n">
        <x:v>20091</x:v>
      </x:c>
      <x:c r="H844" s="6" t="n">
        <x:v>76.2</x:v>
      </x:c>
      <x:c r="I844" s="16" t="n">
        <x:v>1</x:v>
      </x:c>
      <x:c r="J844"/>
      <x:c r="K844" s="4"/>
      <x:c r="L844" s="4"/>
      <x:c r="M844" s="4"/>
      <x:c r="N844" s="5"/>
    </x:row>
    <x:row r="845" ht="24" customHeight="1">
      <x:c r="A845" s="1" t="str">
        <x:v>RESULT</x:v>
      </x:c>
      <x:c r="B845" s="1" t="str">
        <x:v>Round1</x:v>
      </x:c>
      <x:c r="C845" s="1" t="str">
        <x:v>Time_24</x:v>
      </x:c>
      <x:c r="D845" s="1" t="str">
        <x:v>INCONCLUSIVE</x:v>
      </x:c>
      <x:c r="E845" s="5" t="n">
        <x:v>1</x:v>
      </x:c>
      <x:c r="F845" s="4" t="n">
        <x:v>0</x:v>
      </x:c>
      <x:c r="G845" s="4" t="n">
        <x:v>12446</x:v>
      </x:c>
      <x:c r="H845" s="6" t="n">
        <x:v>46.3</x:v>
      </x:c>
      <x:c r="I845" s="16" t="n">
        <x:v>1</x:v>
      </x:c>
      <x:c r="J845" t="n">
        <x:v>144</x:v>
      </x:c>
      <x:c r="K845" s="4" t="n">
        <x:v>144</x:v>
      </x:c>
      <x:c r="L845" s="4" t="n">
        <x:v>64</x:v>
      </x:c>
      <x:c r="M845" s="4" t="n">
        <x:v>60</x:v>
      </x:c>
      <x:c r="N845" s="5" t="n">
        <x:v>0.9375</x:v>
      </x:c>
    </x:row>
    <x:row r="846" ht="24" customHeight="1">
      <x:c r="A846" s="1" t="str">
        <x:v>RESULT</x:v>
      </x:c>
      <x:c r="B846" s="1" t="str">
        <x:v>Round1</x:v>
      </x:c>
      <x:c r="C846" s="1" t="str">
        <x:v>Time_25</x:v>
      </x:c>
      <x:c r="D846" s="1" t="str">
        <x:v>NOT_AVAILABLE</x:v>
      </x:c>
      <x:c r="E846" s="5"/>
      <x:c r="F846" s="4" t="n">
        <x:v>0</x:v>
      </x:c>
      <x:c r="G846" s="4" t="n">
        <x:v>14326</x:v>
      </x:c>
      <x:c r="H846" s="6" t="n">
        <x:v>50.24</x:v>
      </x:c>
      <x:c r="I846" s="16" t="n">
        <x:v>1</x:v>
      </x:c>
      <x:c r="J846"/>
      <x:c r="K846" s="4"/>
      <x:c r="L846" s="4"/>
      <x:c r="M846" s="4"/>
      <x:c r="N846" s="5"/>
    </x:row>
    <x:row r="847" ht="24" customHeight="1">
      <x:c r="A847" s="1" t="str">
        <x:v>RESULT</x:v>
      </x:c>
      <x:c r="B847" s="1" t="str">
        <x:v>Round1</x:v>
      </x:c>
      <x:c r="C847" s="1" t="str">
        <x:v>Time_26</x:v>
      </x:c>
      <x:c r="D847" s="1" t="str">
        <x:v>NOT_AVAILABLE</x:v>
      </x:c>
      <x:c r="E847" s="5"/>
      <x:c r="F847" s="4" t="n">
        <x:v>0</x:v>
      </x:c>
      <x:c r="G847" s="4" t="n">
        <x:v>35667</x:v>
      </x:c>
      <x:c r="H847" s="6" t="n">
        <x:v>146.12</x:v>
      </x:c>
      <x:c r="I847" s="16" t="n">
        <x:v>1</x:v>
      </x:c>
      <x:c r="J847"/>
      <x:c r="K847" s="4"/>
      <x:c r="L847" s="4"/>
      <x:c r="M847" s="4"/>
      <x:c r="N847" s="5"/>
    </x:row>
    <x:row r="848" ht="24" customHeight="1">
      <x:c r="A848" s="1" t="str">
        <x:v>RESULT</x:v>
      </x:c>
      <x:c r="B848" s="1" t="str">
        <x:v>Round1</x:v>
      </x:c>
      <x:c r="C848" s="1" t="str">
        <x:v>Time_27</x:v>
      </x:c>
      <x:c r="D848" s="1" t="str">
        <x:v>NOT_AVAILABLE</x:v>
      </x:c>
      <x:c r="E848" s="5"/>
      <x:c r="F848" s="4" t="n">
        <x:v>0</x:v>
      </x:c>
      <x:c r="G848" s="4"/>
      <x:c r="H848" s="6" t="n">
        <x:v>19.77</x:v>
      </x:c>
      <x:c r="I848" s="16" t="n">
        <x:v>1</x:v>
      </x:c>
      <x:c r="J848"/>
      <x:c r="K848" s="4"/>
      <x:c r="L848" s="4"/>
      <x:c r="M848" s="4"/>
      <x:c r="N848" s="5"/>
    </x:row>
    <x:row r="849" ht="24" customHeight="1">
      <x:c r="A849" s="1" t="str">
        <x:v>RESULT</x:v>
      </x:c>
      <x:c r="B849" s="1" t="str">
        <x:v>Round1</x:v>
      </x:c>
      <x:c r="C849" s="1" t="str">
        <x:v>Time_3</x:v>
      </x:c>
      <x:c r="D849" s="1" t="str">
        <x:v>NOT_AVAILABLE</x:v>
      </x:c>
      <x:c r="E849" s="5"/>
      <x:c r="F849" s="4" t="n">
        <x:v>0</x:v>
      </x:c>
      <x:c r="G849" s="4"/>
      <x:c r="H849" s="6" t="n">
        <x:v>43.34</x:v>
      </x:c>
      <x:c r="I849" s="16" t="n">
        <x:v>1</x:v>
      </x:c>
      <x:c r="J849"/>
      <x:c r="K849" s="4"/>
      <x:c r="L849" s="4"/>
      <x:c r="M849" s="4"/>
      <x:c r="N849" s="5"/>
    </x:row>
    <x:row r="850" ht="24" customHeight="1">
      <x:c r="A850" s="1" t="str">
        <x:v>RESULT</x:v>
      </x:c>
      <x:c r="B850" s="1" t="str">
        <x:v>Round1</x:v>
      </x:c>
      <x:c r="C850" s="1" t="str">
        <x:v>Time_4</x:v>
      </x:c>
      <x:c r="D850" s="1" t="str">
        <x:v>NOT_AVAILABLE</x:v>
      </x:c>
      <x:c r="E850" s="5"/>
      <x:c r="F850" s="4" t="n">
        <x:v>0</x:v>
      </x:c>
      <x:c r="G850" s="4"/>
      <x:c r="H850" s="6" t="n">
        <x:v>32.4</x:v>
      </x:c>
      <x:c r="I850" s="16" t="n">
        <x:v>1</x:v>
      </x:c>
      <x:c r="J850"/>
      <x:c r="K850" s="4"/>
      <x:c r="L850" s="4"/>
      <x:c r="M850" s="4"/>
      <x:c r="N850" s="5"/>
    </x:row>
    <x:row r="851" ht="24" customHeight="1">
      <x:c r="A851" s="1" t="str">
        <x:v>RESULT</x:v>
      </x:c>
      <x:c r="B851" s="1" t="str">
        <x:v>Round1</x:v>
      </x:c>
      <x:c r="C851" s="1" t="str">
        <x:v>Time_5</x:v>
      </x:c>
      <x:c r="D851" s="1" t="str">
        <x:v>NOT_AVAILABLE</x:v>
      </x:c>
      <x:c r="E851" s="5"/>
      <x:c r="F851" s="4" t="n">
        <x:v>0</x:v>
      </x:c>
      <x:c r="G851" s="4"/>
      <x:c r="H851" s="6" t="n">
        <x:v>52.34</x:v>
      </x:c>
      <x:c r="I851" s="16" t="n">
        <x:v>1</x:v>
      </x:c>
      <x:c r="J851"/>
      <x:c r="K851" s="4"/>
      <x:c r="L851" s="4"/>
      <x:c r="M851" s="4"/>
      <x:c r="N851" s="5"/>
    </x:row>
    <x:row r="852" ht="24" customHeight="1">
      <x:c r="A852" s="1" t="str">
        <x:v>RESULT</x:v>
      </x:c>
      <x:c r="B852" s="1" t="str">
        <x:v>Round1</x:v>
      </x:c>
      <x:c r="C852" s="1" t="str">
        <x:v>Time_6</x:v>
      </x:c>
      <x:c r="D852" s="1" t="str">
        <x:v>NOT_AVAILABLE</x:v>
      </x:c>
      <x:c r="E852" s="5"/>
      <x:c r="F852" s="4" t="n">
        <x:v>0</x:v>
      </x:c>
      <x:c r="G852" s="4"/>
      <x:c r="H852" s="6" t="n">
        <x:v>33.46</x:v>
      </x:c>
      <x:c r="I852" s="16" t="n">
        <x:v>1</x:v>
      </x:c>
      <x:c r="J852"/>
      <x:c r="K852" s="4"/>
      <x:c r="L852" s="4"/>
      <x:c r="M852" s="4"/>
      <x:c r="N852" s="5"/>
    </x:row>
    <x:row r="853" ht="24" customHeight="1">
      <x:c r="A853" s="1" t="str">
        <x:v>RESULT</x:v>
      </x:c>
      <x:c r="B853" s="1" t="str">
        <x:v>Round1</x:v>
      </x:c>
      <x:c r="C853" s="1" t="str">
        <x:v>Time_7</x:v>
      </x:c>
      <x:c r="D853" s="1" t="str">
        <x:v>NOT_AVAILABLE</x:v>
      </x:c>
      <x:c r="E853" s="5"/>
      <x:c r="F853" s="4" t="n">
        <x:v>0</x:v>
      </x:c>
      <x:c r="G853" s="4" t="n">
        <x:v>11890</x:v>
      </x:c>
      <x:c r="H853" s="6" t="n">
        <x:v>45.68</x:v>
      </x:c>
      <x:c r="I853" s="16" t="n">
        <x:v>1</x:v>
      </x:c>
      <x:c r="J853"/>
      <x:c r="K853" s="4"/>
      <x:c r="L853" s="4"/>
      <x:c r="M853" s="4"/>
      <x:c r="N853" s="5"/>
    </x:row>
    <x:row r="854" ht="24" customHeight="1">
      <x:c r="A854" s="1" t="str">
        <x:v>RESULT</x:v>
      </x:c>
      <x:c r="B854" s="1" t="str">
        <x:v>Round1</x:v>
      </x:c>
      <x:c r="C854" s="1" t="str">
        <x:v>Time_8</x:v>
      </x:c>
      <x:c r="D854" s="1" t="str">
        <x:v>NOT_AVAILABLE</x:v>
      </x:c>
      <x:c r="E854" s="5"/>
      <x:c r="F854" s="4" t="n">
        <x:v>0</x:v>
      </x:c>
      <x:c r="G854" s="4"/>
      <x:c r="H854" s="6" t="n">
        <x:v>24.6</x:v>
      </x:c>
      <x:c r="I854" s="16" t="n">
        <x:v>1</x:v>
      </x:c>
      <x:c r="J854"/>
      <x:c r="K854" s="4"/>
      <x:c r="L854" s="4"/>
      <x:c r="M854" s="4"/>
      <x:c r="N854" s="5"/>
    </x:row>
    <x:row r="855" ht="24" customHeight="1">
      <x:c r="A855" s="1" t="str">
        <x:v>RESULT</x:v>
      </x:c>
      <x:c r="B855" s="1" t="str">
        <x:v>Round1</x:v>
      </x:c>
      <x:c r="C855" s="1" t="str">
        <x:v>Time_9</x:v>
      </x:c>
      <x:c r="D855" s="1" t="str">
        <x:v>NOT_AVAILABLE</x:v>
      </x:c>
      <x:c r="E855" s="5"/>
      <x:c r="F855" s="4" t="n">
        <x:v>0</x:v>
      </x:c>
      <x:c r="G855" s="4"/>
      <x:c r="H855" s="6" t="n">
        <x:v>33.06</x:v>
      </x:c>
      <x:c r="I855" s="16" t="n">
        <x:v>1</x:v>
      </x:c>
      <x:c r="J855"/>
      <x:c r="K855" s="4"/>
      <x:c r="L855" s="4"/>
      <x:c r="M855" s="4"/>
      <x:c r="N855" s="5"/>
    </x:row>
  </x:sheetData>
  <x:pageMargins left="0.7" right="0.7" top="0.75" bottom="0.75" header="0.3" footer="0.3"/>
  <x:tableParts count="1">
    <x:tablePart xmlns:r="http://schemas.openxmlformats.org/officeDocument/2006/relationships" r:id="Rf4b579216d1a403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40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</x:cols>
  <x:sheetData>
    <x:row r="2">
      <x:c r="B2" t="str">
        <x:v>Resoucre inventory checked before summary</x:v>
      </x:c>
    </x:row>
    <x:row r="3">
      <x:c r="B3" t="str">
        <x:v>Only Resoucre targets are counted. Extra saved results are preserved but excluded. Each bug/round counts separately.</x:v>
      </x:c>
    </x:row>
    <x:row r="6" ht="42" customHeight="1">
      <x:c r="B6" s="20" t="str">
        <x:v>Round</x:v>
      </x:c>
      <x:c r="C6" s="20" t="str">
        <x:v>Resource targets</x:v>
      </x:c>
      <x:c r="D6" s="20" t="str">
        <x:v>Saved results</x:v>
      </x:c>
      <x:c r="E6" s="20" t="str">
        <x:v>Java test folders</x:v>
      </x:c>
      <x:c r="F6" s="20" t="str">
        <x:v>Missing results</x:v>
      </x:c>
      <x:c r="G6" s="20" t="str">
        <x:v>Extra results</x:v>
      </x:c>
      <x:c r="H6" s="20" t="str">
        <x:v>Missing tests</x:v>
      </x:c>
      <x:c r="I6" s="20" t="str">
        <x:v>Extra tests</x:v>
      </x:c>
      <x:c r="J6" s="20" t="str">
        <x:v>Check</x:v>
      </x:c>
    </x:row>
    <x:row r="7" ht="23" customHeight="1">
      <x:c r="B7" s="17" t="str">
        <x:v>Round1</x:v>
      </x:c>
      <x:c r="C7" s="17" t="n">
        <x:v>854</x:v>
      </x:c>
      <x:c r="D7" s="17" t="n">
        <x:v>854</x:v>
      </x:c>
      <x:c r="E7" s="17" t="n">
        <x:v>854</x:v>
      </x:c>
      <x:c r="F7" s="21" t="str">
        <x:v>—</x:v>
      </x:c>
      <x:c r="G7" s="21" t="str">
        <x:v>—</x:v>
      </x:c>
      <x:c r="H7" s="21" t="str">
        <x:v>—</x:v>
      </x:c>
      <x:c r="I7" s="21" t="str">
        <x:v>—</x:v>
      </x:c>
      <x:c r="J7" s="21" t="str">
        <x:v>Complete reference results</x:v>
      </x:c>
    </x:row>
  </x:sheetData>
  <x:mergeCells>
    <x:mergeCell ref="B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9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70" hidden="0" customWidth="1"/>
    <x:col min="14" max="14" width="70" hidden="0" customWidth="1"/>
    <x:col min="15" max="15" width="70" hidden="0" customWidth="1"/>
    <x:col min="16" max="16" width="28" hidden="0" customWidth="1"/>
    <x:col min="17" max="17" width="55" hidden="0" customWidth="1"/>
    <x:col min="18" max="18" width="55" hidden="0" customWidth="1"/>
    <x:col min="19" max="19" width="55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44" customHeight="1">
      <x:c r="A1" s="20" t="str">
        <x:v>project</x:v>
      </x:c>
      <x:c r="B1" s="20" t="str">
        <x:v>bug_id</x:v>
      </x:c>
      <x:c r="C1" s="20" t="str">
        <x:v>round</x:v>
      </x:c>
      <x:c r="D1" s="20" t="str">
        <x:v>status</x:v>
      </x:c>
      <x:c r="E1" s="20" t="str">
        <x:v>partial_generation</x:v>
      </x:c>
      <x:c r="F1" s="20" t="str">
        <x:v>notes</x:v>
      </x:c>
      <x:c r="G1" s="20" t="str">
        <x:v>partial_generation_known</x:v>
      </x:c>
      <x:c r="H1" s="20" t="str">
        <x:v>previous_status</x:v>
      </x:c>
      <x:c r="I1" s="20" t="str">
        <x:v>buggy_result</x:v>
      </x:c>
      <x:c r="J1" s="20" t="str">
        <x:v>fixed_result</x:v>
      </x:c>
      <x:c r="K1" s="20" t="str">
        <x:v>java_files</x:v>
      </x:c>
      <x:c r="L1" s="20" t="str">
        <x:v>latest_generation_failed</x:v>
      </x:c>
      <x:c r="M1" s="20" t="str">
        <x:v>generation_source</x:v>
      </x:c>
      <x:c r="N1" s="20" t="str">
        <x:v>validation_source</x:v>
      </x:c>
      <x:c r="O1" s="20" t="str">
        <x:v>coverage_source</x:v>
      </x:c>
      <x:c r="P1" s="20" t="str">
        <x:v>not_available_cause</x:v>
      </x:c>
      <x:c r="Q1" s="28" t="str">
        <x:v>generation_failed_tasks</x:v>
      </x:c>
      <x:c r="R1" s="28" t="str">
        <x:v>failed_generation_classes</x:v>
      </x:c>
      <x:c r="S1" s="28" t="str">
        <x:v>missing_generation_classes</x:v>
      </x:c>
      <x:c r="T1" s="28" t="str">
        <x:v>stale_generation_failure</x:v>
      </x:c>
      <x:c r="U1" s="28" t="str">
        <x:v>has_test_methods</x:v>
      </x:c>
      <x:c r="V1" s="28" t="str">
        <x:v>status_changed</x:v>
      </x:c>
    </x:row>
    <x:row r="2" ht="80" customHeight="1">
      <x:c r="A2" s="25" t="str">
        <x:v>Chart</x:v>
      </x:c>
      <x:c r="B2" s="25" t="n">
        <x:v>1</x:v>
      </x:c>
      <x:c r="C2" s="25" t="str">
        <x:v>Round1</x:v>
      </x:c>
      <x:c r="D2" s="25" t="str">
        <x:v>NOT_AVAILABLE</x:v>
      </x:c>
      <x:c r="E2" s="25" t="str">
        <x:v>N/A</x:v>
      </x:c>
      <x:c r="F2" s="26" t="str">
        <x:v>Tests exist but current coverage did not complete</x:v>
      </x:c>
      <x:c r="G2" s="25" t="str">
        <x:v>true</x:v>
      </x:c>
      <x:c r="H2" s="25" t="str">
        <x:v>NOT_AVAILABLE</x:v>
      </x:c>
      <x:c r="I2" s="25" t="str">
        <x:v>NOT_RUN</x:v>
      </x:c>
      <x:c r="J2" s="25" t="str">
        <x:v>NOT_RUN</x:v>
      </x:c>
      <x:c r="K2" s="25" t="n">
        <x:v>1</x:v>
      </x:c>
      <x:c r="L2" s="27" t="b">
        <x:v>0</x:v>
      </x:c>
      <x:c r="M2" s="25" t="str">
        <x:v>Gemini-3.8-flash/generation_state.json</x:v>
      </x:c>
      <x:c r="N2" s="25" t="str">
        <x:v>Gemini-3.8-flash/Result/Chart_1/result.json</x:v>
      </x:c>
      <x:c r="O2" s="25" t="str">
        <x:v>Gemini-3.8-flash/Result/Chart_1/result.json</x:v>
      </x:c>
      <x:c r="P2" t="str">
        <x:v>BOTH_NOT_RUN</x:v>
      </x:c>
      <x:c r="Q2" s="21" t="str"/>
      <x:c r="R2" s="21" t="str"/>
      <x:c r="S2" s="21" t="str"/>
      <x:c r="T2" s="17" t="str">
        <x:v>false</x:v>
      </x:c>
      <x:c r="U2" s="17" t="str">
        <x:v>true</x:v>
      </x:c>
      <x:c r="V2" s="17" t="str">
        <x:v>false</x:v>
      </x:c>
    </x:row>
    <x:row r="3" ht="80" customHeight="1">
      <x:c r="A3" s="25" t="str">
        <x:v>Chart</x:v>
      </x:c>
      <x:c r="B3" s="25" t="n">
        <x:v>10</x:v>
      </x:c>
      <x:c r="C3" s="25" t="str">
        <x:v>Round1</x:v>
      </x:c>
      <x:c r="D3" s="25" t="str">
        <x:v>INCONCLUSIVE</x:v>
      </x:c>
      <x:c r="E3" s="25" t="str">
        <x:v>N/A</x:v>
      </x:c>
      <x:c r="F3" s="26" t="str">
        <x:v>Fixed also failed; assertion failure cannot be attributed to this bug</x:v>
      </x:c>
      <x:c r="G3" s="25" t="str">
        <x:v>true</x:v>
      </x:c>
      <x:c r="H3" s="25" t="str">
        <x:v>INCONCLUSIVE</x:v>
      </x:c>
      <x:c r="I3" s="25" t="str">
        <x:v>PASS</x:v>
      </x:c>
      <x:c r="J3" s="25" t="str">
        <x:v>FAIL</x:v>
      </x:c>
      <x:c r="K3" s="25" t="n">
        <x:v>1</x:v>
      </x:c>
      <x:c r="L3" s="27" t="b">
        <x:v>0</x:v>
      </x:c>
      <x:c r="M3" s="25" t="str">
        <x:v>Gemini-3.8-flash/generation_state.json</x:v>
      </x:c>
      <x:c r="N3" s="25" t="str">
        <x:v>Gemini-3.8-flash/Result/Chart_10/result.json</x:v>
      </x:c>
      <x:c r="O3" s="25" t="str">
        <x:v>Gemini-3.8-flash/Result/Chart_10/result.json</x:v>
      </x:c>
      <x:c r="P3"/>
      <x:c r="Q3" s="21" t="str"/>
      <x:c r="R3" s="21" t="str"/>
      <x:c r="S3" s="21" t="str"/>
      <x:c r="T3" s="17" t="str">
        <x:v>false</x:v>
      </x:c>
      <x:c r="U3" s="17" t="str">
        <x:v>true</x:v>
      </x:c>
      <x:c r="V3" s="17" t="str">
        <x:v>false</x:v>
      </x:c>
    </x:row>
    <x:row r="4" ht="80" customHeight="1">
      <x:c r="A4" s="25" t="str">
        <x:v>Chart</x:v>
      </x:c>
      <x:c r="B4" s="25" t="n">
        <x:v>11</x:v>
      </x:c>
      <x:c r="C4" s="25" t="str">
        <x:v>Round1</x:v>
      </x:c>
      <x:c r="D4" s="25" t="str">
        <x:v>NOT_AVAILABLE</x:v>
      </x:c>
      <x:c r="E4" s="25" t="str">
        <x:v>N/A</x:v>
      </x:c>
      <x:c r="F4" s="26" t="str">
        <x:v>Tests exist but current coverage did not complete</x:v>
      </x:c>
      <x:c r="G4" s="25" t="str">
        <x:v>true</x:v>
      </x:c>
      <x:c r="H4" s="25" t="str">
        <x:v>NOT_AVAILABLE</x:v>
      </x:c>
      <x:c r="I4" s="25" t="str">
        <x:v>NOT_RUN</x:v>
      </x:c>
      <x:c r="J4" s="25" t="str">
        <x:v>NOT_RUN</x:v>
      </x:c>
      <x:c r="K4" s="25" t="n">
        <x:v>1</x:v>
      </x:c>
      <x:c r="L4" s="27" t="b">
        <x:v>0</x:v>
      </x:c>
      <x:c r="M4" s="25" t="str">
        <x:v>Gemini-3.8-flash/generation_state.json</x:v>
      </x:c>
      <x:c r="N4" s="25" t="str">
        <x:v>Gemini-3.8-flash/Result/Chart_11/result.json</x:v>
      </x:c>
      <x:c r="O4" s="25" t="str">
        <x:v>Gemini-3.8-flash/Result/Chart_11/result.json</x:v>
      </x:c>
      <x:c r="P4" t="str">
        <x:v>BOTH_NOT_RUN</x:v>
      </x:c>
      <x:c r="Q4" s="21" t="str"/>
      <x:c r="R4" s="21" t="str"/>
      <x:c r="S4" s="21" t="str"/>
      <x:c r="T4" s="17" t="str">
        <x:v>false</x:v>
      </x:c>
      <x:c r="U4" s="17" t="str">
        <x:v>true</x:v>
      </x:c>
      <x:c r="V4" s="17" t="str">
        <x:v>false</x:v>
      </x:c>
    </x:row>
    <x:row r="5" ht="80" customHeight="1">
      <x:c r="A5" s="25" t="str">
        <x:v>Chart</x:v>
      </x:c>
      <x:c r="B5" s="25" t="n">
        <x:v>12</x:v>
      </x:c>
      <x:c r="C5" s="25" t="str">
        <x:v>Round1</x:v>
      </x:c>
      <x:c r="D5" s="25" t="str">
        <x:v>NOT_REVEALING</x:v>
      </x:c>
      <x:c r="E5" s="25" t="str">
        <x:v>N/A</x:v>
      </x:c>
      <x:c r="F5" s="26" t="str">
        <x:v>Same saved validation suite passed on buggy and fixed</x:v>
      </x:c>
      <x:c r="G5" s="25" t="str">
        <x:v>true</x:v>
      </x:c>
      <x:c r="H5" s="25" t="str">
        <x:v>NOT_REVEALING</x:v>
      </x:c>
      <x:c r="I5" s="25" t="str">
        <x:v>PASS</x:v>
      </x:c>
      <x:c r="J5" s="25" t="str">
        <x:v>PASS</x:v>
      </x:c>
      <x:c r="K5" s="25" t="n">
        <x:v>1</x:v>
      </x:c>
      <x:c r="L5" s="27" t="b">
        <x:v>0</x:v>
      </x:c>
      <x:c r="M5" s="25" t="str">
        <x:v>Gemini-3.8-flash/generation_state.json</x:v>
      </x:c>
      <x:c r="N5" s="25" t="str">
        <x:v>Gemini-3.8-flash/Result/Chart_12/result.json</x:v>
      </x:c>
      <x:c r="O5" s="25" t="str">
        <x:v>Gemini-3.8-flash/Result/Chart_12/result.json</x:v>
      </x:c>
      <x:c r="P5"/>
      <x:c r="Q5" s="21" t="str"/>
      <x:c r="R5" s="21" t="str"/>
      <x:c r="S5" s="21" t="str"/>
      <x:c r="T5" s="17" t="str">
        <x:v>false</x:v>
      </x:c>
      <x:c r="U5" s="17" t="str">
        <x:v>true</x:v>
      </x:c>
      <x:c r="V5" s="17" t="str">
        <x:v>false</x:v>
      </x:c>
    </x:row>
    <x:row r="6" ht="80" customHeight="1">
      <x:c r="A6" s="25" t="str">
        <x:v>Chart</x:v>
      </x:c>
      <x:c r="B6" s="25" t="n">
        <x:v>13</x:v>
      </x:c>
      <x:c r="C6" s="25" t="str">
        <x:v>Round1</x:v>
      </x:c>
      <x:c r="D6" s="25" t="str">
        <x:v>NOT_REVEALING</x:v>
      </x:c>
      <x:c r="E6" s="25" t="str">
        <x:v>N/A</x:v>
      </x:c>
      <x:c r="F6" s="26" t="str">
        <x:v>Same saved validation suite passed on buggy and fixed</x:v>
      </x:c>
      <x:c r="G6" s="25" t="str">
        <x:v>true</x:v>
      </x:c>
      <x:c r="H6" s="25" t="str">
        <x:v>NOT_REVEALING</x:v>
      </x:c>
      <x:c r="I6" s="25" t="str">
        <x:v>PASS</x:v>
      </x:c>
      <x:c r="J6" s="25" t="str">
        <x:v>PASS</x:v>
      </x:c>
      <x:c r="K6" s="25" t="n">
        <x:v>1</x:v>
      </x:c>
      <x:c r="L6" s="27" t="b">
        <x:v>0</x:v>
      </x:c>
      <x:c r="M6" s="25" t="str">
        <x:v>Gemini-3.8-flash/generation_state.json</x:v>
      </x:c>
      <x:c r="N6" s="25" t="str">
        <x:v>Gemini-3.8-flash/Result/Chart_13/result.json</x:v>
      </x:c>
      <x:c r="O6" s="25" t="str">
        <x:v>Gemini-3.8-flash/Result/Chart_13/result.json</x:v>
      </x:c>
      <x:c r="P6"/>
      <x:c r="Q6" s="21" t="str"/>
      <x:c r="R6" s="21" t="str"/>
      <x:c r="S6" s="21" t="str"/>
      <x:c r="T6" s="17" t="str">
        <x:v>false</x:v>
      </x:c>
      <x:c r="U6" s="17" t="str">
        <x:v>true</x:v>
      </x:c>
      <x:c r="V6" s="17" t="str">
        <x:v>false</x:v>
      </x:c>
    </x:row>
    <x:row r="7" ht="80" customHeight="1">
      <x:c r="A7" s="25" t="str">
        <x:v>Chart</x:v>
      </x:c>
      <x:c r="B7" s="25" t="n">
        <x:v>14</x:v>
      </x:c>
      <x:c r="C7" s="25" t="str">
        <x:v>Round1</x:v>
      </x:c>
      <x:c r="D7" s="25" t="str">
        <x:v>NOT_REVEALING</x:v>
      </x:c>
      <x:c r="E7" s="25" t="str">
        <x:v>N/A</x:v>
      </x:c>
      <x:c r="F7" s="26" t="str">
        <x:v>Same saved validation suite passed on buggy and fixed</x:v>
      </x:c>
      <x:c r="G7" s="25" t="str">
        <x:v>true</x:v>
      </x:c>
      <x:c r="H7" s="25" t="str">
        <x:v>NOT_REVEALING</x:v>
      </x:c>
      <x:c r="I7" s="25" t="str">
        <x:v>PASS</x:v>
      </x:c>
      <x:c r="J7" s="25" t="str">
        <x:v>PASS</x:v>
      </x:c>
      <x:c r="K7" s="25" t="n">
        <x:v>2</x:v>
      </x:c>
      <x:c r="L7" s="27" t="b">
        <x:v>0</x:v>
      </x:c>
      <x:c r="M7" s="25" t="str">
        <x:v>Gemini-3.8-flash/generation_state.json</x:v>
      </x:c>
      <x:c r="N7" s="25" t="str">
        <x:v>Gemini-3.8-flash/Result/Chart_14/result.json</x:v>
      </x:c>
      <x:c r="O7" s="25" t="str">
        <x:v>Gemini-3.8-flash/Result/Chart_14/result.json</x:v>
      </x:c>
      <x:c r="P7"/>
      <x:c r="Q7" s="21" t="str"/>
      <x:c r="R7" s="21" t="str"/>
      <x:c r="S7" s="21" t="str"/>
      <x:c r="T7" s="17" t="str">
        <x:v>false</x:v>
      </x:c>
      <x:c r="U7" s="17" t="str">
        <x:v>true</x:v>
      </x:c>
      <x:c r="V7" s="17" t="str">
        <x:v>false</x:v>
      </x:c>
    </x:row>
    <x:row r="8" ht="80" customHeight="1">
      <x:c r="A8" s="25" t="str">
        <x:v>Chart</x:v>
      </x:c>
      <x:c r="B8" s="25" t="n">
        <x:v>15</x:v>
      </x:c>
      <x:c r="C8" s="25" t="str">
        <x:v>Round1</x:v>
      </x:c>
      <x:c r="D8" s="25" t="str">
        <x:v>NOT_AVAILABLE</x:v>
      </x:c>
      <x:c r="E8" s="25" t="str">
        <x:v>N/A</x:v>
      </x:c>
      <x:c r="F8" s="26" t="str">
        <x:v>Tests exist but current coverage did not complete</x:v>
      </x:c>
      <x:c r="G8" s="25" t="str">
        <x:v>true</x:v>
      </x:c>
      <x:c r="H8" s="25" t="str">
        <x:v>NOT_AVAILABLE</x:v>
      </x:c>
      <x:c r="I8" s="25" t="str">
        <x:v>NOT_RUN</x:v>
      </x:c>
      <x:c r="J8" s="25" t="str">
        <x:v>NOT_RUN</x:v>
      </x:c>
      <x:c r="K8" s="25" t="n">
        <x:v>1</x:v>
      </x:c>
      <x:c r="L8" s="27" t="b">
        <x:v>0</x:v>
      </x:c>
      <x:c r="M8" s="25" t="str">
        <x:v>Gemini-3.8-flash/generation_state.json</x:v>
      </x:c>
      <x:c r="N8" s="25" t="str">
        <x:v>Gemini-3.8-flash/Result/Chart_15/result.json</x:v>
      </x:c>
      <x:c r="O8" s="25" t="str">
        <x:v>Gemini-3.8-flash/Result/Chart_15/result.json</x:v>
      </x:c>
      <x:c r="P8" t="str">
        <x:v>BOTH_NOT_RUN</x:v>
      </x:c>
      <x:c r="Q8" s="21" t="str"/>
      <x:c r="R8" s="21" t="str"/>
      <x:c r="S8" s="21" t="str"/>
      <x:c r="T8" s="17" t="str">
        <x:v>false</x:v>
      </x:c>
      <x:c r="U8" s="17" t="str">
        <x:v>true</x:v>
      </x:c>
      <x:c r="V8" s="17" t="str">
        <x:v>false</x:v>
      </x:c>
    </x:row>
    <x:row r="9" ht="80" customHeight="1">
      <x:c r="A9" s="25" t="str">
        <x:v>Chart</x:v>
      </x:c>
      <x:c r="B9" s="25" t="n">
        <x:v>16</x:v>
      </x:c>
      <x:c r="C9" s="25" t="str">
        <x:v>Round1</x:v>
      </x:c>
      <x:c r="D9" s="25" t="str">
        <x:v>NOT_REVEALING</x:v>
      </x:c>
      <x:c r="E9" s="25" t="str">
        <x:v>N/A</x:v>
      </x:c>
      <x:c r="F9" s="26" t="str">
        <x:v>Same saved validation suite passed on buggy and fixed</x:v>
      </x:c>
      <x:c r="G9" s="25" t="str">
        <x:v>true</x:v>
      </x:c>
      <x:c r="H9" s="25" t="str">
        <x:v>NOT_REVEALING</x:v>
      </x:c>
      <x:c r="I9" s="25" t="str">
        <x:v>PASS</x:v>
      </x:c>
      <x:c r="J9" s="25" t="str">
        <x:v>PASS</x:v>
      </x:c>
      <x:c r="K9" s="25" t="n">
        <x:v>1</x:v>
      </x:c>
      <x:c r="L9" s="27" t="b">
        <x:v>0</x:v>
      </x:c>
      <x:c r="M9" s="25" t="str">
        <x:v>Gemini-3.8-flash/generation_state.json</x:v>
      </x:c>
      <x:c r="N9" s="25" t="str">
        <x:v>Gemini-3.8-flash/Result/Chart_16/result.json</x:v>
      </x:c>
      <x:c r="O9" s="25" t="str">
        <x:v>Gemini-3.8-flash/Result/Chart_16/result.json</x:v>
      </x:c>
      <x:c r="P9"/>
      <x:c r="Q9" s="21" t="str"/>
      <x:c r="R9" s="21" t="str"/>
      <x:c r="S9" s="21" t="str"/>
      <x:c r="T9" s="17" t="str">
        <x:v>false</x:v>
      </x:c>
      <x:c r="U9" s="17" t="str">
        <x:v>true</x:v>
      </x:c>
      <x:c r="V9" s="17" t="str">
        <x:v>false</x:v>
      </x:c>
    </x:row>
    <x:row r="10" ht="80" customHeight="1">
      <x:c r="A10" s="25" t="str">
        <x:v>Chart</x:v>
      </x:c>
      <x:c r="B10" s="25" t="n">
        <x:v>17</x:v>
      </x:c>
      <x:c r="C10" s="25" t="str">
        <x:v>Round1</x:v>
      </x:c>
      <x:c r="D10" s="25" t="str">
        <x:v>NOT_AVAILABLE</x:v>
      </x:c>
      <x:c r="E10" s="25" t="str">
        <x:v>N/A</x:v>
      </x:c>
      <x:c r="F10" s="26" t="str">
        <x:v>Tests exist but current coverage did not complete</x:v>
      </x:c>
      <x:c r="G10" s="25" t="str">
        <x:v>true</x:v>
      </x:c>
      <x:c r="H10" s="25" t="str">
        <x:v>NOT_AVAILABLE</x:v>
      </x:c>
      <x:c r="I10" s="25" t="str">
        <x:v>NOT_RUN</x:v>
      </x:c>
      <x:c r="J10" s="25" t="str">
        <x:v>NOT_RUN</x:v>
      </x:c>
      <x:c r="K10" s="25" t="n">
        <x:v>1</x:v>
      </x:c>
      <x:c r="L10" s="27" t="b">
        <x:v>0</x:v>
      </x:c>
      <x:c r="M10" s="25" t="str">
        <x:v>Gemini-3.8-flash/generation_state.json</x:v>
      </x:c>
      <x:c r="N10" s="25" t="str">
        <x:v>Gemini-3.8-flash/Result/Chart_17/result.json</x:v>
      </x:c>
      <x:c r="O10" s="25" t="str">
        <x:v>Gemini-3.8-flash/Result/Chart_17/result.json</x:v>
      </x:c>
      <x:c r="P10" t="str">
        <x:v>BOTH_NOT_RUN</x:v>
      </x:c>
      <x:c r="Q10" s="21" t="str"/>
      <x:c r="R10" s="21" t="str"/>
      <x:c r="S10" s="21" t="str"/>
      <x:c r="T10" s="17" t="str">
        <x:v>false</x:v>
      </x:c>
      <x:c r="U10" s="17" t="str">
        <x:v>true</x:v>
      </x:c>
      <x:c r="V10" s="17" t="str">
        <x:v>false</x:v>
      </x:c>
    </x:row>
    <x:row r="11" ht="80" customHeight="1">
      <x:c r="A11" s="25" t="str">
        <x:v>Chart</x:v>
      </x:c>
      <x:c r="B11" s="25" t="n">
        <x:v>18</x:v>
      </x:c>
      <x:c r="C11" s="25" t="str">
        <x:v>Round1</x:v>
      </x:c>
      <x:c r="D11" s="25" t="str">
        <x:v>NOT_REVEALING</x:v>
      </x:c>
      <x:c r="E11" s="25" t="str">
        <x:v>N/A</x:v>
      </x:c>
      <x:c r="F11" s="26" t="str">
        <x:v>Same saved validation suite passed on buggy and fixed</x:v>
      </x:c>
      <x:c r="G11" s="25" t="str">
        <x:v>true</x:v>
      </x:c>
      <x:c r="H11" s="25" t="str">
        <x:v>NOT_REVEALING</x:v>
      </x:c>
      <x:c r="I11" s="25" t="str">
        <x:v>PASS</x:v>
      </x:c>
      <x:c r="J11" s="25" t="str">
        <x:v>PASS</x:v>
      </x:c>
      <x:c r="K11" s="25" t="n">
        <x:v>2</x:v>
      </x:c>
      <x:c r="L11" s="27" t="b">
        <x:v>0</x:v>
      </x:c>
      <x:c r="M11" s="25" t="str">
        <x:v>Gemini-3.8-flash/generation_state.json</x:v>
      </x:c>
      <x:c r="N11" s="25" t="str">
        <x:v>Gemini-3.8-flash/Result/Chart_18/result.json</x:v>
      </x:c>
      <x:c r="O11" s="25" t="str">
        <x:v>Gemini-3.8-flash/Result/Chart_18/result.json</x:v>
      </x:c>
      <x:c r="P11"/>
      <x:c r="Q11" s="21" t="str"/>
      <x:c r="R11" s="21" t="str"/>
      <x:c r="S11" s="21" t="str"/>
      <x:c r="T11" s="17" t="str">
        <x:v>false</x:v>
      </x:c>
      <x:c r="U11" s="17" t="str">
        <x:v>true</x:v>
      </x:c>
      <x:c r="V11" s="17" t="str">
        <x:v>false</x:v>
      </x:c>
    </x:row>
    <x:row r="12" ht="80" customHeight="1">
      <x:c r="A12" s="25" t="str">
        <x:v>Chart</x:v>
      </x:c>
      <x:c r="B12" s="25" t="n">
        <x:v>19</x:v>
      </x:c>
      <x:c r="C12" s="25" t="str">
        <x:v>Round1</x:v>
      </x:c>
      <x:c r="D12" s="25" t="str">
        <x:v>NOT_AVAILABLE</x:v>
      </x:c>
      <x:c r="E12" s="25" t="str">
        <x:v>N/A</x:v>
      </x:c>
      <x:c r="F12" s="26" t="str">
        <x:v>Tests exist but current coverage did not complete</x:v>
      </x:c>
      <x:c r="G12" s="25" t="str">
        <x:v>true</x:v>
      </x:c>
      <x:c r="H12" s="25" t="str">
        <x:v>NOT_AVAILABLE</x:v>
      </x:c>
      <x:c r="I12" s="25" t="str">
        <x:v>NOT_RUN</x:v>
      </x:c>
      <x:c r="J12" s="25" t="str">
        <x:v>NOT_RUN</x:v>
      </x:c>
      <x:c r="K12" s="25" t="n">
        <x:v>1</x:v>
      </x:c>
      <x:c r="L12" s="27" t="b">
        <x:v>0</x:v>
      </x:c>
      <x:c r="M12" s="25" t="str">
        <x:v>Gemini-3.8-flash/generation_state.json</x:v>
      </x:c>
      <x:c r="N12" s="25" t="str">
        <x:v>Gemini-3.8-flash/Result/Chart_19/result.json</x:v>
      </x:c>
      <x:c r="O12" s="25" t="str">
        <x:v>Gemini-3.8-flash/Result/Chart_19/result.json</x:v>
      </x:c>
      <x:c r="P12" t="str">
        <x:v>BOTH_NOT_RUN</x:v>
      </x:c>
      <x:c r="Q12" s="21" t="str"/>
      <x:c r="R12" s="21" t="str"/>
      <x:c r="S12" s="21" t="str"/>
      <x:c r="T12" s="17" t="str">
        <x:v>false</x:v>
      </x:c>
      <x:c r="U12" s="17" t="str">
        <x:v>true</x:v>
      </x:c>
      <x:c r="V12" s="17" t="str">
        <x:v>false</x:v>
      </x:c>
    </x:row>
    <x:row r="13" ht="80" customHeight="1">
      <x:c r="A13" s="25" t="str">
        <x:v>Chart</x:v>
      </x:c>
      <x:c r="B13" s="25" t="n">
        <x:v>2</x:v>
      </x:c>
      <x:c r="C13" s="25" t="str">
        <x:v>Round1</x:v>
      </x:c>
      <x:c r="D13" s="25" t="str">
        <x:v>NOT_AVAILABLE</x:v>
      </x:c>
      <x:c r="E13" s="25" t="str">
        <x:v>N/A</x:v>
      </x:c>
      <x:c r="F13" s="26" t="str">
        <x:v>Tests exist but current coverage did not complete</x:v>
      </x:c>
      <x:c r="G13" s="25" t="str">
        <x:v>true</x:v>
      </x:c>
      <x:c r="H13" s="25" t="str">
        <x:v>NOT_AVAILABLE</x:v>
      </x:c>
      <x:c r="I13" s="25" t="str">
        <x:v>NOT_RUN</x:v>
      </x:c>
      <x:c r="J13" s="25" t="str">
        <x:v>NOT_RUN</x:v>
      </x:c>
      <x:c r="K13" s="25" t="n">
        <x:v>1</x:v>
      </x:c>
      <x:c r="L13" s="27" t="b">
        <x:v>0</x:v>
      </x:c>
      <x:c r="M13" s="25" t="str">
        <x:v>Gemini-3.8-flash/generation_state.json</x:v>
      </x:c>
      <x:c r="N13" s="25" t="str">
        <x:v>Gemini-3.8-flash/Result/Chart_2/result.json</x:v>
      </x:c>
      <x:c r="O13" s="25" t="str">
        <x:v>Gemini-3.8-flash/Result/Chart_2/result.json</x:v>
      </x:c>
      <x:c r="P13" t="str">
        <x:v>BOTH_NOT_RUN</x:v>
      </x:c>
      <x:c r="Q13" s="21" t="str"/>
      <x:c r="R13" s="21" t="str"/>
      <x:c r="S13" s="21" t="str"/>
      <x:c r="T13" s="17" t="str">
        <x:v>false</x:v>
      </x:c>
      <x:c r="U13" s="17" t="str">
        <x:v>true</x:v>
      </x:c>
      <x:c r="V13" s="17" t="str">
        <x:v>false</x:v>
      </x:c>
    </x:row>
    <x:row r="14" ht="80" customHeight="1">
      <x:c r="A14" s="25" t="str">
        <x:v>Chart</x:v>
      </x:c>
      <x:c r="B14" s="25" t="n">
        <x:v>20</x:v>
      </x:c>
      <x:c r="C14" s="25" t="str">
        <x:v>Round1</x:v>
      </x:c>
      <x:c r="D14" s="25" t="str">
        <x:v>INCONCLUSIVE</x:v>
      </x:c>
      <x:c r="E14" s="25" t="str">
        <x:v>N/A</x:v>
      </x:c>
      <x:c r="F14" s="26" t="str">
        <x:v>Fixed also failed; assertion failure cannot be attributed to this bug</x:v>
      </x:c>
      <x:c r="G14" s="25" t="str">
        <x:v>true</x:v>
      </x:c>
      <x:c r="H14" s="25" t="str">
        <x:v>INCONCLUSIVE</x:v>
      </x:c>
      <x:c r="I14" s="25" t="str">
        <x:v>FAIL</x:v>
      </x:c>
      <x:c r="J14" s="25" t="str">
        <x:v>FAIL</x:v>
      </x:c>
      <x:c r="K14" s="25" t="n">
        <x:v>1</x:v>
      </x:c>
      <x:c r="L14" s="27" t="b">
        <x:v>0</x:v>
      </x:c>
      <x:c r="M14" s="25" t="str">
        <x:v>Gemini-3.8-flash/generation_state.json</x:v>
      </x:c>
      <x:c r="N14" s="25" t="str">
        <x:v>Gemini-3.8-flash/Result/Chart_20/result.json</x:v>
      </x:c>
      <x:c r="O14" s="25" t="str">
        <x:v>Gemini-3.8-flash/Result/Chart_20/result.json</x:v>
      </x:c>
      <x:c r="P14"/>
      <x:c r="Q14" s="21" t="str"/>
      <x:c r="R14" s="21" t="str"/>
      <x:c r="S14" s="21" t="str"/>
      <x:c r="T14" s="17" t="str">
        <x:v>false</x:v>
      </x:c>
      <x:c r="U14" s="17" t="str">
        <x:v>true</x:v>
      </x:c>
      <x:c r="V14" s="17" t="str">
        <x:v>false</x:v>
      </x:c>
    </x:row>
    <x:row r="15" ht="80" customHeight="1">
      <x:c r="A15" s="25" t="str">
        <x:v>Chart</x:v>
      </x:c>
      <x:c r="B15" s="25" t="n">
        <x:v>21</x:v>
      </x:c>
      <x:c r="C15" s="25" t="str">
        <x:v>Round1</x:v>
      </x:c>
      <x:c r="D15" s="25" t="str">
        <x:v>NOT_REVEALING</x:v>
      </x:c>
      <x:c r="E15" s="25" t="str">
        <x:v>N/A</x:v>
      </x:c>
      <x:c r="F15" s="26" t="str">
        <x:v>Same saved validation suite passed on buggy and fixed</x:v>
      </x:c>
      <x:c r="G15" s="25" t="str">
        <x:v>true</x:v>
      </x:c>
      <x:c r="H15" s="25" t="str">
        <x:v>NOT_REVEALING</x:v>
      </x:c>
      <x:c r="I15" s="25" t="str">
        <x:v>PASS</x:v>
      </x:c>
      <x:c r="J15" s="25" t="str">
        <x:v>PASS</x:v>
      </x:c>
      <x:c r="K15" s="25" t="n">
        <x:v>1</x:v>
      </x:c>
      <x:c r="L15" s="27" t="b">
        <x:v>0</x:v>
      </x:c>
      <x:c r="M15" s="25" t="str">
        <x:v>Gemini-3.8-flash/generation_state.json</x:v>
      </x:c>
      <x:c r="N15" s="25" t="str">
        <x:v>Gemini-3.8-flash/Result/Chart_21/result.json</x:v>
      </x:c>
      <x:c r="O15" s="25" t="str">
        <x:v>Gemini-3.8-flash/Result/Chart_21/result.json</x:v>
      </x:c>
      <x:c r="P15"/>
      <x:c r="Q15" s="21" t="str"/>
      <x:c r="R15" s="21" t="str"/>
      <x:c r="S15" s="21" t="str"/>
      <x:c r="T15" s="17" t="str">
        <x:v>false</x:v>
      </x:c>
      <x:c r="U15" s="17" t="str">
        <x:v>true</x:v>
      </x:c>
      <x:c r="V15" s="17" t="str">
        <x:v>false</x:v>
      </x:c>
    </x:row>
    <x:row r="16" ht="80" customHeight="1">
      <x:c r="A16" s="25" t="str">
        <x:v>Chart</x:v>
      </x:c>
      <x:c r="B16" s="25" t="n">
        <x:v>22</x:v>
      </x:c>
      <x:c r="C16" s="25" t="str">
        <x:v>Round1</x:v>
      </x:c>
      <x:c r="D16" s="25" t="str">
        <x:v>NOT_REVEALING</x:v>
      </x:c>
      <x:c r="E16" s="25" t="str">
        <x:v>N/A</x:v>
      </x:c>
      <x:c r="F16" s="26" t="str">
        <x:v>Same saved validation suite passed on buggy and fixed</x:v>
      </x:c>
      <x:c r="G16" s="25" t="str">
        <x:v>true</x:v>
      </x:c>
      <x:c r="H16" s="25" t="str">
        <x:v>NOT_REVEALING</x:v>
      </x:c>
      <x:c r="I16" s="25" t="str">
        <x:v>PASS</x:v>
      </x:c>
      <x:c r="J16" s="25" t="str">
        <x:v>PASS</x:v>
      </x:c>
      <x:c r="K16" s="25" t="n">
        <x:v>1</x:v>
      </x:c>
      <x:c r="L16" s="27" t="b">
        <x:v>0</x:v>
      </x:c>
      <x:c r="M16" s="25" t="str">
        <x:v>Gemini-3.8-flash/generation_state.json</x:v>
      </x:c>
      <x:c r="N16" s="25" t="str">
        <x:v>Gemini-3.8-flash/Result/Chart_22/result.json</x:v>
      </x:c>
      <x:c r="O16" s="25" t="str">
        <x:v>Gemini-3.8-flash/Result/Chart_22/result.json</x:v>
      </x:c>
      <x:c r="P16"/>
      <x:c r="Q16" s="21" t="str"/>
      <x:c r="R16" s="21" t="str"/>
      <x:c r="S16" s="21" t="str"/>
      <x:c r="T16" s="17" t="str">
        <x:v>false</x:v>
      </x:c>
      <x:c r="U16" s="17" t="str">
        <x:v>true</x:v>
      </x:c>
      <x:c r="V16" s="17" t="str">
        <x:v>false</x:v>
      </x:c>
    </x:row>
    <x:row r="17" ht="80" customHeight="1">
      <x:c r="A17" s="25" t="str">
        <x:v>Chart</x:v>
      </x:c>
      <x:c r="B17" s="25" t="n">
        <x:v>23</x:v>
      </x:c>
      <x:c r="C17" s="25" t="str">
        <x:v>Round1</x:v>
      </x:c>
      <x:c r="D17" s="25" t="str">
        <x:v>NOT_REVEALING</x:v>
      </x:c>
      <x:c r="E17" s="25" t="str">
        <x:v>N/A</x:v>
      </x:c>
      <x:c r="F17" s="26" t="str">
        <x:v>Same saved validation suite passed on buggy and fixed</x:v>
      </x:c>
      <x:c r="G17" s="25" t="str">
        <x:v>true</x:v>
      </x:c>
      <x:c r="H17" s="25" t="str">
        <x:v>NOT_REVEALING</x:v>
      </x:c>
      <x:c r="I17" s="25" t="str">
        <x:v>PASS</x:v>
      </x:c>
      <x:c r="J17" s="25" t="str">
        <x:v>PASS</x:v>
      </x:c>
      <x:c r="K17" s="25" t="n">
        <x:v>1</x:v>
      </x:c>
      <x:c r="L17" s="27" t="b">
        <x:v>0</x:v>
      </x:c>
      <x:c r="M17" s="25" t="str">
        <x:v>Gemini-3.8-flash/generation_state.json</x:v>
      </x:c>
      <x:c r="N17" s="25" t="str">
        <x:v>Gemini-3.8-flash/Result/Chart_23/result.json</x:v>
      </x:c>
      <x:c r="O17" s="25" t="str">
        <x:v>Gemini-3.8-flash/Result/Chart_23/result.json</x:v>
      </x:c>
      <x:c r="P17"/>
      <x:c r="Q17" s="21" t="str"/>
      <x:c r="R17" s="21" t="str"/>
      <x:c r="S17" s="21" t="str"/>
      <x:c r="T17" s="17" t="str">
        <x:v>false</x:v>
      </x:c>
      <x:c r="U17" s="17" t="str">
        <x:v>true</x:v>
      </x:c>
      <x:c r="V17" s="17" t="str">
        <x:v>false</x:v>
      </x:c>
    </x:row>
    <x:row r="18" ht="80" customHeight="1">
      <x:c r="A18" s="25" t="str">
        <x:v>Chart</x:v>
      </x:c>
      <x:c r="B18" s="25" t="n">
        <x:v>24</x:v>
      </x:c>
      <x:c r="C18" s="25" t="str">
        <x:v>Round1</x:v>
      </x:c>
      <x:c r="D18" s="25" t="str">
        <x:v>NOT_REVEALING</x:v>
      </x:c>
      <x:c r="E18" s="25" t="str">
        <x:v>N/A</x:v>
      </x:c>
      <x:c r="F18" s="26" t="str">
        <x:v>Same saved validation suite passed on buggy and fixed</x:v>
      </x:c>
      <x:c r="G18" s="25" t="str">
        <x:v>true</x:v>
      </x:c>
      <x:c r="H18" s="25" t="str">
        <x:v>NOT_REVEALING</x:v>
      </x:c>
      <x:c r="I18" s="25" t="str">
        <x:v>PASS</x:v>
      </x:c>
      <x:c r="J18" s="25" t="str">
        <x:v>PASS</x:v>
      </x:c>
      <x:c r="K18" s="25" t="n">
        <x:v>1</x:v>
      </x:c>
      <x:c r="L18" s="27" t="b">
        <x:v>0</x:v>
      </x:c>
      <x:c r="M18" s="25" t="str">
        <x:v>Gemini-3.8-flash/generation_state.json</x:v>
      </x:c>
      <x:c r="N18" s="25" t="str">
        <x:v>Gemini-3.8-flash/Result/Chart_24/result.json</x:v>
      </x:c>
      <x:c r="O18" s="25" t="str">
        <x:v>Gemini-3.8-flash/Result/Chart_24/result.json</x:v>
      </x:c>
      <x:c r="P18"/>
      <x:c r="Q18" s="21" t="str"/>
      <x:c r="R18" s="21" t="str"/>
      <x:c r="S18" s="21" t="str"/>
      <x:c r="T18" s="17" t="str">
        <x:v>false</x:v>
      </x:c>
      <x:c r="U18" s="17" t="str">
        <x:v>true</x:v>
      </x:c>
      <x:c r="V18" s="17" t="str">
        <x:v>false</x:v>
      </x:c>
    </x:row>
    <x:row r="19" ht="80" customHeight="1">
      <x:c r="A19" s="25" t="str">
        <x:v>Chart</x:v>
      </x:c>
      <x:c r="B19" s="25" t="n">
        <x:v>25</x:v>
      </x:c>
      <x:c r="C19" s="25" t="str">
        <x:v>Round1</x:v>
      </x:c>
      <x:c r="D19" s="25" t="str">
        <x:v>NOT_AVAILABLE</x:v>
      </x:c>
      <x:c r="E19" s="25" t="str">
        <x:v>N/A</x:v>
      </x:c>
      <x:c r="F19" s="26" t="str">
        <x:v>Tests exist but current coverage did not complete</x:v>
      </x:c>
      <x:c r="G19" s="25" t="str">
        <x:v>true</x:v>
      </x:c>
      <x:c r="H19" s="25" t="str">
        <x:v>NOT_AVAILABLE</x:v>
      </x:c>
      <x:c r="I19" s="25" t="str">
        <x:v>NOT_RUN</x:v>
      </x:c>
      <x:c r="J19" s="25" t="str">
        <x:v>NOT_RUN</x:v>
      </x:c>
      <x:c r="K19" s="25" t="n">
        <x:v>1</x:v>
      </x:c>
      <x:c r="L19" s="27" t="b">
        <x:v>0</x:v>
      </x:c>
      <x:c r="M19" s="25" t="str">
        <x:v>Gemini-3.8-flash/generation_state.json</x:v>
      </x:c>
      <x:c r="N19" s="25" t="str">
        <x:v>Gemini-3.8-flash/Result/Chart_25/result.json</x:v>
      </x:c>
      <x:c r="O19" s="25" t="str">
        <x:v>Gemini-3.8-flash/Result/Chart_25/result.json</x:v>
      </x:c>
      <x:c r="P19" t="str">
        <x:v>BOTH_NOT_RUN</x:v>
      </x:c>
      <x:c r="Q19" s="21" t="str"/>
      <x:c r="R19" s="21" t="str"/>
      <x:c r="S19" s="21" t="str"/>
      <x:c r="T19" s="17" t="str">
        <x:v>false</x:v>
      </x:c>
      <x:c r="U19" s="17" t="str">
        <x:v>true</x:v>
      </x:c>
      <x:c r="V19" s="17" t="str">
        <x:v>false</x:v>
      </x:c>
    </x:row>
    <x:row r="20" ht="80" customHeight="1">
      <x:c r="A20" s="25" t="str">
        <x:v>Chart</x:v>
      </x:c>
      <x:c r="B20" s="25" t="n">
        <x:v>26</x:v>
      </x:c>
      <x:c r="C20" s="25" t="str">
        <x:v>Round1</x:v>
      </x:c>
      <x:c r="D20" s="25" t="str">
        <x:v>INCONCLUSIVE</x:v>
      </x:c>
      <x:c r="E20" s="25" t="str">
        <x:v>N/A</x:v>
      </x:c>
      <x:c r="F20" s="26" t="str">
        <x:v>Fixed also failed; assertion failure cannot be attributed to this bug</x:v>
      </x:c>
      <x:c r="G20" s="25" t="str">
        <x:v>true</x:v>
      </x:c>
      <x:c r="H20" s="25" t="str">
        <x:v>INCONCLUSIVE</x:v>
      </x:c>
      <x:c r="I20" s="25" t="str">
        <x:v>FAIL</x:v>
      </x:c>
      <x:c r="J20" s="25" t="str">
        <x:v>FAIL</x:v>
      </x:c>
      <x:c r="K20" s="25" t="n">
        <x:v>1</x:v>
      </x:c>
      <x:c r="L20" s="27" t="b">
        <x:v>0</x:v>
      </x:c>
      <x:c r="M20" s="25" t="str">
        <x:v>Gemini-3.8-flash/generation_state.json</x:v>
      </x:c>
      <x:c r="N20" s="25" t="str">
        <x:v>Gemini-3.8-flash/Result/Chart_26/result.json</x:v>
      </x:c>
      <x:c r="O20" s="25" t="str">
        <x:v>Gemini-3.8-flash/Result/Chart_26/result.json</x:v>
      </x:c>
      <x:c r="P20"/>
      <x:c r="Q20" s="21" t="str"/>
      <x:c r="R20" s="21" t="str"/>
      <x:c r="S20" s="21" t="str"/>
      <x:c r="T20" s="17" t="str">
        <x:v>false</x:v>
      </x:c>
      <x:c r="U20" s="17" t="str">
        <x:v>true</x:v>
      </x:c>
      <x:c r="V20" s="17" t="str">
        <x:v>false</x:v>
      </x:c>
    </x:row>
    <x:row r="21" ht="80" customHeight="1">
      <x:c r="A21" s="25" t="str">
        <x:v>Chart</x:v>
      </x:c>
      <x:c r="B21" s="25" t="n">
        <x:v>3</x:v>
      </x:c>
      <x:c r="C21" s="25" t="str">
        <x:v>Round1</x:v>
      </x:c>
      <x:c r="D21" s="25" t="str">
        <x:v>NOT_REVEALING</x:v>
      </x:c>
      <x:c r="E21" s="25" t="str">
        <x:v>N/A</x:v>
      </x:c>
      <x:c r="F21" s="26" t="str">
        <x:v>Same saved validation suite passed on buggy and fixed</x:v>
      </x:c>
      <x:c r="G21" s="25" t="str">
        <x:v>true</x:v>
      </x:c>
      <x:c r="H21" s="25" t="str">
        <x:v>NOT_REVEALING</x:v>
      </x:c>
      <x:c r="I21" s="25" t="str">
        <x:v>PASS</x:v>
      </x:c>
      <x:c r="J21" s="25" t="str">
        <x:v>PASS</x:v>
      </x:c>
      <x:c r="K21" s="25" t="n">
        <x:v>1</x:v>
      </x:c>
      <x:c r="L21" s="27" t="b">
        <x:v>0</x:v>
      </x:c>
      <x:c r="M21" s="25" t="str">
        <x:v>Gemini-3.8-flash/generation_state.json</x:v>
      </x:c>
      <x:c r="N21" s="25" t="str">
        <x:v>Gemini-3.8-flash/Result/Chart_3/result.json</x:v>
      </x:c>
      <x:c r="O21" s="25" t="str">
        <x:v>Gemini-3.8-flash/Result/Chart_3/result.json</x:v>
      </x:c>
      <x:c r="P21"/>
      <x:c r="Q21" s="21" t="str"/>
      <x:c r="R21" s="21" t="str"/>
      <x:c r="S21" s="21" t="str"/>
      <x:c r="T21" s="17" t="str">
        <x:v>false</x:v>
      </x:c>
      <x:c r="U21" s="17" t="str">
        <x:v>true</x:v>
      </x:c>
      <x:c r="V21" s="17" t="str">
        <x:v>false</x:v>
      </x:c>
    </x:row>
    <x:row r="22" ht="80" customHeight="1">
      <x:c r="A22" s="25" t="str">
        <x:v>Chart</x:v>
      </x:c>
      <x:c r="B22" s="25" t="n">
        <x:v>4</x:v>
      </x:c>
      <x:c r="C22" s="25" t="str">
        <x:v>Round1</x:v>
      </x:c>
      <x:c r="D22" s="25" t="str">
        <x:v>INCONCLUSIVE</x:v>
      </x:c>
      <x:c r="E22" s="25" t="str">
        <x:v>N/A</x:v>
      </x:c>
      <x:c r="F22" s="26" t="str">
        <x:v>Fixed also failed; assertion failure cannot be attributed to this bug</x:v>
      </x:c>
      <x:c r="G22" s="25" t="str">
        <x:v>true</x:v>
      </x:c>
      <x:c r="H22" s="25" t="str">
        <x:v>INCONCLUSIVE</x:v>
      </x:c>
      <x:c r="I22" s="25" t="str">
        <x:v>FAIL</x:v>
      </x:c>
      <x:c r="J22" s="25" t="str">
        <x:v>FAIL</x:v>
      </x:c>
      <x:c r="K22" s="25" t="n">
        <x:v>1</x:v>
      </x:c>
      <x:c r="L22" s="27" t="b">
        <x:v>0</x:v>
      </x:c>
      <x:c r="M22" s="25" t="str">
        <x:v>Gemini-3.8-flash/generation_state.json</x:v>
      </x:c>
      <x:c r="N22" s="25" t="str">
        <x:v>Gemini-3.8-flash/Result/Chart_4/result.json</x:v>
      </x:c>
      <x:c r="O22" s="25" t="str">
        <x:v>Gemini-3.8-flash/Result/Chart_4/result.json</x:v>
      </x:c>
      <x:c r="P22"/>
      <x:c r="Q22" s="21" t="str"/>
      <x:c r="R22" s="21" t="str"/>
      <x:c r="S22" s="21" t="str"/>
      <x:c r="T22" s="17" t="str">
        <x:v>false</x:v>
      </x:c>
      <x:c r="U22" s="17" t="str">
        <x:v>true</x:v>
      </x:c>
      <x:c r="V22" s="17" t="str">
        <x:v>false</x:v>
      </x:c>
    </x:row>
    <x:row r="23" ht="80" customHeight="1">
      <x:c r="A23" s="25" t="str">
        <x:v>Chart</x:v>
      </x:c>
      <x:c r="B23" s="25" t="n">
        <x:v>5</x:v>
      </x:c>
      <x:c r="C23" s="25" t="str">
        <x:v>Round1</x:v>
      </x:c>
      <x:c r="D23" s="25" t="str">
        <x:v>INCONCLUSIVE</x:v>
      </x:c>
      <x:c r="E23" s="25" t="str">
        <x:v>N/A</x:v>
      </x:c>
      <x:c r="F23" s="26" t="str">
        <x:v>Fixed also failed; assertion failure cannot be attributed to this bug</x:v>
      </x:c>
      <x:c r="G23" s="25" t="str">
        <x:v>true</x:v>
      </x:c>
      <x:c r="H23" s="25" t="str">
        <x:v>INCONCLUSIVE</x:v>
      </x:c>
      <x:c r="I23" s="25" t="str">
        <x:v>FAIL</x:v>
      </x:c>
      <x:c r="J23" s="25" t="str">
        <x:v>FAIL</x:v>
      </x:c>
      <x:c r="K23" s="25" t="n">
        <x:v>1</x:v>
      </x:c>
      <x:c r="L23" s="27" t="b">
        <x:v>0</x:v>
      </x:c>
      <x:c r="M23" s="25" t="str">
        <x:v>Gemini-3.8-flash/generation_state.json</x:v>
      </x:c>
      <x:c r="N23" s="25" t="str">
        <x:v>Gemini-3.8-flash/Result/Chart_5/result.json</x:v>
      </x:c>
      <x:c r="O23" s="25" t="str">
        <x:v>Gemini-3.8-flash/Result/Chart_5/result.json</x:v>
      </x:c>
      <x:c r="P23"/>
      <x:c r="Q23" s="21" t="str"/>
      <x:c r="R23" s="21" t="str"/>
      <x:c r="S23" s="21" t="str"/>
      <x:c r="T23" s="17" t="str">
        <x:v>false</x:v>
      </x:c>
      <x:c r="U23" s="17" t="str">
        <x:v>true</x:v>
      </x:c>
      <x:c r="V23" s="17" t="str">
        <x:v>false</x:v>
      </x:c>
    </x:row>
    <x:row r="24" ht="80" customHeight="1">
      <x:c r="A24" s="25" t="str">
        <x:v>Chart</x:v>
      </x:c>
      <x:c r="B24" s="25" t="n">
        <x:v>6</x:v>
      </x:c>
      <x:c r="C24" s="25" t="str">
        <x:v>Round1</x:v>
      </x:c>
      <x:c r="D24" s="25" t="str">
        <x:v>NOT_AVAILABLE</x:v>
      </x:c>
      <x:c r="E24" s="25" t="str">
        <x:v>N/A</x:v>
      </x:c>
      <x:c r="F24" s="26" t="str">
        <x:v>Tests exist but current coverage did not complete</x:v>
      </x:c>
      <x:c r="G24" s="25" t="str">
        <x:v>true</x:v>
      </x:c>
      <x:c r="H24" s="25" t="str">
        <x:v>NOT_AVAILABLE</x:v>
      </x:c>
      <x:c r="I24" s="25" t="str">
        <x:v>NOT_RUN</x:v>
      </x:c>
      <x:c r="J24" s="25" t="str">
        <x:v>NOT_RUN</x:v>
      </x:c>
      <x:c r="K24" s="25" t="n">
        <x:v>1</x:v>
      </x:c>
      <x:c r="L24" s="27" t="b">
        <x:v>0</x:v>
      </x:c>
      <x:c r="M24" s="25" t="str">
        <x:v>Gemini-3.8-flash/generation_state.json</x:v>
      </x:c>
      <x:c r="N24" s="25" t="str">
        <x:v>Gemini-3.8-flash/Result/Chart_6/result.json</x:v>
      </x:c>
      <x:c r="O24" s="25" t="str">
        <x:v>Gemini-3.8-flash/Result/Chart_6/result.json</x:v>
      </x:c>
      <x:c r="P24" t="str">
        <x:v>BOTH_NOT_RUN</x:v>
      </x:c>
      <x:c r="Q24" s="21" t="str"/>
      <x:c r="R24" s="21" t="str"/>
      <x:c r="S24" s="21" t="str"/>
      <x:c r="T24" s="17" t="str">
        <x:v>false</x:v>
      </x:c>
      <x:c r="U24" s="17" t="str">
        <x:v>true</x:v>
      </x:c>
      <x:c r="V24" s="17" t="str">
        <x:v>false</x:v>
      </x:c>
    </x:row>
    <x:row r="25" ht="80" customHeight="1">
      <x:c r="A25" s="25" t="str">
        <x:v>Chart</x:v>
      </x:c>
      <x:c r="B25" s="25" t="n">
        <x:v>7</x:v>
      </x:c>
      <x:c r="C25" s="25" t="str">
        <x:v>Round1</x:v>
      </x:c>
      <x:c r="D25" s="25" t="str">
        <x:v>NOT_REVEALING</x:v>
      </x:c>
      <x:c r="E25" s="25" t="str">
        <x:v>N/A</x:v>
      </x:c>
      <x:c r="F25" s="26" t="str">
        <x:v>Same saved validation suite passed on buggy and fixed</x:v>
      </x:c>
      <x:c r="G25" s="25" t="str">
        <x:v>true</x:v>
      </x:c>
      <x:c r="H25" s="25" t="str">
        <x:v>NOT_REVEALING</x:v>
      </x:c>
      <x:c r="I25" s="25" t="str">
        <x:v>PASS</x:v>
      </x:c>
      <x:c r="J25" s="25" t="str">
        <x:v>PASS</x:v>
      </x:c>
      <x:c r="K25" s="25" t="n">
        <x:v>1</x:v>
      </x:c>
      <x:c r="L25" s="27" t="b">
        <x:v>0</x:v>
      </x:c>
      <x:c r="M25" s="25" t="str">
        <x:v>Gemini-3.8-flash/generation_state.json</x:v>
      </x:c>
      <x:c r="N25" s="25" t="str">
        <x:v>Gemini-3.8-flash/Result/Chart_7/result.json</x:v>
      </x:c>
      <x:c r="O25" s="25" t="str">
        <x:v>Gemini-3.8-flash/Result/Chart_7/result.json</x:v>
      </x:c>
      <x:c r="P25"/>
      <x:c r="Q25" s="21" t="str"/>
      <x:c r="R25" s="21" t="str"/>
      <x:c r="S25" s="21" t="str"/>
      <x:c r="T25" s="17" t="str">
        <x:v>false</x:v>
      </x:c>
      <x:c r="U25" s="17" t="str">
        <x:v>true</x:v>
      </x:c>
      <x:c r="V25" s="17" t="str">
        <x:v>false</x:v>
      </x:c>
    </x:row>
    <x:row r="26" ht="80" customHeight="1">
      <x:c r="A26" s="25" t="str">
        <x:v>Chart</x:v>
      </x:c>
      <x:c r="B26" s="25" t="n">
        <x:v>8</x:v>
      </x:c>
      <x:c r="C26" s="25" t="str">
        <x:v>Round1</x:v>
      </x:c>
      <x:c r="D26" s="25" t="str">
        <x:v>NOT_REVEALING</x:v>
      </x:c>
      <x:c r="E26" s="25" t="str">
        <x:v>N/A</x:v>
      </x:c>
      <x:c r="F26" s="26" t="str">
        <x:v>Same saved validation suite passed on buggy and fixed</x:v>
      </x:c>
      <x:c r="G26" s="25" t="str">
        <x:v>true</x:v>
      </x:c>
      <x:c r="H26" s="25" t="str">
        <x:v>NOT_REVEALING</x:v>
      </x:c>
      <x:c r="I26" s="25" t="str">
        <x:v>PASS</x:v>
      </x:c>
      <x:c r="J26" s="25" t="str">
        <x:v>PASS</x:v>
      </x:c>
      <x:c r="K26" s="25" t="n">
        <x:v>1</x:v>
      </x:c>
      <x:c r="L26" s="27" t="b">
        <x:v>0</x:v>
      </x:c>
      <x:c r="M26" s="25" t="str">
        <x:v>Gemini-3.8-flash/generation_state.json</x:v>
      </x:c>
      <x:c r="N26" s="25" t="str">
        <x:v>Gemini-3.8-flash/Result/Chart_8/result.json</x:v>
      </x:c>
      <x:c r="O26" s="25" t="str">
        <x:v>Gemini-3.8-flash/Result/Chart_8/result.json</x:v>
      </x:c>
      <x:c r="P26"/>
      <x:c r="Q26" s="21" t="str"/>
      <x:c r="R26" s="21" t="str"/>
      <x:c r="S26" s="21" t="str"/>
      <x:c r="T26" s="17" t="str">
        <x:v>false</x:v>
      </x:c>
      <x:c r="U26" s="17" t="str">
        <x:v>true</x:v>
      </x:c>
      <x:c r="V26" s="17" t="str">
        <x:v>false</x:v>
      </x:c>
    </x:row>
    <x:row r="27" ht="80" customHeight="1">
      <x:c r="A27" s="25" t="str">
        <x:v>Chart</x:v>
      </x:c>
      <x:c r="B27" s="25" t="n">
        <x:v>9</x:v>
      </x:c>
      <x:c r="C27" s="25" t="str">
        <x:v>Round1</x:v>
      </x:c>
      <x:c r="D27" s="25" t="str">
        <x:v>NOT_AVAILABLE</x:v>
      </x:c>
      <x:c r="E27" s="25" t="str">
        <x:v>N/A</x:v>
      </x:c>
      <x:c r="F27" s="26" t="str">
        <x:v>Tests exist but current coverage did not complete</x:v>
      </x:c>
      <x:c r="G27" s="25" t="str">
        <x:v>true</x:v>
      </x:c>
      <x:c r="H27" s="25" t="str">
        <x:v>NOT_AVAILABLE</x:v>
      </x:c>
      <x:c r="I27" s="25" t="str">
        <x:v>NOT_RUN</x:v>
      </x:c>
      <x:c r="J27" s="25" t="str">
        <x:v>NOT_RUN</x:v>
      </x:c>
      <x:c r="K27" s="25" t="n">
        <x:v>1</x:v>
      </x:c>
      <x:c r="L27" s="27" t="b">
        <x:v>0</x:v>
      </x:c>
      <x:c r="M27" s="25" t="str">
        <x:v>Gemini-3.8-flash/generation_state.json</x:v>
      </x:c>
      <x:c r="N27" s="25" t="str">
        <x:v>Gemini-3.8-flash/Result/Chart_9/result.json</x:v>
      </x:c>
      <x:c r="O27" s="25" t="str">
        <x:v>Gemini-3.8-flash/Result/Chart_9/result.json</x:v>
      </x:c>
      <x:c r="P27" t="str">
        <x:v>BOTH_NOT_RUN</x:v>
      </x:c>
      <x:c r="Q27" s="21" t="str"/>
      <x:c r="R27" s="21" t="str"/>
      <x:c r="S27" s="21" t="str"/>
      <x:c r="T27" s="17" t="str">
        <x:v>false</x:v>
      </x:c>
      <x:c r="U27" s="17" t="str">
        <x:v>true</x:v>
      </x:c>
      <x:c r="V27" s="17" t="str">
        <x:v>false</x:v>
      </x:c>
    </x:row>
    <x:row r="28" ht="80" customHeight="1">
      <x:c r="A28" s="25" t="str">
        <x:v>Cli</x:v>
      </x:c>
      <x:c r="B28" s="25" t="n">
        <x:v>1</x:v>
      </x:c>
      <x:c r="C28" s="25" t="str">
        <x:v>Round1</x:v>
      </x:c>
      <x:c r="D28" s="25" t="str">
        <x:v>INCONCLUSIVE</x:v>
      </x:c>
      <x:c r="E28" s="25" t="str">
        <x:v>N/A</x:v>
      </x:c>
      <x:c r="F28" s="26" t="str">
        <x:v>Fixed also failed; assertion failure cannot be attributed to this bug</x:v>
      </x:c>
      <x:c r="G28" s="25" t="str">
        <x:v>true</x:v>
      </x:c>
      <x:c r="H28" s="25" t="str">
        <x:v>INCONCLUSIVE</x:v>
      </x:c>
      <x:c r="I28" s="25" t="str">
        <x:v>FAIL</x:v>
      </x:c>
      <x:c r="J28" s="25" t="str">
        <x:v>FAIL</x:v>
      </x:c>
      <x:c r="K28" s="25" t="n">
        <x:v>1</x:v>
      </x:c>
      <x:c r="L28" s="27" t="b">
        <x:v>0</x:v>
      </x:c>
      <x:c r="M28" s="25" t="str">
        <x:v>Gemini-3.8-flash/generation_state.json</x:v>
      </x:c>
      <x:c r="N28" s="25" t="str">
        <x:v>Gemini-3.8-flash/Result/Cli_1/result.json</x:v>
      </x:c>
      <x:c r="O28" s="25" t="str">
        <x:v>Gemini-3.8-flash/Result/Cli_1/result.json</x:v>
      </x:c>
      <x:c r="P28"/>
      <x:c r="Q28" s="21" t="str"/>
      <x:c r="R28" s="21" t="str"/>
      <x:c r="S28" s="21" t="str"/>
      <x:c r="T28" s="17" t="str">
        <x:v>false</x:v>
      </x:c>
      <x:c r="U28" s="17" t="str">
        <x:v>true</x:v>
      </x:c>
      <x:c r="V28" s="17" t="str">
        <x:v>false</x:v>
      </x:c>
    </x:row>
    <x:row r="29" ht="80" customHeight="1">
      <x:c r="A29" s="25" t="str">
        <x:v>Cli</x:v>
      </x:c>
      <x:c r="B29" s="25" t="n">
        <x:v>10</x:v>
      </x:c>
      <x:c r="C29" s="25" t="str">
        <x:v>Round1</x:v>
      </x:c>
      <x:c r="D29" s="25" t="str">
        <x:v>NOT_AVAILABLE</x:v>
      </x:c>
      <x:c r="E29" s="25" t="str">
        <x:v>N/A</x:v>
      </x:c>
      <x:c r="F29" s="26" t="str">
        <x:v>Tests exist but current coverage did not complete</x:v>
      </x:c>
      <x:c r="G29" s="25" t="str">
        <x:v>true</x:v>
      </x:c>
      <x:c r="H29" s="25" t="str">
        <x:v>NOT_AVAILABLE</x:v>
      </x:c>
      <x:c r="I29" s="25" t="str">
        <x:v>NOT_RUN</x:v>
      </x:c>
      <x:c r="J29" s="25" t="str">
        <x:v>NOT_RUN</x:v>
      </x:c>
      <x:c r="K29" s="25" t="n">
        <x:v>1</x:v>
      </x:c>
      <x:c r="L29" s="27" t="b">
        <x:v>0</x:v>
      </x:c>
      <x:c r="M29" s="25" t="str">
        <x:v>Gemini-3.8-flash/generation_state.json</x:v>
      </x:c>
      <x:c r="N29" s="25" t="str">
        <x:v>Gemini-3.8-flash/Result/Cli_10/result.json</x:v>
      </x:c>
      <x:c r="O29" s="25" t="str">
        <x:v>Gemini-3.8-flash/Result/Cli_10/result.json</x:v>
      </x:c>
      <x:c r="P29" t="str">
        <x:v>BOTH_NOT_RUN</x:v>
      </x:c>
      <x:c r="Q29" s="21" t="str"/>
      <x:c r="R29" s="21" t="str"/>
      <x:c r="S29" s="21" t="str"/>
      <x:c r="T29" s="17" t="str">
        <x:v>false</x:v>
      </x:c>
      <x:c r="U29" s="17" t="str">
        <x:v>true</x:v>
      </x:c>
      <x:c r="V29" s="17" t="str">
        <x:v>false</x:v>
      </x:c>
    </x:row>
    <x:row r="30" ht="80" customHeight="1">
      <x:c r="A30" s="25" t="str">
        <x:v>Cli</x:v>
      </x:c>
      <x:c r="B30" s="25" t="n">
        <x:v>11</x:v>
      </x:c>
      <x:c r="C30" s="25" t="str">
        <x:v>Round1</x:v>
      </x:c>
      <x:c r="D30" s="25" t="str">
        <x:v>INCONCLUSIVE</x:v>
      </x:c>
      <x:c r="E30" s="25" t="str">
        <x:v>N/A</x:v>
      </x:c>
      <x:c r="F30" s="26" t="str">
        <x:v>Fixed also failed; assertion failure cannot be attributed to this bug</x:v>
      </x:c>
      <x:c r="G30" s="25" t="str">
        <x:v>true</x:v>
      </x:c>
      <x:c r="H30" s="25" t="str">
        <x:v>INCONCLUSIVE</x:v>
      </x:c>
      <x:c r="I30" s="25" t="str">
        <x:v>FAIL</x:v>
      </x:c>
      <x:c r="J30" s="25" t="str">
        <x:v>FAIL</x:v>
      </x:c>
      <x:c r="K30" s="25" t="n">
        <x:v>1</x:v>
      </x:c>
      <x:c r="L30" s="27" t="b">
        <x:v>0</x:v>
      </x:c>
      <x:c r="M30" s="25" t="str">
        <x:v>Gemini-3.8-flash/generation_state.json</x:v>
      </x:c>
      <x:c r="N30" s="25" t="str">
        <x:v>Gemini-3.8-flash/Result/Cli_11/result.json</x:v>
      </x:c>
      <x:c r="O30" s="25" t="str">
        <x:v>Gemini-3.8-flash/Result/Cli_11/result.json</x:v>
      </x:c>
      <x:c r="P30"/>
      <x:c r="Q30" s="21" t="str"/>
      <x:c r="R30" s="21" t="str"/>
      <x:c r="S30" s="21" t="str"/>
      <x:c r="T30" s="17" t="str">
        <x:v>false</x:v>
      </x:c>
      <x:c r="U30" s="17" t="str">
        <x:v>true</x:v>
      </x:c>
      <x:c r="V30" s="17" t="str">
        <x:v>false</x:v>
      </x:c>
    </x:row>
    <x:row r="31" ht="80" customHeight="1">
      <x:c r="A31" s="25" t="str">
        <x:v>Cli</x:v>
      </x:c>
      <x:c r="B31" s="25" t="n">
        <x:v>12</x:v>
      </x:c>
      <x:c r="C31" s="25" t="str">
        <x:v>Round1</x:v>
      </x:c>
      <x:c r="D31" s="25" t="str">
        <x:v>NOT_AVAILABLE</x:v>
      </x:c>
      <x:c r="E31" s="25" t="str">
        <x:v>N/A</x:v>
      </x:c>
      <x:c r="F31" s="26" t="str">
        <x:v>Tests exist but current coverage did not complete</x:v>
      </x:c>
      <x:c r="G31" s="25" t="str">
        <x:v>true</x:v>
      </x:c>
      <x:c r="H31" s="25" t="str">
        <x:v>NOT_AVAILABLE</x:v>
      </x:c>
      <x:c r="I31" s="25" t="str">
        <x:v>NOT_RUN</x:v>
      </x:c>
      <x:c r="J31" s="25" t="str">
        <x:v>NOT_RUN</x:v>
      </x:c>
      <x:c r="K31" s="25" t="n">
        <x:v>1</x:v>
      </x:c>
      <x:c r="L31" s="27" t="b">
        <x:v>0</x:v>
      </x:c>
      <x:c r="M31" s="25" t="str">
        <x:v>Gemini-3.8-flash/generation_state.json</x:v>
      </x:c>
      <x:c r="N31" s="25" t="str">
        <x:v>Gemini-3.8-flash/Result/Cli_12/result.json</x:v>
      </x:c>
      <x:c r="O31" s="25" t="str">
        <x:v>Gemini-3.8-flash/Result/Cli_12/result.json</x:v>
      </x:c>
      <x:c r="P31" t="str">
        <x:v>BOTH_NOT_RUN</x:v>
      </x:c>
      <x:c r="Q31" s="21" t="str"/>
      <x:c r="R31" s="21" t="str"/>
      <x:c r="S31" s="21" t="str"/>
      <x:c r="T31" s="17" t="str">
        <x:v>false</x:v>
      </x:c>
      <x:c r="U31" s="17" t="str">
        <x:v>true</x:v>
      </x:c>
      <x:c r="V31" s="17" t="str">
        <x:v>false</x:v>
      </x:c>
    </x:row>
    <x:row r="32" ht="80" customHeight="1">
      <x:c r="A32" s="25" t="str">
        <x:v>Cli</x:v>
      </x:c>
      <x:c r="B32" s="25" t="n">
        <x:v>13</x:v>
      </x:c>
      <x:c r="C32" s="25" t="str">
        <x:v>Round1</x:v>
      </x:c>
      <x:c r="D32" s="25" t="str">
        <x:v>NOT_AVAILABLE</x:v>
      </x:c>
      <x:c r="E32" s="25" t="str">
        <x:v>N/A</x:v>
      </x:c>
      <x:c r="F32" s="26" t="str">
        <x:v>Tests exist but current coverage did not complete</x:v>
      </x:c>
      <x:c r="G32" s="25" t="str">
        <x:v>true</x:v>
      </x:c>
      <x:c r="H32" s="25" t="str">
        <x:v>NOT_AVAILABLE</x:v>
      </x:c>
      <x:c r="I32" s="25" t="str">
        <x:v>NOT_RUN</x:v>
      </x:c>
      <x:c r="J32" s="25" t="str">
        <x:v>NOT_RUN</x:v>
      </x:c>
      <x:c r="K32" s="25" t="n">
        <x:v>3</x:v>
      </x:c>
      <x:c r="L32" s="27" t="b">
        <x:v>0</x:v>
      </x:c>
      <x:c r="M32" s="25" t="str">
        <x:v>Gemini-3.8-flash/generation_state.json</x:v>
      </x:c>
      <x:c r="N32" s="25" t="str">
        <x:v>Gemini-3.8-flash/Result/Cli_13/result.json</x:v>
      </x:c>
      <x:c r="O32" s="25" t="str">
        <x:v>Gemini-3.8-flash/Result/Cli_13/result.json</x:v>
      </x:c>
      <x:c r="P32" t="str">
        <x:v>BOTH_NOT_RUN</x:v>
      </x:c>
      <x:c r="Q32" s="21" t="str"/>
      <x:c r="R32" s="21" t="str"/>
      <x:c r="S32" s="21" t="str"/>
      <x:c r="T32" s="17" t="str">
        <x:v>false</x:v>
      </x:c>
      <x:c r="U32" s="17" t="str">
        <x:v>true</x:v>
      </x:c>
      <x:c r="V32" s="17" t="str">
        <x:v>false</x:v>
      </x:c>
    </x:row>
    <x:row r="33" ht="80" customHeight="1">
      <x:c r="A33" s="25" t="str">
        <x:v>Cli</x:v>
      </x:c>
      <x:c r="B33" s="25" t="n">
        <x:v>14</x:v>
      </x:c>
      <x:c r="C33" s="25" t="str">
        <x:v>Round1</x:v>
      </x:c>
      <x:c r="D33" s="25" t="str">
        <x:v>NOT_AVAILABLE</x:v>
      </x:c>
      <x:c r="E33" s="25" t="str">
        <x:v>N/A</x:v>
      </x:c>
      <x:c r="F33" s="26" t="str">
        <x:v>Tests exist but current coverage did not complete</x:v>
      </x:c>
      <x:c r="G33" s="25" t="str">
        <x:v>true</x:v>
      </x:c>
      <x:c r="H33" s="25" t="str">
        <x:v>NOT_AVAILABLE</x:v>
      </x:c>
      <x:c r="I33" s="25" t="str">
        <x:v>NOT_RUN</x:v>
      </x:c>
      <x:c r="J33" s="25" t="str">
        <x:v>NOT_RUN</x:v>
      </x:c>
      <x:c r="K33" s="25" t="n">
        <x:v>1</x:v>
      </x:c>
      <x:c r="L33" s="27" t="b">
        <x:v>0</x:v>
      </x:c>
      <x:c r="M33" s="25" t="str">
        <x:v>Gemini-3.8-flash/generation_state.json</x:v>
      </x:c>
      <x:c r="N33" s="25" t="str">
        <x:v>Gemini-3.8-flash/Result/Cli_14/result.json</x:v>
      </x:c>
      <x:c r="O33" s="25" t="str">
        <x:v>Gemini-3.8-flash/Result/Cli_14/result.json</x:v>
      </x:c>
      <x:c r="P33" t="str">
        <x:v>BOTH_NOT_RUN</x:v>
      </x:c>
      <x:c r="Q33" s="21" t="str"/>
      <x:c r="R33" s="21" t="str"/>
      <x:c r="S33" s="21" t="str"/>
      <x:c r="T33" s="17" t="str">
        <x:v>false</x:v>
      </x:c>
      <x:c r="U33" s="17" t="str">
        <x:v>true</x:v>
      </x:c>
      <x:c r="V33" s="17" t="str">
        <x:v>false</x:v>
      </x:c>
    </x:row>
    <x:row r="34" ht="80" customHeight="1">
      <x:c r="A34" s="25" t="str">
        <x:v>Cli</x:v>
      </x:c>
      <x:c r="B34" s="25" t="n">
        <x:v>15</x:v>
      </x:c>
      <x:c r="C34" s="25" t="str">
        <x:v>Round1</x:v>
      </x:c>
      <x:c r="D34" s="25" t="str">
        <x:v>INCONCLUSIVE</x:v>
      </x:c>
      <x:c r="E34" s="25" t="str">
        <x:v>N/A</x:v>
      </x:c>
      <x:c r="F34" s="26" t="str">
        <x:v>Fixed also failed; assertion failure cannot be attributed to this bug</x:v>
      </x:c>
      <x:c r="G34" s="25" t="str">
        <x:v>true</x:v>
      </x:c>
      <x:c r="H34" s="25" t="str">
        <x:v>INCONCLUSIVE</x:v>
      </x:c>
      <x:c r="I34" s="25" t="str">
        <x:v>FAIL</x:v>
      </x:c>
      <x:c r="J34" s="25" t="str">
        <x:v>FAIL</x:v>
      </x:c>
      <x:c r="K34" s="25" t="n">
        <x:v>1</x:v>
      </x:c>
      <x:c r="L34" s="27" t="b">
        <x:v>0</x:v>
      </x:c>
      <x:c r="M34" s="25" t="str">
        <x:v>Gemini-3.8-flash/generation_state.json</x:v>
      </x:c>
      <x:c r="N34" s="25" t="str">
        <x:v>Gemini-3.8-flash/Result/Cli_15/result.json</x:v>
      </x:c>
      <x:c r="O34" s="25" t="str">
        <x:v>Gemini-3.8-flash/Result/Cli_15/result.json</x:v>
      </x:c>
      <x:c r="P34"/>
      <x:c r="Q34" s="21" t="str"/>
      <x:c r="R34" s="21" t="str"/>
      <x:c r="S34" s="21" t="str"/>
      <x:c r="T34" s="17" t="str">
        <x:v>false</x:v>
      </x:c>
      <x:c r="U34" s="17" t="str">
        <x:v>true</x:v>
      </x:c>
      <x:c r="V34" s="17" t="str">
        <x:v>false</x:v>
      </x:c>
    </x:row>
    <x:row r="35" ht="80" customHeight="1">
      <x:c r="A35" s="25" t="str">
        <x:v>Cli</x:v>
      </x:c>
      <x:c r="B35" s="25" t="n">
        <x:v>16</x:v>
      </x:c>
      <x:c r="C35" s="25" t="str">
        <x:v>Round1</x:v>
      </x:c>
      <x:c r="D35" s="25" t="str">
        <x:v>NOT_AVAILABLE</x:v>
      </x:c>
      <x:c r="E35" s="25" t="str">
        <x:v>N/A</x:v>
      </x:c>
      <x:c r="F35" s="26" t="str">
        <x:v>Tests exist but current coverage did not complete</x:v>
      </x:c>
      <x:c r="G35" s="25" t="str">
        <x:v>true</x:v>
      </x:c>
      <x:c r="H35" s="25" t="str">
        <x:v>NOT_AVAILABLE</x:v>
      </x:c>
      <x:c r="I35" s="25" t="str">
        <x:v>NOT_RUN</x:v>
      </x:c>
      <x:c r="J35" s="25" t="str">
        <x:v>NOT_RUN</x:v>
      </x:c>
      <x:c r="K35" s="25" t="n">
        <x:v>4</x:v>
      </x:c>
      <x:c r="L35" s="27" t="b">
        <x:v>0</x:v>
      </x:c>
      <x:c r="M35" s="25" t="str">
        <x:v>Gemini-3.8-flash/generation_state.json</x:v>
      </x:c>
      <x:c r="N35" s="25" t="str">
        <x:v>Gemini-3.8-flash/Result/Cli_16/result.json</x:v>
      </x:c>
      <x:c r="O35" s="25" t="str">
        <x:v>Gemini-3.8-flash/Result/Cli_16/result.json</x:v>
      </x:c>
      <x:c r="P35" t="str">
        <x:v>BOTH_NOT_RUN</x:v>
      </x:c>
      <x:c r="Q35" s="21" t="str"/>
      <x:c r="R35" s="21" t="str"/>
      <x:c r="S35" s="21" t="str"/>
      <x:c r="T35" s="17" t="str">
        <x:v>false</x:v>
      </x:c>
      <x:c r="U35" s="17" t="str">
        <x:v>true</x:v>
      </x:c>
      <x:c r="V35" s="17" t="str">
        <x:v>false</x:v>
      </x:c>
    </x:row>
    <x:row r="36" ht="80" customHeight="1">
      <x:c r="A36" s="25" t="str">
        <x:v>Cli</x:v>
      </x:c>
      <x:c r="B36" s="25" t="n">
        <x:v>17</x:v>
      </x:c>
      <x:c r="C36" s="25" t="str">
        <x:v>Round1</x:v>
      </x:c>
      <x:c r="D36" s="25" t="str">
        <x:v>INCONCLUSIVE</x:v>
      </x:c>
      <x:c r="E36" s="25" t="str">
        <x:v>N/A</x:v>
      </x:c>
      <x:c r="F36" s="26" t="str">
        <x:v>Fixed also failed; assertion failure cannot be attributed to this bug</x:v>
      </x:c>
      <x:c r="G36" s="25" t="str">
        <x:v>true</x:v>
      </x:c>
      <x:c r="H36" s="25" t="str">
        <x:v>INCONCLUSIVE</x:v>
      </x:c>
      <x:c r="I36" s="25" t="str">
        <x:v>FAIL</x:v>
      </x:c>
      <x:c r="J36" s="25" t="str">
        <x:v>FAIL</x:v>
      </x:c>
      <x:c r="K36" s="25" t="n">
        <x:v>1</x:v>
      </x:c>
      <x:c r="L36" s="27" t="b">
        <x:v>0</x:v>
      </x:c>
      <x:c r="M36" s="25" t="str">
        <x:v>Gemini-3.8-flash/generation_state.json</x:v>
      </x:c>
      <x:c r="N36" s="25" t="str">
        <x:v>Gemini-3.8-flash/Result/Cli_17/result.json</x:v>
      </x:c>
      <x:c r="O36" s="25" t="str">
        <x:v>Gemini-3.8-flash/Result/Cli_17/result.json</x:v>
      </x:c>
      <x:c r="P36"/>
      <x:c r="Q36" s="21" t="str"/>
      <x:c r="R36" s="21" t="str"/>
      <x:c r="S36" s="21" t="str"/>
      <x:c r="T36" s="17" t="str">
        <x:v>false</x:v>
      </x:c>
      <x:c r="U36" s="17" t="str">
        <x:v>true</x:v>
      </x:c>
      <x:c r="V36" s="17" t="str">
        <x:v>false</x:v>
      </x:c>
    </x:row>
    <x:row r="37" ht="80" customHeight="1">
      <x:c r="A37" s="25" t="str">
        <x:v>Cli</x:v>
      </x:c>
      <x:c r="B37" s="25" t="n">
        <x:v>18</x:v>
      </x:c>
      <x:c r="C37" s="25" t="str">
        <x:v>Round1</x:v>
      </x:c>
      <x:c r="D37" s="25" t="str">
        <x:v>INCONCLUSIVE</x:v>
      </x:c>
      <x:c r="E37" s="25" t="str">
        <x:v>N/A</x:v>
      </x:c>
      <x:c r="F37" s="26" t="str">
        <x:v>Fixed also failed; assertion failure cannot be attributed to this bug</x:v>
      </x:c>
      <x:c r="G37" s="25" t="str">
        <x:v>true</x:v>
      </x:c>
      <x:c r="H37" s="25" t="str">
        <x:v>INCONCLUSIVE</x:v>
      </x:c>
      <x:c r="I37" s="25" t="str">
        <x:v>FAIL</x:v>
      </x:c>
      <x:c r="J37" s="25" t="str">
        <x:v>FAIL</x:v>
      </x:c>
      <x:c r="K37" s="25" t="n">
        <x:v>1</x:v>
      </x:c>
      <x:c r="L37" s="27" t="b">
        <x:v>0</x:v>
      </x:c>
      <x:c r="M37" s="25" t="str">
        <x:v>Gemini-3.8-flash/generation_state.json</x:v>
      </x:c>
      <x:c r="N37" s="25" t="str">
        <x:v>Gemini-3.8-flash/Result/Cli_18/result.json</x:v>
      </x:c>
      <x:c r="O37" s="25" t="str">
        <x:v>Gemini-3.8-flash/Result/Cli_18/result.json</x:v>
      </x:c>
      <x:c r="P37"/>
      <x:c r="Q37" s="21" t="str"/>
      <x:c r="R37" s="21" t="str"/>
      <x:c r="S37" s="21" t="str"/>
      <x:c r="T37" s="17" t="str">
        <x:v>false</x:v>
      </x:c>
      <x:c r="U37" s="17" t="str">
        <x:v>true</x:v>
      </x:c>
      <x:c r="V37" s="17" t="str">
        <x:v>false</x:v>
      </x:c>
    </x:row>
    <x:row r="38" ht="80" customHeight="1">
      <x:c r="A38" s="25" t="str">
        <x:v>Cli</x:v>
      </x:c>
      <x:c r="B38" s="25" t="n">
        <x:v>19</x:v>
      </x:c>
      <x:c r="C38" s="25" t="str">
        <x:v>Round1</x:v>
      </x:c>
      <x:c r="D38" s="25" t="str">
        <x:v>INCONCLUSIVE</x:v>
      </x:c>
      <x:c r="E38" s="25" t="str">
        <x:v>N/A</x:v>
      </x:c>
      <x:c r="F38" s="26" t="str">
        <x:v>Fixed also failed; assertion failure cannot be attributed to this bug</x:v>
      </x:c>
      <x:c r="G38" s="25" t="str">
        <x:v>true</x:v>
      </x:c>
      <x:c r="H38" s="25" t="str">
        <x:v>INCONCLUSIVE</x:v>
      </x:c>
      <x:c r="I38" s="25" t="str">
        <x:v>FAIL</x:v>
      </x:c>
      <x:c r="J38" s="25" t="str">
        <x:v>FAIL</x:v>
      </x:c>
      <x:c r="K38" s="25" t="n">
        <x:v>1</x:v>
      </x:c>
      <x:c r="L38" s="27" t="b">
        <x:v>0</x:v>
      </x:c>
      <x:c r="M38" s="25" t="str">
        <x:v>Gemini-3.8-flash/generation_state.json</x:v>
      </x:c>
      <x:c r="N38" s="25" t="str">
        <x:v>Gemini-3.8-flash/Result/Cli_19/result.json</x:v>
      </x:c>
      <x:c r="O38" s="25" t="str">
        <x:v>Gemini-3.8-flash/Result/Cli_19/result.json</x:v>
      </x:c>
      <x:c r="P38"/>
      <x:c r="Q38" s="21" t="str"/>
      <x:c r="R38" s="21" t="str"/>
      <x:c r="S38" s="21" t="str"/>
      <x:c r="T38" s="17" t="str">
        <x:v>false</x:v>
      </x:c>
      <x:c r="U38" s="17" t="str">
        <x:v>true</x:v>
      </x:c>
      <x:c r="V38" s="17" t="str">
        <x:v>false</x:v>
      </x:c>
    </x:row>
    <x:row r="39" ht="80" customHeight="1">
      <x:c r="A39" s="25" t="str">
        <x:v>Cli</x:v>
      </x:c>
      <x:c r="B39" s="25" t="n">
        <x:v>2</x:v>
      </x:c>
      <x:c r="C39" s="25" t="str">
        <x:v>Round1</x:v>
      </x:c>
      <x:c r="D39" s="25" t="str">
        <x:v>INCONCLUSIVE</x:v>
      </x:c>
      <x:c r="E39" s="25" t="str">
        <x:v>N/A</x:v>
      </x:c>
      <x:c r="F39" s="26" t="str">
        <x:v>Fixed also failed; assertion failure cannot be attributed to this bug</x:v>
      </x:c>
      <x:c r="G39" s="25" t="str">
        <x:v>true</x:v>
      </x:c>
      <x:c r="H39" s="25" t="str">
        <x:v>INCONCLUSIVE</x:v>
      </x:c>
      <x:c r="I39" s="25" t="str">
        <x:v>FAIL</x:v>
      </x:c>
      <x:c r="J39" s="25" t="str">
        <x:v>FAIL</x:v>
      </x:c>
      <x:c r="K39" s="25" t="n">
        <x:v>1</x:v>
      </x:c>
      <x:c r="L39" s="27" t="b">
        <x:v>0</x:v>
      </x:c>
      <x:c r="M39" s="25" t="str">
        <x:v>Gemini-3.8-flash/generation_state.json</x:v>
      </x:c>
      <x:c r="N39" s="25" t="str">
        <x:v>Gemini-3.8-flash/Result/Cli_2/result.json</x:v>
      </x:c>
      <x:c r="O39" s="25" t="str">
        <x:v>Gemini-3.8-flash/Result/Cli_2/result.json</x:v>
      </x:c>
      <x:c r="P39"/>
      <x:c r="Q39" s="21" t="str"/>
      <x:c r="R39" s="21" t="str"/>
      <x:c r="S39" s="21" t="str"/>
      <x:c r="T39" s="17" t="str">
        <x:v>false</x:v>
      </x:c>
      <x:c r="U39" s="17" t="str">
        <x:v>true</x:v>
      </x:c>
      <x:c r="V39" s="17" t="str">
        <x:v>false</x:v>
      </x:c>
    </x:row>
    <x:row r="40" ht="80" customHeight="1">
      <x:c r="A40" s="25" t="str">
        <x:v>Cli</x:v>
      </x:c>
      <x:c r="B40" s="25" t="n">
        <x:v>20</x:v>
      </x:c>
      <x:c r="C40" s="25" t="str">
        <x:v>Round1</x:v>
      </x:c>
      <x:c r="D40" s="25" t="str">
        <x:v>INCONCLUSIVE</x:v>
      </x:c>
      <x:c r="E40" s="25" t="str">
        <x:v>N/A</x:v>
      </x:c>
      <x:c r="F40" s="26" t="str">
        <x:v>Fixed also failed; assertion failure cannot be attributed to this bug</x:v>
      </x:c>
      <x:c r="G40" s="25" t="str">
        <x:v>true</x:v>
      </x:c>
      <x:c r="H40" s="25" t="str">
        <x:v>INCONCLUSIVE</x:v>
      </x:c>
      <x:c r="I40" s="25" t="str">
        <x:v>FAIL</x:v>
      </x:c>
      <x:c r="J40" s="25" t="str">
        <x:v>FAIL</x:v>
      </x:c>
      <x:c r="K40" s="25" t="n">
        <x:v>1</x:v>
      </x:c>
      <x:c r="L40" s="27" t="b">
        <x:v>0</x:v>
      </x:c>
      <x:c r="M40" s="25" t="str">
        <x:v>Gemini-3.8-flash/generation_state.json</x:v>
      </x:c>
      <x:c r="N40" s="25" t="str">
        <x:v>Gemini-3.8-flash/Result/Cli_20/result.json</x:v>
      </x:c>
      <x:c r="O40" s="25" t="str">
        <x:v>Gemini-3.8-flash/Result/Cli_20/result.json</x:v>
      </x:c>
      <x:c r="P40"/>
      <x:c r="Q40" s="21" t="str"/>
      <x:c r="R40" s="21" t="str"/>
      <x:c r="S40" s="21" t="str"/>
      <x:c r="T40" s="17" t="str">
        <x:v>false</x:v>
      </x:c>
      <x:c r="U40" s="17" t="str">
        <x:v>true</x:v>
      </x:c>
      <x:c r="V40" s="17" t="str">
        <x:v>false</x:v>
      </x:c>
    </x:row>
    <x:row r="41" ht="80" customHeight="1">
      <x:c r="A41" s="25" t="str">
        <x:v>Cli</x:v>
      </x:c>
      <x:c r="B41" s="25" t="n">
        <x:v>21</x:v>
      </x:c>
      <x:c r="C41" s="25" t="str">
        <x:v>Round1</x:v>
      </x:c>
      <x:c r="D41" s="25" t="str">
        <x:v>NOT_AVAILABLE</x:v>
      </x:c>
      <x:c r="E41" s="25" t="str">
        <x:v>N/A</x:v>
      </x:c>
      <x:c r="F41" s="26" t="str">
        <x:v>Tests exist but current coverage did not complete</x:v>
      </x:c>
      <x:c r="G41" s="25" t="str">
        <x:v>true</x:v>
      </x:c>
      <x:c r="H41" s="25" t="str">
        <x:v>NOT_AVAILABLE</x:v>
      </x:c>
      <x:c r="I41" s="25" t="str">
        <x:v>NOT_RUN</x:v>
      </x:c>
      <x:c r="J41" s="25" t="str">
        <x:v>NOT_RUN</x:v>
      </x:c>
      <x:c r="K41" s="25" t="n">
        <x:v>3</x:v>
      </x:c>
      <x:c r="L41" s="27" t="b">
        <x:v>0</x:v>
      </x:c>
      <x:c r="M41" s="25" t="str">
        <x:v>Gemini-3.8-flash/generation_state.json</x:v>
      </x:c>
      <x:c r="N41" s="25" t="str">
        <x:v>Gemini-3.8-flash/Result/Cli_21/result.json</x:v>
      </x:c>
      <x:c r="O41" s="25" t="str">
        <x:v>Gemini-3.8-flash/Result/Cli_21/result.json</x:v>
      </x:c>
      <x:c r="P41" t="str">
        <x:v>BOTH_NOT_RUN</x:v>
      </x:c>
      <x:c r="Q41" s="21" t="str"/>
      <x:c r="R41" s="21" t="str"/>
      <x:c r="S41" s="21" t="str"/>
      <x:c r="T41" s="17" t="str">
        <x:v>false</x:v>
      </x:c>
      <x:c r="U41" s="17" t="str">
        <x:v>true</x:v>
      </x:c>
      <x:c r="V41" s="17" t="str">
        <x:v>false</x:v>
      </x:c>
    </x:row>
    <x:row r="42" ht="80" customHeight="1">
      <x:c r="A42" s="25" t="str">
        <x:v>Cli</x:v>
      </x:c>
      <x:c r="B42" s="25" t="n">
        <x:v>22</x:v>
      </x:c>
      <x:c r="C42" s="25" t="str">
        <x:v>Round1</x:v>
      </x:c>
      <x:c r="D42" s="25" t="str">
        <x:v>INCONCLUSIVE</x:v>
      </x:c>
      <x:c r="E42" s="25" t="str">
        <x:v>N/A</x:v>
      </x:c>
      <x:c r="F42" s="26" t="str">
        <x:v>Fixed also failed; assertion failure cannot be attributed to this bug</x:v>
      </x:c>
      <x:c r="G42" s="25" t="str">
        <x:v>true</x:v>
      </x:c>
      <x:c r="H42" s="25" t="str">
        <x:v>INCONCLUSIVE</x:v>
      </x:c>
      <x:c r="I42" s="25" t="str">
        <x:v>FAIL</x:v>
      </x:c>
      <x:c r="J42" s="25" t="str">
        <x:v>FAIL</x:v>
      </x:c>
      <x:c r="K42" s="25" t="n">
        <x:v>1</x:v>
      </x:c>
      <x:c r="L42" s="27" t="b">
        <x:v>0</x:v>
      </x:c>
      <x:c r="M42" s="25" t="str">
        <x:v>Gemini-3.8-flash/generation_state.json</x:v>
      </x:c>
      <x:c r="N42" s="25" t="str">
        <x:v>Gemini-3.8-flash/Result/Cli_22/result.json</x:v>
      </x:c>
      <x:c r="O42" s="25" t="str">
        <x:v>Gemini-3.8-flash/Result/Cli_22/result.json</x:v>
      </x:c>
      <x:c r="P42"/>
      <x:c r="Q42" s="21" t="str"/>
      <x:c r="R42" s="21" t="str"/>
      <x:c r="S42" s="21" t="str"/>
      <x:c r="T42" s="17" t="str">
        <x:v>false</x:v>
      </x:c>
      <x:c r="U42" s="17" t="str">
        <x:v>true</x:v>
      </x:c>
      <x:c r="V42" s="17" t="str">
        <x:v>false</x:v>
      </x:c>
    </x:row>
    <x:row r="43" ht="80" customHeight="1">
      <x:c r="A43" s="25" t="str">
        <x:v>Cli</x:v>
      </x:c>
      <x:c r="B43" s="25" t="n">
        <x:v>23</x:v>
      </x:c>
      <x:c r="C43" s="25" t="str">
        <x:v>Round1</x:v>
      </x:c>
      <x:c r="D43" s="25" t="str">
        <x:v>INCONCLUSIVE</x:v>
      </x:c>
      <x:c r="E43" s="25" t="str">
        <x:v>N/A</x:v>
      </x:c>
      <x:c r="F43" s="26" t="str">
        <x:v>Fixed also failed; assertion failure cannot be attributed to this bug</x:v>
      </x:c>
      <x:c r="G43" s="25" t="str">
        <x:v>true</x:v>
      </x:c>
      <x:c r="H43" s="25" t="str">
        <x:v>INCONCLUSIVE</x:v>
      </x:c>
      <x:c r="I43" s="25" t="str">
        <x:v>FAIL</x:v>
      </x:c>
      <x:c r="J43" s="25" t="str">
        <x:v>FAIL</x:v>
      </x:c>
      <x:c r="K43" s="25" t="n">
        <x:v>1</x:v>
      </x:c>
      <x:c r="L43" s="27" t="b">
        <x:v>0</x:v>
      </x:c>
      <x:c r="M43" s="25" t="str">
        <x:v>Gemini-3.8-flash/generation_state.json</x:v>
      </x:c>
      <x:c r="N43" s="25" t="str">
        <x:v>Gemini-3.8-flash/Result/Cli_23/result.json</x:v>
      </x:c>
      <x:c r="O43" s="25" t="str">
        <x:v>Gemini-3.8-flash/Result/Cli_23/result.json</x:v>
      </x:c>
      <x:c r="P43"/>
      <x:c r="Q43" s="21" t="str"/>
      <x:c r="R43" s="21" t="str"/>
      <x:c r="S43" s="21" t="str"/>
      <x:c r="T43" s="17" t="str">
        <x:v>false</x:v>
      </x:c>
      <x:c r="U43" s="17" t="str">
        <x:v>true</x:v>
      </x:c>
      <x:c r="V43" s="17" t="str">
        <x:v>false</x:v>
      </x:c>
    </x:row>
    <x:row r="44" ht="80" customHeight="1">
      <x:c r="A44" s="25" t="str">
        <x:v>Cli</x:v>
      </x:c>
      <x:c r="B44" s="25" t="n">
        <x:v>24</x:v>
      </x:c>
      <x:c r="C44" s="25" t="str">
        <x:v>Round1</x:v>
      </x:c>
      <x:c r="D44" s="25" t="str">
        <x:v>INCONCLUSIVE</x:v>
      </x:c>
      <x:c r="E44" s="25" t="str">
        <x:v>N/A</x:v>
      </x:c>
      <x:c r="F44" s="26" t="str">
        <x:v>Fixed also failed; assertion failure cannot be attributed to this bug</x:v>
      </x:c>
      <x:c r="G44" s="25" t="str">
        <x:v>true</x:v>
      </x:c>
      <x:c r="H44" s="25" t="str">
        <x:v>INCONCLUSIVE</x:v>
      </x:c>
      <x:c r="I44" s="25" t="str">
        <x:v>FAIL</x:v>
      </x:c>
      <x:c r="J44" s="25" t="str">
        <x:v>FAIL</x:v>
      </x:c>
      <x:c r="K44" s="25" t="n">
        <x:v>1</x:v>
      </x:c>
      <x:c r="L44" s="27" t="b">
        <x:v>0</x:v>
      </x:c>
      <x:c r="M44" s="25" t="str">
        <x:v>Gemini-3.8-flash/generation_state.json</x:v>
      </x:c>
      <x:c r="N44" s="25" t="str">
        <x:v>Gemini-3.8-flash/Result/Cli_24/result.json</x:v>
      </x:c>
      <x:c r="O44" s="25" t="str">
        <x:v>Gemini-3.8-flash/Result/Cli_24/result.json</x:v>
      </x:c>
      <x:c r="P44"/>
      <x:c r="Q44" s="21" t="str"/>
      <x:c r="R44" s="21" t="str"/>
      <x:c r="S44" s="21" t="str"/>
      <x:c r="T44" s="17" t="str">
        <x:v>false</x:v>
      </x:c>
      <x:c r="U44" s="17" t="str">
        <x:v>true</x:v>
      </x:c>
      <x:c r="V44" s="17" t="str">
        <x:v>false</x:v>
      </x:c>
    </x:row>
    <x:row r="45" ht="80" customHeight="1">
      <x:c r="A45" s="25" t="str">
        <x:v>Cli</x:v>
      </x:c>
      <x:c r="B45" s="25" t="n">
        <x:v>25</x:v>
      </x:c>
      <x:c r="C45" s="25" t="str">
        <x:v>Round1</x:v>
      </x:c>
      <x:c r="D45" s="25" t="str">
        <x:v>INCONCLUSIVE</x:v>
      </x:c>
      <x:c r="E45" s="25" t="str">
        <x:v>N/A</x:v>
      </x:c>
      <x:c r="F45" s="26" t="str">
        <x:v>Fixed also failed; assertion failure cannot be attributed to this bug</x:v>
      </x:c>
      <x:c r="G45" s="25" t="str">
        <x:v>true</x:v>
      </x:c>
      <x:c r="H45" s="25" t="str">
        <x:v>INCONCLUSIVE</x:v>
      </x:c>
      <x:c r="I45" s="25" t="str">
        <x:v>FAIL</x:v>
      </x:c>
      <x:c r="J45" s="25" t="str">
        <x:v>FAIL</x:v>
      </x:c>
      <x:c r="K45" s="25" t="n">
        <x:v>1</x:v>
      </x:c>
      <x:c r="L45" s="27" t="b">
        <x:v>0</x:v>
      </x:c>
      <x:c r="M45" s="25" t="str">
        <x:v>Gemini-3.8-flash/generation_state.json</x:v>
      </x:c>
      <x:c r="N45" s="25" t="str">
        <x:v>Gemini-3.8-flash/Result/Cli_25/result.json</x:v>
      </x:c>
      <x:c r="O45" s="25" t="str">
        <x:v>Gemini-3.8-flash/Result/Cli_25/result.json</x:v>
      </x:c>
      <x:c r="P45"/>
      <x:c r="Q45" s="21" t="str"/>
      <x:c r="R45" s="21" t="str"/>
      <x:c r="S45" s="21" t="str"/>
      <x:c r="T45" s="17" t="str">
        <x:v>false</x:v>
      </x:c>
      <x:c r="U45" s="17" t="str">
        <x:v>true</x:v>
      </x:c>
      <x:c r="V45" s="17" t="str">
        <x:v>false</x:v>
      </x:c>
    </x:row>
    <x:row r="46" ht="80" customHeight="1">
      <x:c r="A46" s="25" t="str">
        <x:v>Cli</x:v>
      </x:c>
      <x:c r="B46" s="25" t="n">
        <x:v>26</x:v>
      </x:c>
      <x:c r="C46" s="25" t="str">
        <x:v>Round1</x:v>
      </x:c>
      <x:c r="D46" s="25" t="str">
        <x:v>INCONCLUSIVE</x:v>
      </x:c>
      <x:c r="E46" s="25" t="str">
        <x:v>N/A</x:v>
      </x:c>
      <x:c r="F46" s="26" t="str">
        <x:v>Fixed also failed; assertion failure cannot be attributed to this bug</x:v>
      </x:c>
      <x:c r="G46" s="25" t="str">
        <x:v>true</x:v>
      </x:c>
      <x:c r="H46" s="25" t="str">
        <x:v>INCONCLUSIVE</x:v>
      </x:c>
      <x:c r="I46" s="25" t="str">
        <x:v>FAIL</x:v>
      </x:c>
      <x:c r="J46" s="25" t="str">
        <x:v>FAIL</x:v>
      </x:c>
      <x:c r="K46" s="25" t="n">
        <x:v>1</x:v>
      </x:c>
      <x:c r="L46" s="27" t="b">
        <x:v>0</x:v>
      </x:c>
      <x:c r="M46" s="25" t="str">
        <x:v>Gemini-3.8-flash/generation_state.json</x:v>
      </x:c>
      <x:c r="N46" s="25" t="str">
        <x:v>Gemini-3.8-flash/Result/Cli_26/result.json</x:v>
      </x:c>
      <x:c r="O46" s="25" t="str">
        <x:v>Gemini-3.8-flash/Result/Cli_26/result.json</x:v>
      </x:c>
      <x:c r="P46"/>
      <x:c r="Q46" s="21" t="str"/>
      <x:c r="R46" s="21" t="str"/>
      <x:c r="S46" s="21" t="str"/>
      <x:c r="T46" s="17" t="str">
        <x:v>false</x:v>
      </x:c>
      <x:c r="U46" s="17" t="str">
        <x:v>true</x:v>
      </x:c>
      <x:c r="V46" s="17" t="str">
        <x:v>false</x:v>
      </x:c>
    </x:row>
    <x:row r="47" ht="80" customHeight="1">
      <x:c r="A47" s="25" t="str">
        <x:v>Cli</x:v>
      </x:c>
      <x:c r="B47" s="25" t="n">
        <x:v>27</x:v>
      </x:c>
      <x:c r="C47" s="25" t="str">
        <x:v>Round1</x:v>
      </x:c>
      <x:c r="D47" s="25" t="str">
        <x:v>INCONCLUSIVE</x:v>
      </x:c>
      <x:c r="E47" s="25" t="str">
        <x:v>N/A</x:v>
      </x:c>
      <x:c r="F47" s="26" t="str">
        <x:v>Fixed also failed; assertion failure cannot be attributed to this bug</x:v>
      </x:c>
      <x:c r="G47" s="25" t="str">
        <x:v>true</x:v>
      </x:c>
      <x:c r="H47" s="25" t="str">
        <x:v>INCONCLUSIVE</x:v>
      </x:c>
      <x:c r="I47" s="25" t="str">
        <x:v>FAIL</x:v>
      </x:c>
      <x:c r="J47" s="25" t="str">
        <x:v>FAIL</x:v>
      </x:c>
      <x:c r="K47" s="25" t="n">
        <x:v>1</x:v>
      </x:c>
      <x:c r="L47" s="27" t="b">
        <x:v>0</x:v>
      </x:c>
      <x:c r="M47" s="25" t="str">
        <x:v>Gemini-3.8-flash/generation_state.json</x:v>
      </x:c>
      <x:c r="N47" s="25" t="str">
        <x:v>Gemini-3.8-flash/Result/Cli_27/result.json</x:v>
      </x:c>
      <x:c r="O47" s="25" t="str">
        <x:v>Gemini-3.8-flash/Result/Cli_27/result.json</x:v>
      </x:c>
      <x:c r="P47"/>
      <x:c r="Q47" s="21" t="str"/>
      <x:c r="R47" s="21" t="str"/>
      <x:c r="S47" s="21" t="str"/>
      <x:c r="T47" s="17" t="str">
        <x:v>false</x:v>
      </x:c>
      <x:c r="U47" s="17" t="str">
        <x:v>true</x:v>
      </x:c>
      <x:c r="V47" s="17" t="str">
        <x:v>false</x:v>
      </x:c>
    </x:row>
    <x:row r="48" ht="80" customHeight="1">
      <x:c r="A48" s="25" t="str">
        <x:v>Cli</x:v>
      </x:c>
      <x:c r="B48" s="25" t="n">
        <x:v>28</x:v>
      </x:c>
      <x:c r="C48" s="25" t="str">
        <x:v>Round1</x:v>
      </x:c>
      <x:c r="D48" s="25" t="str">
        <x:v>INCONCLUSIVE</x:v>
      </x:c>
      <x:c r="E48" s="25" t="str">
        <x:v>N/A</x:v>
      </x:c>
      <x:c r="F48" s="26" t="str">
        <x:v>Fixed also failed; assertion failure cannot be attributed to this bug</x:v>
      </x:c>
      <x:c r="G48" s="25" t="str">
        <x:v>true</x:v>
      </x:c>
      <x:c r="H48" s="25" t="str">
        <x:v>INCONCLUSIVE</x:v>
      </x:c>
      <x:c r="I48" s="25" t="str">
        <x:v>FAIL</x:v>
      </x:c>
      <x:c r="J48" s="25" t="str">
        <x:v>FAIL</x:v>
      </x:c>
      <x:c r="K48" s="25" t="n">
        <x:v>1</x:v>
      </x:c>
      <x:c r="L48" s="27" t="b">
        <x:v>0</x:v>
      </x:c>
      <x:c r="M48" s="25" t="str">
        <x:v>Gemini-3.8-flash/generation_state.json</x:v>
      </x:c>
      <x:c r="N48" s="25" t="str">
        <x:v>Gemini-3.8-flash/Result/Cli_28/result.json</x:v>
      </x:c>
      <x:c r="O48" s="25" t="str">
        <x:v>Gemini-3.8-flash/Result/Cli_28/result.json</x:v>
      </x:c>
      <x:c r="P48"/>
      <x:c r="Q48" s="21" t="str"/>
      <x:c r="R48" s="21" t="str"/>
      <x:c r="S48" s="21" t="str"/>
      <x:c r="T48" s="17" t="str">
        <x:v>false</x:v>
      </x:c>
      <x:c r="U48" s="17" t="str">
        <x:v>true</x:v>
      </x:c>
      <x:c r="V48" s="17" t="str">
        <x:v>false</x:v>
      </x:c>
    </x:row>
    <x:row r="49" ht="80" customHeight="1">
      <x:c r="A49" s="25" t="str">
        <x:v>Cli</x:v>
      </x:c>
      <x:c r="B49" s="25" t="n">
        <x:v>29</x:v>
      </x:c>
      <x:c r="C49" s="25" t="str">
        <x:v>Round1</x:v>
      </x:c>
      <x:c r="D49" s="25" t="str">
        <x:v>INCONCLUSIVE</x:v>
      </x:c>
      <x:c r="E49" s="25" t="str">
        <x:v>N/A</x:v>
      </x:c>
      <x:c r="F49" s="26" t="str">
        <x:v>Fixed also failed; assertion failure cannot be attributed to this bug</x:v>
      </x:c>
      <x:c r="G49" s="25" t="str">
        <x:v>true</x:v>
      </x:c>
      <x:c r="H49" s="25" t="str">
        <x:v>INCONCLUSIVE</x:v>
      </x:c>
      <x:c r="I49" s="25" t="str">
        <x:v>FAIL</x:v>
      </x:c>
      <x:c r="J49" s="25" t="str">
        <x:v>FAIL</x:v>
      </x:c>
      <x:c r="K49" s="25" t="n">
        <x:v>1</x:v>
      </x:c>
      <x:c r="L49" s="27" t="b">
        <x:v>0</x:v>
      </x:c>
      <x:c r="M49" s="25" t="str">
        <x:v>Gemini-3.8-flash/generation_state.json</x:v>
      </x:c>
      <x:c r="N49" s="25" t="str">
        <x:v>Gemini-3.8-flash/Result/Cli_29/result.json</x:v>
      </x:c>
      <x:c r="O49" s="25" t="str">
        <x:v>Gemini-3.8-flash/Result/Cli_29/result.json</x:v>
      </x:c>
      <x:c r="P49"/>
      <x:c r="Q49" s="21" t="str"/>
      <x:c r="R49" s="21" t="str"/>
      <x:c r="S49" s="21" t="str"/>
      <x:c r="T49" s="17" t="str">
        <x:v>false</x:v>
      </x:c>
      <x:c r="U49" s="17" t="str">
        <x:v>true</x:v>
      </x:c>
      <x:c r="V49" s="17" t="str">
        <x:v>false</x:v>
      </x:c>
    </x:row>
    <x:row r="50" ht="80" customHeight="1">
      <x:c r="A50" s="25" t="str">
        <x:v>Cli</x:v>
      </x:c>
      <x:c r="B50" s="25" t="n">
        <x:v>3</x:v>
      </x:c>
      <x:c r="C50" s="25" t="str">
        <x:v>Round1</x:v>
      </x:c>
      <x:c r="D50" s="25" t="str">
        <x:v>INCONCLUSIVE</x:v>
      </x:c>
      <x:c r="E50" s="25" t="str">
        <x:v>N/A</x:v>
      </x:c>
      <x:c r="F50" s="26" t="str">
        <x:v>Fixed also failed; assertion failure cannot be attributed to this bug</x:v>
      </x:c>
      <x:c r="G50" s="25" t="str">
        <x:v>true</x:v>
      </x:c>
      <x:c r="H50" s="25" t="str">
        <x:v>INCONCLUSIVE</x:v>
      </x:c>
      <x:c r="I50" s="25" t="str">
        <x:v>FAIL</x:v>
      </x:c>
      <x:c r="J50" s="25" t="str">
        <x:v>FAIL</x:v>
      </x:c>
      <x:c r="K50" s="25" t="n">
        <x:v>1</x:v>
      </x:c>
      <x:c r="L50" s="27" t="b">
        <x:v>0</x:v>
      </x:c>
      <x:c r="M50" s="25" t="str">
        <x:v>Gemini-3.8-flash/generation_state.json</x:v>
      </x:c>
      <x:c r="N50" s="25" t="str">
        <x:v>Gemini-3.8-flash/Result/Cli_3/result.json</x:v>
      </x:c>
      <x:c r="O50" s="25" t="str">
        <x:v>Gemini-3.8-flash/Result/Cli_3/result.json</x:v>
      </x:c>
      <x:c r="P50"/>
      <x:c r="Q50" s="21" t="str"/>
      <x:c r="R50" s="21" t="str"/>
      <x:c r="S50" s="21" t="str"/>
      <x:c r="T50" s="17" t="str">
        <x:v>false</x:v>
      </x:c>
      <x:c r="U50" s="17" t="str">
        <x:v>true</x:v>
      </x:c>
      <x:c r="V50" s="17" t="str">
        <x:v>false</x:v>
      </x:c>
    </x:row>
    <x:row r="51" ht="80" customHeight="1">
      <x:c r="A51" s="25" t="str">
        <x:v>Cli</x:v>
      </x:c>
      <x:c r="B51" s="25" t="n">
        <x:v>30</x:v>
      </x:c>
      <x:c r="C51" s="25" t="str">
        <x:v>Round1</x:v>
      </x:c>
      <x:c r="D51" s="25" t="str">
        <x:v>INCONCLUSIVE</x:v>
      </x:c>
      <x:c r="E51" s="25" t="str">
        <x:v>N/A</x:v>
      </x:c>
      <x:c r="F51" s="26" t="str">
        <x:v>Fixed also failed; assertion failure cannot be attributed to this bug</x:v>
      </x:c>
      <x:c r="G51" s="25" t="str">
        <x:v>true</x:v>
      </x:c>
      <x:c r="H51" s="25" t="str">
        <x:v>INCONCLUSIVE</x:v>
      </x:c>
      <x:c r="I51" s="25" t="str">
        <x:v>FAIL</x:v>
      </x:c>
      <x:c r="J51" s="25" t="str">
        <x:v>FAIL</x:v>
      </x:c>
      <x:c r="K51" s="25" t="n">
        <x:v>2</x:v>
      </x:c>
      <x:c r="L51" s="27" t="b">
        <x:v>0</x:v>
      </x:c>
      <x:c r="M51" s="25" t="str">
        <x:v>Gemini-3.8-flash/generation_state.json</x:v>
      </x:c>
      <x:c r="N51" s="25" t="str">
        <x:v>Gemini-3.8-flash/Result/Cli_30/result.json</x:v>
      </x:c>
      <x:c r="O51" s="25" t="str">
        <x:v>Gemini-3.8-flash/Result/Cli_30/result.json</x:v>
      </x:c>
      <x:c r="P51"/>
      <x:c r="Q51" s="21" t="str"/>
      <x:c r="R51" s="21" t="str"/>
      <x:c r="S51" s="21" t="str"/>
      <x:c r="T51" s="17" t="str">
        <x:v>false</x:v>
      </x:c>
      <x:c r="U51" s="17" t="str">
        <x:v>true</x:v>
      </x:c>
      <x:c r="V51" s="17" t="str">
        <x:v>false</x:v>
      </x:c>
    </x:row>
    <x:row r="52" ht="80" customHeight="1">
      <x:c r="A52" s="25" t="str">
        <x:v>Cli</x:v>
      </x:c>
      <x:c r="B52" s="25" t="n">
        <x:v>31</x:v>
      </x:c>
      <x:c r="C52" s="25" t="str">
        <x:v>Round1</x:v>
      </x:c>
      <x:c r="D52" s="25" t="str">
        <x:v>INCONCLUSIVE</x:v>
      </x:c>
      <x:c r="E52" s="25" t="str">
        <x:v>N/A</x:v>
      </x:c>
      <x:c r="F52" s="26" t="str">
        <x:v>Fixed also failed; assertion failure cannot be attributed to this bug</x:v>
      </x:c>
      <x:c r="G52" s="25" t="str">
        <x:v>true</x:v>
      </x:c>
      <x:c r="H52" s="25" t="str">
        <x:v>INCONCLUSIVE</x:v>
      </x:c>
      <x:c r="I52" s="25" t="str">
        <x:v>FAIL</x:v>
      </x:c>
      <x:c r="J52" s="25" t="str">
        <x:v>FAIL</x:v>
      </x:c>
      <x:c r="K52" s="25" t="n">
        <x:v>3</x:v>
      </x:c>
      <x:c r="L52" s="27" t="b">
        <x:v>0</x:v>
      </x:c>
      <x:c r="M52" s="25" t="str">
        <x:v>Gemini-3.8-flash/generation_state.json</x:v>
      </x:c>
      <x:c r="N52" s="25" t="str">
        <x:v>Gemini-3.8-flash/Result/Cli_31/result.json</x:v>
      </x:c>
      <x:c r="O52" s="25" t="str">
        <x:v>Gemini-3.8-flash/Result/Cli_31/result.json</x:v>
      </x:c>
      <x:c r="P52"/>
      <x:c r="Q52" s="21" t="str"/>
      <x:c r="R52" s="21" t="str"/>
      <x:c r="S52" s="21" t="str"/>
      <x:c r="T52" s="17" t="str">
        <x:v>false</x:v>
      </x:c>
      <x:c r="U52" s="17" t="str">
        <x:v>true</x:v>
      </x:c>
      <x:c r="V52" s="17" t="str">
        <x:v>false</x:v>
      </x:c>
    </x:row>
    <x:row r="53" ht="80" customHeight="1">
      <x:c r="A53" s="25" t="str">
        <x:v>Cli</x:v>
      </x:c>
      <x:c r="B53" s="25" t="n">
        <x:v>32</x:v>
      </x:c>
      <x:c r="C53" s="25" t="str">
        <x:v>Round1</x:v>
      </x:c>
      <x:c r="D53" s="25" t="str">
        <x:v>INCONCLUSIVE</x:v>
      </x:c>
      <x:c r="E53" s="25" t="str">
        <x:v>N/A</x:v>
      </x:c>
      <x:c r="F53" s="26" t="str">
        <x:v>Fixed also failed; assertion failure cannot be attributed to this bug</x:v>
      </x:c>
      <x:c r="G53" s="25" t="str">
        <x:v>true</x:v>
      </x:c>
      <x:c r="H53" s="25" t="str">
        <x:v>INCONCLUSIVE</x:v>
      </x:c>
      <x:c r="I53" s="25" t="str">
        <x:v>FAIL</x:v>
      </x:c>
      <x:c r="J53" s="25" t="str">
        <x:v>FAIL</x:v>
      </x:c>
      <x:c r="K53" s="25" t="n">
        <x:v>1</x:v>
      </x:c>
      <x:c r="L53" s="27" t="b">
        <x:v>0</x:v>
      </x:c>
      <x:c r="M53" s="25" t="str">
        <x:v>Gemini-3.8-flash/generation_state.json</x:v>
      </x:c>
      <x:c r="N53" s="25" t="str">
        <x:v>Gemini-3.8-flash/Result/Cli_32/result.json</x:v>
      </x:c>
      <x:c r="O53" s="25" t="str">
        <x:v>Gemini-3.8-flash/Result/Cli_32/result.json</x:v>
      </x:c>
      <x:c r="P53"/>
      <x:c r="Q53" s="21" t="str"/>
      <x:c r="R53" s="21" t="str"/>
      <x:c r="S53" s="21" t="str"/>
      <x:c r="T53" s="17" t="str">
        <x:v>false</x:v>
      </x:c>
      <x:c r="U53" s="17" t="str">
        <x:v>true</x:v>
      </x:c>
      <x:c r="V53" s="17" t="str">
        <x:v>false</x:v>
      </x:c>
    </x:row>
    <x:row r="54" ht="80" customHeight="1">
      <x:c r="A54" s="25" t="str">
        <x:v>Cli</x:v>
      </x:c>
      <x:c r="B54" s="25" t="n">
        <x:v>33</x:v>
      </x:c>
      <x:c r="C54" s="25" t="str">
        <x:v>Round1</x:v>
      </x:c>
      <x:c r="D54" s="25" t="str">
        <x:v>INCONCLUSIVE</x:v>
      </x:c>
      <x:c r="E54" s="25" t="str">
        <x:v>N/A</x:v>
      </x:c>
      <x:c r="F54" s="26" t="str">
        <x:v>Fixed also failed; assertion failure cannot be attributed to this bug</x:v>
      </x:c>
      <x:c r="G54" s="25" t="str">
        <x:v>true</x:v>
      </x:c>
      <x:c r="H54" s="25" t="str">
        <x:v>INCONCLUSIVE</x:v>
      </x:c>
      <x:c r="I54" s="25" t="str">
        <x:v>FAIL</x:v>
      </x:c>
      <x:c r="J54" s="25" t="str">
        <x:v>FAIL</x:v>
      </x:c>
      <x:c r="K54" s="25" t="n">
        <x:v>1</x:v>
      </x:c>
      <x:c r="L54" s="27" t="b">
        <x:v>0</x:v>
      </x:c>
      <x:c r="M54" s="25" t="str">
        <x:v>Gemini-3.8-flash/generation_state.json</x:v>
      </x:c>
      <x:c r="N54" s="25" t="str">
        <x:v>Gemini-3.8-flash/Result/Cli_33/result.json</x:v>
      </x:c>
      <x:c r="O54" s="25" t="str">
        <x:v>Gemini-3.8-flash/Result/Cli_33/result.json</x:v>
      </x:c>
      <x:c r="P54"/>
      <x:c r="Q54" s="21" t="str"/>
      <x:c r="R54" s="21" t="str"/>
      <x:c r="S54" s="21" t="str"/>
      <x:c r="T54" s="17" t="str">
        <x:v>false</x:v>
      </x:c>
      <x:c r="U54" s="17" t="str">
        <x:v>true</x:v>
      </x:c>
      <x:c r="V54" s="17" t="str">
        <x:v>false</x:v>
      </x:c>
    </x:row>
    <x:row r="55" ht="80" customHeight="1">
      <x:c r="A55" s="25" t="str">
        <x:v>Cli</x:v>
      </x:c>
      <x:c r="B55" s="25" t="n">
        <x:v>34</x:v>
      </x:c>
      <x:c r="C55" s="25" t="str">
        <x:v>Round1</x:v>
      </x:c>
      <x:c r="D55" s="25" t="str">
        <x:v>INCONCLUSIVE</x:v>
      </x:c>
      <x:c r="E55" s="25" t="str">
        <x:v>N/A</x:v>
      </x:c>
      <x:c r="F55" s="26" t="str">
        <x:v>Fixed also failed; assertion failure cannot be attributed to this bug</x:v>
      </x:c>
      <x:c r="G55" s="25" t="str">
        <x:v>true</x:v>
      </x:c>
      <x:c r="H55" s="25" t="str">
        <x:v>INCONCLUSIVE</x:v>
      </x:c>
      <x:c r="I55" s="25" t="str">
        <x:v>FAIL</x:v>
      </x:c>
      <x:c r="J55" s="25" t="str">
        <x:v>FAIL</x:v>
      </x:c>
      <x:c r="K55" s="25" t="n">
        <x:v>2</x:v>
      </x:c>
      <x:c r="L55" s="27" t="b">
        <x:v>0</x:v>
      </x:c>
      <x:c r="M55" s="25" t="str">
        <x:v>Gemini-3.8-flash/generation_state.json</x:v>
      </x:c>
      <x:c r="N55" s="25" t="str">
        <x:v>Gemini-3.8-flash/Result/Cli_34/result.json</x:v>
      </x:c>
      <x:c r="O55" s="25" t="str">
        <x:v>Gemini-3.8-flash/Result/Cli_34/result.json</x:v>
      </x:c>
      <x:c r="P55"/>
      <x:c r="Q55" s="21" t="str"/>
      <x:c r="R55" s="21" t="str"/>
      <x:c r="S55" s="21" t="str"/>
      <x:c r="T55" s="17" t="str">
        <x:v>false</x:v>
      </x:c>
      <x:c r="U55" s="17" t="str">
        <x:v>true</x:v>
      </x:c>
      <x:c r="V55" s="17" t="str">
        <x:v>false</x:v>
      </x:c>
    </x:row>
    <x:row r="56" ht="80" customHeight="1">
      <x:c r="A56" s="25" t="str">
        <x:v>Cli</x:v>
      </x:c>
      <x:c r="B56" s="25" t="n">
        <x:v>35</x:v>
      </x:c>
      <x:c r="C56" s="25" t="str">
        <x:v>Round1</x:v>
      </x:c>
      <x:c r="D56" s="25" t="str">
        <x:v>INCONCLUSIVE</x:v>
      </x:c>
      <x:c r="E56" s="25" t="str">
        <x:v>N/A</x:v>
      </x:c>
      <x:c r="F56" s="26" t="str">
        <x:v>Fixed also failed; assertion failure cannot be attributed to this bug</x:v>
      </x:c>
      <x:c r="G56" s="25" t="str">
        <x:v>true</x:v>
      </x:c>
      <x:c r="H56" s="25" t="str">
        <x:v>INCONCLUSIVE</x:v>
      </x:c>
      <x:c r="I56" s="25" t="str">
        <x:v>FAIL</x:v>
      </x:c>
      <x:c r="J56" s="25" t="str">
        <x:v>FAIL</x:v>
      </x:c>
      <x:c r="K56" s="25" t="n">
        <x:v>1</x:v>
      </x:c>
      <x:c r="L56" s="27" t="b">
        <x:v>0</x:v>
      </x:c>
      <x:c r="M56" s="25" t="str">
        <x:v>Gemini-3.8-flash/generation_state.json</x:v>
      </x:c>
      <x:c r="N56" s="25" t="str">
        <x:v>Gemini-3.8-flash/Result/Cli_35/result.json</x:v>
      </x:c>
      <x:c r="O56" s="25" t="str">
        <x:v>Gemini-3.8-flash/Result/Cli_35/result.json</x:v>
      </x:c>
      <x:c r="P56"/>
      <x:c r="Q56" s="21" t="str"/>
      <x:c r="R56" s="21" t="str"/>
      <x:c r="S56" s="21" t="str"/>
      <x:c r="T56" s="17" t="str">
        <x:v>false</x:v>
      </x:c>
      <x:c r="U56" s="17" t="str">
        <x:v>true</x:v>
      </x:c>
      <x:c r="V56" s="17" t="str">
        <x:v>false</x:v>
      </x:c>
    </x:row>
    <x:row r="57" ht="80" customHeight="1">
      <x:c r="A57" s="25" t="str">
        <x:v>Cli</x:v>
      </x:c>
      <x:c r="B57" s="25" t="n">
        <x:v>36</x:v>
      </x:c>
      <x:c r="C57" s="25" t="str">
        <x:v>Round1</x:v>
      </x:c>
      <x:c r="D57" s="25" t="str">
        <x:v>NOT_REVEALING</x:v>
      </x:c>
      <x:c r="E57" s="25" t="str">
        <x:v>N/A</x:v>
      </x:c>
      <x:c r="F57" s="26" t="str">
        <x:v>Same saved validation suite passed on buggy and fixed</x:v>
      </x:c>
      <x:c r="G57" s="25" t="str">
        <x:v>true</x:v>
      </x:c>
      <x:c r="H57" s="25" t="str">
        <x:v>NOT_REVEALING</x:v>
      </x:c>
      <x:c r="I57" s="25" t="str">
        <x:v>PASS</x:v>
      </x:c>
      <x:c r="J57" s="25" t="str">
        <x:v>PASS</x:v>
      </x:c>
      <x:c r="K57" s="25" t="n">
        <x:v>2</x:v>
      </x:c>
      <x:c r="L57" s="27" t="b">
        <x:v>0</x:v>
      </x:c>
      <x:c r="M57" s="25" t="str">
        <x:v>Gemini-3.8-flash/generation_state.json</x:v>
      </x:c>
      <x:c r="N57" s="25" t="str">
        <x:v>Gemini-3.8-flash/Result/Cli_36/result.json</x:v>
      </x:c>
      <x:c r="O57" s="25" t="str">
        <x:v>Gemini-3.8-flash/Result/Cli_36/result.json</x:v>
      </x:c>
      <x:c r="P57"/>
      <x:c r="Q57" s="21" t="str"/>
      <x:c r="R57" s="21" t="str"/>
      <x:c r="S57" s="21" t="str"/>
      <x:c r="T57" s="17" t="str">
        <x:v>false</x:v>
      </x:c>
      <x:c r="U57" s="17" t="str">
        <x:v>true</x:v>
      </x:c>
      <x:c r="V57" s="17" t="str">
        <x:v>false</x:v>
      </x:c>
    </x:row>
    <x:row r="58" ht="80" customHeight="1">
      <x:c r="A58" s="25" t="str">
        <x:v>Cli</x:v>
      </x:c>
      <x:c r="B58" s="25" t="n">
        <x:v>37</x:v>
      </x:c>
      <x:c r="C58" s="25" t="str">
        <x:v>Round1</x:v>
      </x:c>
      <x:c r="D58" s="25" t="str">
        <x:v>NOT_REVEALING</x:v>
      </x:c>
      <x:c r="E58" s="25" t="str">
        <x:v>N/A</x:v>
      </x:c>
      <x:c r="F58" s="26" t="str">
        <x:v>Same saved validation suite passed on buggy and fixed</x:v>
      </x:c>
      <x:c r="G58" s="25" t="str">
        <x:v>true</x:v>
      </x:c>
      <x:c r="H58" s="25" t="str">
        <x:v>NOT_REVEALING</x:v>
      </x:c>
      <x:c r="I58" s="25" t="str">
        <x:v>PASS</x:v>
      </x:c>
      <x:c r="J58" s="25" t="str">
        <x:v>PASS</x:v>
      </x:c>
      <x:c r="K58" s="25" t="n">
        <x:v>1</x:v>
      </x:c>
      <x:c r="L58" s="27" t="b">
        <x:v>0</x:v>
      </x:c>
      <x:c r="M58" s="25" t="str">
        <x:v>Gemini-3.8-flash/generation_state.json</x:v>
      </x:c>
      <x:c r="N58" s="25" t="str">
        <x:v>Gemini-3.8-flash/Result/Cli_37/result.json</x:v>
      </x:c>
      <x:c r="O58" s="25" t="str">
        <x:v>Gemini-3.8-flash/Result/Cli_37/result.json</x:v>
      </x:c>
      <x:c r="P58"/>
      <x:c r="Q58" s="21" t="str"/>
      <x:c r="R58" s="21" t="str"/>
      <x:c r="S58" s="21" t="str"/>
      <x:c r="T58" s="17" t="str">
        <x:v>false</x:v>
      </x:c>
      <x:c r="U58" s="17" t="str">
        <x:v>true</x:v>
      </x:c>
      <x:c r="V58" s="17" t="str">
        <x:v>false</x:v>
      </x:c>
    </x:row>
    <x:row r="59" ht="80" customHeight="1">
      <x:c r="A59" s="25" t="str">
        <x:v>Cli</x:v>
      </x:c>
      <x:c r="B59" s="25" t="n">
        <x:v>38</x:v>
      </x:c>
      <x:c r="C59" s="25" t="str">
        <x:v>Round1</x:v>
      </x:c>
      <x:c r="D59" s="25" t="str">
        <x:v>INCONCLUSIVE</x:v>
      </x:c>
      <x:c r="E59" s="25" t="str">
        <x:v>N/A</x:v>
      </x:c>
      <x:c r="F59" s="26" t="str">
        <x:v>Fixed also failed; assertion failure cannot be attributed to this bug</x:v>
      </x:c>
      <x:c r="G59" s="25" t="str">
        <x:v>true</x:v>
      </x:c>
      <x:c r="H59" s="25" t="str">
        <x:v>INCONCLUSIVE</x:v>
      </x:c>
      <x:c r="I59" s="25" t="str">
        <x:v>FAIL</x:v>
      </x:c>
      <x:c r="J59" s="25" t="str">
        <x:v>FAIL</x:v>
      </x:c>
      <x:c r="K59" s="25" t="n">
        <x:v>1</x:v>
      </x:c>
      <x:c r="L59" s="27" t="b">
        <x:v>0</x:v>
      </x:c>
      <x:c r="M59" s="25" t="str">
        <x:v>Gemini-3.8-flash/generation_state.json</x:v>
      </x:c>
      <x:c r="N59" s="25" t="str">
        <x:v>Gemini-3.8-flash/Result/Cli_38/result.json</x:v>
      </x:c>
      <x:c r="O59" s="25" t="str">
        <x:v>Gemini-3.8-flash/Result/Cli_38/result.json</x:v>
      </x:c>
      <x:c r="P59"/>
      <x:c r="Q59" s="21" t="str"/>
      <x:c r="R59" s="21" t="str"/>
      <x:c r="S59" s="21" t="str"/>
      <x:c r="T59" s="17" t="str">
        <x:v>false</x:v>
      </x:c>
      <x:c r="U59" s="17" t="str">
        <x:v>true</x:v>
      </x:c>
      <x:c r="V59" s="17" t="str">
        <x:v>false</x:v>
      </x:c>
    </x:row>
    <x:row r="60" ht="80" customHeight="1">
      <x:c r="A60" s="25" t="str">
        <x:v>Cli</x:v>
      </x:c>
      <x:c r="B60" s="25" t="n">
        <x:v>39</x:v>
      </x:c>
      <x:c r="C60" s="25" t="str">
        <x:v>Round1</x:v>
      </x:c>
      <x:c r="D60" s="25" t="str">
        <x:v>INCONCLUSIVE</x:v>
      </x:c>
      <x:c r="E60" s="25" t="str">
        <x:v>N/A</x:v>
      </x:c>
      <x:c r="F60" s="26" t="str">
        <x:v>Fixed also failed; assertion failure cannot be attributed to this bug</x:v>
      </x:c>
      <x:c r="G60" s="25" t="str">
        <x:v>true</x:v>
      </x:c>
      <x:c r="H60" s="25" t="str">
        <x:v>INCONCLUSIVE</x:v>
      </x:c>
      <x:c r="I60" s="25" t="str">
        <x:v>PASS</x:v>
      </x:c>
      <x:c r="J60" s="25" t="str">
        <x:v>FAIL</x:v>
      </x:c>
      <x:c r="K60" s="25" t="n">
        <x:v>1</x:v>
      </x:c>
      <x:c r="L60" s="27" t="b">
        <x:v>0</x:v>
      </x:c>
      <x:c r="M60" s="25" t="str">
        <x:v>Gemini-3.8-flash/generation_state.json</x:v>
      </x:c>
      <x:c r="N60" s="25" t="str">
        <x:v>Gemini-3.8-flash/Result/Cli_39/result.json</x:v>
      </x:c>
      <x:c r="O60" s="25" t="str">
        <x:v>Gemini-3.8-flash/Result/Cli_39/result.json</x:v>
      </x:c>
      <x:c r="P60"/>
      <x:c r="Q60" s="21" t="str"/>
      <x:c r="R60" s="21" t="str"/>
      <x:c r="S60" s="21" t="str"/>
      <x:c r="T60" s="17" t="str">
        <x:v>false</x:v>
      </x:c>
      <x:c r="U60" s="17" t="str">
        <x:v>true</x:v>
      </x:c>
      <x:c r="V60" s="17" t="str">
        <x:v>false</x:v>
      </x:c>
    </x:row>
    <x:row r="61" ht="80" customHeight="1">
      <x:c r="A61" s="25" t="str">
        <x:v>Cli</x:v>
      </x:c>
      <x:c r="B61" s="25" t="n">
        <x:v>4</x:v>
      </x:c>
      <x:c r="C61" s="25" t="str">
        <x:v>Round1</x:v>
      </x:c>
      <x:c r="D61" s="25" t="str">
        <x:v>INCONCLUSIVE</x:v>
      </x:c>
      <x:c r="E61" s="25" t="str">
        <x:v>N/A</x:v>
      </x:c>
      <x:c r="F61" s="26" t="str">
        <x:v>Fixed also failed; assertion failure cannot be attributed to this bug</x:v>
      </x:c>
      <x:c r="G61" s="25" t="str">
        <x:v>true</x:v>
      </x:c>
      <x:c r="H61" s="25" t="str">
        <x:v>INCONCLUSIVE</x:v>
      </x:c>
      <x:c r="I61" s="25" t="str">
        <x:v>FAIL</x:v>
      </x:c>
      <x:c r="J61" s="25" t="str">
        <x:v>FAIL</x:v>
      </x:c>
      <x:c r="K61" s="25" t="n">
        <x:v>1</x:v>
      </x:c>
      <x:c r="L61" s="27" t="b">
        <x:v>0</x:v>
      </x:c>
      <x:c r="M61" s="25" t="str">
        <x:v>Gemini-3.8-flash/generation_state.json</x:v>
      </x:c>
      <x:c r="N61" s="25" t="str">
        <x:v>Gemini-3.8-flash/Result/Cli_4/result.json</x:v>
      </x:c>
      <x:c r="O61" s="25" t="str">
        <x:v>Gemini-3.8-flash/Result/Cli_4/result.json</x:v>
      </x:c>
      <x:c r="P61"/>
      <x:c r="Q61" s="21" t="str"/>
      <x:c r="R61" s="21" t="str"/>
      <x:c r="S61" s="21" t="str"/>
      <x:c r="T61" s="17" t="str">
        <x:v>false</x:v>
      </x:c>
      <x:c r="U61" s="17" t="str">
        <x:v>true</x:v>
      </x:c>
      <x:c r="V61" s="17" t="str">
        <x:v>false</x:v>
      </x:c>
    </x:row>
    <x:row r="62" ht="80" customHeight="1">
      <x:c r="A62" s="25" t="str">
        <x:v>Cli</x:v>
      </x:c>
      <x:c r="B62" s="25" t="n">
        <x:v>40</x:v>
      </x:c>
      <x:c r="C62" s="25" t="str">
        <x:v>Round1</x:v>
      </x:c>
      <x:c r="D62" s="25" t="str">
        <x:v>NOT_AVAILABLE</x:v>
      </x:c>
      <x:c r="E62" s="25" t="str">
        <x:v>N/A</x:v>
      </x:c>
      <x:c r="F62" s="26" t="str">
        <x:v>Tests exist but current coverage did not complete</x:v>
      </x:c>
      <x:c r="G62" s="25" t="str">
        <x:v>true</x:v>
      </x:c>
      <x:c r="H62" s="25" t="str">
        <x:v>NOT_AVAILABLE</x:v>
      </x:c>
      <x:c r="I62" s="25" t="str">
        <x:v>NOT_RUN</x:v>
      </x:c>
      <x:c r="J62" s="25" t="str">
        <x:v>NOT_RUN</x:v>
      </x:c>
      <x:c r="K62" s="25" t="n">
        <x:v>1</x:v>
      </x:c>
      <x:c r="L62" s="27" t="b">
        <x:v>0</x:v>
      </x:c>
      <x:c r="M62" s="25" t="str">
        <x:v>Gemini-3.8-flash/generation_state.json</x:v>
      </x:c>
      <x:c r="N62" s="25" t="str">
        <x:v>Gemini-3.8-flash/Result/Cli_40/result.json</x:v>
      </x:c>
      <x:c r="O62" s="25" t="str">
        <x:v>Gemini-3.8-flash/Result/Cli_40/result.json</x:v>
      </x:c>
      <x:c r="P62" t="str">
        <x:v>BOTH_NOT_RUN</x:v>
      </x:c>
      <x:c r="Q62" s="21" t="str"/>
      <x:c r="R62" s="21" t="str"/>
      <x:c r="S62" s="21" t="str"/>
      <x:c r="T62" s="17" t="str">
        <x:v>false</x:v>
      </x:c>
      <x:c r="U62" s="17" t="str">
        <x:v>true</x:v>
      </x:c>
      <x:c r="V62" s="17" t="str">
        <x:v>false</x:v>
      </x:c>
    </x:row>
    <x:row r="63" ht="80" customHeight="1">
      <x:c r="A63" s="25" t="str">
        <x:v>Cli</x:v>
      </x:c>
      <x:c r="B63" s="25" t="n">
        <x:v>5</x:v>
      </x:c>
      <x:c r="C63" s="25" t="str">
        <x:v>Round1</x:v>
      </x:c>
      <x:c r="D63" s="25" t="str">
        <x:v>INCONCLUSIVE</x:v>
      </x:c>
      <x:c r="E63" s="25" t="str">
        <x:v>N/A</x:v>
      </x:c>
      <x:c r="F63" s="26" t="str">
        <x:v>Fixed also failed; assertion failure cannot be attributed to this bug</x:v>
      </x:c>
      <x:c r="G63" s="25" t="str">
        <x:v>true</x:v>
      </x:c>
      <x:c r="H63" s="25" t="str">
        <x:v>INCONCLUSIVE</x:v>
      </x:c>
      <x:c r="I63" s="25" t="str">
        <x:v>FAIL</x:v>
      </x:c>
      <x:c r="J63" s="25" t="str">
        <x:v>FAIL</x:v>
      </x:c>
      <x:c r="K63" s="25" t="n">
        <x:v>1</x:v>
      </x:c>
      <x:c r="L63" s="27" t="b">
        <x:v>0</x:v>
      </x:c>
      <x:c r="M63" s="25" t="str">
        <x:v>Gemini-3.8-flash/generation_state.json</x:v>
      </x:c>
      <x:c r="N63" s="25" t="str">
        <x:v>Gemini-3.8-flash/Result/Cli_5/result.json</x:v>
      </x:c>
      <x:c r="O63" s="25" t="str">
        <x:v>Gemini-3.8-flash/Result/Cli_5/result.json</x:v>
      </x:c>
      <x:c r="P63"/>
      <x:c r="Q63" s="21" t="str"/>
      <x:c r="R63" s="21" t="str"/>
      <x:c r="S63" s="21" t="str"/>
      <x:c r="T63" s="17" t="str">
        <x:v>false</x:v>
      </x:c>
      <x:c r="U63" s="17" t="str">
        <x:v>true</x:v>
      </x:c>
      <x:c r="V63" s="17" t="str">
        <x:v>false</x:v>
      </x:c>
    </x:row>
    <x:row r="64" ht="80" customHeight="1">
      <x:c r="A64" s="25" t="str">
        <x:v>Cli</x:v>
      </x:c>
      <x:c r="B64" s="25" t="n">
        <x:v>7</x:v>
      </x:c>
      <x:c r="C64" s="25" t="str">
        <x:v>Round1</x:v>
      </x:c>
      <x:c r="D64" s="25" t="str">
        <x:v>INCONCLUSIVE</x:v>
      </x:c>
      <x:c r="E64" s="25" t="str">
        <x:v>N/A</x:v>
      </x:c>
      <x:c r="F64" s="26" t="str">
        <x:v>Fixed also failed; assertion failure cannot be attributed to this bug</x:v>
      </x:c>
      <x:c r="G64" s="25" t="str">
        <x:v>true</x:v>
      </x:c>
      <x:c r="H64" s="25" t="str">
        <x:v>INCONCLUSIVE</x:v>
      </x:c>
      <x:c r="I64" s="25" t="str">
        <x:v>FAIL</x:v>
      </x:c>
      <x:c r="J64" s="25" t="str">
        <x:v>FAIL</x:v>
      </x:c>
      <x:c r="K64" s="25" t="n">
        <x:v>1</x:v>
      </x:c>
      <x:c r="L64" s="27" t="b">
        <x:v>0</x:v>
      </x:c>
      <x:c r="M64" s="25" t="str">
        <x:v>Gemini-3.8-flash/generation_state.json</x:v>
      </x:c>
      <x:c r="N64" s="25" t="str">
        <x:v>Gemini-3.8-flash/Result/Cli_7/result.json</x:v>
      </x:c>
      <x:c r="O64" s="25" t="str">
        <x:v>Gemini-3.8-flash/Result/Cli_7/result.json</x:v>
      </x:c>
      <x:c r="P64"/>
      <x:c r="Q64" s="21" t="str"/>
      <x:c r="R64" s="21" t="str"/>
      <x:c r="S64" s="21" t="str"/>
      <x:c r="T64" s="17" t="str">
        <x:v>false</x:v>
      </x:c>
      <x:c r="U64" s="17" t="str">
        <x:v>true</x:v>
      </x:c>
      <x:c r="V64" s="17" t="str">
        <x:v>false</x:v>
      </x:c>
    </x:row>
    <x:row r="65" ht="80" customHeight="1">
      <x:c r="A65" s="25" t="str">
        <x:v>Cli</x:v>
      </x:c>
      <x:c r="B65" s="25" t="n">
        <x:v>8</x:v>
      </x:c>
      <x:c r="C65" s="25" t="str">
        <x:v>Round1</x:v>
      </x:c>
      <x:c r="D65" s="25" t="str">
        <x:v>INCONCLUSIVE</x:v>
      </x:c>
      <x:c r="E65" s="25" t="str">
        <x:v>N/A</x:v>
      </x:c>
      <x:c r="F65" s="26" t="str">
        <x:v>Fixed also failed; assertion failure cannot be attributed to this bug</x:v>
      </x:c>
      <x:c r="G65" s="25" t="str">
        <x:v>true</x:v>
      </x:c>
      <x:c r="H65" s="25" t="str">
        <x:v>INCONCLUSIVE</x:v>
      </x:c>
      <x:c r="I65" s="25" t="str">
        <x:v>FAIL</x:v>
      </x:c>
      <x:c r="J65" s="25" t="str">
        <x:v>FAIL</x:v>
      </x:c>
      <x:c r="K65" s="25" t="n">
        <x:v>1</x:v>
      </x:c>
      <x:c r="L65" s="27" t="b">
        <x:v>0</x:v>
      </x:c>
      <x:c r="M65" s="25" t="str">
        <x:v>Gemini-3.8-flash/generation_state.json</x:v>
      </x:c>
      <x:c r="N65" s="25" t="str">
        <x:v>Gemini-3.8-flash/Result/Cli_8/result.json</x:v>
      </x:c>
      <x:c r="O65" s="25" t="str">
        <x:v>Gemini-3.8-flash/Result/Cli_8/result.json</x:v>
      </x:c>
      <x:c r="P65"/>
      <x:c r="Q65" s="21" t="str"/>
      <x:c r="R65" s="21" t="str"/>
      <x:c r="S65" s="21" t="str"/>
      <x:c r="T65" s="17" t="str">
        <x:v>false</x:v>
      </x:c>
      <x:c r="U65" s="17" t="str">
        <x:v>true</x:v>
      </x:c>
      <x:c r="V65" s="17" t="str">
        <x:v>false</x:v>
      </x:c>
    </x:row>
    <x:row r="66" ht="80" customHeight="1">
      <x:c r="A66" s="25" t="str">
        <x:v>Cli</x:v>
      </x:c>
      <x:c r="B66" s="25" t="n">
        <x:v>9</x:v>
      </x:c>
      <x:c r="C66" s="25" t="str">
        <x:v>Round1</x:v>
      </x:c>
      <x:c r="D66" s="25" t="str">
        <x:v>INCONCLUSIVE</x:v>
      </x:c>
      <x:c r="E66" s="25" t="str">
        <x:v>N/A</x:v>
      </x:c>
      <x:c r="F66" s="26" t="str">
        <x:v>Fixed also failed; assertion failure cannot be attributed to this bug</x:v>
      </x:c>
      <x:c r="G66" s="25" t="str">
        <x:v>true</x:v>
      </x:c>
      <x:c r="H66" s="25" t="str">
        <x:v>INCONCLUSIVE</x:v>
      </x:c>
      <x:c r="I66" s="25" t="str">
        <x:v>FAIL</x:v>
      </x:c>
      <x:c r="J66" s="25" t="str">
        <x:v>FAIL</x:v>
      </x:c>
      <x:c r="K66" s="25" t="n">
        <x:v>1</x:v>
      </x:c>
      <x:c r="L66" s="27" t="b">
        <x:v>0</x:v>
      </x:c>
      <x:c r="M66" s="25" t="str">
        <x:v>Gemini-3.8-flash/generation_state.json</x:v>
      </x:c>
      <x:c r="N66" s="25" t="str">
        <x:v>Gemini-3.8-flash/Result/Cli_9/result.json</x:v>
      </x:c>
      <x:c r="O66" s="25" t="str">
        <x:v>Gemini-3.8-flash/Result/Cli_9/result.json</x:v>
      </x:c>
      <x:c r="P66"/>
      <x:c r="Q66" s="21" t="str"/>
      <x:c r="R66" s="21" t="str"/>
      <x:c r="S66" s="21" t="str"/>
      <x:c r="T66" s="17" t="str">
        <x:v>false</x:v>
      </x:c>
      <x:c r="U66" s="17" t="str">
        <x:v>true</x:v>
      </x:c>
      <x:c r="V66" s="17" t="str">
        <x:v>false</x:v>
      </x:c>
    </x:row>
    <x:row r="67" ht="80" customHeight="1">
      <x:c r="A67" s="25" t="str">
        <x:v>Closure</x:v>
      </x:c>
      <x:c r="B67" s="25" t="n">
        <x:v>1</x:v>
      </x:c>
      <x:c r="C67" s="25" t="str">
        <x:v>Round1</x:v>
      </x:c>
      <x:c r="D67" s="25" t="str">
        <x:v>NOT_AVAILABLE</x:v>
      </x:c>
      <x:c r="E67" s="25" t="str">
        <x:v>N/A</x:v>
      </x:c>
      <x:c r="F67" s="26" t="str">
        <x:v>Tests exist but current coverage did not complete</x:v>
      </x:c>
      <x:c r="G67" s="25" t="str">
        <x:v>true</x:v>
      </x:c>
      <x:c r="H67" s="25" t="str">
        <x:v>NOT_AVAILABLE</x:v>
      </x:c>
      <x:c r="I67" s="25" t="str">
        <x:v>NOT_RUN</x:v>
      </x:c>
      <x:c r="J67" s="25" t="str">
        <x:v>NOT_RUN</x:v>
      </x:c>
      <x:c r="K67" s="25" t="n">
        <x:v>1</x:v>
      </x:c>
      <x:c r="L67" s="27" t="b">
        <x:v>0</x:v>
      </x:c>
      <x:c r="M67" s="25" t="str">
        <x:v>Gemini-3.8-flash/generation_state.json</x:v>
      </x:c>
      <x:c r="N67" s="25" t="str">
        <x:v>Gemini-3.8-flash/Result/Closure_1/result.json</x:v>
      </x:c>
      <x:c r="O67" s="25" t="str">
        <x:v>Gemini-3.8-flash/Result/Closure_1/result.json</x:v>
      </x:c>
      <x:c r="P67" t="str">
        <x:v>BOTH_NOT_RUN</x:v>
      </x:c>
      <x:c r="Q67" s="21" t="str"/>
      <x:c r="R67" s="21" t="str"/>
      <x:c r="S67" s="21" t="str"/>
      <x:c r="T67" s="17" t="str">
        <x:v>false</x:v>
      </x:c>
      <x:c r="U67" s="17" t="str">
        <x:v>true</x:v>
      </x:c>
      <x:c r="V67" s="17" t="str">
        <x:v>false</x:v>
      </x:c>
    </x:row>
    <x:row r="68" ht="80" customHeight="1">
      <x:c r="A68" s="25" t="str">
        <x:v>Closure</x:v>
      </x:c>
      <x:c r="B68" s="25" t="n">
        <x:v>10</x:v>
      </x:c>
      <x:c r="C68" s="25" t="str">
        <x:v>Round1</x:v>
      </x:c>
      <x:c r="D68" s="25" t="str">
        <x:v>NOT_AVAILABLE</x:v>
      </x:c>
      <x:c r="E68" s="25" t="str">
        <x:v>N/A</x:v>
      </x:c>
      <x:c r="F68" s="26" t="str">
        <x:v>Tests exist but current coverage did not complete</x:v>
      </x:c>
      <x:c r="G68" s="25" t="str">
        <x:v>true</x:v>
      </x:c>
      <x:c r="H68" s="25" t="str">
        <x:v>NOT_AVAILABLE</x:v>
      </x:c>
      <x:c r="I68" s="25" t="str">
        <x:v>NOT_RUN</x:v>
      </x:c>
      <x:c r="J68" s="25" t="str">
        <x:v>NOT_RUN</x:v>
      </x:c>
      <x:c r="K68" s="25" t="n">
        <x:v>1</x:v>
      </x:c>
      <x:c r="L68" s="27" t="b">
        <x:v>0</x:v>
      </x:c>
      <x:c r="M68" s="25" t="str">
        <x:v>Gemini-3.8-flash/generation_state.json</x:v>
      </x:c>
      <x:c r="N68" s="25" t="str">
        <x:v>Gemini-3.8-flash/Result/Closure_10/result.json</x:v>
      </x:c>
      <x:c r="O68" s="25" t="str">
        <x:v>Gemini-3.8-flash/Result/Closure_10/result.json</x:v>
      </x:c>
      <x:c r="P68" t="str">
        <x:v>BOTH_NOT_RUN</x:v>
      </x:c>
      <x:c r="Q68" s="21" t="str"/>
      <x:c r="R68" s="21" t="str"/>
      <x:c r="S68" s="21" t="str"/>
      <x:c r="T68" s="17" t="str">
        <x:v>false</x:v>
      </x:c>
      <x:c r="U68" s="17" t="str">
        <x:v>true</x:v>
      </x:c>
      <x:c r="V68" s="17" t="str">
        <x:v>false</x:v>
      </x:c>
    </x:row>
    <x:row r="69" ht="80" customHeight="1">
      <x:c r="A69" s="25" t="str">
        <x:v>Closure</x:v>
      </x:c>
      <x:c r="B69" s="25" t="n">
        <x:v>100</x:v>
      </x:c>
      <x:c r="C69" s="25" t="str">
        <x:v>Round1</x:v>
      </x:c>
      <x:c r="D69" s="25" t="str">
        <x:v>NOT_AVAILABLE</x:v>
      </x:c>
      <x:c r="E69" s="25" t="str">
        <x:v>N/A</x:v>
      </x:c>
      <x:c r="F69" s="26" t="str">
        <x:v>Tests exist but current coverage did not complete</x:v>
      </x:c>
      <x:c r="G69" s="25" t="str">
        <x:v>true</x:v>
      </x:c>
      <x:c r="H69" s="25" t="str">
        <x:v>NOT_AVAILABLE</x:v>
      </x:c>
      <x:c r="I69" s="25" t="str">
        <x:v>NOT_RUN</x:v>
      </x:c>
      <x:c r="J69" s="25" t="str">
        <x:v>NOT_RUN</x:v>
      </x:c>
      <x:c r="K69" s="25" t="n">
        <x:v>1</x:v>
      </x:c>
      <x:c r="L69" s="27" t="b">
        <x:v>0</x:v>
      </x:c>
      <x:c r="M69" s="25" t="str">
        <x:v>Gemini-3.8-flash/generation_state.json</x:v>
      </x:c>
      <x:c r="N69" s="25" t="str">
        <x:v>Gemini-3.8-flash/Result/Closure_100/result.json</x:v>
      </x:c>
      <x:c r="O69" s="25" t="str">
        <x:v>Gemini-3.8-flash/Result/Closure_100/result.json</x:v>
      </x:c>
      <x:c r="P69" t="str">
        <x:v>BOTH_NOT_RUN</x:v>
      </x:c>
      <x:c r="Q69" s="21" t="str"/>
      <x:c r="R69" s="21" t="str"/>
      <x:c r="S69" s="21" t="str"/>
      <x:c r="T69" s="17" t="str">
        <x:v>false</x:v>
      </x:c>
      <x:c r="U69" s="17" t="str">
        <x:v>true</x:v>
      </x:c>
      <x:c r="V69" s="17" t="str">
        <x:v>false</x:v>
      </x:c>
    </x:row>
    <x:row r="70" ht="80" customHeight="1">
      <x:c r="A70" s="25" t="str">
        <x:v>Closure</x:v>
      </x:c>
      <x:c r="B70" s="25" t="n">
        <x:v>101</x:v>
      </x:c>
      <x:c r="C70" s="25" t="str">
        <x:v>Round1</x:v>
      </x:c>
      <x:c r="D70" s="25" t="str">
        <x:v>INCONCLUSIVE</x:v>
      </x:c>
      <x:c r="E70" s="25" t="str">
        <x:v>N/A</x:v>
      </x:c>
      <x:c r="F70" s="26" t="str">
        <x:v>Fixed also failed; assertion failure cannot be attributed to this bug</x:v>
      </x:c>
      <x:c r="G70" s="25" t="str">
        <x:v>true</x:v>
      </x:c>
      <x:c r="H70" s="25" t="str">
        <x:v>INCONCLUSIVE</x:v>
      </x:c>
      <x:c r="I70" s="25" t="str">
        <x:v>FAIL</x:v>
      </x:c>
      <x:c r="J70" s="25" t="str">
        <x:v>FAIL</x:v>
      </x:c>
      <x:c r="K70" s="25" t="n">
        <x:v>1</x:v>
      </x:c>
      <x:c r="L70" s="27" t="b">
        <x:v>0</x:v>
      </x:c>
      <x:c r="M70" s="25" t="str">
        <x:v>Gemini-3.8-flash/generation_state.json</x:v>
      </x:c>
      <x:c r="N70" s="25" t="str">
        <x:v>Gemini-3.8-flash/Result/Closure_101/result.json</x:v>
      </x:c>
      <x:c r="O70" s="25" t="str">
        <x:v>Gemini-3.8-flash/Result/Closure_101/result.json</x:v>
      </x:c>
      <x:c r="P70"/>
      <x:c r="Q70" s="21" t="str"/>
      <x:c r="R70" s="21" t="str"/>
      <x:c r="S70" s="21" t="str"/>
      <x:c r="T70" s="17" t="str">
        <x:v>false</x:v>
      </x:c>
      <x:c r="U70" s="17" t="str">
        <x:v>true</x:v>
      </x:c>
      <x:c r="V70" s="17" t="str">
        <x:v>false</x:v>
      </x:c>
    </x:row>
    <x:row r="71" ht="80" customHeight="1">
      <x:c r="A71" s="25" t="str">
        <x:v>Closure</x:v>
      </x:c>
      <x:c r="B71" s="25" t="n">
        <x:v>102</x:v>
      </x:c>
      <x:c r="C71" s="25" t="str">
        <x:v>Round1</x:v>
      </x:c>
      <x:c r="D71" s="25" t="str">
        <x:v>NOT_AVAILABLE</x:v>
      </x:c>
      <x:c r="E71" s="25" t="str">
        <x:v>N/A</x:v>
      </x:c>
      <x:c r="F71" s="26" t="str">
        <x:v>Tests exist but current coverage did not complete</x:v>
      </x:c>
      <x:c r="G71" s="25" t="str">
        <x:v>true</x:v>
      </x:c>
      <x:c r="H71" s="25" t="str">
        <x:v>NOT_AVAILABLE</x:v>
      </x:c>
      <x:c r="I71" s="25" t="str">
        <x:v>NOT_RUN</x:v>
      </x:c>
      <x:c r="J71" s="25" t="str">
        <x:v>NOT_RUN</x:v>
      </x:c>
      <x:c r="K71" s="25" t="n">
        <x:v>1</x:v>
      </x:c>
      <x:c r="L71" s="27" t="b">
        <x:v>0</x:v>
      </x:c>
      <x:c r="M71" s="25" t="str">
        <x:v>Gemini-3.8-flash/generation_state.json</x:v>
      </x:c>
      <x:c r="N71" s="25" t="str">
        <x:v>Gemini-3.8-flash/Result/Closure_102/result.json</x:v>
      </x:c>
      <x:c r="O71" s="25" t="str">
        <x:v>Gemini-3.8-flash/Result/Closure_102/result.json</x:v>
      </x:c>
      <x:c r="P71" t="str">
        <x:v>BOTH_NOT_RUN</x:v>
      </x:c>
      <x:c r="Q71" s="21" t="str"/>
      <x:c r="R71" s="21" t="str"/>
      <x:c r="S71" s="21" t="str"/>
      <x:c r="T71" s="17" t="str">
        <x:v>false</x:v>
      </x:c>
      <x:c r="U71" s="17" t="str">
        <x:v>true</x:v>
      </x:c>
      <x:c r="V71" s="17" t="str">
        <x:v>false</x:v>
      </x:c>
    </x:row>
    <x:row r="72" ht="80" customHeight="1">
      <x:c r="A72" s="25" t="str">
        <x:v>Closure</x:v>
      </x:c>
      <x:c r="B72" s="25" t="n">
        <x:v>103</x:v>
      </x:c>
      <x:c r="C72" s="25" t="str">
        <x:v>Round1</x:v>
      </x:c>
      <x:c r="D72" s="25" t="str">
        <x:v>NOT_AVAILABLE</x:v>
      </x:c>
      <x:c r="E72" s="25" t="str">
        <x:v>N/A</x:v>
      </x:c>
      <x:c r="F72" s="26" t="str">
        <x:v>Tests exist but current coverage did not complete</x:v>
      </x:c>
      <x:c r="G72" s="25" t="str">
        <x:v>true</x:v>
      </x:c>
      <x:c r="H72" s="25" t="str">
        <x:v>NOT_AVAILABLE</x:v>
      </x:c>
      <x:c r="I72" s="25" t="str">
        <x:v>NOT_RUN</x:v>
      </x:c>
      <x:c r="J72" s="25" t="str">
        <x:v>NOT_RUN</x:v>
      </x:c>
      <x:c r="K72" s="25" t="n">
        <x:v>2</x:v>
      </x:c>
      <x:c r="L72" s="27" t="b">
        <x:v>0</x:v>
      </x:c>
      <x:c r="M72" s="25" t="str">
        <x:v>Gemini-3.8-flash/generation_state.json</x:v>
      </x:c>
      <x:c r="N72" s="25" t="str">
        <x:v>Gemini-3.8-flash/Result/Closure_103/result.json</x:v>
      </x:c>
      <x:c r="O72" s="25" t="str">
        <x:v>Gemini-3.8-flash/Result/Closure_103/result.json</x:v>
      </x:c>
      <x:c r="P72" t="str">
        <x:v>BOTH_NOT_RUN</x:v>
      </x:c>
      <x:c r="Q72" s="21" t="str"/>
      <x:c r="R72" s="21" t="str"/>
      <x:c r="S72" s="21" t="str"/>
      <x:c r="T72" s="17" t="str">
        <x:v>false</x:v>
      </x:c>
      <x:c r="U72" s="17" t="str">
        <x:v>true</x:v>
      </x:c>
      <x:c r="V72" s="17" t="str">
        <x:v>false</x:v>
      </x:c>
    </x:row>
    <x:row r="73" ht="80" customHeight="1">
      <x:c r="A73" s="25" t="str">
        <x:v>Closure</x:v>
      </x:c>
      <x:c r="B73" s="25" t="n">
        <x:v>104</x:v>
      </x:c>
      <x:c r="C73" s="25" t="str">
        <x:v>Round1</x:v>
      </x:c>
      <x:c r="D73" s="25" t="str">
        <x:v>NOT_AVAILABLE</x:v>
      </x:c>
      <x:c r="E73" s="25" t="str">
        <x:v>N/A</x:v>
      </x:c>
      <x:c r="F73" s="26" t="str">
        <x:v>Tests exist but current coverage did not complete</x:v>
      </x:c>
      <x:c r="G73" s="25" t="str">
        <x:v>true</x:v>
      </x:c>
      <x:c r="H73" s="25" t="str">
        <x:v>NOT_AVAILABLE</x:v>
      </x:c>
      <x:c r="I73" s="25" t="str">
        <x:v>NOT_RUN</x:v>
      </x:c>
      <x:c r="J73" s="25" t="str">
        <x:v>NOT_RUN</x:v>
      </x:c>
      <x:c r="K73" s="25" t="n">
        <x:v>1</x:v>
      </x:c>
      <x:c r="L73" s="27" t="b">
        <x:v>0</x:v>
      </x:c>
      <x:c r="M73" s="25" t="str">
        <x:v>Gemini-3.8-flash/generation_state.json</x:v>
      </x:c>
      <x:c r="N73" s="25" t="str">
        <x:v>Gemini-3.8-flash/Result/Closure_104/result.json</x:v>
      </x:c>
      <x:c r="O73" s="25" t="str">
        <x:v>Gemini-3.8-flash/Result/Closure_104/result.json</x:v>
      </x:c>
      <x:c r="P73" t="str">
        <x:v>BOTH_NOT_RUN</x:v>
      </x:c>
      <x:c r="Q73" s="21" t="str"/>
      <x:c r="R73" s="21" t="str"/>
      <x:c r="S73" s="21" t="str"/>
      <x:c r="T73" s="17" t="str">
        <x:v>false</x:v>
      </x:c>
      <x:c r="U73" s="17" t="str">
        <x:v>true</x:v>
      </x:c>
      <x:c r="V73" s="17" t="str">
        <x:v>false</x:v>
      </x:c>
    </x:row>
    <x:row r="74" ht="80" customHeight="1">
      <x:c r="A74" s="25" t="str">
        <x:v>Closure</x:v>
      </x:c>
      <x:c r="B74" s="25" t="n">
        <x:v>105</x:v>
      </x:c>
      <x:c r="C74" s="25" t="str">
        <x:v>Round1</x:v>
      </x:c>
      <x:c r="D74" s="25" t="str">
        <x:v>INCONCLUSIVE</x:v>
      </x:c>
      <x:c r="E74" s="25" t="str">
        <x:v>N/A</x:v>
      </x:c>
      <x:c r="F74" s="26" t="str">
        <x:v>Fixed also failed; assertion failure cannot be attributed to this bug</x:v>
      </x:c>
      <x:c r="G74" s="25" t="str">
        <x:v>true</x:v>
      </x:c>
      <x:c r="H74" s="25" t="str">
        <x:v>INCONCLUSIVE</x:v>
      </x:c>
      <x:c r="I74" s="25" t="str">
        <x:v>FAIL</x:v>
      </x:c>
      <x:c r="J74" s="25" t="str">
        <x:v>FAIL</x:v>
      </x:c>
      <x:c r="K74" s="25" t="n">
        <x:v>1</x:v>
      </x:c>
      <x:c r="L74" s="27" t="b">
        <x:v>0</x:v>
      </x:c>
      <x:c r="M74" s="25" t="str">
        <x:v>Gemini-3.8-flash/generation_state.json</x:v>
      </x:c>
      <x:c r="N74" s="25" t="str">
        <x:v>Gemini-3.8-flash/Result/Closure_105/result.json</x:v>
      </x:c>
      <x:c r="O74" s="25" t="str">
        <x:v>Gemini-3.8-flash/Result/Closure_105/result.json</x:v>
      </x:c>
      <x:c r="P74"/>
      <x:c r="Q74" s="21" t="str"/>
      <x:c r="R74" s="21" t="str"/>
      <x:c r="S74" s="21" t="str"/>
      <x:c r="T74" s="17" t="str">
        <x:v>false</x:v>
      </x:c>
      <x:c r="U74" s="17" t="str">
        <x:v>true</x:v>
      </x:c>
      <x:c r="V74" s="17" t="str">
        <x:v>false</x:v>
      </x:c>
    </x:row>
    <x:row r="75" ht="80" customHeight="1">
      <x:c r="A75" s="25" t="str">
        <x:v>Closure</x:v>
      </x:c>
      <x:c r="B75" s="25" t="n">
        <x:v>106</x:v>
      </x:c>
      <x:c r="C75" s="25" t="str">
        <x:v>Round1</x:v>
      </x:c>
      <x:c r="D75" s="25" t="str">
        <x:v>NOT_AVAILABLE</x:v>
      </x:c>
      <x:c r="E75" s="25" t="str">
        <x:v>N/A</x:v>
      </x:c>
      <x:c r="F75" s="26" t="str">
        <x:v>Tests exist but current coverage did not complete</x:v>
      </x:c>
      <x:c r="G75" s="25" t="str">
        <x:v>true</x:v>
      </x:c>
      <x:c r="H75" s="25" t="str">
        <x:v>NOT_AVAILABLE</x:v>
      </x:c>
      <x:c r="I75" s="25" t="str">
        <x:v>NOT_RUN</x:v>
      </x:c>
      <x:c r="J75" s="25" t="str">
        <x:v>NOT_RUN</x:v>
      </x:c>
      <x:c r="K75" s="25" t="n">
        <x:v>2</x:v>
      </x:c>
      <x:c r="L75" s="27" t="b">
        <x:v>0</x:v>
      </x:c>
      <x:c r="M75" s="25" t="str">
        <x:v>Gemini-3.8-flash/generation_state.json</x:v>
      </x:c>
      <x:c r="N75" s="25" t="str">
        <x:v>Gemini-3.8-flash/Result/Closure_106/result.json</x:v>
      </x:c>
      <x:c r="O75" s="25" t="str">
        <x:v>Gemini-3.8-flash/Result/Closure_106/result.json</x:v>
      </x:c>
      <x:c r="P75" t="str">
        <x:v>BOTH_NOT_RUN</x:v>
      </x:c>
      <x:c r="Q75" s="21" t="str"/>
      <x:c r="R75" s="21" t="str"/>
      <x:c r="S75" s="21" t="str"/>
      <x:c r="T75" s="17" t="str">
        <x:v>false</x:v>
      </x:c>
      <x:c r="U75" s="17" t="str">
        <x:v>true</x:v>
      </x:c>
      <x:c r="V75" s="17" t="str">
        <x:v>false</x:v>
      </x:c>
    </x:row>
    <x:row r="76" ht="80" customHeight="1">
      <x:c r="A76" s="25" t="str">
        <x:v>Closure</x:v>
      </x:c>
      <x:c r="B76" s="25" t="n">
        <x:v>107</x:v>
      </x:c>
      <x:c r="C76" s="25" t="str">
        <x:v>Round1</x:v>
      </x:c>
      <x:c r="D76" s="25" t="str">
        <x:v>NOT_AVAILABLE</x:v>
      </x:c>
      <x:c r="E76" s="25" t="str">
        <x:v>N/A</x:v>
      </x:c>
      <x:c r="F76" s="26" t="str">
        <x:v>Tests exist but current coverage did not complete</x:v>
      </x:c>
      <x:c r="G76" s="25" t="str">
        <x:v>true</x:v>
      </x:c>
      <x:c r="H76" s="25" t="str">
        <x:v>NOT_AVAILABLE</x:v>
      </x:c>
      <x:c r="I76" s="25" t="str">
        <x:v>NOT_RUN</x:v>
      </x:c>
      <x:c r="J76" s="25" t="str">
        <x:v>NOT_RUN</x:v>
      </x:c>
      <x:c r="K76" s="25" t="n">
        <x:v>1</x:v>
      </x:c>
      <x:c r="L76" s="27" t="b">
        <x:v>0</x:v>
      </x:c>
      <x:c r="M76" s="25" t="str">
        <x:v>Gemini-3.8-flash/generation_state.json</x:v>
      </x:c>
      <x:c r="N76" s="25" t="str">
        <x:v>Gemini-3.8-flash/Result/Closure_107/result.json</x:v>
      </x:c>
      <x:c r="O76" s="25" t="str">
        <x:v>Gemini-3.8-flash/Result/Closure_107/result.json</x:v>
      </x:c>
      <x:c r="P76" t="str">
        <x:v>BOTH_NOT_RUN</x:v>
      </x:c>
      <x:c r="Q76" s="21" t="str"/>
      <x:c r="R76" s="21" t="str"/>
      <x:c r="S76" s="21" t="str"/>
      <x:c r="T76" s="17" t="str">
        <x:v>false</x:v>
      </x:c>
      <x:c r="U76" s="17" t="str">
        <x:v>true</x:v>
      </x:c>
      <x:c r="V76" s="17" t="str">
        <x:v>false</x:v>
      </x:c>
    </x:row>
    <x:row r="77" ht="80" customHeight="1">
      <x:c r="A77" s="25" t="str">
        <x:v>Closure</x:v>
      </x:c>
      <x:c r="B77" s="25" t="n">
        <x:v>108</x:v>
      </x:c>
      <x:c r="C77" s="25" t="str">
        <x:v>Round1</x:v>
      </x:c>
      <x:c r="D77" s="25" t="str">
        <x:v>INCONCLUSIVE</x:v>
      </x:c>
      <x:c r="E77" s="25" t="str">
        <x:v>N/A</x:v>
      </x:c>
      <x:c r="F77" s="26" t="str">
        <x:v>Fixed also failed; assertion failure cannot be attributed to this bug</x:v>
      </x:c>
      <x:c r="G77" s="25" t="str">
        <x:v>true</x:v>
      </x:c>
      <x:c r="H77" s="25" t="str">
        <x:v>INCONCLUSIVE</x:v>
      </x:c>
      <x:c r="I77" s="25" t="str">
        <x:v>FAIL</x:v>
      </x:c>
      <x:c r="J77" s="25" t="str">
        <x:v>FAIL</x:v>
      </x:c>
      <x:c r="K77" s="25" t="n">
        <x:v>1</x:v>
      </x:c>
      <x:c r="L77" s="27" t="b">
        <x:v>0</x:v>
      </x:c>
      <x:c r="M77" s="25" t="str">
        <x:v>Gemini-3.8-flash/generation_state.json</x:v>
      </x:c>
      <x:c r="N77" s="25" t="str">
        <x:v>Gemini-3.8-flash/Result/Closure_108/result.json</x:v>
      </x:c>
      <x:c r="O77" s="25" t="str">
        <x:v>Gemini-3.8-flash/Result/Closure_108/result.json</x:v>
      </x:c>
      <x:c r="P77"/>
      <x:c r="Q77" s="21" t="str"/>
      <x:c r="R77" s="21" t="str"/>
      <x:c r="S77" s="21" t="str"/>
      <x:c r="T77" s="17" t="str">
        <x:v>false</x:v>
      </x:c>
      <x:c r="U77" s="17" t="str">
        <x:v>true</x:v>
      </x:c>
      <x:c r="V77" s="17" t="str">
        <x:v>false</x:v>
      </x:c>
    </x:row>
    <x:row r="78" ht="80" customHeight="1">
      <x:c r="A78" s="25" t="str">
        <x:v>Closure</x:v>
      </x:c>
      <x:c r="B78" s="25" t="n">
        <x:v>109</x:v>
      </x:c>
      <x:c r="C78" s="25" t="str">
        <x:v>Round1</x:v>
      </x:c>
      <x:c r="D78" s="25" t="str">
        <x:v>NOT_AVAILABLE</x:v>
      </x:c>
      <x:c r="E78" s="25" t="str">
        <x:v>N/A</x:v>
      </x:c>
      <x:c r="F78" s="26" t="str">
        <x:v>Tests exist but current coverage did not complete</x:v>
      </x:c>
      <x:c r="G78" s="25" t="str">
        <x:v>true</x:v>
      </x:c>
      <x:c r="H78" s="25" t="str">
        <x:v>NOT_AVAILABLE</x:v>
      </x:c>
      <x:c r="I78" s="25" t="str">
        <x:v>NOT_RUN</x:v>
      </x:c>
      <x:c r="J78" s="25" t="str">
        <x:v>NOT_RUN</x:v>
      </x:c>
      <x:c r="K78" s="25" t="n">
        <x:v>1</x:v>
      </x:c>
      <x:c r="L78" s="27" t="b">
        <x:v>0</x:v>
      </x:c>
      <x:c r="M78" s="25" t="str">
        <x:v>Gemini-3.8-flash/generation_state.json</x:v>
      </x:c>
      <x:c r="N78" s="25" t="str">
        <x:v>Gemini-3.8-flash/Result/Closure_109/result.json</x:v>
      </x:c>
      <x:c r="O78" s="25" t="str">
        <x:v>Gemini-3.8-flash/Result/Closure_109/result.json</x:v>
      </x:c>
      <x:c r="P78" t="str">
        <x:v>BOTH_NOT_RUN</x:v>
      </x:c>
      <x:c r="Q78" s="21" t="str"/>
      <x:c r="R78" s="21" t="str"/>
      <x:c r="S78" s="21" t="str"/>
      <x:c r="T78" s="17" t="str">
        <x:v>false</x:v>
      </x:c>
      <x:c r="U78" s="17" t="str">
        <x:v>true</x:v>
      </x:c>
      <x:c r="V78" s="17" t="str">
        <x:v>false</x:v>
      </x:c>
    </x:row>
    <x:row r="79" ht="80" customHeight="1">
      <x:c r="A79" s="25" t="str">
        <x:v>Closure</x:v>
      </x:c>
      <x:c r="B79" s="25" t="n">
        <x:v>11</x:v>
      </x:c>
      <x:c r="C79" s="25" t="str">
        <x:v>Round1</x:v>
      </x:c>
      <x:c r="D79" s="25" t="str">
        <x:v>INCONCLUSIVE</x:v>
      </x:c>
      <x:c r="E79" s="25" t="str">
        <x:v>N/A</x:v>
      </x:c>
      <x:c r="F79" s="26" t="str">
        <x:v>Fixed also failed; assertion failure cannot be attributed to this bug</x:v>
      </x:c>
      <x:c r="G79" s="25" t="str">
        <x:v>true</x:v>
      </x:c>
      <x:c r="H79" s="25" t="str">
        <x:v>INCONCLUSIVE</x:v>
      </x:c>
      <x:c r="I79" s="25" t="str">
        <x:v>FAIL</x:v>
      </x:c>
      <x:c r="J79" s="25" t="str">
        <x:v>FAIL</x:v>
      </x:c>
      <x:c r="K79" s="25" t="n">
        <x:v>1</x:v>
      </x:c>
      <x:c r="L79" s="27" t="b">
        <x:v>0</x:v>
      </x:c>
      <x:c r="M79" s="25" t="str">
        <x:v>Gemini-3.8-flash/generation_state.json</x:v>
      </x:c>
      <x:c r="N79" s="25" t="str">
        <x:v>Gemini-3.8-flash/Result/Closure_11/result.json</x:v>
      </x:c>
      <x:c r="O79" s="25" t="str">
        <x:v>Gemini-3.8-flash/Result/Closure_11/result.json</x:v>
      </x:c>
      <x:c r="P79"/>
      <x:c r="Q79" s="21" t="str"/>
      <x:c r="R79" s="21" t="str"/>
      <x:c r="S79" s="21" t="str"/>
      <x:c r="T79" s="17" t="str">
        <x:v>false</x:v>
      </x:c>
      <x:c r="U79" s="17" t="str">
        <x:v>true</x:v>
      </x:c>
      <x:c r="V79" s="17" t="str">
        <x:v>false</x:v>
      </x:c>
    </x:row>
    <x:row r="80" ht="80" customHeight="1">
      <x:c r="A80" s="25" t="str">
        <x:v>Closure</x:v>
      </x:c>
      <x:c r="B80" s="25" t="n">
        <x:v>110</x:v>
      </x:c>
      <x:c r="C80" s="25" t="str">
        <x:v>Round1</x:v>
      </x:c>
      <x:c r="D80" s="25" t="str">
        <x:v>NOT_AVAILABLE</x:v>
      </x:c>
      <x:c r="E80" s="25" t="str">
        <x:v>N/A</x:v>
      </x:c>
      <x:c r="F80" s="26" t="str">
        <x:v>Tests exist but current coverage did not complete</x:v>
      </x:c>
      <x:c r="G80" s="25" t="str">
        <x:v>true</x:v>
      </x:c>
      <x:c r="H80" s="25" t="str">
        <x:v>NOT_AVAILABLE</x:v>
      </x:c>
      <x:c r="I80" s="25" t="str">
        <x:v>NOT_RUN</x:v>
      </x:c>
      <x:c r="J80" s="25" t="str">
        <x:v>NOT_RUN</x:v>
      </x:c>
      <x:c r="K80" s="25" t="n">
        <x:v>2</x:v>
      </x:c>
      <x:c r="L80" s="27" t="b">
        <x:v>0</x:v>
      </x:c>
      <x:c r="M80" s="25" t="str">
        <x:v>Gemini-3.8-flash/generation_state.json</x:v>
      </x:c>
      <x:c r="N80" s="25" t="str">
        <x:v>Gemini-3.8-flash/Result/Closure_110/result.json</x:v>
      </x:c>
      <x:c r="O80" s="25" t="str">
        <x:v>Gemini-3.8-flash/Result/Closure_110/result.json</x:v>
      </x:c>
      <x:c r="P80" t="str">
        <x:v>BOTH_NOT_RUN</x:v>
      </x:c>
      <x:c r="Q80" s="21" t="str"/>
      <x:c r="R80" s="21" t="str"/>
      <x:c r="S80" s="21" t="str"/>
      <x:c r="T80" s="17" t="str">
        <x:v>false</x:v>
      </x:c>
      <x:c r="U80" s="17" t="str">
        <x:v>true</x:v>
      </x:c>
      <x:c r="V80" s="17" t="str">
        <x:v>false</x:v>
      </x:c>
    </x:row>
    <x:row r="81" ht="80" customHeight="1">
      <x:c r="A81" s="25" t="str">
        <x:v>Closure</x:v>
      </x:c>
      <x:c r="B81" s="25" t="n">
        <x:v>111</x:v>
      </x:c>
      <x:c r="C81" s="25" t="str">
        <x:v>Round1</x:v>
      </x:c>
      <x:c r="D81" s="25" t="str">
        <x:v>NOT_AVAILABLE</x:v>
      </x:c>
      <x:c r="E81" s="25" t="str">
        <x:v>N/A</x:v>
      </x:c>
      <x:c r="F81" s="26" t="str">
        <x:v>Tests exist but current coverage did not complete</x:v>
      </x:c>
      <x:c r="G81" s="25" t="str">
        <x:v>true</x:v>
      </x:c>
      <x:c r="H81" s="25" t="str">
        <x:v>NOT_AVAILABLE</x:v>
      </x:c>
      <x:c r="I81" s="25" t="str">
        <x:v>NOT_RUN</x:v>
      </x:c>
      <x:c r="J81" s="25" t="str">
        <x:v>NOT_RUN</x:v>
      </x:c>
      <x:c r="K81" s="25" t="n">
        <x:v>1</x:v>
      </x:c>
      <x:c r="L81" s="27" t="b">
        <x:v>0</x:v>
      </x:c>
      <x:c r="M81" s="25" t="str">
        <x:v>Gemini-3.8-flash/generation_state.json</x:v>
      </x:c>
      <x:c r="N81" s="25" t="str">
        <x:v>Gemini-3.8-flash/Result/Closure_111/result.json</x:v>
      </x:c>
      <x:c r="O81" s="25" t="str">
        <x:v>Gemini-3.8-flash/Result/Closure_111/result.json</x:v>
      </x:c>
      <x:c r="P81" t="str">
        <x:v>BOTH_NOT_RUN</x:v>
      </x:c>
      <x:c r="Q81" s="21" t="str"/>
      <x:c r="R81" s="21" t="str"/>
      <x:c r="S81" s="21" t="str"/>
      <x:c r="T81" s="17" t="str">
        <x:v>false</x:v>
      </x:c>
      <x:c r="U81" s="17" t="str">
        <x:v>true</x:v>
      </x:c>
      <x:c r="V81" s="17" t="str">
        <x:v>false</x:v>
      </x:c>
    </x:row>
    <x:row r="82" ht="80" customHeight="1">
      <x:c r="A82" s="25" t="str">
        <x:v>Closure</x:v>
      </x:c>
      <x:c r="B82" s="25" t="n">
        <x:v>112</x:v>
      </x:c>
      <x:c r="C82" s="25" t="str">
        <x:v>Round1</x:v>
      </x:c>
      <x:c r="D82" s="25" t="str">
        <x:v>NOT_AVAILABLE</x:v>
      </x:c>
      <x:c r="E82" s="25" t="str">
        <x:v>N/A</x:v>
      </x:c>
      <x:c r="F82" s="26" t="str">
        <x:v>Tests exist but current coverage did not complete</x:v>
      </x:c>
      <x:c r="G82" s="25" t="str">
        <x:v>true</x:v>
      </x:c>
      <x:c r="H82" s="25" t="str">
        <x:v>NOT_AVAILABLE</x:v>
      </x:c>
      <x:c r="I82" s="25" t="str">
        <x:v>NOT_RUN</x:v>
      </x:c>
      <x:c r="J82" s="25" t="str">
        <x:v>NOT_RUN</x:v>
      </x:c>
      <x:c r="K82" s="25" t="n">
        <x:v>1</x:v>
      </x:c>
      <x:c r="L82" s="27" t="b">
        <x:v>0</x:v>
      </x:c>
      <x:c r="M82" s="25" t="str">
        <x:v>Gemini-3.8-flash/generation_state.json</x:v>
      </x:c>
      <x:c r="N82" s="25" t="str">
        <x:v>Gemini-3.8-flash/Result/Closure_112/result.json</x:v>
      </x:c>
      <x:c r="O82" s="25" t="str">
        <x:v>Gemini-3.8-flash/Result/Closure_112/result.json</x:v>
      </x:c>
      <x:c r="P82" t="str">
        <x:v>BOTH_NOT_RUN</x:v>
      </x:c>
      <x:c r="Q82" s="21" t="str"/>
      <x:c r="R82" s="21" t="str"/>
      <x:c r="S82" s="21" t="str"/>
      <x:c r="T82" s="17" t="str">
        <x:v>false</x:v>
      </x:c>
      <x:c r="U82" s="17" t="str">
        <x:v>true</x:v>
      </x:c>
      <x:c r="V82" s="17" t="str">
        <x:v>false</x:v>
      </x:c>
    </x:row>
    <x:row r="83" ht="80" customHeight="1">
      <x:c r="A83" s="25" t="str">
        <x:v>Closure</x:v>
      </x:c>
      <x:c r="B83" s="25" t="n">
        <x:v>113</x:v>
      </x:c>
      <x:c r="C83" s="25" t="str">
        <x:v>Round1</x:v>
      </x:c>
      <x:c r="D83" s="25" t="str">
        <x:v>NOT_AVAILABLE</x:v>
      </x:c>
      <x:c r="E83" s="25" t="str">
        <x:v>N/A</x:v>
      </x:c>
      <x:c r="F83" s="26" t="str">
        <x:v>Tests exist but current coverage did not complete</x:v>
      </x:c>
      <x:c r="G83" s="25" t="str">
        <x:v>true</x:v>
      </x:c>
      <x:c r="H83" s="25" t="str">
        <x:v>NOT_AVAILABLE</x:v>
      </x:c>
      <x:c r="I83" s="25" t="str">
        <x:v>NOT_RUN</x:v>
      </x:c>
      <x:c r="J83" s="25" t="str">
        <x:v>NOT_RUN</x:v>
      </x:c>
      <x:c r="K83" s="25" t="n">
        <x:v>1</x:v>
      </x:c>
      <x:c r="L83" s="27" t="b">
        <x:v>0</x:v>
      </x:c>
      <x:c r="M83" s="25" t="str">
        <x:v>Gemini-3.8-flash/generation_state.json</x:v>
      </x:c>
      <x:c r="N83" s="25" t="str">
        <x:v>Gemini-3.8-flash/Result/Closure_113/result.json</x:v>
      </x:c>
      <x:c r="O83" s="25" t="str">
        <x:v>Gemini-3.8-flash/Result/Closure_113/result.json</x:v>
      </x:c>
      <x:c r="P83" t="str">
        <x:v>BOTH_NOT_RUN</x:v>
      </x:c>
      <x:c r="Q83" s="21" t="str"/>
      <x:c r="R83" s="21" t="str"/>
      <x:c r="S83" s="21" t="str"/>
      <x:c r="T83" s="17" t="str">
        <x:v>false</x:v>
      </x:c>
      <x:c r="U83" s="17" t="str">
        <x:v>true</x:v>
      </x:c>
      <x:c r="V83" s="17" t="str">
        <x:v>false</x:v>
      </x:c>
    </x:row>
    <x:row r="84" ht="80" customHeight="1">
      <x:c r="A84" s="25" t="str">
        <x:v>Closure</x:v>
      </x:c>
      <x:c r="B84" s="25" t="n">
        <x:v>114</x:v>
      </x:c>
      <x:c r="C84" s="25" t="str">
        <x:v>Round1</x:v>
      </x:c>
      <x:c r="D84" s="25" t="str">
        <x:v>NOT_AVAILABLE</x:v>
      </x:c>
      <x:c r="E84" s="25" t="str">
        <x:v>N/A</x:v>
      </x:c>
      <x:c r="F84" s="26" t="str">
        <x:v>Tests exist but current coverage did not complete</x:v>
      </x:c>
      <x:c r="G84" s="25" t="str">
        <x:v>true</x:v>
      </x:c>
      <x:c r="H84" s="25" t="str">
        <x:v>NOT_AVAILABLE</x:v>
      </x:c>
      <x:c r="I84" s="25" t="str">
        <x:v>NOT_RUN</x:v>
      </x:c>
      <x:c r="J84" s="25" t="str">
        <x:v>NOT_RUN</x:v>
      </x:c>
      <x:c r="K84" s="25" t="n">
        <x:v>1</x:v>
      </x:c>
      <x:c r="L84" s="27" t="b">
        <x:v>0</x:v>
      </x:c>
      <x:c r="M84" s="25" t="str">
        <x:v>Gemini-3.8-flash/generation_state.json</x:v>
      </x:c>
      <x:c r="N84" s="25" t="str">
        <x:v>Gemini-3.8-flash/Result/Closure_114/result.json</x:v>
      </x:c>
      <x:c r="O84" s="25" t="str">
        <x:v>Gemini-3.8-flash/Result/Closure_114/result.json</x:v>
      </x:c>
      <x:c r="P84" t="str">
        <x:v>BOTH_NOT_RUN</x:v>
      </x:c>
      <x:c r="Q84" s="21" t="str"/>
      <x:c r="R84" s="21" t="str"/>
      <x:c r="S84" s="21" t="str"/>
      <x:c r="T84" s="17" t="str">
        <x:v>false</x:v>
      </x:c>
      <x:c r="U84" s="17" t="str">
        <x:v>true</x:v>
      </x:c>
      <x:c r="V84" s="17" t="str">
        <x:v>false</x:v>
      </x:c>
    </x:row>
    <x:row r="85" ht="80" customHeight="1">
      <x:c r="A85" s="25" t="str">
        <x:v>Closure</x:v>
      </x:c>
      <x:c r="B85" s="25" t="n">
        <x:v>115</x:v>
      </x:c>
      <x:c r="C85" s="25" t="str">
        <x:v>Round1</x:v>
      </x:c>
      <x:c r="D85" s="25" t="str">
        <x:v>NOT_AVAILABLE</x:v>
      </x:c>
      <x:c r="E85" s="25" t="str">
        <x:v>N/A</x:v>
      </x:c>
      <x:c r="F85" s="26" t="str">
        <x:v>Tests exist but current coverage did not complete</x:v>
      </x:c>
      <x:c r="G85" s="25" t="str">
        <x:v>true</x:v>
      </x:c>
      <x:c r="H85" s="25" t="str">
        <x:v>NOT_AVAILABLE</x:v>
      </x:c>
      <x:c r="I85" s="25" t="str">
        <x:v>NOT_RUN</x:v>
      </x:c>
      <x:c r="J85" s="25" t="str">
        <x:v>NOT_RUN</x:v>
      </x:c>
      <x:c r="K85" s="25" t="n">
        <x:v>1</x:v>
      </x:c>
      <x:c r="L85" s="27" t="b">
        <x:v>0</x:v>
      </x:c>
      <x:c r="M85" s="25" t="str">
        <x:v>Gemini-3.8-flash/generation_state.json</x:v>
      </x:c>
      <x:c r="N85" s="25" t="str">
        <x:v>Gemini-3.8-flash/Result/Closure_115/result.json</x:v>
      </x:c>
      <x:c r="O85" s="25" t="str">
        <x:v>Gemini-3.8-flash/Result/Closure_115/result.json</x:v>
      </x:c>
      <x:c r="P85" t="str">
        <x:v>BOTH_NOT_RUN</x:v>
      </x:c>
      <x:c r="Q85" s="21" t="str"/>
      <x:c r="R85" s="21" t="str"/>
      <x:c r="S85" s="21" t="str"/>
      <x:c r="T85" s="17" t="str">
        <x:v>false</x:v>
      </x:c>
      <x:c r="U85" s="17" t="str">
        <x:v>true</x:v>
      </x:c>
      <x:c r="V85" s="17" t="str">
        <x:v>false</x:v>
      </x:c>
    </x:row>
    <x:row r="86" ht="80" customHeight="1">
      <x:c r="A86" s="25" t="str">
        <x:v>Closure</x:v>
      </x:c>
      <x:c r="B86" s="25" t="n">
        <x:v>116</x:v>
      </x:c>
      <x:c r="C86" s="25" t="str">
        <x:v>Round1</x:v>
      </x:c>
      <x:c r="D86" s="25" t="str">
        <x:v>NOT_AVAILABLE</x:v>
      </x:c>
      <x:c r="E86" s="25" t="str">
        <x:v>N/A</x:v>
      </x:c>
      <x:c r="F86" s="26" t="str">
        <x:v>Tests exist but current coverage did not complete</x:v>
      </x:c>
      <x:c r="G86" s="25" t="str">
        <x:v>true</x:v>
      </x:c>
      <x:c r="H86" s="25" t="str">
        <x:v>NOT_AVAILABLE</x:v>
      </x:c>
      <x:c r="I86" s="25" t="str">
        <x:v>NOT_RUN</x:v>
      </x:c>
      <x:c r="J86" s="25" t="str">
        <x:v>NOT_RUN</x:v>
      </x:c>
      <x:c r="K86" s="25" t="n">
        <x:v>1</x:v>
      </x:c>
      <x:c r="L86" s="27" t="b">
        <x:v>0</x:v>
      </x:c>
      <x:c r="M86" s="25" t="str">
        <x:v>Gemini-3.8-flash/generation_state.json</x:v>
      </x:c>
      <x:c r="N86" s="25" t="str">
        <x:v>Gemini-3.8-flash/Result/Closure_116/result.json</x:v>
      </x:c>
      <x:c r="O86" s="25" t="str">
        <x:v>Gemini-3.8-flash/Result/Closure_116/result.json</x:v>
      </x:c>
      <x:c r="P86" t="str">
        <x:v>BOTH_NOT_RUN</x:v>
      </x:c>
      <x:c r="Q86" s="21" t="str"/>
      <x:c r="R86" s="21" t="str"/>
      <x:c r="S86" s="21" t="str"/>
      <x:c r="T86" s="17" t="str">
        <x:v>false</x:v>
      </x:c>
      <x:c r="U86" s="17" t="str">
        <x:v>true</x:v>
      </x:c>
      <x:c r="V86" s="17" t="str">
        <x:v>false</x:v>
      </x:c>
    </x:row>
    <x:row r="87" ht="80" customHeight="1">
      <x:c r="A87" s="25" t="str">
        <x:v>Closure</x:v>
      </x:c>
      <x:c r="B87" s="25" t="n">
        <x:v>117</x:v>
      </x:c>
      <x:c r="C87" s="25" t="str">
        <x:v>Round1</x:v>
      </x:c>
      <x:c r="D87" s="25" t="str">
        <x:v>NOT_AVAILABLE</x:v>
      </x:c>
      <x:c r="E87" s="25" t="str">
        <x:v>N/A</x:v>
      </x:c>
      <x:c r="F87" s="26" t="str">
        <x:v>Tests exist but current coverage did not complete</x:v>
      </x:c>
      <x:c r="G87" s="25" t="str">
        <x:v>true</x:v>
      </x:c>
      <x:c r="H87" s="25" t="str">
        <x:v>NOT_AVAILABLE</x:v>
      </x:c>
      <x:c r="I87" s="25" t="str">
        <x:v>NOT_RUN</x:v>
      </x:c>
      <x:c r="J87" s="25" t="str">
        <x:v>NOT_RUN</x:v>
      </x:c>
      <x:c r="K87" s="25" t="n">
        <x:v>1</x:v>
      </x:c>
      <x:c r="L87" s="27" t="b">
        <x:v>0</x:v>
      </x:c>
      <x:c r="M87" s="25" t="str">
        <x:v>Gemini-3.8-flash/generation_state.json</x:v>
      </x:c>
      <x:c r="N87" s="25" t="str">
        <x:v>Gemini-3.8-flash/Result/Closure_117/result.json</x:v>
      </x:c>
      <x:c r="O87" s="25" t="str">
        <x:v>Gemini-3.8-flash/Result/Closure_117/result.json</x:v>
      </x:c>
      <x:c r="P87" t="str">
        <x:v>BOTH_NOT_RUN</x:v>
      </x:c>
      <x:c r="Q87" s="21" t="str"/>
      <x:c r="R87" s="21" t="str"/>
      <x:c r="S87" s="21" t="str"/>
      <x:c r="T87" s="17" t="str">
        <x:v>false</x:v>
      </x:c>
      <x:c r="U87" s="17" t="str">
        <x:v>true</x:v>
      </x:c>
      <x:c r="V87" s="17" t="str">
        <x:v>false</x:v>
      </x:c>
    </x:row>
    <x:row r="88" ht="80" customHeight="1">
      <x:c r="A88" s="25" t="str">
        <x:v>Closure</x:v>
      </x:c>
      <x:c r="B88" s="25" t="n">
        <x:v>118</x:v>
      </x:c>
      <x:c r="C88" s="25" t="str">
        <x:v>Round1</x:v>
      </x:c>
      <x:c r="D88" s="25" t="str">
        <x:v>NOT_AVAILABLE</x:v>
      </x:c>
      <x:c r="E88" s="25" t="str">
        <x:v>N/A</x:v>
      </x:c>
      <x:c r="F88" s="26" t="str">
        <x:v>Tests exist but current coverage did not complete</x:v>
      </x:c>
      <x:c r="G88" s="25" t="str">
        <x:v>true</x:v>
      </x:c>
      <x:c r="H88" s="25" t="str">
        <x:v>NOT_AVAILABLE</x:v>
      </x:c>
      <x:c r="I88" s="25" t="str">
        <x:v>NOT_RUN</x:v>
      </x:c>
      <x:c r="J88" s="25" t="str">
        <x:v>NOT_RUN</x:v>
      </x:c>
      <x:c r="K88" s="25" t="n">
        <x:v>1</x:v>
      </x:c>
      <x:c r="L88" s="27" t="b">
        <x:v>0</x:v>
      </x:c>
      <x:c r="M88" s="25" t="str">
        <x:v>Gemini-3.8-flash/generation_state.json</x:v>
      </x:c>
      <x:c r="N88" s="25" t="str">
        <x:v>Gemini-3.8-flash/Result/Closure_118/result.json</x:v>
      </x:c>
      <x:c r="O88" s="25" t="str">
        <x:v>Gemini-3.8-flash/Result/Closure_118/result.json</x:v>
      </x:c>
      <x:c r="P88" t="str">
        <x:v>BOTH_NOT_RUN</x:v>
      </x:c>
      <x:c r="Q88" s="21" t="str"/>
      <x:c r="R88" s="21" t="str"/>
      <x:c r="S88" s="21" t="str"/>
      <x:c r="T88" s="17" t="str">
        <x:v>false</x:v>
      </x:c>
      <x:c r="U88" s="17" t="str">
        <x:v>true</x:v>
      </x:c>
      <x:c r="V88" s="17" t="str">
        <x:v>false</x:v>
      </x:c>
    </x:row>
    <x:row r="89" ht="80" customHeight="1">
      <x:c r="A89" s="25" t="str">
        <x:v>Closure</x:v>
      </x:c>
      <x:c r="B89" s="25" t="n">
        <x:v>119</x:v>
      </x:c>
      <x:c r="C89" s="25" t="str">
        <x:v>Round1</x:v>
      </x:c>
      <x:c r="D89" s="25" t="str">
        <x:v>INCONCLUSIVE</x:v>
      </x:c>
      <x:c r="E89" s="25" t="str">
        <x:v>N/A</x:v>
      </x:c>
      <x:c r="F89" s="26" t="str">
        <x:v>Fixed also failed; assertion failure cannot be attributed to this bug</x:v>
      </x:c>
      <x:c r="G89" s="25" t="str">
        <x:v>true</x:v>
      </x:c>
      <x:c r="H89" s="25" t="str">
        <x:v>INCONCLUSIVE</x:v>
      </x:c>
      <x:c r="I89" s="25" t="str">
        <x:v>FAIL</x:v>
      </x:c>
      <x:c r="J89" s="25" t="str">
        <x:v>FAIL</x:v>
      </x:c>
      <x:c r="K89" s="25" t="n">
        <x:v>1</x:v>
      </x:c>
      <x:c r="L89" s="27" t="b">
        <x:v>0</x:v>
      </x:c>
      <x:c r="M89" s="25" t="str">
        <x:v>Gemini-3.8-flash/generation_state.json</x:v>
      </x:c>
      <x:c r="N89" s="25" t="str">
        <x:v>Gemini-3.8-flash/Result/Closure_119/result.json</x:v>
      </x:c>
      <x:c r="O89" s="25" t="str">
        <x:v>Gemini-3.8-flash/Result/Closure_119/result.json</x:v>
      </x:c>
      <x:c r="P89"/>
      <x:c r="Q89" s="21" t="str"/>
      <x:c r="R89" s="21" t="str"/>
      <x:c r="S89" s="21" t="str"/>
      <x:c r="T89" s="17" t="str">
        <x:v>false</x:v>
      </x:c>
      <x:c r="U89" s="17" t="str">
        <x:v>true</x:v>
      </x:c>
      <x:c r="V89" s="17" t="str">
        <x:v>false</x:v>
      </x:c>
    </x:row>
    <x:row r="90" ht="80" customHeight="1">
      <x:c r="A90" s="25" t="str">
        <x:v>Closure</x:v>
      </x:c>
      <x:c r="B90" s="25" t="n">
        <x:v>12</x:v>
      </x:c>
      <x:c r="C90" s="25" t="str">
        <x:v>Round1</x:v>
      </x:c>
      <x:c r="D90" s="25" t="str">
        <x:v>INCONCLUSIVE</x:v>
      </x:c>
      <x:c r="E90" s="25" t="str">
        <x:v>N/A</x:v>
      </x:c>
      <x:c r="F90" s="26" t="str">
        <x:v>Fixed also failed; assertion failure cannot be attributed to this bug</x:v>
      </x:c>
      <x:c r="G90" s="25" t="str">
        <x:v>true</x:v>
      </x:c>
      <x:c r="H90" s="25" t="str">
        <x:v>INCONCLUSIVE</x:v>
      </x:c>
      <x:c r="I90" s="25" t="str">
        <x:v>FAIL</x:v>
      </x:c>
      <x:c r="J90" s="25" t="str">
        <x:v>FAIL</x:v>
      </x:c>
      <x:c r="K90" s="25" t="n">
        <x:v>1</x:v>
      </x:c>
      <x:c r="L90" s="27" t="b">
        <x:v>0</x:v>
      </x:c>
      <x:c r="M90" s="25" t="str">
        <x:v>Gemini-3.8-flash/generation_state.json</x:v>
      </x:c>
      <x:c r="N90" s="25" t="str">
        <x:v>Gemini-3.8-flash/Result/Closure_12/result.json</x:v>
      </x:c>
      <x:c r="O90" s="25" t="str">
        <x:v>Gemini-3.8-flash/Result/Closure_12/result.json</x:v>
      </x:c>
      <x:c r="P90"/>
      <x:c r="Q90" s="21" t="str"/>
      <x:c r="R90" s="21" t="str"/>
      <x:c r="S90" s="21" t="str"/>
      <x:c r="T90" s="17" t="str">
        <x:v>false</x:v>
      </x:c>
      <x:c r="U90" s="17" t="str">
        <x:v>true</x:v>
      </x:c>
      <x:c r="V90" s="17" t="str">
        <x:v>false</x:v>
      </x:c>
    </x:row>
    <x:row r="91" ht="80" customHeight="1">
      <x:c r="A91" s="25" t="str">
        <x:v>Closure</x:v>
      </x:c>
      <x:c r="B91" s="25" t="n">
        <x:v>120</x:v>
      </x:c>
      <x:c r="C91" s="25" t="str">
        <x:v>Round1</x:v>
      </x:c>
      <x:c r="D91" s="25" t="str">
        <x:v>NOT_AVAILABLE</x:v>
      </x:c>
      <x:c r="E91" s="25" t="str">
        <x:v>N/A</x:v>
      </x:c>
      <x:c r="F91" s="26" t="str">
        <x:v>Tests exist but current coverage did not complete</x:v>
      </x:c>
      <x:c r="G91" s="25" t="str">
        <x:v>true</x:v>
      </x:c>
      <x:c r="H91" s="25" t="str">
        <x:v>NOT_AVAILABLE</x:v>
      </x:c>
      <x:c r="I91" s="25" t="str">
        <x:v>NOT_RUN</x:v>
      </x:c>
      <x:c r="J91" s="25" t="str">
        <x:v>NOT_RUN</x:v>
      </x:c>
      <x:c r="K91" s="25" t="n">
        <x:v>1</x:v>
      </x:c>
      <x:c r="L91" s="27" t="b">
        <x:v>0</x:v>
      </x:c>
      <x:c r="M91" s="25" t="str">
        <x:v>Gemini-3.8-flash/generation_state.json</x:v>
      </x:c>
      <x:c r="N91" s="25" t="str">
        <x:v>Gemini-3.8-flash/Result/Closure_120/result.json</x:v>
      </x:c>
      <x:c r="O91" s="25" t="str">
        <x:v>Gemini-3.8-flash/Result/Closure_120/result.json</x:v>
      </x:c>
      <x:c r="P91" t="str">
        <x:v>BOTH_NOT_RUN</x:v>
      </x:c>
      <x:c r="Q91" s="21" t="str"/>
      <x:c r="R91" s="21" t="str"/>
      <x:c r="S91" s="21" t="str"/>
      <x:c r="T91" s="17" t="str">
        <x:v>false</x:v>
      </x:c>
      <x:c r="U91" s="17" t="str">
        <x:v>true</x:v>
      </x:c>
      <x:c r="V91" s="17" t="str">
        <x:v>false</x:v>
      </x:c>
    </x:row>
    <x:row r="92" ht="80" customHeight="1">
      <x:c r="A92" s="25" t="str">
        <x:v>Closure</x:v>
      </x:c>
      <x:c r="B92" s="25" t="n">
        <x:v>121</x:v>
      </x:c>
      <x:c r="C92" s="25" t="str">
        <x:v>Round1</x:v>
      </x:c>
      <x:c r="D92" s="25" t="str">
        <x:v>INCONCLUSIVE</x:v>
      </x:c>
      <x:c r="E92" s="25" t="str">
        <x:v>N/A</x:v>
      </x:c>
      <x:c r="F92" s="26" t="str">
        <x:v>Fixed also failed; assertion failure cannot be attributed to this bug</x:v>
      </x:c>
      <x:c r="G92" s="25" t="str">
        <x:v>true</x:v>
      </x:c>
      <x:c r="H92" s="25" t="str">
        <x:v>INCONCLUSIVE</x:v>
      </x:c>
      <x:c r="I92" s="25" t="str">
        <x:v>FAIL</x:v>
      </x:c>
      <x:c r="J92" s="25" t="str">
        <x:v>FAIL</x:v>
      </x:c>
      <x:c r="K92" s="25" t="n">
        <x:v>1</x:v>
      </x:c>
      <x:c r="L92" s="27" t="b">
        <x:v>0</x:v>
      </x:c>
      <x:c r="M92" s="25" t="str">
        <x:v>Gemini-3.8-flash/generation_state.json</x:v>
      </x:c>
      <x:c r="N92" s="25" t="str">
        <x:v>Gemini-3.8-flash/Result/Closure_121/result.json</x:v>
      </x:c>
      <x:c r="O92" s="25" t="str">
        <x:v>Gemini-3.8-flash/Result/Closure_121/result.json</x:v>
      </x:c>
      <x:c r="P92"/>
      <x:c r="Q92" s="21" t="str"/>
      <x:c r="R92" s="21" t="str"/>
      <x:c r="S92" s="21" t="str"/>
      <x:c r="T92" s="17" t="str">
        <x:v>false</x:v>
      </x:c>
      <x:c r="U92" s="17" t="str">
        <x:v>true</x:v>
      </x:c>
      <x:c r="V92" s="17" t="str">
        <x:v>false</x:v>
      </x:c>
    </x:row>
    <x:row r="93" ht="80" customHeight="1">
      <x:c r="A93" s="25" t="str">
        <x:v>Closure</x:v>
      </x:c>
      <x:c r="B93" s="25" t="n">
        <x:v>122</x:v>
      </x:c>
      <x:c r="C93" s="25" t="str">
        <x:v>Round1</x:v>
      </x:c>
      <x:c r="D93" s="25" t="str">
        <x:v>NOT_AVAILABLE</x:v>
      </x:c>
      <x:c r="E93" s="25" t="str">
        <x:v>N/A</x:v>
      </x:c>
      <x:c r="F93" s="26" t="str">
        <x:v>Tests exist but current coverage did not complete</x:v>
      </x:c>
      <x:c r="G93" s="25" t="str">
        <x:v>true</x:v>
      </x:c>
      <x:c r="H93" s="25" t="str">
        <x:v>NOT_AVAILABLE</x:v>
      </x:c>
      <x:c r="I93" s="25" t="str">
        <x:v>NOT_RUN</x:v>
      </x:c>
      <x:c r="J93" s="25" t="str">
        <x:v>NOT_RUN</x:v>
      </x:c>
      <x:c r="K93" s="25" t="n">
        <x:v>1</x:v>
      </x:c>
      <x:c r="L93" s="27" t="b">
        <x:v>0</x:v>
      </x:c>
      <x:c r="M93" s="25" t="str">
        <x:v>Gemini-3.8-flash/generation_state.json</x:v>
      </x:c>
      <x:c r="N93" s="25" t="str">
        <x:v>Gemini-3.8-flash/Result/Closure_122/result.json</x:v>
      </x:c>
      <x:c r="O93" s="25" t="str">
        <x:v>Gemini-3.8-flash/Result/Closure_122/result.json</x:v>
      </x:c>
      <x:c r="P93" t="str">
        <x:v>BOTH_NOT_RUN</x:v>
      </x:c>
      <x:c r="Q93" s="21" t="str"/>
      <x:c r="R93" s="21" t="str"/>
      <x:c r="S93" s="21" t="str"/>
      <x:c r="T93" s="17" t="str">
        <x:v>false</x:v>
      </x:c>
      <x:c r="U93" s="17" t="str">
        <x:v>true</x:v>
      </x:c>
      <x:c r="V93" s="17" t="str">
        <x:v>false</x:v>
      </x:c>
    </x:row>
    <x:row r="94" ht="80" customHeight="1">
      <x:c r="A94" s="25" t="str">
        <x:v>Closure</x:v>
      </x:c>
      <x:c r="B94" s="25" t="n">
        <x:v>123</x:v>
      </x:c>
      <x:c r="C94" s="25" t="str">
        <x:v>Round1</x:v>
      </x:c>
      <x:c r="D94" s="25" t="str">
        <x:v>NOT_AVAILABLE</x:v>
      </x:c>
      <x:c r="E94" s="25" t="str">
        <x:v>N/A</x:v>
      </x:c>
      <x:c r="F94" s="26" t="str">
        <x:v>Tests exist but current coverage did not complete</x:v>
      </x:c>
      <x:c r="G94" s="25" t="str">
        <x:v>true</x:v>
      </x:c>
      <x:c r="H94" s="25" t="str">
        <x:v>NOT_AVAILABLE</x:v>
      </x:c>
      <x:c r="I94" s="25" t="str">
        <x:v>NOT_RUN</x:v>
      </x:c>
      <x:c r="J94" s="25" t="str">
        <x:v>NOT_RUN</x:v>
      </x:c>
      <x:c r="K94" s="25" t="n">
        <x:v>1</x:v>
      </x:c>
      <x:c r="L94" s="27" t="b">
        <x:v>0</x:v>
      </x:c>
      <x:c r="M94" s="25" t="str">
        <x:v>Gemini-3.8-flash/generation_state.json</x:v>
      </x:c>
      <x:c r="N94" s="25" t="str">
        <x:v>Gemini-3.8-flash/Result/Closure_123/result.json</x:v>
      </x:c>
      <x:c r="O94" s="25" t="str">
        <x:v>Gemini-3.8-flash/Result/Closure_123/result.json</x:v>
      </x:c>
      <x:c r="P94" t="str">
        <x:v>BOTH_NOT_RUN</x:v>
      </x:c>
      <x:c r="Q94" s="21" t="str"/>
      <x:c r="R94" s="21" t="str"/>
      <x:c r="S94" s="21" t="str"/>
      <x:c r="T94" s="17" t="str">
        <x:v>false</x:v>
      </x:c>
      <x:c r="U94" s="17" t="str">
        <x:v>true</x:v>
      </x:c>
      <x:c r="V94" s="17" t="str">
        <x:v>false</x:v>
      </x:c>
    </x:row>
    <x:row r="95" ht="80" customHeight="1">
      <x:c r="A95" s="25" t="str">
        <x:v>Closure</x:v>
      </x:c>
      <x:c r="B95" s="25" t="n">
        <x:v>124</x:v>
      </x:c>
      <x:c r="C95" s="25" t="str">
        <x:v>Round1</x:v>
      </x:c>
      <x:c r="D95" s="25" t="str">
        <x:v>NOT_AVAILABLE</x:v>
      </x:c>
      <x:c r="E95" s="25" t="str">
        <x:v>N/A</x:v>
      </x:c>
      <x:c r="F95" s="26" t="str">
        <x:v>Tests exist but current coverage did not complete</x:v>
      </x:c>
      <x:c r="G95" s="25" t="str">
        <x:v>true</x:v>
      </x:c>
      <x:c r="H95" s="25" t="str">
        <x:v>NOT_AVAILABLE</x:v>
      </x:c>
      <x:c r="I95" s="25" t="str">
        <x:v>NOT_RUN</x:v>
      </x:c>
      <x:c r="J95" s="25" t="str">
        <x:v>NOT_RUN</x:v>
      </x:c>
      <x:c r="K95" s="25" t="n">
        <x:v>1</x:v>
      </x:c>
      <x:c r="L95" s="27" t="b">
        <x:v>0</x:v>
      </x:c>
      <x:c r="M95" s="25" t="str">
        <x:v>Gemini-3.8-flash/generation_state.json</x:v>
      </x:c>
      <x:c r="N95" s="25" t="str">
        <x:v>Gemini-3.8-flash/Result/Closure_124/result.json</x:v>
      </x:c>
      <x:c r="O95" s="25" t="str">
        <x:v>Gemini-3.8-flash/Result/Closure_124/result.json</x:v>
      </x:c>
      <x:c r="P95" t="str">
        <x:v>BOTH_NOT_RUN</x:v>
      </x:c>
      <x:c r="Q95" s="21" t="str"/>
      <x:c r="R95" s="21" t="str"/>
      <x:c r="S95" s="21" t="str"/>
      <x:c r="T95" s="17" t="str">
        <x:v>false</x:v>
      </x:c>
      <x:c r="U95" s="17" t="str">
        <x:v>true</x:v>
      </x:c>
      <x:c r="V95" s="17" t="str">
        <x:v>false</x:v>
      </x:c>
    </x:row>
    <x:row r="96" ht="80" customHeight="1">
      <x:c r="A96" s="25" t="str">
        <x:v>Closure</x:v>
      </x:c>
      <x:c r="B96" s="25" t="n">
        <x:v>125</x:v>
      </x:c>
      <x:c r="C96" s="25" t="str">
        <x:v>Round1</x:v>
      </x:c>
      <x:c r="D96" s="25" t="str">
        <x:v>NOT_AVAILABLE</x:v>
      </x:c>
      <x:c r="E96" s="25" t="str">
        <x:v>N/A</x:v>
      </x:c>
      <x:c r="F96" s="26" t="str">
        <x:v>Tests exist but current coverage did not complete</x:v>
      </x:c>
      <x:c r="G96" s="25" t="str">
        <x:v>true</x:v>
      </x:c>
      <x:c r="H96" s="25" t="str">
        <x:v>NOT_AVAILABLE</x:v>
      </x:c>
      <x:c r="I96" s="25" t="str">
        <x:v>NOT_RUN</x:v>
      </x:c>
      <x:c r="J96" s="25" t="str">
        <x:v>NOT_RUN</x:v>
      </x:c>
      <x:c r="K96" s="25" t="n">
        <x:v>1</x:v>
      </x:c>
      <x:c r="L96" s="27" t="b">
        <x:v>0</x:v>
      </x:c>
      <x:c r="M96" s="25" t="str">
        <x:v>Gemini-3.8-flash/generation_state.json</x:v>
      </x:c>
      <x:c r="N96" s="25" t="str">
        <x:v>Gemini-3.8-flash/Result/Closure_125/result.json</x:v>
      </x:c>
      <x:c r="O96" s="25" t="str">
        <x:v>Gemini-3.8-flash/Result/Closure_125/result.json</x:v>
      </x:c>
      <x:c r="P96" t="str">
        <x:v>BOTH_NOT_RUN</x:v>
      </x:c>
      <x:c r="Q96" s="21" t="str"/>
      <x:c r="R96" s="21" t="str"/>
      <x:c r="S96" s="21" t="str"/>
      <x:c r="T96" s="17" t="str">
        <x:v>false</x:v>
      </x:c>
      <x:c r="U96" s="17" t="str">
        <x:v>true</x:v>
      </x:c>
      <x:c r="V96" s="17" t="str">
        <x:v>false</x:v>
      </x:c>
    </x:row>
    <x:row r="97" ht="80" customHeight="1">
      <x:c r="A97" s="25" t="str">
        <x:v>Closure</x:v>
      </x:c>
      <x:c r="B97" s="25" t="n">
        <x:v>126</x:v>
      </x:c>
      <x:c r="C97" s="25" t="str">
        <x:v>Round1</x:v>
      </x:c>
      <x:c r="D97" s="25" t="str">
        <x:v>NOT_AVAILABLE</x:v>
      </x:c>
      <x:c r="E97" s="25" t="str">
        <x:v>N/A</x:v>
      </x:c>
      <x:c r="F97" s="26" t="str">
        <x:v>Tests exist but current coverage did not complete</x:v>
      </x:c>
      <x:c r="G97" s="25" t="str">
        <x:v>true</x:v>
      </x:c>
      <x:c r="H97" s="25" t="str">
        <x:v>NOT_AVAILABLE</x:v>
      </x:c>
      <x:c r="I97" s="25" t="str">
        <x:v>NOT_RUN</x:v>
      </x:c>
      <x:c r="J97" s="25" t="str">
        <x:v>NOT_RUN</x:v>
      </x:c>
      <x:c r="K97" s="25" t="n">
        <x:v>1</x:v>
      </x:c>
      <x:c r="L97" s="27" t="b">
        <x:v>0</x:v>
      </x:c>
      <x:c r="M97" s="25" t="str">
        <x:v>Gemini-3.8-flash/generation_state.json</x:v>
      </x:c>
      <x:c r="N97" s="25" t="str">
        <x:v>Gemini-3.8-flash/Result/Closure_126/result.json</x:v>
      </x:c>
      <x:c r="O97" s="25" t="str">
        <x:v>Gemini-3.8-flash/Result/Closure_126/result.json</x:v>
      </x:c>
      <x:c r="P97" t="str">
        <x:v>BOTH_NOT_RUN</x:v>
      </x:c>
      <x:c r="Q97" s="21" t="str"/>
      <x:c r="R97" s="21" t="str"/>
      <x:c r="S97" s="21" t="str"/>
      <x:c r="T97" s="17" t="str">
        <x:v>false</x:v>
      </x:c>
      <x:c r="U97" s="17" t="str">
        <x:v>true</x:v>
      </x:c>
      <x:c r="V97" s="17" t="str">
        <x:v>false</x:v>
      </x:c>
    </x:row>
    <x:row r="98" ht="80" customHeight="1">
      <x:c r="A98" s="25" t="str">
        <x:v>Closure</x:v>
      </x:c>
      <x:c r="B98" s="25" t="n">
        <x:v>127</x:v>
      </x:c>
      <x:c r="C98" s="25" t="str">
        <x:v>Round1</x:v>
      </x:c>
      <x:c r="D98" s="25" t="str">
        <x:v>NOT_AVAILABLE</x:v>
      </x:c>
      <x:c r="E98" s="25" t="str">
        <x:v>N/A</x:v>
      </x:c>
      <x:c r="F98" s="26" t="str">
        <x:v>Tests exist but current coverage did not complete</x:v>
      </x:c>
      <x:c r="G98" s="25" t="str">
        <x:v>true</x:v>
      </x:c>
      <x:c r="H98" s="25" t="str">
        <x:v>NOT_AVAILABLE</x:v>
      </x:c>
      <x:c r="I98" s="25" t="str">
        <x:v>NOT_RUN</x:v>
      </x:c>
      <x:c r="J98" s="25" t="str">
        <x:v>NOT_RUN</x:v>
      </x:c>
      <x:c r="K98" s="25" t="n">
        <x:v>1</x:v>
      </x:c>
      <x:c r="L98" s="27" t="b">
        <x:v>0</x:v>
      </x:c>
      <x:c r="M98" s="25" t="str">
        <x:v>Gemini-3.8-flash/generation_state.json</x:v>
      </x:c>
      <x:c r="N98" s="25" t="str">
        <x:v>Gemini-3.8-flash/Result/Closure_127/result.json</x:v>
      </x:c>
      <x:c r="O98" s="25" t="str">
        <x:v>Gemini-3.8-flash/Result/Closure_127/result.json</x:v>
      </x:c>
      <x:c r="P98" t="str">
        <x:v>BOTH_NOT_RUN</x:v>
      </x:c>
      <x:c r="Q98" s="21" t="str"/>
      <x:c r="R98" s="21" t="str"/>
      <x:c r="S98" s="21" t="str"/>
      <x:c r="T98" s="17" t="str">
        <x:v>false</x:v>
      </x:c>
      <x:c r="U98" s="17" t="str">
        <x:v>true</x:v>
      </x:c>
      <x:c r="V98" s="17" t="str">
        <x:v>false</x:v>
      </x:c>
    </x:row>
    <x:row r="99" ht="80" customHeight="1">
      <x:c r="A99" s="25" t="str">
        <x:v>Closure</x:v>
      </x:c>
      <x:c r="B99" s="25" t="n">
        <x:v>128</x:v>
      </x:c>
      <x:c r="C99" s="25" t="str">
        <x:v>Round1</x:v>
      </x:c>
      <x:c r="D99" s="25" t="str">
        <x:v>NOT_AVAILABLE</x:v>
      </x:c>
      <x:c r="E99" s="25" t="str">
        <x:v>N/A</x:v>
      </x:c>
      <x:c r="F99" s="26" t="str">
        <x:v>Tests exist but current coverage did not complete</x:v>
      </x:c>
      <x:c r="G99" s="25" t="str">
        <x:v>true</x:v>
      </x:c>
      <x:c r="H99" s="25" t="str">
        <x:v>NOT_AVAILABLE</x:v>
      </x:c>
      <x:c r="I99" s="25" t="str">
        <x:v>NOT_RUN</x:v>
      </x:c>
      <x:c r="J99" s="25" t="str">
        <x:v>NOT_RUN</x:v>
      </x:c>
      <x:c r="K99" s="25" t="n">
        <x:v>1</x:v>
      </x:c>
      <x:c r="L99" s="27" t="b">
        <x:v>0</x:v>
      </x:c>
      <x:c r="M99" s="25" t="str">
        <x:v>Gemini-3.8-flash/generation_state.json</x:v>
      </x:c>
      <x:c r="N99" s="25" t="str">
        <x:v>Gemini-3.8-flash/Result/Closure_128/result.json</x:v>
      </x:c>
      <x:c r="O99" s="25" t="str">
        <x:v>Gemini-3.8-flash/Result/Closure_128/result.json</x:v>
      </x:c>
      <x:c r="P99" t="str">
        <x:v>BOTH_NOT_RUN</x:v>
      </x:c>
      <x:c r="Q99" s="21" t="str"/>
      <x:c r="R99" s="21" t="str"/>
      <x:c r="S99" s="21" t="str"/>
      <x:c r="T99" s="17" t="str">
        <x:v>false</x:v>
      </x:c>
      <x:c r="U99" s="17" t="str">
        <x:v>true</x:v>
      </x:c>
      <x:c r="V99" s="17" t="str">
        <x:v>false</x:v>
      </x:c>
    </x:row>
    <x:row r="100" ht="80" customHeight="1">
      <x:c r="A100" s="25" t="str">
        <x:v>Closure</x:v>
      </x:c>
      <x:c r="B100" s="25" t="n">
        <x:v>129</x:v>
      </x:c>
      <x:c r="C100" s="25" t="str">
        <x:v>Round1</x:v>
      </x:c>
      <x:c r="D100" s="25" t="str">
        <x:v>NOT_AVAILABLE</x:v>
      </x:c>
      <x:c r="E100" s="25" t="str">
        <x:v>N/A</x:v>
      </x:c>
      <x:c r="F100" s="26" t="str">
        <x:v>Tests exist but current coverage did not complete</x:v>
      </x:c>
      <x:c r="G100" s="25" t="str">
        <x:v>true</x:v>
      </x:c>
      <x:c r="H100" s="25" t="str">
        <x:v>NOT_AVAILABLE</x:v>
      </x:c>
      <x:c r="I100" s="25" t="str">
        <x:v>NOT_RUN</x:v>
      </x:c>
      <x:c r="J100" s="25" t="str">
        <x:v>NOT_RUN</x:v>
      </x:c>
      <x:c r="K100" s="25" t="n">
        <x:v>1</x:v>
      </x:c>
      <x:c r="L100" s="27" t="b">
        <x:v>0</x:v>
      </x:c>
      <x:c r="M100" s="25" t="str">
        <x:v>Gemini-3.8-flash/generation_state.json</x:v>
      </x:c>
      <x:c r="N100" s="25" t="str">
        <x:v>Gemini-3.8-flash/Result/Closure_129/result.json</x:v>
      </x:c>
      <x:c r="O100" s="25" t="str">
        <x:v>Gemini-3.8-flash/Result/Closure_129/result.json</x:v>
      </x:c>
      <x:c r="P100" t="str">
        <x:v>BOTH_NOT_RUN</x:v>
      </x:c>
      <x:c r="Q100" s="21" t="str"/>
      <x:c r="R100" s="21" t="str"/>
      <x:c r="S100" s="21" t="str"/>
      <x:c r="T100" s="17" t="str">
        <x:v>false</x:v>
      </x:c>
      <x:c r="U100" s="17" t="str">
        <x:v>true</x:v>
      </x:c>
      <x:c r="V100" s="17" t="str">
        <x:v>false</x:v>
      </x:c>
    </x:row>
    <x:row r="101" ht="80" customHeight="1">
      <x:c r="A101" s="25" t="str">
        <x:v>Closure</x:v>
      </x:c>
      <x:c r="B101" s="25" t="n">
        <x:v>13</x:v>
      </x:c>
      <x:c r="C101" s="25" t="str">
        <x:v>Round1</x:v>
      </x:c>
      <x:c r="D101" s="25" t="str">
        <x:v>NOT_AVAILABLE</x:v>
      </x:c>
      <x:c r="E101" s="25" t="str">
        <x:v>N/A</x:v>
      </x:c>
      <x:c r="F101" s="26" t="str">
        <x:v>Tests exist but current coverage did not complete</x:v>
      </x:c>
      <x:c r="G101" s="25" t="str">
        <x:v>true</x:v>
      </x:c>
      <x:c r="H101" s="25" t="str">
        <x:v>NOT_AVAILABLE</x:v>
      </x:c>
      <x:c r="I101" s="25" t="str">
        <x:v>NOT_RUN</x:v>
      </x:c>
      <x:c r="J101" s="25" t="str">
        <x:v>NOT_RUN</x:v>
      </x:c>
      <x:c r="K101" s="25" t="n">
        <x:v>1</x:v>
      </x:c>
      <x:c r="L101" s="27" t="b">
        <x:v>0</x:v>
      </x:c>
      <x:c r="M101" s="25" t="str">
        <x:v>Gemini-3.8-flash/generation_state.json</x:v>
      </x:c>
      <x:c r="N101" s="25" t="str">
        <x:v>Gemini-3.8-flash/Result/Closure_13/result.json</x:v>
      </x:c>
      <x:c r="O101" s="25" t="str">
        <x:v>Gemini-3.8-flash/Result/Closure_13/result.json</x:v>
      </x:c>
      <x:c r="P101" t="str">
        <x:v>BOTH_NOT_RUN</x:v>
      </x:c>
      <x:c r="Q101" s="21" t="str"/>
      <x:c r="R101" s="21" t="str"/>
      <x:c r="S101" s="21" t="str"/>
      <x:c r="T101" s="17" t="str">
        <x:v>false</x:v>
      </x:c>
      <x:c r="U101" s="17" t="str">
        <x:v>true</x:v>
      </x:c>
      <x:c r="V101" s="17" t="str">
        <x:v>false</x:v>
      </x:c>
    </x:row>
    <x:row r="102" ht="80" customHeight="1">
      <x:c r="A102" s="25" t="str">
        <x:v>Closure</x:v>
      </x:c>
      <x:c r="B102" s="25" t="n">
        <x:v>130</x:v>
      </x:c>
      <x:c r="C102" s="25" t="str">
        <x:v>Round1</x:v>
      </x:c>
      <x:c r="D102" s="25" t="str">
        <x:v>NOT_AVAILABLE</x:v>
      </x:c>
      <x:c r="E102" s="25" t="str">
        <x:v>N/A</x:v>
      </x:c>
      <x:c r="F102" s="26" t="str">
        <x:v>Tests exist but current coverage did not complete</x:v>
      </x:c>
      <x:c r="G102" s="25" t="str">
        <x:v>true</x:v>
      </x:c>
      <x:c r="H102" s="25" t="str">
        <x:v>NOT_AVAILABLE</x:v>
      </x:c>
      <x:c r="I102" s="25" t="str">
        <x:v>NOT_RUN</x:v>
      </x:c>
      <x:c r="J102" s="25" t="str">
        <x:v>NOT_RUN</x:v>
      </x:c>
      <x:c r="K102" s="25" t="n">
        <x:v>1</x:v>
      </x:c>
      <x:c r="L102" s="27" t="b">
        <x:v>0</x:v>
      </x:c>
      <x:c r="M102" s="25" t="str">
        <x:v>Gemini-3.8-flash/generation_state.json</x:v>
      </x:c>
      <x:c r="N102" s="25" t="str">
        <x:v>Gemini-3.8-flash/Result/Closure_130/result.json</x:v>
      </x:c>
      <x:c r="O102" s="25" t="str">
        <x:v>Gemini-3.8-flash/Result/Closure_130/result.json</x:v>
      </x:c>
      <x:c r="P102" t="str">
        <x:v>BOTH_NOT_RUN</x:v>
      </x:c>
      <x:c r="Q102" s="21" t="str"/>
      <x:c r="R102" s="21" t="str"/>
      <x:c r="S102" s="21" t="str"/>
      <x:c r="T102" s="17" t="str">
        <x:v>false</x:v>
      </x:c>
      <x:c r="U102" s="17" t="str">
        <x:v>true</x:v>
      </x:c>
      <x:c r="V102" s="17" t="str">
        <x:v>false</x:v>
      </x:c>
    </x:row>
    <x:row r="103" ht="80" customHeight="1">
      <x:c r="A103" s="25" t="str">
        <x:v>Closure</x:v>
      </x:c>
      <x:c r="B103" s="25" t="n">
        <x:v>131</x:v>
      </x:c>
      <x:c r="C103" s="25" t="str">
        <x:v>Round1</x:v>
      </x:c>
      <x:c r="D103" s="25" t="str">
        <x:v>REVEALING</x:v>
      </x:c>
      <x:c r="E103" s="25" t="str">
        <x:v>N/A</x:v>
      </x:c>
      <x:c r="F103" s="26" t="str">
        <x:v>Same saved validation suite failed on buggy and passed on fixed</x:v>
      </x:c>
      <x:c r="G103" s="25" t="str">
        <x:v>true</x:v>
      </x:c>
      <x:c r="H103" s="25" t="str">
        <x:v>REVEALING</x:v>
      </x:c>
      <x:c r="I103" s="25" t="str">
        <x:v>FAIL</x:v>
      </x:c>
      <x:c r="J103" s="25" t="str">
        <x:v>PASS</x:v>
      </x:c>
      <x:c r="K103" s="25" t="n">
        <x:v>1</x:v>
      </x:c>
      <x:c r="L103" s="27" t="b">
        <x:v>0</x:v>
      </x:c>
      <x:c r="M103" s="25" t="str">
        <x:v>Gemini-3.8-flash/generation_state.json</x:v>
      </x:c>
      <x:c r="N103" s="25" t="str">
        <x:v>Gemini-3.8-flash/Result/Closure_131/result.json</x:v>
      </x:c>
      <x:c r="O103" s="25" t="str">
        <x:v>Gemini-3.8-flash/Result/Closure_131/result.json</x:v>
      </x:c>
      <x:c r="P103"/>
      <x:c r="Q103" s="21" t="str"/>
      <x:c r="R103" s="21" t="str"/>
      <x:c r="S103" s="21" t="str"/>
      <x:c r="T103" s="17" t="str">
        <x:v>false</x:v>
      </x:c>
      <x:c r="U103" s="17" t="str">
        <x:v>true</x:v>
      </x:c>
      <x:c r="V103" s="17" t="str">
        <x:v>false</x:v>
      </x:c>
    </x:row>
    <x:row r="104" ht="80" customHeight="1">
      <x:c r="A104" s="25" t="str">
        <x:v>Closure</x:v>
      </x:c>
      <x:c r="B104" s="25" t="n">
        <x:v>132</x:v>
      </x:c>
      <x:c r="C104" s="25" t="str">
        <x:v>Round1</x:v>
      </x:c>
      <x:c r="D104" s="25" t="str">
        <x:v>NOT_AVAILABLE</x:v>
      </x:c>
      <x:c r="E104" s="25" t="str">
        <x:v>N/A</x:v>
      </x:c>
      <x:c r="F104" s="26" t="str">
        <x:v>Tests exist but current coverage did not complete</x:v>
      </x:c>
      <x:c r="G104" s="25" t="str">
        <x:v>true</x:v>
      </x:c>
      <x:c r="H104" s="25" t="str">
        <x:v>NOT_AVAILABLE</x:v>
      </x:c>
      <x:c r="I104" s="25" t="str">
        <x:v>NOT_RUN</x:v>
      </x:c>
      <x:c r="J104" s="25" t="str">
        <x:v>NOT_RUN</x:v>
      </x:c>
      <x:c r="K104" s="25" t="n">
        <x:v>1</x:v>
      </x:c>
      <x:c r="L104" s="27" t="b">
        <x:v>0</x:v>
      </x:c>
      <x:c r="M104" s="25" t="str">
        <x:v>Gemini-3.8-flash/generation_state.json</x:v>
      </x:c>
      <x:c r="N104" s="25" t="str">
        <x:v>Gemini-3.8-flash/Result/Closure_132/result.json</x:v>
      </x:c>
      <x:c r="O104" s="25" t="str">
        <x:v>Gemini-3.8-flash/Result/Closure_132/result.json</x:v>
      </x:c>
      <x:c r="P104" t="str">
        <x:v>BOTH_NOT_RUN</x:v>
      </x:c>
      <x:c r="Q104" s="21" t="str"/>
      <x:c r="R104" s="21" t="str"/>
      <x:c r="S104" s="21" t="str"/>
      <x:c r="T104" s="17" t="str">
        <x:v>false</x:v>
      </x:c>
      <x:c r="U104" s="17" t="str">
        <x:v>true</x:v>
      </x:c>
      <x:c r="V104" s="17" t="str">
        <x:v>false</x:v>
      </x:c>
    </x:row>
    <x:row r="105" ht="80" customHeight="1">
      <x:c r="A105" s="25" t="str">
        <x:v>Closure</x:v>
      </x:c>
      <x:c r="B105" s="25" t="n">
        <x:v>133</x:v>
      </x:c>
      <x:c r="C105" s="25" t="str">
        <x:v>Round1</x:v>
      </x:c>
      <x:c r="D105" s="25" t="str">
        <x:v>NOT_AVAILABLE</x:v>
      </x:c>
      <x:c r="E105" s="25" t="str">
        <x:v>N/A</x:v>
      </x:c>
      <x:c r="F105" s="26" t="str">
        <x:v>Tests exist but current coverage did not complete</x:v>
      </x:c>
      <x:c r="G105" s="25" t="str">
        <x:v>true</x:v>
      </x:c>
      <x:c r="H105" s="25" t="str">
        <x:v>NOT_AVAILABLE</x:v>
      </x:c>
      <x:c r="I105" s="25" t="str">
        <x:v>NOT_RUN</x:v>
      </x:c>
      <x:c r="J105" s="25" t="str">
        <x:v>NOT_RUN</x:v>
      </x:c>
      <x:c r="K105" s="25" t="n">
        <x:v>1</x:v>
      </x:c>
      <x:c r="L105" s="27" t="b">
        <x:v>0</x:v>
      </x:c>
      <x:c r="M105" s="25" t="str">
        <x:v>Gemini-3.8-flash/generation_state.json</x:v>
      </x:c>
      <x:c r="N105" s="25" t="str">
        <x:v>Gemini-3.8-flash/Result/Closure_133/result.json</x:v>
      </x:c>
      <x:c r="O105" s="25" t="str">
        <x:v>Gemini-3.8-flash/Result/Closure_133/result.json</x:v>
      </x:c>
      <x:c r="P105" t="str">
        <x:v>BOTH_NOT_RUN</x:v>
      </x:c>
      <x:c r="Q105" s="21" t="str"/>
      <x:c r="R105" s="21" t="str"/>
      <x:c r="S105" s="21" t="str"/>
      <x:c r="T105" s="17" t="str">
        <x:v>false</x:v>
      </x:c>
      <x:c r="U105" s="17" t="str">
        <x:v>true</x:v>
      </x:c>
      <x:c r="V105" s="17" t="str">
        <x:v>false</x:v>
      </x:c>
    </x:row>
    <x:row r="106" ht="80" customHeight="1">
      <x:c r="A106" s="25" t="str">
        <x:v>Closure</x:v>
      </x:c>
      <x:c r="B106" s="25" t="n">
        <x:v>134</x:v>
      </x:c>
      <x:c r="C106" s="25" t="str">
        <x:v>Round1</x:v>
      </x:c>
      <x:c r="D106" s="25" t="str">
        <x:v>NOT_AVAILABLE</x:v>
      </x:c>
      <x:c r="E106" s="25" t="str">
        <x:v>N/A</x:v>
      </x:c>
      <x:c r="F106" s="26" t="str">
        <x:v>Tests exist but current coverage did not complete</x:v>
      </x:c>
      <x:c r="G106" s="25" t="str">
        <x:v>true</x:v>
      </x:c>
      <x:c r="H106" s="25" t="str">
        <x:v>NOT_AVAILABLE</x:v>
      </x:c>
      <x:c r="I106" s="25" t="str">
        <x:v>NOT_RUN</x:v>
      </x:c>
      <x:c r="J106" s="25" t="str">
        <x:v>NOT_RUN</x:v>
      </x:c>
      <x:c r="K106" s="25" t="n">
        <x:v>2</x:v>
      </x:c>
      <x:c r="L106" s="27" t="b">
        <x:v>0</x:v>
      </x:c>
      <x:c r="M106" s="25" t="str">
        <x:v>Gemini-3.8-flash/generation_state.json</x:v>
      </x:c>
      <x:c r="N106" s="25" t="str">
        <x:v>Gemini-3.8-flash/Result/Closure_134/result.json</x:v>
      </x:c>
      <x:c r="O106" s="25" t="str">
        <x:v>Gemini-3.8-flash/Result/Closure_134/result.json</x:v>
      </x:c>
      <x:c r="P106" t="str">
        <x:v>BOTH_NOT_RUN</x:v>
      </x:c>
      <x:c r="Q106" s="21" t="str"/>
      <x:c r="R106" s="21" t="str"/>
      <x:c r="S106" s="21" t="str"/>
      <x:c r="T106" s="17" t="str">
        <x:v>false</x:v>
      </x:c>
      <x:c r="U106" s="17" t="str">
        <x:v>true</x:v>
      </x:c>
      <x:c r="V106" s="17" t="str">
        <x:v>false</x:v>
      </x:c>
    </x:row>
    <x:row r="107" ht="80" customHeight="1">
      <x:c r="A107" s="25" t="str">
        <x:v>Closure</x:v>
      </x:c>
      <x:c r="B107" s="25" t="n">
        <x:v>135</x:v>
      </x:c>
      <x:c r="C107" s="25" t="str">
        <x:v>Round1</x:v>
      </x:c>
      <x:c r="D107" s="25" t="str">
        <x:v>NOT_AVAILABLE</x:v>
      </x:c>
      <x:c r="E107" s="25" t="str">
        <x:v>N/A</x:v>
      </x:c>
      <x:c r="F107" s="26" t="str">
        <x:v>Tests exist but current coverage did not complete</x:v>
      </x:c>
      <x:c r="G107" s="25" t="str">
        <x:v>true</x:v>
      </x:c>
      <x:c r="H107" s="25" t="str">
        <x:v>NOT_AVAILABLE</x:v>
      </x:c>
      <x:c r="I107" s="25" t="str">
        <x:v>NOT_RUN</x:v>
      </x:c>
      <x:c r="J107" s="25" t="str">
        <x:v>NOT_RUN</x:v>
      </x:c>
      <x:c r="K107" s="25" t="n">
        <x:v>2</x:v>
      </x:c>
      <x:c r="L107" s="27" t="b">
        <x:v>0</x:v>
      </x:c>
      <x:c r="M107" s="25" t="str">
        <x:v>Gemini-3.8-flash/generation_state.json</x:v>
      </x:c>
      <x:c r="N107" s="25" t="str">
        <x:v>Gemini-3.8-flash/Result/Closure_135/result.json</x:v>
      </x:c>
      <x:c r="O107" s="25" t="str">
        <x:v>Gemini-3.8-flash/Result/Closure_135/result.json</x:v>
      </x:c>
      <x:c r="P107" t="str">
        <x:v>BOTH_NOT_RUN</x:v>
      </x:c>
      <x:c r="Q107" s="21" t="str"/>
      <x:c r="R107" s="21" t="str"/>
      <x:c r="S107" s="21" t="str"/>
      <x:c r="T107" s="17" t="str">
        <x:v>false</x:v>
      </x:c>
      <x:c r="U107" s="17" t="str">
        <x:v>true</x:v>
      </x:c>
      <x:c r="V107" s="17" t="str">
        <x:v>false</x:v>
      </x:c>
    </x:row>
    <x:row r="108" ht="80" customHeight="1">
      <x:c r="A108" s="25" t="str">
        <x:v>Closure</x:v>
      </x:c>
      <x:c r="B108" s="25" t="n">
        <x:v>136</x:v>
      </x:c>
      <x:c r="C108" s="25" t="str">
        <x:v>Round1</x:v>
      </x:c>
      <x:c r="D108" s="25" t="str">
        <x:v>NOT_AVAILABLE</x:v>
      </x:c>
      <x:c r="E108" s="25" t="str">
        <x:v>N/A</x:v>
      </x:c>
      <x:c r="F108" s="26" t="str">
        <x:v>Tests exist but current coverage did not complete</x:v>
      </x:c>
      <x:c r="G108" s="25" t="str">
        <x:v>true</x:v>
      </x:c>
      <x:c r="H108" s="25" t="str">
        <x:v>NOT_AVAILABLE</x:v>
      </x:c>
      <x:c r="I108" s="25" t="str">
        <x:v>NOT_RUN</x:v>
      </x:c>
      <x:c r="J108" s="25" t="str">
        <x:v>NOT_RUN</x:v>
      </x:c>
      <x:c r="K108" s="25" t="n">
        <x:v>2</x:v>
      </x:c>
      <x:c r="L108" s="27" t="b">
        <x:v>0</x:v>
      </x:c>
      <x:c r="M108" s="25" t="str">
        <x:v>Gemini-3.8-flash/generation_state.json</x:v>
      </x:c>
      <x:c r="N108" s="25" t="str">
        <x:v>Gemini-3.8-flash/Result/Closure_136/result.json</x:v>
      </x:c>
      <x:c r="O108" s="25" t="str">
        <x:v>Gemini-3.8-flash/Result/Closure_136/result.json</x:v>
      </x:c>
      <x:c r="P108" t="str">
        <x:v>BOTH_NOT_RUN</x:v>
      </x:c>
      <x:c r="Q108" s="21" t="str"/>
      <x:c r="R108" s="21" t="str"/>
      <x:c r="S108" s="21" t="str"/>
      <x:c r="T108" s="17" t="str">
        <x:v>false</x:v>
      </x:c>
      <x:c r="U108" s="17" t="str">
        <x:v>true</x:v>
      </x:c>
      <x:c r="V108" s="17" t="str">
        <x:v>false</x:v>
      </x:c>
    </x:row>
    <x:row r="109" ht="80" customHeight="1">
      <x:c r="A109" s="25" t="str">
        <x:v>Closure</x:v>
      </x:c>
      <x:c r="B109" s="25" t="n">
        <x:v>137</x:v>
      </x:c>
      <x:c r="C109" s="25" t="str">
        <x:v>Round1</x:v>
      </x:c>
      <x:c r="D109" s="25" t="str">
        <x:v>NOT_AVAILABLE</x:v>
      </x:c>
      <x:c r="E109" s="25" t="str">
        <x:v>N/A</x:v>
      </x:c>
      <x:c r="F109" s="26" t="str">
        <x:v>Tests exist but current coverage did not complete</x:v>
      </x:c>
      <x:c r="G109" s="25" t="str">
        <x:v>true</x:v>
      </x:c>
      <x:c r="H109" s="25" t="str">
        <x:v>NOT_AVAILABLE</x:v>
      </x:c>
      <x:c r="I109" s="25" t="str">
        <x:v>NOT_RUN</x:v>
      </x:c>
      <x:c r="J109" s="25" t="str">
        <x:v>NOT_RUN</x:v>
      </x:c>
      <x:c r="K109" s="25" t="n">
        <x:v>3</x:v>
      </x:c>
      <x:c r="L109" s="27" t="b">
        <x:v>0</x:v>
      </x:c>
      <x:c r="M109" s="25" t="str">
        <x:v>Gemini-3.8-flash/generation_state.json</x:v>
      </x:c>
      <x:c r="N109" s="25" t="str">
        <x:v>Gemini-3.8-flash/Result/Closure_137/result.json</x:v>
      </x:c>
      <x:c r="O109" s="25" t="str">
        <x:v>Gemini-3.8-flash/Result/Closure_137/result.json</x:v>
      </x:c>
      <x:c r="P109" t="str">
        <x:v>BOTH_NOT_RUN</x:v>
      </x:c>
      <x:c r="Q109" s="21" t="str"/>
      <x:c r="R109" s="21" t="str"/>
      <x:c r="S109" s="21" t="str"/>
      <x:c r="T109" s="17" t="str">
        <x:v>false</x:v>
      </x:c>
      <x:c r="U109" s="17" t="str">
        <x:v>true</x:v>
      </x:c>
      <x:c r="V109" s="17" t="str">
        <x:v>false</x:v>
      </x:c>
    </x:row>
    <x:row r="110" ht="80" customHeight="1">
      <x:c r="A110" s="25" t="str">
        <x:v>Closure</x:v>
      </x:c>
      <x:c r="B110" s="25" t="n">
        <x:v>138</x:v>
      </x:c>
      <x:c r="C110" s="25" t="str">
        <x:v>Round1</x:v>
      </x:c>
      <x:c r="D110" s="25" t="str">
        <x:v>NOT_AVAILABLE</x:v>
      </x:c>
      <x:c r="E110" s="25" t="str">
        <x:v>N/A</x:v>
      </x:c>
      <x:c r="F110" s="26" t="str">
        <x:v>Tests exist but current coverage did not complete</x:v>
      </x:c>
      <x:c r="G110" s="25" t="str">
        <x:v>true</x:v>
      </x:c>
      <x:c r="H110" s="25" t="str">
        <x:v>NOT_AVAILABLE</x:v>
      </x:c>
      <x:c r="I110" s="25" t="str">
        <x:v>NOT_RUN</x:v>
      </x:c>
      <x:c r="J110" s="25" t="str">
        <x:v>NOT_RUN</x:v>
      </x:c>
      <x:c r="K110" s="25" t="n">
        <x:v>2</x:v>
      </x:c>
      <x:c r="L110" s="27" t="b">
        <x:v>0</x:v>
      </x:c>
      <x:c r="M110" s="25" t="str">
        <x:v>Gemini-3.8-flash/generation_state.json</x:v>
      </x:c>
      <x:c r="N110" s="25" t="str">
        <x:v>Gemini-3.8-flash/Result/Closure_138/result.json</x:v>
      </x:c>
      <x:c r="O110" s="25" t="str">
        <x:v>Gemini-3.8-flash/Result/Closure_138/result.json</x:v>
      </x:c>
      <x:c r="P110" t="str">
        <x:v>BOTH_NOT_RUN</x:v>
      </x:c>
      <x:c r="Q110" s="21" t="str"/>
      <x:c r="R110" s="21" t="str"/>
      <x:c r="S110" s="21" t="str"/>
      <x:c r="T110" s="17" t="str">
        <x:v>false</x:v>
      </x:c>
      <x:c r="U110" s="17" t="str">
        <x:v>true</x:v>
      </x:c>
      <x:c r="V110" s="17" t="str">
        <x:v>false</x:v>
      </x:c>
    </x:row>
    <x:row r="111" ht="80" customHeight="1">
      <x:c r="A111" s="25" t="str">
        <x:v>Closure</x:v>
      </x:c>
      <x:c r="B111" s="25" t="n">
        <x:v>139</x:v>
      </x:c>
      <x:c r="C111" s="25" t="str">
        <x:v>Round1</x:v>
      </x:c>
      <x:c r="D111" s="25" t="str">
        <x:v>NOT_AVAILABLE</x:v>
      </x:c>
      <x:c r="E111" s="25" t="str">
        <x:v>N/A</x:v>
      </x:c>
      <x:c r="F111" s="26" t="str">
        <x:v>Tests exist but current coverage did not complete</x:v>
      </x:c>
      <x:c r="G111" s="25" t="str">
        <x:v>true</x:v>
      </x:c>
      <x:c r="H111" s="25" t="str">
        <x:v>NOT_AVAILABLE</x:v>
      </x:c>
      <x:c r="I111" s="25" t="str">
        <x:v>NOT_RUN</x:v>
      </x:c>
      <x:c r="J111" s="25" t="str">
        <x:v>NOT_RUN</x:v>
      </x:c>
      <x:c r="K111" s="25" t="n">
        <x:v>1</x:v>
      </x:c>
      <x:c r="L111" s="27" t="b">
        <x:v>0</x:v>
      </x:c>
      <x:c r="M111" s="25" t="str">
        <x:v>Gemini-3.8-flash/generation_state.json</x:v>
      </x:c>
      <x:c r="N111" s="25" t="str">
        <x:v>Gemini-3.8-flash/Result/Closure_139/result.json</x:v>
      </x:c>
      <x:c r="O111" s="25" t="str">
        <x:v>Gemini-3.8-flash/Result/Closure_139/result.json</x:v>
      </x:c>
      <x:c r="P111" t="str">
        <x:v>BOTH_NOT_RUN</x:v>
      </x:c>
      <x:c r="Q111" s="21" t="str"/>
      <x:c r="R111" s="21" t="str"/>
      <x:c r="S111" s="21" t="str"/>
      <x:c r="T111" s="17" t="str">
        <x:v>false</x:v>
      </x:c>
      <x:c r="U111" s="17" t="str">
        <x:v>true</x:v>
      </x:c>
      <x:c r="V111" s="17" t="str">
        <x:v>false</x:v>
      </x:c>
    </x:row>
    <x:row r="112" ht="80" customHeight="1">
      <x:c r="A112" s="25" t="str">
        <x:v>Closure</x:v>
      </x:c>
      <x:c r="B112" s="25" t="n">
        <x:v>14</x:v>
      </x:c>
      <x:c r="C112" s="25" t="str">
        <x:v>Round1</x:v>
      </x:c>
      <x:c r="D112" s="25" t="str">
        <x:v>NOT_AVAILABLE</x:v>
      </x:c>
      <x:c r="E112" s="25" t="str">
        <x:v>N/A</x:v>
      </x:c>
      <x:c r="F112" s="26" t="str">
        <x:v>Tests exist but current coverage did not complete</x:v>
      </x:c>
      <x:c r="G112" s="25" t="str">
        <x:v>true</x:v>
      </x:c>
      <x:c r="H112" s="25" t="str">
        <x:v>NOT_AVAILABLE</x:v>
      </x:c>
      <x:c r="I112" s="25" t="str">
        <x:v>NOT_RUN</x:v>
      </x:c>
      <x:c r="J112" s="25" t="str">
        <x:v>NOT_RUN</x:v>
      </x:c>
      <x:c r="K112" s="25" t="n">
        <x:v>1</x:v>
      </x:c>
      <x:c r="L112" s="27" t="b">
        <x:v>0</x:v>
      </x:c>
      <x:c r="M112" s="25" t="str">
        <x:v>Gemini-3.8-flash/generation_state.json</x:v>
      </x:c>
      <x:c r="N112" s="25" t="str">
        <x:v>Gemini-3.8-flash/Result/Closure_14/result.json</x:v>
      </x:c>
      <x:c r="O112" s="25" t="str">
        <x:v>Gemini-3.8-flash/Result/Closure_14/result.json</x:v>
      </x:c>
      <x:c r="P112" t="str">
        <x:v>BOTH_NOT_RUN</x:v>
      </x:c>
      <x:c r="Q112" s="21" t="str"/>
      <x:c r="R112" s="21" t="str"/>
      <x:c r="S112" s="21" t="str"/>
      <x:c r="T112" s="17" t="str">
        <x:v>false</x:v>
      </x:c>
      <x:c r="U112" s="17" t="str">
        <x:v>true</x:v>
      </x:c>
      <x:c r="V112" s="17" t="str">
        <x:v>false</x:v>
      </x:c>
    </x:row>
    <x:row r="113" ht="80" customHeight="1">
      <x:c r="A113" s="25" t="str">
        <x:v>Closure</x:v>
      </x:c>
      <x:c r="B113" s="25" t="n">
        <x:v>140</x:v>
      </x:c>
      <x:c r="C113" s="25" t="str">
        <x:v>Round1</x:v>
      </x:c>
      <x:c r="D113" s="25" t="str">
        <x:v>NOT_AVAILABLE</x:v>
      </x:c>
      <x:c r="E113" s="25" t="str">
        <x:v>N/A</x:v>
      </x:c>
      <x:c r="F113" s="26" t="str">
        <x:v>Tests exist but current coverage did not complete</x:v>
      </x:c>
      <x:c r="G113" s="25" t="str">
        <x:v>true</x:v>
      </x:c>
      <x:c r="H113" s="25" t="str">
        <x:v>NOT_AVAILABLE</x:v>
      </x:c>
      <x:c r="I113" s="25" t="str">
        <x:v>NOT_RUN</x:v>
      </x:c>
      <x:c r="J113" s="25" t="str">
        <x:v>NOT_RUN</x:v>
      </x:c>
      <x:c r="K113" s="25" t="n">
        <x:v>1</x:v>
      </x:c>
      <x:c r="L113" s="27" t="b">
        <x:v>0</x:v>
      </x:c>
      <x:c r="M113" s="25" t="str">
        <x:v>Gemini-3.8-flash/generation_state.json</x:v>
      </x:c>
      <x:c r="N113" s="25" t="str">
        <x:v>Gemini-3.8-flash/Result/Closure_140/result.json</x:v>
      </x:c>
      <x:c r="O113" s="25" t="str">
        <x:v>Gemini-3.8-flash/Result/Closure_140/result.json</x:v>
      </x:c>
      <x:c r="P113" t="str">
        <x:v>BOTH_NOT_RUN</x:v>
      </x:c>
      <x:c r="Q113" s="21" t="str"/>
      <x:c r="R113" s="21" t="str"/>
      <x:c r="S113" s="21" t="str"/>
      <x:c r="T113" s="17" t="str">
        <x:v>false</x:v>
      </x:c>
      <x:c r="U113" s="17" t="str">
        <x:v>true</x:v>
      </x:c>
      <x:c r="V113" s="17" t="str">
        <x:v>false</x:v>
      </x:c>
    </x:row>
    <x:row r="114" ht="80" customHeight="1">
      <x:c r="A114" s="25" t="str">
        <x:v>Closure</x:v>
      </x:c>
      <x:c r="B114" s="25" t="n">
        <x:v>141</x:v>
      </x:c>
      <x:c r="C114" s="25" t="str">
        <x:v>Round1</x:v>
      </x:c>
      <x:c r="D114" s="25" t="str">
        <x:v>NOT_AVAILABLE</x:v>
      </x:c>
      <x:c r="E114" s="25" t="str">
        <x:v>N/A</x:v>
      </x:c>
      <x:c r="F114" s="26" t="str">
        <x:v>Tests exist but current coverage did not complete</x:v>
      </x:c>
      <x:c r="G114" s="25" t="str">
        <x:v>true</x:v>
      </x:c>
      <x:c r="H114" s="25" t="str">
        <x:v>NOT_AVAILABLE</x:v>
      </x:c>
      <x:c r="I114" s="25" t="str">
        <x:v>NOT_RUN</x:v>
      </x:c>
      <x:c r="J114" s="25" t="str">
        <x:v>NOT_RUN</x:v>
      </x:c>
      <x:c r="K114" s="25" t="n">
        <x:v>2</x:v>
      </x:c>
      <x:c r="L114" s="27" t="b">
        <x:v>0</x:v>
      </x:c>
      <x:c r="M114" s="25" t="str">
        <x:v>Gemini-3.8-flash/generation_state.json</x:v>
      </x:c>
      <x:c r="N114" s="25" t="str">
        <x:v>Gemini-3.8-flash/Result/Closure_141/result.json</x:v>
      </x:c>
      <x:c r="O114" s="25" t="str">
        <x:v>Gemini-3.8-flash/Result/Closure_141/result.json</x:v>
      </x:c>
      <x:c r="P114" t="str">
        <x:v>BOTH_NOT_RUN</x:v>
      </x:c>
      <x:c r="Q114" s="21" t="str"/>
      <x:c r="R114" s="21" t="str"/>
      <x:c r="S114" s="21" t="str"/>
      <x:c r="T114" s="17" t="str">
        <x:v>false</x:v>
      </x:c>
      <x:c r="U114" s="17" t="str">
        <x:v>true</x:v>
      </x:c>
      <x:c r="V114" s="17" t="str">
        <x:v>false</x:v>
      </x:c>
    </x:row>
    <x:row r="115" ht="80" customHeight="1">
      <x:c r="A115" s="25" t="str">
        <x:v>Closure</x:v>
      </x:c>
      <x:c r="B115" s="25" t="n">
        <x:v>142</x:v>
      </x:c>
      <x:c r="C115" s="25" t="str">
        <x:v>Round1</x:v>
      </x:c>
      <x:c r="D115" s="25" t="str">
        <x:v>NOT_AVAILABLE</x:v>
      </x:c>
      <x:c r="E115" s="25" t="str">
        <x:v>N/A</x:v>
      </x:c>
      <x:c r="F115" s="26" t="str">
        <x:v>Tests exist but current coverage did not complete</x:v>
      </x:c>
      <x:c r="G115" s="25" t="str">
        <x:v>true</x:v>
      </x:c>
      <x:c r="H115" s="25" t="str">
        <x:v>NOT_AVAILABLE</x:v>
      </x:c>
      <x:c r="I115" s="25" t="str">
        <x:v>NOT_RUN</x:v>
      </x:c>
      <x:c r="J115" s="25" t="str">
        <x:v>NOT_RUN</x:v>
      </x:c>
      <x:c r="K115" s="25" t="n">
        <x:v>2</x:v>
      </x:c>
      <x:c r="L115" s="27" t="b">
        <x:v>0</x:v>
      </x:c>
      <x:c r="M115" s="25" t="str">
        <x:v>Gemini-3.8-flash/generation_state.json</x:v>
      </x:c>
      <x:c r="N115" s="25" t="str">
        <x:v>Gemini-3.8-flash/Result/Closure_142/result.json</x:v>
      </x:c>
      <x:c r="O115" s="25" t="str">
        <x:v>Gemini-3.8-flash/Result/Closure_142/result.json</x:v>
      </x:c>
      <x:c r="P115" t="str">
        <x:v>BOTH_NOT_RUN</x:v>
      </x:c>
      <x:c r="Q115" s="21" t="str"/>
      <x:c r="R115" s="21" t="str"/>
      <x:c r="S115" s="21" t="str"/>
      <x:c r="T115" s="17" t="str">
        <x:v>false</x:v>
      </x:c>
      <x:c r="U115" s="17" t="str">
        <x:v>true</x:v>
      </x:c>
      <x:c r="V115" s="17" t="str">
        <x:v>false</x:v>
      </x:c>
    </x:row>
    <x:row r="116" ht="80" customHeight="1">
      <x:c r="A116" s="25" t="str">
        <x:v>Closure</x:v>
      </x:c>
      <x:c r="B116" s="25" t="n">
        <x:v>143</x:v>
      </x:c>
      <x:c r="C116" s="25" t="str">
        <x:v>Round1</x:v>
      </x:c>
      <x:c r="D116" s="25" t="str">
        <x:v>NOT_REVEALING</x:v>
      </x:c>
      <x:c r="E116" s="25" t="str">
        <x:v>N/A</x:v>
      </x:c>
      <x:c r="F116" s="26" t="str">
        <x:v>Same saved validation suite passed on buggy and fixed</x:v>
      </x:c>
      <x:c r="G116" s="25" t="str">
        <x:v>true</x:v>
      </x:c>
      <x:c r="H116" s="25" t="str">
        <x:v>NOT_REVEALING</x:v>
      </x:c>
      <x:c r="I116" s="25" t="str">
        <x:v>PASS</x:v>
      </x:c>
      <x:c r="J116" s="25" t="str">
        <x:v>PASS</x:v>
      </x:c>
      <x:c r="K116" s="25" t="n">
        <x:v>1</x:v>
      </x:c>
      <x:c r="L116" s="27" t="b">
        <x:v>0</x:v>
      </x:c>
      <x:c r="M116" s="25" t="str">
        <x:v>Gemini-3.8-flash/generation_state.json</x:v>
      </x:c>
      <x:c r="N116" s="25" t="str">
        <x:v>Gemini-3.8-flash/Result/Closure_143/result.json</x:v>
      </x:c>
      <x:c r="O116" s="25" t="str">
        <x:v>Gemini-3.8-flash/Result/Closure_143/result.json</x:v>
      </x:c>
      <x:c r="P116"/>
      <x:c r="Q116" s="21" t="str"/>
      <x:c r="R116" s="21" t="str"/>
      <x:c r="S116" s="21" t="str"/>
      <x:c r="T116" s="17" t="str">
        <x:v>false</x:v>
      </x:c>
      <x:c r="U116" s="17" t="str">
        <x:v>true</x:v>
      </x:c>
      <x:c r="V116" s="17" t="str">
        <x:v>false</x:v>
      </x:c>
    </x:row>
    <x:row r="117" ht="80" customHeight="1">
      <x:c r="A117" s="25" t="str">
        <x:v>Closure</x:v>
      </x:c>
      <x:c r="B117" s="25" t="n">
        <x:v>144</x:v>
      </x:c>
      <x:c r="C117" s="25" t="str">
        <x:v>Round1</x:v>
      </x:c>
      <x:c r="D117" s="25" t="str">
        <x:v>INCONCLUSIVE</x:v>
      </x:c>
      <x:c r="E117" s="25" t="str">
        <x:v>N/A</x:v>
      </x:c>
      <x:c r="F117" s="26" t="str">
        <x:v>Fixed also failed; assertion failure cannot be attributed to this bug</x:v>
      </x:c>
      <x:c r="G117" s="25" t="str">
        <x:v>true</x:v>
      </x:c>
      <x:c r="H117" s="25" t="str">
        <x:v>INCONCLUSIVE</x:v>
      </x:c>
      <x:c r="I117" s="25" t="str">
        <x:v>FAIL</x:v>
      </x:c>
      <x:c r="J117" s="25" t="str">
        <x:v>FAIL</x:v>
      </x:c>
      <x:c r="K117" s="25" t="n">
        <x:v>1</x:v>
      </x:c>
      <x:c r="L117" s="27" t="b">
        <x:v>0</x:v>
      </x:c>
      <x:c r="M117" s="25" t="str">
        <x:v>Gemini-3.8-flash/generation_state.json</x:v>
      </x:c>
      <x:c r="N117" s="25" t="str">
        <x:v>Gemini-3.8-flash/Result/Closure_144/result.json</x:v>
      </x:c>
      <x:c r="O117" s="25" t="str">
        <x:v>Gemini-3.8-flash/Result/Closure_144/result.json</x:v>
      </x:c>
      <x:c r="P117"/>
      <x:c r="Q117" s="21" t="str"/>
      <x:c r="R117" s="21" t="str"/>
      <x:c r="S117" s="21" t="str"/>
      <x:c r="T117" s="17" t="str">
        <x:v>false</x:v>
      </x:c>
      <x:c r="U117" s="17" t="str">
        <x:v>true</x:v>
      </x:c>
      <x:c r="V117" s="17" t="str">
        <x:v>false</x:v>
      </x:c>
    </x:row>
    <x:row r="118" ht="80" customHeight="1">
      <x:c r="A118" s="25" t="str">
        <x:v>Closure</x:v>
      </x:c>
      <x:c r="B118" s="25" t="n">
        <x:v>145</x:v>
      </x:c>
      <x:c r="C118" s="25" t="str">
        <x:v>Round1</x:v>
      </x:c>
      <x:c r="D118" s="25" t="str">
        <x:v>NOT_AVAILABLE</x:v>
      </x:c>
      <x:c r="E118" s="25" t="str">
        <x:v>N/A</x:v>
      </x:c>
      <x:c r="F118" s="26" t="str">
        <x:v>Tests exist but current coverage did not complete</x:v>
      </x:c>
      <x:c r="G118" s="25" t="str">
        <x:v>true</x:v>
      </x:c>
      <x:c r="H118" s="25" t="str">
        <x:v>NOT_AVAILABLE</x:v>
      </x:c>
      <x:c r="I118" s="25" t="str">
        <x:v>NOT_RUN</x:v>
      </x:c>
      <x:c r="J118" s="25" t="str">
        <x:v>NOT_RUN</x:v>
      </x:c>
      <x:c r="K118" s="25" t="n">
        <x:v>1</x:v>
      </x:c>
      <x:c r="L118" s="27" t="b">
        <x:v>0</x:v>
      </x:c>
      <x:c r="M118" s="25" t="str">
        <x:v>Gemini-3.8-flash/generation_state.json</x:v>
      </x:c>
      <x:c r="N118" s="25" t="str">
        <x:v>Gemini-3.8-flash/Result/Closure_145/result.json</x:v>
      </x:c>
      <x:c r="O118" s="25" t="str">
        <x:v>Gemini-3.8-flash/Result/Closure_145/result.json</x:v>
      </x:c>
      <x:c r="P118" t="str">
        <x:v>BOTH_NOT_RUN</x:v>
      </x:c>
      <x:c r="Q118" s="21" t="str"/>
      <x:c r="R118" s="21" t="str"/>
      <x:c r="S118" s="21" t="str"/>
      <x:c r="T118" s="17" t="str">
        <x:v>false</x:v>
      </x:c>
      <x:c r="U118" s="17" t="str">
        <x:v>true</x:v>
      </x:c>
      <x:c r="V118" s="17" t="str">
        <x:v>false</x:v>
      </x:c>
    </x:row>
    <x:row r="119" ht="80" customHeight="1">
      <x:c r="A119" s="25" t="str">
        <x:v>Closure</x:v>
      </x:c>
      <x:c r="B119" s="25" t="n">
        <x:v>146</x:v>
      </x:c>
      <x:c r="C119" s="25" t="str">
        <x:v>Round1</x:v>
      </x:c>
      <x:c r="D119" s="25" t="str">
        <x:v>NOT_AVAILABLE</x:v>
      </x:c>
      <x:c r="E119" s="25" t="str">
        <x:v>N/A</x:v>
      </x:c>
      <x:c r="F119" s="26" t="str">
        <x:v>Tests exist but current coverage did not complete</x:v>
      </x:c>
      <x:c r="G119" s="25" t="str">
        <x:v>true</x:v>
      </x:c>
      <x:c r="H119" s="25" t="str">
        <x:v>NOT_AVAILABLE</x:v>
      </x:c>
      <x:c r="I119" s="25" t="str">
        <x:v>NOT_RUN</x:v>
      </x:c>
      <x:c r="J119" s="25" t="str">
        <x:v>NOT_RUN</x:v>
      </x:c>
      <x:c r="K119" s="25" t="n">
        <x:v>1</x:v>
      </x:c>
      <x:c r="L119" s="27" t="b">
        <x:v>0</x:v>
      </x:c>
      <x:c r="M119" s="25" t="str">
        <x:v>Gemini-3.8-flash/generation_state.json</x:v>
      </x:c>
      <x:c r="N119" s="25" t="str">
        <x:v>Gemini-3.8-flash/Result/Closure_146/result.json</x:v>
      </x:c>
      <x:c r="O119" s="25" t="str">
        <x:v>Gemini-3.8-flash/Result/Closure_146/result.json</x:v>
      </x:c>
      <x:c r="P119" t="str">
        <x:v>BOTH_NOT_RUN</x:v>
      </x:c>
      <x:c r="Q119" s="21" t="str"/>
      <x:c r="R119" s="21" t="str"/>
      <x:c r="S119" s="21" t="str"/>
      <x:c r="T119" s="17" t="str">
        <x:v>false</x:v>
      </x:c>
      <x:c r="U119" s="17" t="str">
        <x:v>true</x:v>
      </x:c>
      <x:c r="V119" s="17" t="str">
        <x:v>false</x:v>
      </x:c>
    </x:row>
    <x:row r="120" ht="80" customHeight="1">
      <x:c r="A120" s="25" t="str">
        <x:v>Closure</x:v>
      </x:c>
      <x:c r="B120" s="25" t="n">
        <x:v>147</x:v>
      </x:c>
      <x:c r="C120" s="25" t="str">
        <x:v>Round1</x:v>
      </x:c>
      <x:c r="D120" s="25" t="str">
        <x:v>NOT_AVAILABLE</x:v>
      </x:c>
      <x:c r="E120" s="25" t="str">
        <x:v>N/A</x:v>
      </x:c>
      <x:c r="F120" s="26" t="str">
        <x:v>Tests exist but current coverage did not complete</x:v>
      </x:c>
      <x:c r="G120" s="25" t="str">
        <x:v>true</x:v>
      </x:c>
      <x:c r="H120" s="25" t="str">
        <x:v>NOT_AVAILABLE</x:v>
      </x:c>
      <x:c r="I120" s="25" t="str">
        <x:v>NOT_RUN</x:v>
      </x:c>
      <x:c r="J120" s="25" t="str">
        <x:v>NOT_RUN</x:v>
      </x:c>
      <x:c r="K120" s="25" t="n">
        <x:v>1</x:v>
      </x:c>
      <x:c r="L120" s="27" t="b">
        <x:v>0</x:v>
      </x:c>
      <x:c r="M120" s="25" t="str">
        <x:v>Gemini-3.8-flash/generation_state.json</x:v>
      </x:c>
      <x:c r="N120" s="25" t="str">
        <x:v>Gemini-3.8-flash/Result/Closure_147/result.json</x:v>
      </x:c>
      <x:c r="O120" s="25" t="str">
        <x:v>Gemini-3.8-flash/Result/Closure_147/result.json</x:v>
      </x:c>
      <x:c r="P120" t="str">
        <x:v>BOTH_NOT_RUN</x:v>
      </x:c>
      <x:c r="Q120" s="21" t="str"/>
      <x:c r="R120" s="21" t="str"/>
      <x:c r="S120" s="21" t="str"/>
      <x:c r="T120" s="17" t="str">
        <x:v>false</x:v>
      </x:c>
      <x:c r="U120" s="17" t="str">
        <x:v>true</x:v>
      </x:c>
      <x:c r="V120" s="17" t="str">
        <x:v>false</x:v>
      </x:c>
    </x:row>
    <x:row r="121" ht="80" customHeight="1">
      <x:c r="A121" s="25" t="str">
        <x:v>Closure</x:v>
      </x:c>
      <x:c r="B121" s="25" t="n">
        <x:v>148</x:v>
      </x:c>
      <x:c r="C121" s="25" t="str">
        <x:v>Round1</x:v>
      </x:c>
      <x:c r="D121" s="25" t="str">
        <x:v>NOT_AVAILABLE</x:v>
      </x:c>
      <x:c r="E121" s="25" t="str">
        <x:v>N/A</x:v>
      </x:c>
      <x:c r="F121" s="26" t="str">
        <x:v>Tests exist but current coverage did not complete</x:v>
      </x:c>
      <x:c r="G121" s="25" t="str">
        <x:v>true</x:v>
      </x:c>
      <x:c r="H121" s="25" t="str">
        <x:v>NOT_AVAILABLE</x:v>
      </x:c>
      <x:c r="I121" s="25" t="str">
        <x:v>NOT_RUN</x:v>
      </x:c>
      <x:c r="J121" s="25" t="str">
        <x:v>NOT_RUN</x:v>
      </x:c>
      <x:c r="K121" s="25" t="n">
        <x:v>2</x:v>
      </x:c>
      <x:c r="L121" s="27" t="b">
        <x:v>0</x:v>
      </x:c>
      <x:c r="M121" s="25" t="str">
        <x:v>Gemini-3.8-flash/generation_state.json</x:v>
      </x:c>
      <x:c r="N121" s="25" t="str">
        <x:v>Gemini-3.8-flash/Result/Closure_148/result.json</x:v>
      </x:c>
      <x:c r="O121" s="25" t="str">
        <x:v>Gemini-3.8-flash/Result/Closure_148/result.json</x:v>
      </x:c>
      <x:c r="P121" t="str">
        <x:v>BOTH_NOT_RUN</x:v>
      </x:c>
      <x:c r="Q121" s="21" t="str"/>
      <x:c r="R121" s="21" t="str"/>
      <x:c r="S121" s="21" t="str"/>
      <x:c r="T121" s="17" t="str">
        <x:v>false</x:v>
      </x:c>
      <x:c r="U121" s="17" t="str">
        <x:v>true</x:v>
      </x:c>
      <x:c r="V121" s="17" t="str">
        <x:v>false</x:v>
      </x:c>
    </x:row>
    <x:row r="122" ht="80" customHeight="1">
      <x:c r="A122" s="25" t="str">
        <x:v>Closure</x:v>
      </x:c>
      <x:c r="B122" s="25" t="n">
        <x:v>149</x:v>
      </x:c>
      <x:c r="C122" s="25" t="str">
        <x:v>Round1</x:v>
      </x:c>
      <x:c r="D122" s="25" t="str">
        <x:v>NOT_AVAILABLE</x:v>
      </x:c>
      <x:c r="E122" s="25" t="str">
        <x:v>N/A</x:v>
      </x:c>
      <x:c r="F122" s="26" t="str">
        <x:v>Tests exist but current coverage did not complete</x:v>
      </x:c>
      <x:c r="G122" s="25" t="str">
        <x:v>true</x:v>
      </x:c>
      <x:c r="H122" s="25" t="str">
        <x:v>NOT_AVAILABLE</x:v>
      </x:c>
      <x:c r="I122" s="25" t="str">
        <x:v>NOT_RUN</x:v>
      </x:c>
      <x:c r="J122" s="25" t="str">
        <x:v>NOT_RUN</x:v>
      </x:c>
      <x:c r="K122" s="25" t="n">
        <x:v>4</x:v>
      </x:c>
      <x:c r="L122" s="27" t="b">
        <x:v>0</x:v>
      </x:c>
      <x:c r="M122" s="25" t="str">
        <x:v>Gemini-3.8-flash/generation_state.json</x:v>
      </x:c>
      <x:c r="N122" s="25" t="str">
        <x:v>Gemini-3.8-flash/Result/Closure_149/result.json</x:v>
      </x:c>
      <x:c r="O122" s="25" t="str">
        <x:v>Gemini-3.8-flash/Result/Closure_149/result.json</x:v>
      </x:c>
      <x:c r="P122" t="str">
        <x:v>BOTH_NOT_RUN</x:v>
      </x:c>
      <x:c r="Q122" s="21" t="str"/>
      <x:c r="R122" s="21" t="str"/>
      <x:c r="S122" s="21" t="str"/>
      <x:c r="T122" s="17" t="str">
        <x:v>false</x:v>
      </x:c>
      <x:c r="U122" s="17" t="str">
        <x:v>true</x:v>
      </x:c>
      <x:c r="V122" s="17" t="str">
        <x:v>false</x:v>
      </x:c>
    </x:row>
    <x:row r="123" ht="80" customHeight="1">
      <x:c r="A123" s="25" t="str">
        <x:v>Closure</x:v>
      </x:c>
      <x:c r="B123" s="25" t="n">
        <x:v>15</x:v>
      </x:c>
      <x:c r="C123" s="25" t="str">
        <x:v>Round1</x:v>
      </x:c>
      <x:c r="D123" s="25" t="str">
        <x:v>NOT_AVAILABLE</x:v>
      </x:c>
      <x:c r="E123" s="25" t="str">
        <x:v>N/A</x:v>
      </x:c>
      <x:c r="F123" s="26" t="str">
        <x:v>Tests exist but current coverage did not complete</x:v>
      </x:c>
      <x:c r="G123" s="25" t="str">
        <x:v>true</x:v>
      </x:c>
      <x:c r="H123" s="25" t="str">
        <x:v>NOT_AVAILABLE</x:v>
      </x:c>
      <x:c r="I123" s="25" t="str">
        <x:v>NOT_RUN</x:v>
      </x:c>
      <x:c r="J123" s="25" t="str">
        <x:v>NOT_RUN</x:v>
      </x:c>
      <x:c r="K123" s="25" t="n">
        <x:v>1</x:v>
      </x:c>
      <x:c r="L123" s="27" t="b">
        <x:v>0</x:v>
      </x:c>
      <x:c r="M123" s="25" t="str">
        <x:v>Gemini-3.8-flash/generation_state.json</x:v>
      </x:c>
      <x:c r="N123" s="25" t="str">
        <x:v>Gemini-3.8-flash/Result/Closure_15/result.json</x:v>
      </x:c>
      <x:c r="O123" s="25" t="str">
        <x:v>Gemini-3.8-flash/Result/Closure_15/result.json</x:v>
      </x:c>
      <x:c r="P123" t="str">
        <x:v>BOTH_NOT_RUN</x:v>
      </x:c>
      <x:c r="Q123" s="21" t="str"/>
      <x:c r="R123" s="21" t="str"/>
      <x:c r="S123" s="21" t="str"/>
      <x:c r="T123" s="17" t="str">
        <x:v>false</x:v>
      </x:c>
      <x:c r="U123" s="17" t="str">
        <x:v>true</x:v>
      </x:c>
      <x:c r="V123" s="17" t="str">
        <x:v>false</x:v>
      </x:c>
    </x:row>
    <x:row r="124" ht="80" customHeight="1">
      <x:c r="A124" s="25" t="str">
        <x:v>Closure</x:v>
      </x:c>
      <x:c r="B124" s="25" t="n">
        <x:v>150</x:v>
      </x:c>
      <x:c r="C124" s="25" t="str">
        <x:v>Round1</x:v>
      </x:c>
      <x:c r="D124" s="25" t="str">
        <x:v>NOT_AVAILABLE</x:v>
      </x:c>
      <x:c r="E124" s="25" t="str">
        <x:v>N/A</x:v>
      </x:c>
      <x:c r="F124" s="26" t="str">
        <x:v>Tests exist but current coverage did not complete</x:v>
      </x:c>
      <x:c r="G124" s="25" t="str">
        <x:v>true</x:v>
      </x:c>
      <x:c r="H124" s="25" t="str">
        <x:v>NOT_AVAILABLE</x:v>
      </x:c>
      <x:c r="I124" s="25" t="str">
        <x:v>NOT_RUN</x:v>
      </x:c>
      <x:c r="J124" s="25" t="str">
        <x:v>NOT_RUN</x:v>
      </x:c>
      <x:c r="K124" s="25" t="n">
        <x:v>1</x:v>
      </x:c>
      <x:c r="L124" s="27" t="b">
        <x:v>0</x:v>
      </x:c>
      <x:c r="M124" s="25" t="str">
        <x:v>Gemini-3.8-flash/generation_state.json</x:v>
      </x:c>
      <x:c r="N124" s="25" t="str">
        <x:v>Gemini-3.8-flash/Result/Closure_150/result.json</x:v>
      </x:c>
      <x:c r="O124" s="25" t="str">
        <x:v>Gemini-3.8-flash/Result/Closure_150/result.json</x:v>
      </x:c>
      <x:c r="P124" t="str">
        <x:v>BOTH_NOT_RUN</x:v>
      </x:c>
      <x:c r="Q124" s="21" t="str"/>
      <x:c r="R124" s="21" t="str"/>
      <x:c r="S124" s="21" t="str"/>
      <x:c r="T124" s="17" t="str">
        <x:v>false</x:v>
      </x:c>
      <x:c r="U124" s="17" t="str">
        <x:v>true</x:v>
      </x:c>
      <x:c r="V124" s="17" t="str">
        <x:v>false</x:v>
      </x:c>
    </x:row>
    <x:row r="125" ht="80" customHeight="1">
      <x:c r="A125" s="25" t="str">
        <x:v>Closure</x:v>
      </x:c>
      <x:c r="B125" s="25" t="n">
        <x:v>151</x:v>
      </x:c>
      <x:c r="C125" s="25" t="str">
        <x:v>Round1</x:v>
      </x:c>
      <x:c r="D125" s="25" t="str">
        <x:v>NOT_AVAILABLE</x:v>
      </x:c>
      <x:c r="E125" s="25" t="str">
        <x:v>N/A</x:v>
      </x:c>
      <x:c r="F125" s="26" t="str">
        <x:v>Tests exist but current coverage did not complete</x:v>
      </x:c>
      <x:c r="G125" s="25" t="str">
        <x:v>true</x:v>
      </x:c>
      <x:c r="H125" s="25" t="str">
        <x:v>NOT_AVAILABLE</x:v>
      </x:c>
      <x:c r="I125" s="25" t="str">
        <x:v>NOT_RUN</x:v>
      </x:c>
      <x:c r="J125" s="25" t="str">
        <x:v>NOT_RUN</x:v>
      </x:c>
      <x:c r="K125" s="25" t="n">
        <x:v>1</x:v>
      </x:c>
      <x:c r="L125" s="27" t="b">
        <x:v>0</x:v>
      </x:c>
      <x:c r="M125" s="25" t="str">
        <x:v>Gemini-3.8-flash/generation_state.json</x:v>
      </x:c>
      <x:c r="N125" s="25" t="str">
        <x:v>Gemini-3.8-flash/Result/Closure_151/result.json</x:v>
      </x:c>
      <x:c r="O125" s="25" t="str">
        <x:v>Gemini-3.8-flash/Result/Closure_151/result.json</x:v>
      </x:c>
      <x:c r="P125" t="str">
        <x:v>BOTH_NOT_RUN</x:v>
      </x:c>
      <x:c r="Q125" s="21" t="str"/>
      <x:c r="R125" s="21" t="str"/>
      <x:c r="S125" s="21" t="str"/>
      <x:c r="T125" s="17" t="str">
        <x:v>false</x:v>
      </x:c>
      <x:c r="U125" s="17" t="str">
        <x:v>true</x:v>
      </x:c>
      <x:c r="V125" s="17" t="str">
        <x:v>false</x:v>
      </x:c>
    </x:row>
    <x:row r="126" ht="80" customHeight="1">
      <x:c r="A126" s="25" t="str">
        <x:v>Closure</x:v>
      </x:c>
      <x:c r="B126" s="25" t="n">
        <x:v>152</x:v>
      </x:c>
      <x:c r="C126" s="25" t="str">
        <x:v>Round1</x:v>
      </x:c>
      <x:c r="D126" s="25" t="str">
        <x:v>NOT_AVAILABLE</x:v>
      </x:c>
      <x:c r="E126" s="25" t="str">
        <x:v>N/A</x:v>
      </x:c>
      <x:c r="F126" s="26" t="str">
        <x:v>Tests exist but current coverage did not complete</x:v>
      </x:c>
      <x:c r="G126" s="25" t="str">
        <x:v>true</x:v>
      </x:c>
      <x:c r="H126" s="25" t="str">
        <x:v>NOT_AVAILABLE</x:v>
      </x:c>
      <x:c r="I126" s="25" t="str">
        <x:v>NOT_RUN</x:v>
      </x:c>
      <x:c r="J126" s="25" t="str">
        <x:v>NOT_RUN</x:v>
      </x:c>
      <x:c r="K126" s="25" t="n">
        <x:v>1</x:v>
      </x:c>
      <x:c r="L126" s="27" t="b">
        <x:v>0</x:v>
      </x:c>
      <x:c r="M126" s="25" t="str">
        <x:v>Gemini-3.8-flash/generation_state.json</x:v>
      </x:c>
      <x:c r="N126" s="25" t="str">
        <x:v>Gemini-3.8-flash/Result/Closure_152/result.json</x:v>
      </x:c>
      <x:c r="O126" s="25" t="str">
        <x:v>Gemini-3.8-flash/Result/Closure_152/result.json</x:v>
      </x:c>
      <x:c r="P126" t="str">
        <x:v>BOTH_NOT_RUN</x:v>
      </x:c>
      <x:c r="Q126" s="21" t="str"/>
      <x:c r="R126" s="21" t="str"/>
      <x:c r="S126" s="21" t="str"/>
      <x:c r="T126" s="17" t="str">
        <x:v>false</x:v>
      </x:c>
      <x:c r="U126" s="17" t="str">
        <x:v>true</x:v>
      </x:c>
      <x:c r="V126" s="17" t="str">
        <x:v>false</x:v>
      </x:c>
    </x:row>
    <x:row r="127" ht="80" customHeight="1">
      <x:c r="A127" s="25" t="str">
        <x:v>Closure</x:v>
      </x:c>
      <x:c r="B127" s="25" t="n">
        <x:v>153</x:v>
      </x:c>
      <x:c r="C127" s="25" t="str">
        <x:v>Round1</x:v>
      </x:c>
      <x:c r="D127" s="25" t="str">
        <x:v>NOT_AVAILABLE</x:v>
      </x:c>
      <x:c r="E127" s="25" t="str">
        <x:v>N/A</x:v>
      </x:c>
      <x:c r="F127" s="26" t="str">
        <x:v>Tests exist but current coverage did not complete</x:v>
      </x:c>
      <x:c r="G127" s="25" t="str">
        <x:v>true</x:v>
      </x:c>
      <x:c r="H127" s="25" t="str">
        <x:v>NOT_AVAILABLE</x:v>
      </x:c>
      <x:c r="I127" s="25" t="str">
        <x:v>NOT_RUN</x:v>
      </x:c>
      <x:c r="J127" s="25" t="str">
        <x:v>NOT_RUN</x:v>
      </x:c>
      <x:c r="K127" s="25" t="n">
        <x:v>2</x:v>
      </x:c>
      <x:c r="L127" s="27" t="b">
        <x:v>0</x:v>
      </x:c>
      <x:c r="M127" s="25" t="str">
        <x:v>Gemini-3.8-flash/generation_state.json</x:v>
      </x:c>
      <x:c r="N127" s="25" t="str">
        <x:v>Gemini-3.8-flash/Result/Closure_153/result.json</x:v>
      </x:c>
      <x:c r="O127" s="25" t="str">
        <x:v>Gemini-3.8-flash/Result/Closure_153/result.json</x:v>
      </x:c>
      <x:c r="P127" t="str">
        <x:v>BOTH_NOT_RUN</x:v>
      </x:c>
      <x:c r="Q127" s="21" t="str"/>
      <x:c r="R127" s="21" t="str"/>
      <x:c r="S127" s="21" t="str"/>
      <x:c r="T127" s="17" t="str">
        <x:v>false</x:v>
      </x:c>
      <x:c r="U127" s="17" t="str">
        <x:v>true</x:v>
      </x:c>
      <x:c r="V127" s="17" t="str">
        <x:v>false</x:v>
      </x:c>
    </x:row>
    <x:row r="128" ht="80" customHeight="1">
      <x:c r="A128" s="25" t="str">
        <x:v>Closure</x:v>
      </x:c>
      <x:c r="B128" s="25" t="n">
        <x:v>154</x:v>
      </x:c>
      <x:c r="C128" s="25" t="str">
        <x:v>Round1</x:v>
      </x:c>
      <x:c r="D128" s="25" t="str">
        <x:v>NOT_AVAILABLE</x:v>
      </x:c>
      <x:c r="E128" s="25" t="str">
        <x:v>N/A</x:v>
      </x:c>
      <x:c r="F128" s="26" t="str">
        <x:v>Tests exist but current coverage did not complete</x:v>
      </x:c>
      <x:c r="G128" s="25" t="str">
        <x:v>true</x:v>
      </x:c>
      <x:c r="H128" s="25" t="str">
        <x:v>NOT_AVAILABLE</x:v>
      </x:c>
      <x:c r="I128" s="25" t="str">
        <x:v>NOT_RUN</x:v>
      </x:c>
      <x:c r="J128" s="25" t="str">
        <x:v>NOT_RUN</x:v>
      </x:c>
      <x:c r="K128" s="25" t="n">
        <x:v>2</x:v>
      </x:c>
      <x:c r="L128" s="27" t="b">
        <x:v>0</x:v>
      </x:c>
      <x:c r="M128" s="25" t="str">
        <x:v>Gemini-3.8-flash/generation_state.json</x:v>
      </x:c>
      <x:c r="N128" s="25" t="str">
        <x:v>Gemini-3.8-flash/Result/Closure_154/result.json</x:v>
      </x:c>
      <x:c r="O128" s="25" t="str">
        <x:v>Gemini-3.8-flash/Result/Closure_154/result.json</x:v>
      </x:c>
      <x:c r="P128" t="str">
        <x:v>BOTH_NOT_RUN</x:v>
      </x:c>
      <x:c r="Q128" s="21" t="str"/>
      <x:c r="R128" s="21" t="str"/>
      <x:c r="S128" s="21" t="str"/>
      <x:c r="T128" s="17" t="str">
        <x:v>false</x:v>
      </x:c>
      <x:c r="U128" s="17" t="str">
        <x:v>true</x:v>
      </x:c>
      <x:c r="V128" s="17" t="str">
        <x:v>false</x:v>
      </x:c>
    </x:row>
    <x:row r="129" ht="80" customHeight="1">
      <x:c r="A129" s="25" t="str">
        <x:v>Closure</x:v>
      </x:c>
      <x:c r="B129" s="25" t="n">
        <x:v>155</x:v>
      </x:c>
      <x:c r="C129" s="25" t="str">
        <x:v>Round1</x:v>
      </x:c>
      <x:c r="D129" s="25" t="str">
        <x:v>NOT_AVAILABLE</x:v>
      </x:c>
      <x:c r="E129" s="25" t="str">
        <x:v>N/A</x:v>
      </x:c>
      <x:c r="F129" s="26" t="str">
        <x:v>Tests exist but current coverage did not complete</x:v>
      </x:c>
      <x:c r="G129" s="25" t="str">
        <x:v>true</x:v>
      </x:c>
      <x:c r="H129" s="25" t="str">
        <x:v>NOT_AVAILABLE</x:v>
      </x:c>
      <x:c r="I129" s="25" t="str">
        <x:v>NOT_RUN</x:v>
      </x:c>
      <x:c r="J129" s="25" t="str">
        <x:v>NOT_RUN</x:v>
      </x:c>
      <x:c r="K129" s="25" t="n">
        <x:v>3</x:v>
      </x:c>
      <x:c r="L129" s="27" t="b">
        <x:v>0</x:v>
      </x:c>
      <x:c r="M129" s="25" t="str">
        <x:v>Gemini-3.8-flash/generation_state.json</x:v>
      </x:c>
      <x:c r="N129" s="25" t="str">
        <x:v>Gemini-3.8-flash/Result/Closure_155/result.json</x:v>
      </x:c>
      <x:c r="O129" s="25" t="str">
        <x:v>Gemini-3.8-flash/Result/Closure_155/result.json</x:v>
      </x:c>
      <x:c r="P129" t="str">
        <x:v>BOTH_NOT_RUN</x:v>
      </x:c>
      <x:c r="Q129" s="21" t="str"/>
      <x:c r="R129" s="21" t="str"/>
      <x:c r="S129" s="21" t="str"/>
      <x:c r="T129" s="17" t="str">
        <x:v>false</x:v>
      </x:c>
      <x:c r="U129" s="17" t="str">
        <x:v>true</x:v>
      </x:c>
      <x:c r="V129" s="17" t="str">
        <x:v>false</x:v>
      </x:c>
    </x:row>
    <x:row r="130" ht="80" customHeight="1">
      <x:c r="A130" s="25" t="str">
        <x:v>Closure</x:v>
      </x:c>
      <x:c r="B130" s="25" t="n">
        <x:v>156</x:v>
      </x:c>
      <x:c r="C130" s="25" t="str">
        <x:v>Round1</x:v>
      </x:c>
      <x:c r="D130" s="25" t="str">
        <x:v>NOT_AVAILABLE</x:v>
      </x:c>
      <x:c r="E130" s="25" t="str">
        <x:v>N/A</x:v>
      </x:c>
      <x:c r="F130" s="26" t="str">
        <x:v>Tests exist but current coverage did not complete</x:v>
      </x:c>
      <x:c r="G130" s="25" t="str">
        <x:v>true</x:v>
      </x:c>
      <x:c r="H130" s="25" t="str">
        <x:v>NOT_AVAILABLE</x:v>
      </x:c>
      <x:c r="I130" s="25" t="str">
        <x:v>NOT_RUN</x:v>
      </x:c>
      <x:c r="J130" s="25" t="str">
        <x:v>NOT_RUN</x:v>
      </x:c>
      <x:c r="K130" s="25" t="n">
        <x:v>1</x:v>
      </x:c>
      <x:c r="L130" s="27" t="b">
        <x:v>0</x:v>
      </x:c>
      <x:c r="M130" s="25" t="str">
        <x:v>Gemini-3.8-flash/generation_state.json</x:v>
      </x:c>
      <x:c r="N130" s="25" t="str">
        <x:v>Gemini-3.8-flash/Result/Closure_156/result.json</x:v>
      </x:c>
      <x:c r="O130" s="25" t="str">
        <x:v>Gemini-3.8-flash/Result/Closure_156/result.json</x:v>
      </x:c>
      <x:c r="P130" t="str">
        <x:v>BOTH_NOT_RUN</x:v>
      </x:c>
      <x:c r="Q130" s="21" t="str"/>
      <x:c r="R130" s="21" t="str"/>
      <x:c r="S130" s="21" t="str"/>
      <x:c r="T130" s="17" t="str">
        <x:v>false</x:v>
      </x:c>
      <x:c r="U130" s="17" t="str">
        <x:v>true</x:v>
      </x:c>
      <x:c r="V130" s="17" t="str">
        <x:v>false</x:v>
      </x:c>
    </x:row>
    <x:row r="131" ht="80" customHeight="1">
      <x:c r="A131" s="25" t="str">
        <x:v>Closure</x:v>
      </x:c>
      <x:c r="B131" s="25" t="n">
        <x:v>157</x:v>
      </x:c>
      <x:c r="C131" s="25" t="str">
        <x:v>Round1</x:v>
      </x:c>
      <x:c r="D131" s="25" t="str">
        <x:v>NOT_AVAILABLE</x:v>
      </x:c>
      <x:c r="E131" s="25" t="str">
        <x:v>N/A</x:v>
      </x:c>
      <x:c r="F131" s="26" t="str">
        <x:v>Tests exist but current coverage did not complete</x:v>
      </x:c>
      <x:c r="G131" s="25" t="str">
        <x:v>true</x:v>
      </x:c>
      <x:c r="H131" s="25" t="str">
        <x:v>NOT_AVAILABLE</x:v>
      </x:c>
      <x:c r="I131" s="25" t="str">
        <x:v>NOT_RUN</x:v>
      </x:c>
      <x:c r="J131" s="25" t="str">
        <x:v>NOT_RUN</x:v>
      </x:c>
      <x:c r="K131" s="25" t="n">
        <x:v>3</x:v>
      </x:c>
      <x:c r="L131" s="27" t="b">
        <x:v>0</x:v>
      </x:c>
      <x:c r="M131" s="25" t="str">
        <x:v>Gemini-3.8-flash/generation_state.json</x:v>
      </x:c>
      <x:c r="N131" s="25" t="str">
        <x:v>Gemini-3.8-flash/Result/Closure_157/result.json</x:v>
      </x:c>
      <x:c r="O131" s="25" t="str">
        <x:v>Gemini-3.8-flash/Result/Closure_157/result.json</x:v>
      </x:c>
      <x:c r="P131" t="str">
        <x:v>BOTH_NOT_RUN</x:v>
      </x:c>
      <x:c r="Q131" s="21" t="str"/>
      <x:c r="R131" s="21" t="str"/>
      <x:c r="S131" s="21" t="str"/>
      <x:c r="T131" s="17" t="str">
        <x:v>false</x:v>
      </x:c>
      <x:c r="U131" s="17" t="str">
        <x:v>true</x:v>
      </x:c>
      <x:c r="V131" s="17" t="str">
        <x:v>false</x:v>
      </x:c>
    </x:row>
    <x:row r="132" ht="80" customHeight="1">
      <x:c r="A132" s="25" t="str">
        <x:v>Closure</x:v>
      </x:c>
      <x:c r="B132" s="25" t="n">
        <x:v>158</x:v>
      </x:c>
      <x:c r="C132" s="25" t="str">
        <x:v>Round1</x:v>
      </x:c>
      <x:c r="D132" s="25" t="str">
        <x:v>NOT_AVAILABLE</x:v>
      </x:c>
      <x:c r="E132" s="25" t="str">
        <x:v>N/A</x:v>
      </x:c>
      <x:c r="F132" s="26" t="str">
        <x:v>Tests exist but current coverage did not complete</x:v>
      </x:c>
      <x:c r="G132" s="25" t="str">
        <x:v>true</x:v>
      </x:c>
      <x:c r="H132" s="25" t="str">
        <x:v>NOT_AVAILABLE</x:v>
      </x:c>
      <x:c r="I132" s="25" t="str">
        <x:v>NOT_RUN</x:v>
      </x:c>
      <x:c r="J132" s="25" t="str">
        <x:v>NOT_RUN</x:v>
      </x:c>
      <x:c r="K132" s="25" t="n">
        <x:v>3</x:v>
      </x:c>
      <x:c r="L132" s="27" t="b">
        <x:v>0</x:v>
      </x:c>
      <x:c r="M132" s="25" t="str">
        <x:v>Gemini-3.8-flash/generation_state.json</x:v>
      </x:c>
      <x:c r="N132" s="25" t="str">
        <x:v>Gemini-3.8-flash/Result/Closure_158/result.json</x:v>
      </x:c>
      <x:c r="O132" s="25" t="str">
        <x:v>Gemini-3.8-flash/Result/Closure_158/result.json</x:v>
      </x:c>
      <x:c r="P132" t="str">
        <x:v>BOTH_NOT_RUN</x:v>
      </x:c>
      <x:c r="Q132" s="21" t="str"/>
      <x:c r="R132" s="21" t="str"/>
      <x:c r="S132" s="21" t="str"/>
      <x:c r="T132" s="17" t="str">
        <x:v>false</x:v>
      </x:c>
      <x:c r="U132" s="17" t="str">
        <x:v>true</x:v>
      </x:c>
      <x:c r="V132" s="17" t="str">
        <x:v>false</x:v>
      </x:c>
    </x:row>
    <x:row r="133" ht="80" customHeight="1">
      <x:c r="A133" s="25" t="str">
        <x:v>Closure</x:v>
      </x:c>
      <x:c r="B133" s="25" t="n">
        <x:v>159</x:v>
      </x:c>
      <x:c r="C133" s="25" t="str">
        <x:v>Round1</x:v>
      </x:c>
      <x:c r="D133" s="25" t="str">
        <x:v>NOT_AVAILABLE</x:v>
      </x:c>
      <x:c r="E133" s="25" t="str">
        <x:v>N/A</x:v>
      </x:c>
      <x:c r="F133" s="26" t="str">
        <x:v>Tests exist but current coverage did not complete</x:v>
      </x:c>
      <x:c r="G133" s="25" t="str">
        <x:v>true</x:v>
      </x:c>
      <x:c r="H133" s="25" t="str">
        <x:v>NOT_AVAILABLE</x:v>
      </x:c>
      <x:c r="I133" s="25" t="str">
        <x:v>NOT_RUN</x:v>
      </x:c>
      <x:c r="J133" s="25" t="str">
        <x:v>NOT_RUN</x:v>
      </x:c>
      <x:c r="K133" s="25" t="n">
        <x:v>1</x:v>
      </x:c>
      <x:c r="L133" s="27" t="b">
        <x:v>0</x:v>
      </x:c>
      <x:c r="M133" s="25" t="str">
        <x:v>Gemini-3.8-flash/generation_state.json</x:v>
      </x:c>
      <x:c r="N133" s="25" t="str">
        <x:v>Gemini-3.8-flash/Result/Closure_159/result.json</x:v>
      </x:c>
      <x:c r="O133" s="25" t="str">
        <x:v>Gemini-3.8-flash/Result/Closure_159/result.json</x:v>
      </x:c>
      <x:c r="P133" t="str">
        <x:v>BOTH_NOT_RUN</x:v>
      </x:c>
      <x:c r="Q133" s="21" t="str"/>
      <x:c r="R133" s="21" t="str"/>
      <x:c r="S133" s="21" t="str"/>
      <x:c r="T133" s="17" t="str">
        <x:v>false</x:v>
      </x:c>
      <x:c r="U133" s="17" t="str">
        <x:v>true</x:v>
      </x:c>
      <x:c r="V133" s="17" t="str">
        <x:v>false</x:v>
      </x:c>
    </x:row>
    <x:row r="134" ht="80" customHeight="1">
      <x:c r="A134" s="25" t="str">
        <x:v>Closure</x:v>
      </x:c>
      <x:c r="B134" s="25" t="n">
        <x:v>16</x:v>
      </x:c>
      <x:c r="C134" s="25" t="str">
        <x:v>Round1</x:v>
      </x:c>
      <x:c r="D134" s="25" t="str">
        <x:v>NOT_AVAILABLE</x:v>
      </x:c>
      <x:c r="E134" s="25" t="str">
        <x:v>N/A</x:v>
      </x:c>
      <x:c r="F134" s="26" t="str">
        <x:v>Tests exist but current coverage did not complete</x:v>
      </x:c>
      <x:c r="G134" s="25" t="str">
        <x:v>true</x:v>
      </x:c>
      <x:c r="H134" s="25" t="str">
        <x:v>NOT_AVAILABLE</x:v>
      </x:c>
      <x:c r="I134" s="25" t="str">
        <x:v>NOT_RUN</x:v>
      </x:c>
      <x:c r="J134" s="25" t="str">
        <x:v>NOT_RUN</x:v>
      </x:c>
      <x:c r="K134" s="25" t="n">
        <x:v>1</x:v>
      </x:c>
      <x:c r="L134" s="27" t="b">
        <x:v>0</x:v>
      </x:c>
      <x:c r="M134" s="25" t="str">
        <x:v>Gemini-3.8-flash/generation_state.json</x:v>
      </x:c>
      <x:c r="N134" s="25" t="str">
        <x:v>Gemini-3.8-flash/Result/Closure_16/result.json</x:v>
      </x:c>
      <x:c r="O134" s="25" t="str">
        <x:v>Gemini-3.8-flash/Result/Closure_16/result.json</x:v>
      </x:c>
      <x:c r="P134" t="str">
        <x:v>BOTH_NOT_RUN</x:v>
      </x:c>
      <x:c r="Q134" s="21" t="str"/>
      <x:c r="R134" s="21" t="str"/>
      <x:c r="S134" s="21" t="str"/>
      <x:c r="T134" s="17" t="str">
        <x:v>false</x:v>
      </x:c>
      <x:c r="U134" s="17" t="str">
        <x:v>true</x:v>
      </x:c>
      <x:c r="V134" s="17" t="str">
        <x:v>false</x:v>
      </x:c>
    </x:row>
    <x:row r="135" ht="80" customHeight="1">
      <x:c r="A135" s="25" t="str">
        <x:v>Closure</x:v>
      </x:c>
      <x:c r="B135" s="25" t="n">
        <x:v>160</x:v>
      </x:c>
      <x:c r="C135" s="25" t="str">
        <x:v>Round1</x:v>
      </x:c>
      <x:c r="D135" s="25" t="str">
        <x:v>NOT_AVAILABLE</x:v>
      </x:c>
      <x:c r="E135" s="25" t="str">
        <x:v>N/A</x:v>
      </x:c>
      <x:c r="F135" s="26" t="str">
        <x:v>Tests exist but current coverage did not complete</x:v>
      </x:c>
      <x:c r="G135" s="25" t="str">
        <x:v>true</x:v>
      </x:c>
      <x:c r="H135" s="25" t="str">
        <x:v>NOT_AVAILABLE</x:v>
      </x:c>
      <x:c r="I135" s="25" t="str">
        <x:v>NOT_RUN</x:v>
      </x:c>
      <x:c r="J135" s="25" t="str">
        <x:v>NOT_RUN</x:v>
      </x:c>
      <x:c r="K135" s="25" t="n">
        <x:v>1</x:v>
      </x:c>
      <x:c r="L135" s="27" t="b">
        <x:v>0</x:v>
      </x:c>
      <x:c r="M135" s="25" t="str">
        <x:v>Gemini-3.8-flash/generation_state.json</x:v>
      </x:c>
      <x:c r="N135" s="25" t="str">
        <x:v>Gemini-3.8-flash/Result/Closure_160/result.json</x:v>
      </x:c>
      <x:c r="O135" s="25" t="str">
        <x:v>Gemini-3.8-flash/Result/Closure_160/result.json</x:v>
      </x:c>
      <x:c r="P135" t="str">
        <x:v>BOTH_NOT_RUN</x:v>
      </x:c>
      <x:c r="Q135" s="21" t="str"/>
      <x:c r="R135" s="21" t="str"/>
      <x:c r="S135" s="21" t="str"/>
      <x:c r="T135" s="17" t="str">
        <x:v>false</x:v>
      </x:c>
      <x:c r="U135" s="17" t="str">
        <x:v>true</x:v>
      </x:c>
      <x:c r="V135" s="17" t="str">
        <x:v>false</x:v>
      </x:c>
    </x:row>
    <x:row r="136" ht="80" customHeight="1">
      <x:c r="A136" s="25" t="str">
        <x:v>Closure</x:v>
      </x:c>
      <x:c r="B136" s="25" t="n">
        <x:v>161</x:v>
      </x:c>
      <x:c r="C136" s="25" t="str">
        <x:v>Round1</x:v>
      </x:c>
      <x:c r="D136" s="25" t="str">
        <x:v>INCONCLUSIVE</x:v>
      </x:c>
      <x:c r="E136" s="25" t="str">
        <x:v>N/A</x:v>
      </x:c>
      <x:c r="F136" s="26" t="str">
        <x:v>Fixed also failed; assertion failure cannot be attributed to this bug</x:v>
      </x:c>
      <x:c r="G136" s="25" t="str">
        <x:v>true</x:v>
      </x:c>
      <x:c r="H136" s="25" t="str">
        <x:v>INCONCLUSIVE</x:v>
      </x:c>
      <x:c r="I136" s="25" t="str">
        <x:v>FAIL</x:v>
      </x:c>
      <x:c r="J136" s="25" t="str">
        <x:v>FAIL</x:v>
      </x:c>
      <x:c r="K136" s="25" t="n">
        <x:v>1</x:v>
      </x:c>
      <x:c r="L136" s="27" t="b">
        <x:v>0</x:v>
      </x:c>
      <x:c r="M136" s="25" t="str">
        <x:v>Gemini-3.8-flash/generation_state.json</x:v>
      </x:c>
      <x:c r="N136" s="25" t="str">
        <x:v>Gemini-3.8-flash/Result/Closure_161/result.json</x:v>
      </x:c>
      <x:c r="O136" s="25" t="str">
        <x:v>Gemini-3.8-flash/Result/Closure_161/result.json</x:v>
      </x:c>
      <x:c r="P136"/>
      <x:c r="Q136" s="21" t="str"/>
      <x:c r="R136" s="21" t="str"/>
      <x:c r="S136" s="21" t="str"/>
      <x:c r="T136" s="17" t="str">
        <x:v>false</x:v>
      </x:c>
      <x:c r="U136" s="17" t="str">
        <x:v>true</x:v>
      </x:c>
      <x:c r="V136" s="17" t="str">
        <x:v>false</x:v>
      </x:c>
    </x:row>
    <x:row r="137" ht="80" customHeight="1">
      <x:c r="A137" s="25" t="str">
        <x:v>Closure</x:v>
      </x:c>
      <x:c r="B137" s="25" t="n">
        <x:v>162</x:v>
      </x:c>
      <x:c r="C137" s="25" t="str">
        <x:v>Round1</x:v>
      </x:c>
      <x:c r="D137" s="25" t="str">
        <x:v>NOT_AVAILABLE</x:v>
      </x:c>
      <x:c r="E137" s="25" t="str">
        <x:v>N/A</x:v>
      </x:c>
      <x:c r="F137" s="26" t="str">
        <x:v>Tests exist but current coverage did not complete</x:v>
      </x:c>
      <x:c r="G137" s="25" t="str">
        <x:v>true</x:v>
      </x:c>
      <x:c r="H137" s="25" t="str">
        <x:v>NOT_AVAILABLE</x:v>
      </x:c>
      <x:c r="I137" s="25" t="str">
        <x:v>NOT_RUN</x:v>
      </x:c>
      <x:c r="J137" s="25" t="str">
        <x:v>NOT_RUN</x:v>
      </x:c>
      <x:c r="K137" s="25" t="n">
        <x:v>2</x:v>
      </x:c>
      <x:c r="L137" s="27" t="b">
        <x:v>0</x:v>
      </x:c>
      <x:c r="M137" s="25" t="str">
        <x:v>Gemini-3.8-flash/generation_state.json</x:v>
      </x:c>
      <x:c r="N137" s="25" t="str">
        <x:v>Gemini-3.8-flash/Result/Closure_162/result.json</x:v>
      </x:c>
      <x:c r="O137" s="25" t="str">
        <x:v>Gemini-3.8-flash/Result/Closure_162/result.json</x:v>
      </x:c>
      <x:c r="P137" t="str">
        <x:v>BOTH_NOT_RUN</x:v>
      </x:c>
      <x:c r="Q137" s="21" t="str"/>
      <x:c r="R137" s="21" t="str"/>
      <x:c r="S137" s="21" t="str"/>
      <x:c r="T137" s="17" t="str">
        <x:v>false</x:v>
      </x:c>
      <x:c r="U137" s="17" t="str">
        <x:v>true</x:v>
      </x:c>
      <x:c r="V137" s="17" t="str">
        <x:v>false</x:v>
      </x:c>
    </x:row>
    <x:row r="138" ht="80" customHeight="1">
      <x:c r="A138" s="25" t="str">
        <x:v>Closure</x:v>
      </x:c>
      <x:c r="B138" s="25" t="n">
        <x:v>163</x:v>
      </x:c>
      <x:c r="C138" s="25" t="str">
        <x:v>Round1</x:v>
      </x:c>
      <x:c r="D138" s="25" t="str">
        <x:v>NOT_AVAILABLE</x:v>
      </x:c>
      <x:c r="E138" s="25" t="str">
        <x:v>N/A</x:v>
      </x:c>
      <x:c r="F138" s="26" t="str">
        <x:v>Tests exist but current coverage did not complete</x:v>
      </x:c>
      <x:c r="G138" s="25" t="str">
        <x:v>true</x:v>
      </x:c>
      <x:c r="H138" s="25" t="str">
        <x:v>NOT_AVAILABLE</x:v>
      </x:c>
      <x:c r="I138" s="25" t="str">
        <x:v>NOT_RUN</x:v>
      </x:c>
      <x:c r="J138" s="25" t="str">
        <x:v>NOT_RUN</x:v>
      </x:c>
      <x:c r="K138" s="25" t="n">
        <x:v>2</x:v>
      </x:c>
      <x:c r="L138" s="27" t="b">
        <x:v>0</x:v>
      </x:c>
      <x:c r="M138" s="25" t="str">
        <x:v>Gemini-3.8-flash/generation_state.json</x:v>
      </x:c>
      <x:c r="N138" s="25" t="str">
        <x:v>Gemini-3.8-flash/Result/Closure_163/result.json</x:v>
      </x:c>
      <x:c r="O138" s="25" t="str">
        <x:v>Gemini-3.8-flash/Result/Closure_163/result.json</x:v>
      </x:c>
      <x:c r="P138" t="str">
        <x:v>BOTH_NOT_RUN</x:v>
      </x:c>
      <x:c r="Q138" s="21" t="str"/>
      <x:c r="R138" s="21" t="str"/>
      <x:c r="S138" s="21" t="str"/>
      <x:c r="T138" s="17" t="str">
        <x:v>false</x:v>
      </x:c>
      <x:c r="U138" s="17" t="str">
        <x:v>true</x:v>
      </x:c>
      <x:c r="V138" s="17" t="str">
        <x:v>false</x:v>
      </x:c>
    </x:row>
    <x:row r="139" ht="80" customHeight="1">
      <x:c r="A139" s="25" t="str">
        <x:v>Closure</x:v>
      </x:c>
      <x:c r="B139" s="25" t="n">
        <x:v>164</x:v>
      </x:c>
      <x:c r="C139" s="25" t="str">
        <x:v>Round1</x:v>
      </x:c>
      <x:c r="D139" s="25" t="str">
        <x:v>NOT_AVAILABLE</x:v>
      </x:c>
      <x:c r="E139" s="25" t="str">
        <x:v>N/A</x:v>
      </x:c>
      <x:c r="F139" s="26" t="str">
        <x:v>Tests exist but current coverage did not complete</x:v>
      </x:c>
      <x:c r="G139" s="25" t="str">
        <x:v>true</x:v>
      </x:c>
      <x:c r="H139" s="25" t="str">
        <x:v>NOT_AVAILABLE</x:v>
      </x:c>
      <x:c r="I139" s="25" t="str">
        <x:v>NOT_RUN</x:v>
      </x:c>
      <x:c r="J139" s="25" t="str">
        <x:v>NOT_RUN</x:v>
      </x:c>
      <x:c r="K139" s="25" t="n">
        <x:v>1</x:v>
      </x:c>
      <x:c r="L139" s="27" t="b">
        <x:v>0</x:v>
      </x:c>
      <x:c r="M139" s="25" t="str">
        <x:v>Gemini-3.8-flash/generation_state.json</x:v>
      </x:c>
      <x:c r="N139" s="25" t="str">
        <x:v>Gemini-3.8-flash/Result/Closure_164/result.json</x:v>
      </x:c>
      <x:c r="O139" s="25" t="str">
        <x:v>Gemini-3.8-flash/Result/Closure_164/result.json</x:v>
      </x:c>
      <x:c r="P139" t="str">
        <x:v>BOTH_NOT_RUN</x:v>
      </x:c>
      <x:c r="Q139" s="21" t="str"/>
      <x:c r="R139" s="21" t="str"/>
      <x:c r="S139" s="21" t="str"/>
      <x:c r="T139" s="17" t="str">
        <x:v>false</x:v>
      </x:c>
      <x:c r="U139" s="17" t="str">
        <x:v>true</x:v>
      </x:c>
      <x:c r="V139" s="17" t="str">
        <x:v>false</x:v>
      </x:c>
    </x:row>
    <x:row r="140" ht="80" customHeight="1">
      <x:c r="A140" s="25" t="str">
        <x:v>Closure</x:v>
      </x:c>
      <x:c r="B140" s="25" t="n">
        <x:v>165</x:v>
      </x:c>
      <x:c r="C140" s="25" t="str">
        <x:v>Round1</x:v>
      </x:c>
      <x:c r="D140" s="25" t="str">
        <x:v>NOT_REVEALING</x:v>
      </x:c>
      <x:c r="E140" s="25" t="str">
        <x:v>N/A</x:v>
      </x:c>
      <x:c r="F140" s="26" t="str">
        <x:v>Same saved validation suite passed on buggy and fixed</x:v>
      </x:c>
      <x:c r="G140" s="25" t="str">
        <x:v>true</x:v>
      </x:c>
      <x:c r="H140" s="25" t="str">
        <x:v>NOT_REVEALING</x:v>
      </x:c>
      <x:c r="I140" s="25" t="str">
        <x:v>PASS</x:v>
      </x:c>
      <x:c r="J140" s="25" t="str">
        <x:v>PASS</x:v>
      </x:c>
      <x:c r="K140" s="25" t="n">
        <x:v>1</x:v>
      </x:c>
      <x:c r="L140" s="27" t="b">
        <x:v>0</x:v>
      </x:c>
      <x:c r="M140" s="25" t="str">
        <x:v>Gemini-3.8-flash/generation_state.json</x:v>
      </x:c>
      <x:c r="N140" s="25" t="str">
        <x:v>Gemini-3.8-flash/Result/Closure_165/result.json</x:v>
      </x:c>
      <x:c r="O140" s="25" t="str">
        <x:v>Gemini-3.8-flash/Result/Closure_165/result.json</x:v>
      </x:c>
      <x:c r="P140"/>
      <x:c r="Q140" s="21" t="str"/>
      <x:c r="R140" s="21" t="str"/>
      <x:c r="S140" s="21" t="str"/>
      <x:c r="T140" s="17" t="str">
        <x:v>false</x:v>
      </x:c>
      <x:c r="U140" s="17" t="str">
        <x:v>true</x:v>
      </x:c>
      <x:c r="V140" s="17" t="str">
        <x:v>false</x:v>
      </x:c>
    </x:row>
    <x:row r="141" ht="80" customHeight="1">
      <x:c r="A141" s="25" t="str">
        <x:v>Closure</x:v>
      </x:c>
      <x:c r="B141" s="25" t="n">
        <x:v>166</x:v>
      </x:c>
      <x:c r="C141" s="25" t="str">
        <x:v>Round1</x:v>
      </x:c>
      <x:c r="D141" s="25" t="str">
        <x:v>NOT_AVAILABLE</x:v>
      </x:c>
      <x:c r="E141" s="25" t="str">
        <x:v>N/A</x:v>
      </x:c>
      <x:c r="F141" s="26" t="str">
        <x:v>Tests exist but current coverage did not complete</x:v>
      </x:c>
      <x:c r="G141" s="25" t="str">
        <x:v>true</x:v>
      </x:c>
      <x:c r="H141" s="25" t="str">
        <x:v>NOT_AVAILABLE</x:v>
      </x:c>
      <x:c r="I141" s="25" t="str">
        <x:v>NOT_RUN</x:v>
      </x:c>
      <x:c r="J141" s="25" t="str">
        <x:v>NOT_RUN</x:v>
      </x:c>
      <x:c r="K141" s="25" t="n">
        <x:v>1</x:v>
      </x:c>
      <x:c r="L141" s="27" t="b">
        <x:v>0</x:v>
      </x:c>
      <x:c r="M141" s="25" t="str">
        <x:v>Gemini-3.8-flash/generation_state.json</x:v>
      </x:c>
      <x:c r="N141" s="25" t="str">
        <x:v>Gemini-3.8-flash/Result/Closure_166/result.json</x:v>
      </x:c>
      <x:c r="O141" s="25" t="str">
        <x:v>Gemini-3.8-flash/Result/Closure_166/result.json</x:v>
      </x:c>
      <x:c r="P141" t="str">
        <x:v>BOTH_NOT_RUN</x:v>
      </x:c>
      <x:c r="Q141" s="21" t="str"/>
      <x:c r="R141" s="21" t="str"/>
      <x:c r="S141" s="21" t="str"/>
      <x:c r="T141" s="17" t="str">
        <x:v>false</x:v>
      </x:c>
      <x:c r="U141" s="17" t="str">
        <x:v>true</x:v>
      </x:c>
      <x:c r="V141" s="17" t="str">
        <x:v>false</x:v>
      </x:c>
    </x:row>
    <x:row r="142" ht="80" customHeight="1">
      <x:c r="A142" s="25" t="str">
        <x:v>Closure</x:v>
      </x:c>
      <x:c r="B142" s="25" t="n">
        <x:v>167</x:v>
      </x:c>
      <x:c r="C142" s="25" t="str">
        <x:v>Round1</x:v>
      </x:c>
      <x:c r="D142" s="25" t="str">
        <x:v>NOT_AVAILABLE</x:v>
      </x:c>
      <x:c r="E142" s="25" t="str">
        <x:v>N/A</x:v>
      </x:c>
      <x:c r="F142" s="26" t="str">
        <x:v>Tests exist but current coverage did not complete</x:v>
      </x:c>
      <x:c r="G142" s="25" t="str">
        <x:v>true</x:v>
      </x:c>
      <x:c r="H142" s="25" t="str">
        <x:v>NOT_AVAILABLE</x:v>
      </x:c>
      <x:c r="I142" s="25" t="str">
        <x:v>NOT_RUN</x:v>
      </x:c>
      <x:c r="J142" s="25" t="str">
        <x:v>NOT_RUN</x:v>
      </x:c>
      <x:c r="K142" s="25" t="n">
        <x:v>2</x:v>
      </x:c>
      <x:c r="L142" s="27" t="b">
        <x:v>0</x:v>
      </x:c>
      <x:c r="M142" s="25" t="str">
        <x:v>Gemini-3.8-flash/generation_state.json</x:v>
      </x:c>
      <x:c r="N142" s="25" t="str">
        <x:v>Gemini-3.8-flash/Result/Closure_167/result.json</x:v>
      </x:c>
      <x:c r="O142" s="25" t="str">
        <x:v>Gemini-3.8-flash/Result/Closure_167/result.json</x:v>
      </x:c>
      <x:c r="P142" t="str">
        <x:v>BOTH_NOT_RUN</x:v>
      </x:c>
      <x:c r="Q142" s="21" t="str"/>
      <x:c r="R142" s="21" t="str"/>
      <x:c r="S142" s="21" t="str"/>
      <x:c r="T142" s="17" t="str">
        <x:v>false</x:v>
      </x:c>
      <x:c r="U142" s="17" t="str">
        <x:v>true</x:v>
      </x:c>
      <x:c r="V142" s="17" t="str">
        <x:v>false</x:v>
      </x:c>
    </x:row>
    <x:row r="143" ht="80" customHeight="1">
      <x:c r="A143" s="25" t="str">
        <x:v>Closure</x:v>
      </x:c>
      <x:c r="B143" s="25" t="n">
        <x:v>168</x:v>
      </x:c>
      <x:c r="C143" s="25" t="str">
        <x:v>Round1</x:v>
      </x:c>
      <x:c r="D143" s="25" t="str">
        <x:v>NOT_AVAILABLE</x:v>
      </x:c>
      <x:c r="E143" s="25" t="str">
        <x:v>N/A</x:v>
      </x:c>
      <x:c r="F143" s="26" t="str">
        <x:v>Tests exist but current coverage did not complete</x:v>
      </x:c>
      <x:c r="G143" s="25" t="str">
        <x:v>true</x:v>
      </x:c>
      <x:c r="H143" s="25" t="str">
        <x:v>NOT_AVAILABLE</x:v>
      </x:c>
      <x:c r="I143" s="25" t="str">
        <x:v>NOT_RUN</x:v>
      </x:c>
      <x:c r="J143" s="25" t="str">
        <x:v>NOT_RUN</x:v>
      </x:c>
      <x:c r="K143" s="25" t="n">
        <x:v>1</x:v>
      </x:c>
      <x:c r="L143" s="27" t="b">
        <x:v>0</x:v>
      </x:c>
      <x:c r="M143" s="25" t="str">
        <x:v>Gemini-3.8-flash/generation_state.json</x:v>
      </x:c>
      <x:c r="N143" s="25" t="str">
        <x:v>Gemini-3.8-flash/Result/Closure_168/result.json</x:v>
      </x:c>
      <x:c r="O143" s="25" t="str">
        <x:v>Gemini-3.8-flash/Result/Closure_168/result.json</x:v>
      </x:c>
      <x:c r="P143" t="str">
        <x:v>BOTH_NOT_RUN</x:v>
      </x:c>
      <x:c r="Q143" s="21" t="str"/>
      <x:c r="R143" s="21" t="str"/>
      <x:c r="S143" s="21" t="str"/>
      <x:c r="T143" s="17" t="str">
        <x:v>false</x:v>
      </x:c>
      <x:c r="U143" s="17" t="str">
        <x:v>true</x:v>
      </x:c>
      <x:c r="V143" s="17" t="str">
        <x:v>false</x:v>
      </x:c>
    </x:row>
    <x:row r="144" ht="80" customHeight="1">
      <x:c r="A144" s="25" t="str">
        <x:v>Closure</x:v>
      </x:c>
      <x:c r="B144" s="25" t="n">
        <x:v>169</x:v>
      </x:c>
      <x:c r="C144" s="25" t="str">
        <x:v>Round1</x:v>
      </x:c>
      <x:c r="D144" s="25" t="str">
        <x:v>NOT_AVAILABLE</x:v>
      </x:c>
      <x:c r="E144" s="25" t="str">
        <x:v>N/A</x:v>
      </x:c>
      <x:c r="F144" s="26" t="str">
        <x:v>Tests exist but current coverage did not complete</x:v>
      </x:c>
      <x:c r="G144" s="25" t="str">
        <x:v>true</x:v>
      </x:c>
      <x:c r="H144" s="25" t="str">
        <x:v>NOT_AVAILABLE</x:v>
      </x:c>
      <x:c r="I144" s="25" t="str">
        <x:v>NOT_RUN</x:v>
      </x:c>
      <x:c r="J144" s="25" t="str">
        <x:v>NOT_RUN</x:v>
      </x:c>
      <x:c r="K144" s="25" t="n">
        <x:v>5</x:v>
      </x:c>
      <x:c r="L144" s="27" t="b">
        <x:v>0</x:v>
      </x:c>
      <x:c r="M144" s="25" t="str">
        <x:v>Gemini-3.8-flash/generation_state.json</x:v>
      </x:c>
      <x:c r="N144" s="25" t="str">
        <x:v>Gemini-3.8-flash/Result/Closure_169/result.json</x:v>
      </x:c>
      <x:c r="O144" s="25" t="str">
        <x:v>Gemini-3.8-flash/Result/Closure_169/result.json</x:v>
      </x:c>
      <x:c r="P144" t="str">
        <x:v>BOTH_NOT_RUN</x:v>
      </x:c>
      <x:c r="Q144" s="21" t="str"/>
      <x:c r="R144" s="21" t="str"/>
      <x:c r="S144" s="21" t="str"/>
      <x:c r="T144" s="17" t="str">
        <x:v>false</x:v>
      </x:c>
      <x:c r="U144" s="17" t="str">
        <x:v>true</x:v>
      </x:c>
      <x:c r="V144" s="17" t="str">
        <x:v>false</x:v>
      </x:c>
    </x:row>
    <x:row r="145" ht="80" customHeight="1">
      <x:c r="A145" s="25" t="str">
        <x:v>Closure</x:v>
      </x:c>
      <x:c r="B145" s="25" t="n">
        <x:v>17</x:v>
      </x:c>
      <x:c r="C145" s="25" t="str">
        <x:v>Round1</x:v>
      </x:c>
      <x:c r="D145" s="25" t="str">
        <x:v>NOT_AVAILABLE</x:v>
      </x:c>
      <x:c r="E145" s="25" t="str">
        <x:v>N/A</x:v>
      </x:c>
      <x:c r="F145" s="26" t="str">
        <x:v>Tests exist but current coverage did not complete</x:v>
      </x:c>
      <x:c r="G145" s="25" t="str">
        <x:v>true</x:v>
      </x:c>
      <x:c r="H145" s="25" t="str">
        <x:v>NOT_AVAILABLE</x:v>
      </x:c>
      <x:c r="I145" s="25" t="str">
        <x:v>NOT_RUN</x:v>
      </x:c>
      <x:c r="J145" s="25" t="str">
        <x:v>NOT_RUN</x:v>
      </x:c>
      <x:c r="K145" s="25" t="n">
        <x:v>1</x:v>
      </x:c>
      <x:c r="L145" s="27" t="b">
        <x:v>0</x:v>
      </x:c>
      <x:c r="M145" s="25" t="str">
        <x:v>Gemini-3.8-flash/generation_state.json</x:v>
      </x:c>
      <x:c r="N145" s="25" t="str">
        <x:v>Gemini-3.8-flash/Result/Closure_17/result.json</x:v>
      </x:c>
      <x:c r="O145" s="25" t="str">
        <x:v>Gemini-3.8-flash/Result/Closure_17/result.json</x:v>
      </x:c>
      <x:c r="P145" t="str">
        <x:v>BOTH_NOT_RUN</x:v>
      </x:c>
      <x:c r="Q145" s="21" t="str"/>
      <x:c r="R145" s="21" t="str"/>
      <x:c r="S145" s="21" t="str"/>
      <x:c r="T145" s="17" t="str">
        <x:v>false</x:v>
      </x:c>
      <x:c r="U145" s="17" t="str">
        <x:v>true</x:v>
      </x:c>
      <x:c r="V145" s="17" t="str">
        <x:v>false</x:v>
      </x:c>
    </x:row>
    <x:row r="146" ht="80" customHeight="1">
      <x:c r="A146" s="25" t="str">
        <x:v>Closure</x:v>
      </x:c>
      <x:c r="B146" s="25" t="n">
        <x:v>170</x:v>
      </x:c>
      <x:c r="C146" s="25" t="str">
        <x:v>Round1</x:v>
      </x:c>
      <x:c r="D146" s="25" t="str">
        <x:v>NOT_AVAILABLE</x:v>
      </x:c>
      <x:c r="E146" s="25" t="str">
        <x:v>N/A</x:v>
      </x:c>
      <x:c r="F146" s="26" t="str">
        <x:v>Tests exist but current coverage did not complete</x:v>
      </x:c>
      <x:c r="G146" s="25" t="str">
        <x:v>true</x:v>
      </x:c>
      <x:c r="H146" s="25" t="str">
        <x:v>NOT_AVAILABLE</x:v>
      </x:c>
      <x:c r="I146" s="25" t="str">
        <x:v>NOT_RUN</x:v>
      </x:c>
      <x:c r="J146" s="25" t="str">
        <x:v>NOT_RUN</x:v>
      </x:c>
      <x:c r="K146" s="25" t="n">
        <x:v>1</x:v>
      </x:c>
      <x:c r="L146" s="27" t="b">
        <x:v>0</x:v>
      </x:c>
      <x:c r="M146" s="25" t="str">
        <x:v>Gemini-3.8-flash/generation_state.json</x:v>
      </x:c>
      <x:c r="N146" s="25" t="str">
        <x:v>Gemini-3.8-flash/Result/Closure_170/result.json</x:v>
      </x:c>
      <x:c r="O146" s="25" t="str">
        <x:v>Gemini-3.8-flash/Result/Closure_170/result.json</x:v>
      </x:c>
      <x:c r="P146" t="str">
        <x:v>BOTH_NOT_RUN</x:v>
      </x:c>
      <x:c r="Q146" s="21" t="str"/>
      <x:c r="R146" s="21" t="str"/>
      <x:c r="S146" s="21" t="str"/>
      <x:c r="T146" s="17" t="str">
        <x:v>false</x:v>
      </x:c>
      <x:c r="U146" s="17" t="str">
        <x:v>true</x:v>
      </x:c>
      <x:c r="V146" s="17" t="str">
        <x:v>false</x:v>
      </x:c>
    </x:row>
    <x:row r="147" ht="80" customHeight="1">
      <x:c r="A147" s="25" t="str">
        <x:v>Closure</x:v>
      </x:c>
      <x:c r="B147" s="25" t="n">
        <x:v>171</x:v>
      </x:c>
      <x:c r="C147" s="25" t="str">
        <x:v>Round1</x:v>
      </x:c>
      <x:c r="D147" s="25" t="str">
        <x:v>NOT_AVAILABLE</x:v>
      </x:c>
      <x:c r="E147" s="25" t="str">
        <x:v>N/A</x:v>
      </x:c>
      <x:c r="F147" s="26" t="str">
        <x:v>Tests exist but current coverage did not complete</x:v>
      </x:c>
      <x:c r="G147" s="25" t="str">
        <x:v>true</x:v>
      </x:c>
      <x:c r="H147" s="25" t="str">
        <x:v>NOT_AVAILABLE</x:v>
      </x:c>
      <x:c r="I147" s="25" t="str">
        <x:v>NOT_RUN</x:v>
      </x:c>
      <x:c r="J147" s="25" t="str">
        <x:v>NOT_RUN</x:v>
      </x:c>
      <x:c r="K147" s="25" t="n">
        <x:v>2</x:v>
      </x:c>
      <x:c r="L147" s="27" t="b">
        <x:v>0</x:v>
      </x:c>
      <x:c r="M147" s="25" t="str">
        <x:v>Gemini-3.8-flash/generation_state.json</x:v>
      </x:c>
      <x:c r="N147" s="25" t="str">
        <x:v>Gemini-3.8-flash/Result/Closure_171/result.json</x:v>
      </x:c>
      <x:c r="O147" s="25" t="str">
        <x:v>Gemini-3.8-flash/Result/Closure_171/result.json</x:v>
      </x:c>
      <x:c r="P147" t="str">
        <x:v>BOTH_NOT_RUN</x:v>
      </x:c>
      <x:c r="Q147" s="21" t="str"/>
      <x:c r="R147" s="21" t="str"/>
      <x:c r="S147" s="21" t="str"/>
      <x:c r="T147" s="17" t="str">
        <x:v>false</x:v>
      </x:c>
      <x:c r="U147" s="17" t="str">
        <x:v>true</x:v>
      </x:c>
      <x:c r="V147" s="17" t="str">
        <x:v>false</x:v>
      </x:c>
    </x:row>
    <x:row r="148" ht="80" customHeight="1">
      <x:c r="A148" s="25" t="str">
        <x:v>Closure</x:v>
      </x:c>
      <x:c r="B148" s="25" t="n">
        <x:v>172</x:v>
      </x:c>
      <x:c r="C148" s="25" t="str">
        <x:v>Round1</x:v>
      </x:c>
      <x:c r="D148" s="25" t="str">
        <x:v>INCONCLUSIVE</x:v>
      </x:c>
      <x:c r="E148" s="25" t="str">
        <x:v>N/A</x:v>
      </x:c>
      <x:c r="F148" s="26" t="str">
        <x:v>Fixed also failed; assertion failure cannot be attributed to this bug</x:v>
      </x:c>
      <x:c r="G148" s="25" t="str">
        <x:v>true</x:v>
      </x:c>
      <x:c r="H148" s="25" t="str">
        <x:v>INCONCLUSIVE</x:v>
      </x:c>
      <x:c r="I148" s="25" t="str">
        <x:v>FAIL</x:v>
      </x:c>
      <x:c r="J148" s="25" t="str">
        <x:v>FAIL</x:v>
      </x:c>
      <x:c r="K148" s="25" t="n">
        <x:v>1</x:v>
      </x:c>
      <x:c r="L148" s="27" t="b">
        <x:v>0</x:v>
      </x:c>
      <x:c r="M148" s="25" t="str">
        <x:v>Gemini-3.8-flash/generation_state.json</x:v>
      </x:c>
      <x:c r="N148" s="25" t="str">
        <x:v>Gemini-3.8-flash/Result/Closure_172/result.json</x:v>
      </x:c>
      <x:c r="O148" s="25" t="str">
        <x:v>Gemini-3.8-flash/Result/Closure_172/result.json</x:v>
      </x:c>
      <x:c r="P148"/>
      <x:c r="Q148" s="21" t="str"/>
      <x:c r="R148" s="21" t="str"/>
      <x:c r="S148" s="21" t="str"/>
      <x:c r="T148" s="17" t="str">
        <x:v>false</x:v>
      </x:c>
      <x:c r="U148" s="17" t="str">
        <x:v>true</x:v>
      </x:c>
      <x:c r="V148" s="17" t="str">
        <x:v>false</x:v>
      </x:c>
    </x:row>
    <x:row r="149" ht="80" customHeight="1">
      <x:c r="A149" s="25" t="str">
        <x:v>Closure</x:v>
      </x:c>
      <x:c r="B149" s="25" t="n">
        <x:v>173</x:v>
      </x:c>
      <x:c r="C149" s="25" t="str">
        <x:v>Round1</x:v>
      </x:c>
      <x:c r="D149" s="25" t="str">
        <x:v>NOT_AVAILABLE</x:v>
      </x:c>
      <x:c r="E149" s="25" t="str">
        <x:v>N/A</x:v>
      </x:c>
      <x:c r="F149" s="26" t="str">
        <x:v>Tests exist but current coverage did not complete</x:v>
      </x:c>
      <x:c r="G149" s="25" t="str">
        <x:v>true</x:v>
      </x:c>
      <x:c r="H149" s="25" t="str">
        <x:v>NOT_AVAILABLE</x:v>
      </x:c>
      <x:c r="I149" s="25" t="str">
        <x:v>NOT_RUN</x:v>
      </x:c>
      <x:c r="J149" s="25" t="str">
        <x:v>NOT_RUN</x:v>
      </x:c>
      <x:c r="K149" s="25" t="n">
        <x:v>2</x:v>
      </x:c>
      <x:c r="L149" s="27" t="b">
        <x:v>0</x:v>
      </x:c>
      <x:c r="M149" s="25" t="str">
        <x:v>Gemini-3.8-flash/generation_state.json</x:v>
      </x:c>
      <x:c r="N149" s="25" t="str">
        <x:v>Gemini-3.8-flash/Result/Closure_173/result.json</x:v>
      </x:c>
      <x:c r="O149" s="25" t="str">
        <x:v>Gemini-3.8-flash/Result/Closure_173/result.json</x:v>
      </x:c>
      <x:c r="P149" t="str">
        <x:v>BOTH_NOT_RUN</x:v>
      </x:c>
      <x:c r="Q149" s="21" t="str"/>
      <x:c r="R149" s="21" t="str"/>
      <x:c r="S149" s="21" t="str"/>
      <x:c r="T149" s="17" t="str">
        <x:v>false</x:v>
      </x:c>
      <x:c r="U149" s="17" t="str">
        <x:v>true</x:v>
      </x:c>
      <x:c r="V149" s="17" t="str">
        <x:v>false</x:v>
      </x:c>
    </x:row>
    <x:row r="150" ht="80" customHeight="1">
      <x:c r="A150" s="25" t="str">
        <x:v>Closure</x:v>
      </x:c>
      <x:c r="B150" s="25" t="n">
        <x:v>174</x:v>
      </x:c>
      <x:c r="C150" s="25" t="str">
        <x:v>Round1</x:v>
      </x:c>
      <x:c r="D150" s="25" t="str">
        <x:v>INCONCLUSIVE</x:v>
      </x:c>
      <x:c r="E150" s="25" t="str">
        <x:v>N/A</x:v>
      </x:c>
      <x:c r="F150" s="26" t="str">
        <x:v>Fixed also failed; assertion failure cannot be attributed to this bug</x:v>
      </x:c>
      <x:c r="G150" s="25" t="str">
        <x:v>true</x:v>
      </x:c>
      <x:c r="H150" s="25" t="str">
        <x:v>INCONCLUSIVE</x:v>
      </x:c>
      <x:c r="I150" s="25" t="str">
        <x:v>PASS</x:v>
      </x:c>
      <x:c r="J150" s="25" t="str">
        <x:v>FAIL</x:v>
      </x:c>
      <x:c r="K150" s="25" t="n">
        <x:v>1</x:v>
      </x:c>
      <x:c r="L150" s="27" t="b">
        <x:v>0</x:v>
      </x:c>
      <x:c r="M150" s="25" t="str">
        <x:v>Gemini-3.8-flash/generation_state.json</x:v>
      </x:c>
      <x:c r="N150" s="25" t="str">
        <x:v>Gemini-3.8-flash/Result/Closure_174/result.json</x:v>
      </x:c>
      <x:c r="O150" s="25" t="str">
        <x:v>Gemini-3.8-flash/Result/Closure_174/result.json</x:v>
      </x:c>
      <x:c r="P150"/>
      <x:c r="Q150" s="21" t="str"/>
      <x:c r="R150" s="21" t="str"/>
      <x:c r="S150" s="21" t="str"/>
      <x:c r="T150" s="17" t="str">
        <x:v>false</x:v>
      </x:c>
      <x:c r="U150" s="17" t="str">
        <x:v>true</x:v>
      </x:c>
      <x:c r="V150" s="17" t="str">
        <x:v>false</x:v>
      </x:c>
    </x:row>
    <x:row r="151" ht="80" customHeight="1">
      <x:c r="A151" s="25" t="str">
        <x:v>Closure</x:v>
      </x:c>
      <x:c r="B151" s="25" t="n">
        <x:v>175</x:v>
      </x:c>
      <x:c r="C151" s="25" t="str">
        <x:v>Round1</x:v>
      </x:c>
      <x:c r="D151" s="25" t="str">
        <x:v>NOT_AVAILABLE</x:v>
      </x:c>
      <x:c r="E151" s="25" t="str">
        <x:v>N/A</x:v>
      </x:c>
      <x:c r="F151" s="26" t="str">
        <x:v>Tests exist but current coverage did not complete</x:v>
      </x:c>
      <x:c r="G151" s="25" t="str">
        <x:v>true</x:v>
      </x:c>
      <x:c r="H151" s="25" t="str">
        <x:v>NOT_AVAILABLE</x:v>
      </x:c>
      <x:c r="I151" s="25" t="str">
        <x:v>NOT_RUN</x:v>
      </x:c>
      <x:c r="J151" s="25" t="str">
        <x:v>NOT_RUN</x:v>
      </x:c>
      <x:c r="K151" s="25" t="n">
        <x:v>1</x:v>
      </x:c>
      <x:c r="L151" s="27" t="b">
        <x:v>0</x:v>
      </x:c>
      <x:c r="M151" s="25" t="str">
        <x:v>Gemini-3.8-flash/generation_state.json</x:v>
      </x:c>
      <x:c r="N151" s="25" t="str">
        <x:v>Gemini-3.8-flash/Result/Closure_175/result.json</x:v>
      </x:c>
      <x:c r="O151" s="25" t="str">
        <x:v>Gemini-3.8-flash/Result/Closure_175/result.json</x:v>
      </x:c>
      <x:c r="P151" t="str">
        <x:v>BOTH_NOT_RUN</x:v>
      </x:c>
      <x:c r="Q151" s="21" t="str"/>
      <x:c r="R151" s="21" t="str"/>
      <x:c r="S151" s="21" t="str"/>
      <x:c r="T151" s="17" t="str">
        <x:v>false</x:v>
      </x:c>
      <x:c r="U151" s="17" t="str">
        <x:v>true</x:v>
      </x:c>
      <x:c r="V151" s="17" t="str">
        <x:v>false</x:v>
      </x:c>
    </x:row>
    <x:row r="152" ht="80" customHeight="1">
      <x:c r="A152" s="25" t="str">
        <x:v>Closure</x:v>
      </x:c>
      <x:c r="B152" s="25" t="n">
        <x:v>176</x:v>
      </x:c>
      <x:c r="C152" s="25" t="str">
        <x:v>Round1</x:v>
      </x:c>
      <x:c r="D152" s="25" t="str">
        <x:v>NOT_AVAILABLE</x:v>
      </x:c>
      <x:c r="E152" s="25" t="str">
        <x:v>N/A</x:v>
      </x:c>
      <x:c r="F152" s="26" t="str">
        <x:v>Tests exist but current coverage did not complete</x:v>
      </x:c>
      <x:c r="G152" s="25" t="str">
        <x:v>true</x:v>
      </x:c>
      <x:c r="H152" s="25" t="str">
        <x:v>NOT_AVAILABLE</x:v>
      </x:c>
      <x:c r="I152" s="25" t="str">
        <x:v>NOT_RUN</x:v>
      </x:c>
      <x:c r="J152" s="25" t="str">
        <x:v>NOT_RUN</x:v>
      </x:c>
      <x:c r="K152" s="25" t="n">
        <x:v>1</x:v>
      </x:c>
      <x:c r="L152" s="27" t="b">
        <x:v>0</x:v>
      </x:c>
      <x:c r="M152" s="25" t="str">
        <x:v>Gemini-3.8-flash/generation_state.json</x:v>
      </x:c>
      <x:c r="N152" s="25" t="str">
        <x:v>Gemini-3.8-flash/Result/Closure_176/result.json</x:v>
      </x:c>
      <x:c r="O152" s="25" t="str">
        <x:v>Gemini-3.8-flash/Result/Closure_176/result.json</x:v>
      </x:c>
      <x:c r="P152" t="str">
        <x:v>BOTH_NOT_RUN</x:v>
      </x:c>
      <x:c r="Q152" s="21" t="str"/>
      <x:c r="R152" s="21" t="str"/>
      <x:c r="S152" s="21" t="str"/>
      <x:c r="T152" s="17" t="str">
        <x:v>false</x:v>
      </x:c>
      <x:c r="U152" s="17" t="str">
        <x:v>true</x:v>
      </x:c>
      <x:c r="V152" s="17" t="str">
        <x:v>false</x:v>
      </x:c>
    </x:row>
    <x:row r="153" ht="80" customHeight="1">
      <x:c r="A153" s="25" t="str">
        <x:v>Closure</x:v>
      </x:c>
      <x:c r="B153" s="25" t="n">
        <x:v>18</x:v>
      </x:c>
      <x:c r="C153" s="25" t="str">
        <x:v>Round1</x:v>
      </x:c>
      <x:c r="D153" s="25" t="str">
        <x:v>NOT_AVAILABLE</x:v>
      </x:c>
      <x:c r="E153" s="25" t="str">
        <x:v>N/A</x:v>
      </x:c>
      <x:c r="F153" s="26" t="str">
        <x:v>Tests exist but current coverage did not complete</x:v>
      </x:c>
      <x:c r="G153" s="25" t="str">
        <x:v>true</x:v>
      </x:c>
      <x:c r="H153" s="25" t="str">
        <x:v>NOT_AVAILABLE</x:v>
      </x:c>
      <x:c r="I153" s="25" t="str">
        <x:v>NOT_RUN</x:v>
      </x:c>
      <x:c r="J153" s="25" t="str">
        <x:v>NOT_RUN</x:v>
      </x:c>
      <x:c r="K153" s="25" t="n">
        <x:v>1</x:v>
      </x:c>
      <x:c r="L153" s="27" t="b">
        <x:v>0</x:v>
      </x:c>
      <x:c r="M153" s="25" t="str">
        <x:v>Gemini-3.8-flash/generation_state.json</x:v>
      </x:c>
      <x:c r="N153" s="25" t="str">
        <x:v>Gemini-3.8-flash/Result/Closure_18/result.json</x:v>
      </x:c>
      <x:c r="O153" s="25" t="str">
        <x:v>Gemini-3.8-flash/Result/Closure_18/result.json</x:v>
      </x:c>
      <x:c r="P153" t="str">
        <x:v>BOTH_NOT_RUN</x:v>
      </x:c>
      <x:c r="Q153" s="21" t="str"/>
      <x:c r="R153" s="21" t="str"/>
      <x:c r="S153" s="21" t="str"/>
      <x:c r="T153" s="17" t="str">
        <x:v>false</x:v>
      </x:c>
      <x:c r="U153" s="17" t="str">
        <x:v>true</x:v>
      </x:c>
      <x:c r="V153" s="17" t="str">
        <x:v>false</x:v>
      </x:c>
    </x:row>
    <x:row r="154" ht="80" customHeight="1">
      <x:c r="A154" s="25" t="str">
        <x:v>Closure</x:v>
      </x:c>
      <x:c r="B154" s="25" t="n">
        <x:v>19</x:v>
      </x:c>
      <x:c r="C154" s="25" t="str">
        <x:v>Round1</x:v>
      </x:c>
      <x:c r="D154" s="25" t="str">
        <x:v>NOT_AVAILABLE</x:v>
      </x:c>
      <x:c r="E154" s="25" t="str">
        <x:v>N/A</x:v>
      </x:c>
      <x:c r="F154" s="26" t="str">
        <x:v>Tests exist but current coverage did not complete</x:v>
      </x:c>
      <x:c r="G154" s="25" t="str">
        <x:v>true</x:v>
      </x:c>
      <x:c r="H154" s="25" t="str">
        <x:v>NOT_AVAILABLE</x:v>
      </x:c>
      <x:c r="I154" s="25" t="str">
        <x:v>NOT_RUN</x:v>
      </x:c>
      <x:c r="J154" s="25" t="str">
        <x:v>NOT_RUN</x:v>
      </x:c>
      <x:c r="K154" s="25" t="n">
        <x:v>1</x:v>
      </x:c>
      <x:c r="L154" s="27" t="b">
        <x:v>0</x:v>
      </x:c>
      <x:c r="M154" s="25" t="str">
        <x:v>Gemini-3.8-flash/generation_state.json</x:v>
      </x:c>
      <x:c r="N154" s="25" t="str">
        <x:v>Gemini-3.8-flash/Result/Closure_19/result.json</x:v>
      </x:c>
      <x:c r="O154" s="25" t="str">
        <x:v>Gemini-3.8-flash/Result/Closure_19/result.json</x:v>
      </x:c>
      <x:c r="P154" t="str">
        <x:v>BOTH_NOT_RUN</x:v>
      </x:c>
      <x:c r="Q154" s="21" t="str"/>
      <x:c r="R154" s="21" t="str"/>
      <x:c r="S154" s="21" t="str"/>
      <x:c r="T154" s="17" t="str">
        <x:v>false</x:v>
      </x:c>
      <x:c r="U154" s="17" t="str">
        <x:v>true</x:v>
      </x:c>
      <x:c r="V154" s="17" t="str">
        <x:v>false</x:v>
      </x:c>
    </x:row>
    <x:row r="155" ht="80" customHeight="1">
      <x:c r="A155" s="25" t="str">
        <x:v>Closure</x:v>
      </x:c>
      <x:c r="B155" s="25" t="n">
        <x:v>2</x:v>
      </x:c>
      <x:c r="C155" s="25" t="str">
        <x:v>Round1</x:v>
      </x:c>
      <x:c r="D155" s="25" t="str">
        <x:v>NOT_AVAILABLE</x:v>
      </x:c>
      <x:c r="E155" s="25" t="str">
        <x:v>N/A</x:v>
      </x:c>
      <x:c r="F155" s="26" t="str">
        <x:v>Tests exist but current coverage did not complete</x:v>
      </x:c>
      <x:c r="G155" s="25" t="str">
        <x:v>true</x:v>
      </x:c>
      <x:c r="H155" s="25" t="str">
        <x:v>NOT_AVAILABLE</x:v>
      </x:c>
      <x:c r="I155" s="25" t="str">
        <x:v>NOT_RUN</x:v>
      </x:c>
      <x:c r="J155" s="25" t="str">
        <x:v>NOT_RUN</x:v>
      </x:c>
      <x:c r="K155" s="25" t="n">
        <x:v>1</x:v>
      </x:c>
      <x:c r="L155" s="27" t="b">
        <x:v>0</x:v>
      </x:c>
      <x:c r="M155" s="25" t="str">
        <x:v>Gemini-3.8-flash/generation_state.json</x:v>
      </x:c>
      <x:c r="N155" s="25" t="str">
        <x:v>Gemini-3.8-flash/Result/Closure_2/result.json</x:v>
      </x:c>
      <x:c r="O155" s="25" t="str">
        <x:v>Gemini-3.8-flash/Result/Closure_2/result.json</x:v>
      </x:c>
      <x:c r="P155" t="str">
        <x:v>BOTH_NOT_RUN</x:v>
      </x:c>
      <x:c r="Q155" s="21" t="str"/>
      <x:c r="R155" s="21" t="str"/>
      <x:c r="S155" s="21" t="str"/>
      <x:c r="T155" s="17" t="str">
        <x:v>false</x:v>
      </x:c>
      <x:c r="U155" s="17" t="str">
        <x:v>true</x:v>
      </x:c>
      <x:c r="V155" s="17" t="str">
        <x:v>false</x:v>
      </x:c>
    </x:row>
    <x:row r="156" ht="80" customHeight="1">
      <x:c r="A156" s="25" t="str">
        <x:v>Closure</x:v>
      </x:c>
      <x:c r="B156" s="25" t="n">
        <x:v>20</x:v>
      </x:c>
      <x:c r="C156" s="25" t="str">
        <x:v>Round1</x:v>
      </x:c>
      <x:c r="D156" s="25" t="str">
        <x:v>INCONCLUSIVE</x:v>
      </x:c>
      <x:c r="E156" s="25" t="str">
        <x:v>N/A</x:v>
      </x:c>
      <x:c r="F156" s="26" t="str">
        <x:v>Fixed also failed; assertion failure cannot be attributed to this bug</x:v>
      </x:c>
      <x:c r="G156" s="25" t="str">
        <x:v>true</x:v>
      </x:c>
      <x:c r="H156" s="25" t="str">
        <x:v>INCONCLUSIVE</x:v>
      </x:c>
      <x:c r="I156" s="25" t="str">
        <x:v>FAIL</x:v>
      </x:c>
      <x:c r="J156" s="25" t="str">
        <x:v>FAIL</x:v>
      </x:c>
      <x:c r="K156" s="25" t="n">
        <x:v>1</x:v>
      </x:c>
      <x:c r="L156" s="27" t="b">
        <x:v>0</x:v>
      </x:c>
      <x:c r="M156" s="25" t="str">
        <x:v>Gemini-3.8-flash/generation_state.json</x:v>
      </x:c>
      <x:c r="N156" s="25" t="str">
        <x:v>Gemini-3.8-flash/Result/Closure_20/result.json</x:v>
      </x:c>
      <x:c r="O156" s="25" t="str">
        <x:v>Gemini-3.8-flash/Result/Closure_20/result.json</x:v>
      </x:c>
      <x:c r="P156"/>
      <x:c r="Q156" s="21" t="str"/>
      <x:c r="R156" s="21" t="str"/>
      <x:c r="S156" s="21" t="str"/>
      <x:c r="T156" s="17" t="str">
        <x:v>false</x:v>
      </x:c>
      <x:c r="U156" s="17" t="str">
        <x:v>true</x:v>
      </x:c>
      <x:c r="V156" s="17" t="str">
        <x:v>false</x:v>
      </x:c>
    </x:row>
    <x:row r="157" ht="80" customHeight="1">
      <x:c r="A157" s="25" t="str">
        <x:v>Closure</x:v>
      </x:c>
      <x:c r="B157" s="25" t="n">
        <x:v>21</x:v>
      </x:c>
      <x:c r="C157" s="25" t="str">
        <x:v>Round1</x:v>
      </x:c>
      <x:c r="D157" s="25" t="str">
        <x:v>NOT_AVAILABLE</x:v>
      </x:c>
      <x:c r="E157" s="25" t="str">
        <x:v>N/A</x:v>
      </x:c>
      <x:c r="F157" s="26" t="str">
        <x:v>Tests exist but current coverage did not complete</x:v>
      </x:c>
      <x:c r="G157" s="25" t="str">
        <x:v>true</x:v>
      </x:c>
      <x:c r="H157" s="25" t="str">
        <x:v>NOT_AVAILABLE</x:v>
      </x:c>
      <x:c r="I157" s="25" t="str">
        <x:v>NOT_RUN</x:v>
      </x:c>
      <x:c r="J157" s="25" t="str">
        <x:v>NOT_RUN</x:v>
      </x:c>
      <x:c r="K157" s="25" t="n">
        <x:v>1</x:v>
      </x:c>
      <x:c r="L157" s="27" t="b">
        <x:v>0</x:v>
      </x:c>
      <x:c r="M157" s="25" t="str">
        <x:v>Gemini-3.8-flash/generation_state.json</x:v>
      </x:c>
      <x:c r="N157" s="25" t="str">
        <x:v>Gemini-3.8-flash/Result/Closure_21/result.json</x:v>
      </x:c>
      <x:c r="O157" s="25" t="str">
        <x:v>Gemini-3.8-flash/Result/Closure_21/result.json</x:v>
      </x:c>
      <x:c r="P157" t="str">
        <x:v>BOTH_NOT_RUN</x:v>
      </x:c>
      <x:c r="Q157" s="21" t="str"/>
      <x:c r="R157" s="21" t="str"/>
      <x:c r="S157" s="21" t="str"/>
      <x:c r="T157" s="17" t="str">
        <x:v>false</x:v>
      </x:c>
      <x:c r="U157" s="17" t="str">
        <x:v>true</x:v>
      </x:c>
      <x:c r="V157" s="17" t="str">
        <x:v>false</x:v>
      </x:c>
    </x:row>
    <x:row r="158" ht="80" customHeight="1">
      <x:c r="A158" s="25" t="str">
        <x:v>Closure</x:v>
      </x:c>
      <x:c r="B158" s="25" t="n">
        <x:v>22</x:v>
      </x:c>
      <x:c r="C158" s="25" t="str">
        <x:v>Round1</x:v>
      </x:c>
      <x:c r="D158" s="25" t="str">
        <x:v>NOT_AVAILABLE</x:v>
      </x:c>
      <x:c r="E158" s="25" t="str">
        <x:v>N/A</x:v>
      </x:c>
      <x:c r="F158" s="26" t="str">
        <x:v>Tests exist but current coverage did not complete</x:v>
      </x:c>
      <x:c r="G158" s="25" t="str">
        <x:v>true</x:v>
      </x:c>
      <x:c r="H158" s="25" t="str">
        <x:v>NOT_AVAILABLE</x:v>
      </x:c>
      <x:c r="I158" s="25" t="str">
        <x:v>NOT_RUN</x:v>
      </x:c>
      <x:c r="J158" s="25" t="str">
        <x:v>NOT_RUN</x:v>
      </x:c>
      <x:c r="K158" s="25" t="n">
        <x:v>1</x:v>
      </x:c>
      <x:c r="L158" s="27" t="b">
        <x:v>0</x:v>
      </x:c>
      <x:c r="M158" s="25" t="str">
        <x:v>Gemini-3.8-flash/generation_state.json</x:v>
      </x:c>
      <x:c r="N158" s="25" t="str">
        <x:v>Gemini-3.8-flash/Result/Closure_22/result.json</x:v>
      </x:c>
      <x:c r="O158" s="25" t="str">
        <x:v>Gemini-3.8-flash/Result/Closure_22/result.json</x:v>
      </x:c>
      <x:c r="P158" t="str">
        <x:v>BOTH_NOT_RUN</x:v>
      </x:c>
      <x:c r="Q158" s="21" t="str"/>
      <x:c r="R158" s="21" t="str"/>
      <x:c r="S158" s="21" t="str"/>
      <x:c r="T158" s="17" t="str">
        <x:v>false</x:v>
      </x:c>
      <x:c r="U158" s="17" t="str">
        <x:v>true</x:v>
      </x:c>
      <x:c r="V158" s="17" t="str">
        <x:v>false</x:v>
      </x:c>
    </x:row>
    <x:row r="159" ht="80" customHeight="1">
      <x:c r="A159" s="25" t="str">
        <x:v>Closure</x:v>
      </x:c>
      <x:c r="B159" s="25" t="n">
        <x:v>23</x:v>
      </x:c>
      <x:c r="C159" s="25" t="str">
        <x:v>Round1</x:v>
      </x:c>
      <x:c r="D159" s="25" t="str">
        <x:v>NOT_AVAILABLE</x:v>
      </x:c>
      <x:c r="E159" s="25" t="str">
        <x:v>N/A</x:v>
      </x:c>
      <x:c r="F159" s="26" t="str">
        <x:v>Tests exist but current coverage did not complete</x:v>
      </x:c>
      <x:c r="G159" s="25" t="str">
        <x:v>true</x:v>
      </x:c>
      <x:c r="H159" s="25" t="str">
        <x:v>NOT_AVAILABLE</x:v>
      </x:c>
      <x:c r="I159" s="25" t="str">
        <x:v>NOT_RUN</x:v>
      </x:c>
      <x:c r="J159" s="25" t="str">
        <x:v>NOT_RUN</x:v>
      </x:c>
      <x:c r="K159" s="25" t="n">
        <x:v>1</x:v>
      </x:c>
      <x:c r="L159" s="27" t="b">
        <x:v>0</x:v>
      </x:c>
      <x:c r="M159" s="25" t="str">
        <x:v>Gemini-3.8-flash/generation_state.json</x:v>
      </x:c>
      <x:c r="N159" s="25" t="str">
        <x:v>Gemini-3.8-flash/Result/Closure_23/result.json</x:v>
      </x:c>
      <x:c r="O159" s="25" t="str">
        <x:v>Gemini-3.8-flash/Result/Closure_23/result.json</x:v>
      </x:c>
      <x:c r="P159" t="str">
        <x:v>BOTH_NOT_RUN</x:v>
      </x:c>
      <x:c r="Q159" s="21" t="str"/>
      <x:c r="R159" s="21" t="str"/>
      <x:c r="S159" s="21" t="str"/>
      <x:c r="T159" s="17" t="str">
        <x:v>false</x:v>
      </x:c>
      <x:c r="U159" s="17" t="str">
        <x:v>true</x:v>
      </x:c>
      <x:c r="V159" s="17" t="str">
        <x:v>false</x:v>
      </x:c>
    </x:row>
    <x:row r="160" ht="80" customHeight="1">
      <x:c r="A160" s="25" t="str">
        <x:v>Closure</x:v>
      </x:c>
      <x:c r="B160" s="25" t="n">
        <x:v>24</x:v>
      </x:c>
      <x:c r="C160" s="25" t="str">
        <x:v>Round1</x:v>
      </x:c>
      <x:c r="D160" s="25" t="str">
        <x:v>NOT_AVAILABLE</x:v>
      </x:c>
      <x:c r="E160" s="25" t="str">
        <x:v>N/A</x:v>
      </x:c>
      <x:c r="F160" s="26" t="str">
        <x:v>Tests exist but current coverage did not complete</x:v>
      </x:c>
      <x:c r="G160" s="25" t="str">
        <x:v>true</x:v>
      </x:c>
      <x:c r="H160" s="25" t="str">
        <x:v>NOT_AVAILABLE</x:v>
      </x:c>
      <x:c r="I160" s="25" t="str">
        <x:v>NOT_RUN</x:v>
      </x:c>
      <x:c r="J160" s="25" t="str">
        <x:v>NOT_RUN</x:v>
      </x:c>
      <x:c r="K160" s="25" t="n">
        <x:v>1</x:v>
      </x:c>
      <x:c r="L160" s="27" t="b">
        <x:v>0</x:v>
      </x:c>
      <x:c r="M160" s="25" t="str">
        <x:v>Gemini-3.8-flash/generation_state.json</x:v>
      </x:c>
      <x:c r="N160" s="25" t="str">
        <x:v>Gemini-3.8-flash/Result/Closure_24/result.json</x:v>
      </x:c>
      <x:c r="O160" s="25" t="str">
        <x:v>Gemini-3.8-flash/Result/Closure_24/result.json</x:v>
      </x:c>
      <x:c r="P160" t="str">
        <x:v>BOTH_NOT_RUN</x:v>
      </x:c>
      <x:c r="Q160" s="21" t="str"/>
      <x:c r="R160" s="21" t="str"/>
      <x:c r="S160" s="21" t="str"/>
      <x:c r="T160" s="17" t="str">
        <x:v>false</x:v>
      </x:c>
      <x:c r="U160" s="17" t="str">
        <x:v>true</x:v>
      </x:c>
      <x:c r="V160" s="17" t="str">
        <x:v>false</x:v>
      </x:c>
    </x:row>
    <x:row r="161" ht="80" customHeight="1">
      <x:c r="A161" s="25" t="str">
        <x:v>Closure</x:v>
      </x:c>
      <x:c r="B161" s="25" t="n">
        <x:v>25</x:v>
      </x:c>
      <x:c r="C161" s="25" t="str">
        <x:v>Round1</x:v>
      </x:c>
      <x:c r="D161" s="25" t="str">
        <x:v>NOT_AVAILABLE</x:v>
      </x:c>
      <x:c r="E161" s="25" t="str">
        <x:v>N/A</x:v>
      </x:c>
      <x:c r="F161" s="26" t="str">
        <x:v>Tests exist but current coverage did not complete</x:v>
      </x:c>
      <x:c r="G161" s="25" t="str">
        <x:v>true</x:v>
      </x:c>
      <x:c r="H161" s="25" t="str">
        <x:v>NOT_AVAILABLE</x:v>
      </x:c>
      <x:c r="I161" s="25" t="str">
        <x:v>NOT_RUN</x:v>
      </x:c>
      <x:c r="J161" s="25" t="str">
        <x:v>NOT_RUN</x:v>
      </x:c>
      <x:c r="K161" s="25" t="n">
        <x:v>1</x:v>
      </x:c>
      <x:c r="L161" s="27" t="b">
        <x:v>0</x:v>
      </x:c>
      <x:c r="M161" s="25" t="str">
        <x:v>Gemini-3.8-flash/generation_state.json</x:v>
      </x:c>
      <x:c r="N161" s="25" t="str">
        <x:v>Gemini-3.8-flash/Result/Closure_25/result.json</x:v>
      </x:c>
      <x:c r="O161" s="25" t="str">
        <x:v>Gemini-3.8-flash/Result/Closure_25/result.json</x:v>
      </x:c>
      <x:c r="P161" t="str">
        <x:v>BOTH_NOT_RUN</x:v>
      </x:c>
      <x:c r="Q161" s="21" t="str"/>
      <x:c r="R161" s="21" t="str"/>
      <x:c r="S161" s="21" t="str"/>
      <x:c r="T161" s="17" t="str">
        <x:v>false</x:v>
      </x:c>
      <x:c r="U161" s="17" t="str">
        <x:v>true</x:v>
      </x:c>
      <x:c r="V161" s="17" t="str">
        <x:v>false</x:v>
      </x:c>
    </x:row>
    <x:row r="162" ht="80" customHeight="1">
      <x:c r="A162" s="25" t="str">
        <x:v>Closure</x:v>
      </x:c>
      <x:c r="B162" s="25" t="n">
        <x:v>26</x:v>
      </x:c>
      <x:c r="C162" s="25" t="str">
        <x:v>Round1</x:v>
      </x:c>
      <x:c r="D162" s="25" t="str">
        <x:v>NOT_AVAILABLE</x:v>
      </x:c>
      <x:c r="E162" s="25" t="str">
        <x:v>N/A</x:v>
      </x:c>
      <x:c r="F162" s="26" t="str">
        <x:v>Tests exist but current coverage did not complete</x:v>
      </x:c>
      <x:c r="G162" s="25" t="str">
        <x:v>true</x:v>
      </x:c>
      <x:c r="H162" s="25" t="str">
        <x:v>NOT_AVAILABLE</x:v>
      </x:c>
      <x:c r="I162" s="25" t="str">
        <x:v>NOT_RUN</x:v>
      </x:c>
      <x:c r="J162" s="25" t="str">
        <x:v>NOT_RUN</x:v>
      </x:c>
      <x:c r="K162" s="25" t="n">
        <x:v>1</x:v>
      </x:c>
      <x:c r="L162" s="27" t="b">
        <x:v>0</x:v>
      </x:c>
      <x:c r="M162" s="25" t="str">
        <x:v>Gemini-3.8-flash/generation_state.json</x:v>
      </x:c>
      <x:c r="N162" s="25" t="str">
        <x:v>Gemini-3.8-flash/Result/Closure_26/result.json</x:v>
      </x:c>
      <x:c r="O162" s="25" t="str">
        <x:v>Gemini-3.8-flash/Result/Closure_26/result.json</x:v>
      </x:c>
      <x:c r="P162" t="str">
        <x:v>BOTH_NOT_RUN</x:v>
      </x:c>
      <x:c r="Q162" s="21" t="str"/>
      <x:c r="R162" s="21" t="str"/>
      <x:c r="S162" s="21" t="str"/>
      <x:c r="T162" s="17" t="str">
        <x:v>false</x:v>
      </x:c>
      <x:c r="U162" s="17" t="str">
        <x:v>true</x:v>
      </x:c>
      <x:c r="V162" s="17" t="str">
        <x:v>false</x:v>
      </x:c>
    </x:row>
    <x:row r="163" ht="80" customHeight="1">
      <x:c r="A163" s="25" t="str">
        <x:v>Closure</x:v>
      </x:c>
      <x:c r="B163" s="25" t="n">
        <x:v>27</x:v>
      </x:c>
      <x:c r="C163" s="25" t="str">
        <x:v>Round1</x:v>
      </x:c>
      <x:c r="D163" s="25" t="str">
        <x:v>NOT_AVAILABLE</x:v>
      </x:c>
      <x:c r="E163" s="25" t="str">
        <x:v>N/A</x:v>
      </x:c>
      <x:c r="F163" s="26" t="str">
        <x:v>Tests exist but current coverage did not complete</x:v>
      </x:c>
      <x:c r="G163" s="25" t="str">
        <x:v>true</x:v>
      </x:c>
      <x:c r="H163" s="25" t="str">
        <x:v>NOT_AVAILABLE</x:v>
      </x:c>
      <x:c r="I163" s="25" t="str">
        <x:v>NOT_RUN</x:v>
      </x:c>
      <x:c r="J163" s="25" t="str">
        <x:v>NOT_RUN</x:v>
      </x:c>
      <x:c r="K163" s="25" t="n">
        <x:v>1</x:v>
      </x:c>
      <x:c r="L163" s="27" t="b">
        <x:v>0</x:v>
      </x:c>
      <x:c r="M163" s="25" t="str">
        <x:v>Gemini-3.8-flash/generation_state.json</x:v>
      </x:c>
      <x:c r="N163" s="25" t="str">
        <x:v>Gemini-3.8-flash/Result/Closure_27/result.json</x:v>
      </x:c>
      <x:c r="O163" s="25" t="str">
        <x:v>Gemini-3.8-flash/Result/Closure_27/result.json</x:v>
      </x:c>
      <x:c r="P163" t="str">
        <x:v>BOTH_NOT_RUN</x:v>
      </x:c>
      <x:c r="Q163" s="21" t="str"/>
      <x:c r="R163" s="21" t="str"/>
      <x:c r="S163" s="21" t="str"/>
      <x:c r="T163" s="17" t="str">
        <x:v>false</x:v>
      </x:c>
      <x:c r="U163" s="17" t="str">
        <x:v>true</x:v>
      </x:c>
      <x:c r="V163" s="17" t="str">
        <x:v>false</x:v>
      </x:c>
    </x:row>
    <x:row r="164" ht="80" customHeight="1">
      <x:c r="A164" s="25" t="str">
        <x:v>Closure</x:v>
      </x:c>
      <x:c r="B164" s="25" t="n">
        <x:v>28</x:v>
      </x:c>
      <x:c r="C164" s="25" t="str">
        <x:v>Round1</x:v>
      </x:c>
      <x:c r="D164" s="25" t="str">
        <x:v>NOT_REVEALING</x:v>
      </x:c>
      <x:c r="E164" s="25" t="str">
        <x:v>N/A</x:v>
      </x:c>
      <x:c r="F164" s="26" t="str">
        <x:v>Same saved validation suite passed on buggy and fixed</x:v>
      </x:c>
      <x:c r="G164" s="25" t="str">
        <x:v>true</x:v>
      </x:c>
      <x:c r="H164" s="25" t="str">
        <x:v>NOT_REVEALING</x:v>
      </x:c>
      <x:c r="I164" s="25" t="str">
        <x:v>PASS</x:v>
      </x:c>
      <x:c r="J164" s="25" t="str">
        <x:v>PASS</x:v>
      </x:c>
      <x:c r="K164" s="25" t="n">
        <x:v>1</x:v>
      </x:c>
      <x:c r="L164" s="27" t="b">
        <x:v>0</x:v>
      </x:c>
      <x:c r="M164" s="25" t="str">
        <x:v>Gemini-3.8-flash/generation_state.json</x:v>
      </x:c>
      <x:c r="N164" s="25" t="str">
        <x:v>Gemini-3.8-flash/Result/Closure_28/result.json</x:v>
      </x:c>
      <x:c r="O164" s="25" t="str">
        <x:v>Gemini-3.8-flash/Result/Closure_28/result.json</x:v>
      </x:c>
      <x:c r="P164"/>
      <x:c r="Q164" s="21" t="str"/>
      <x:c r="R164" s="21" t="str"/>
      <x:c r="S164" s="21" t="str"/>
      <x:c r="T164" s="17" t="str">
        <x:v>false</x:v>
      </x:c>
      <x:c r="U164" s="17" t="str">
        <x:v>true</x:v>
      </x:c>
      <x:c r="V164" s="17" t="str">
        <x:v>false</x:v>
      </x:c>
    </x:row>
    <x:row r="165" ht="80" customHeight="1">
      <x:c r="A165" s="25" t="str">
        <x:v>Closure</x:v>
      </x:c>
      <x:c r="B165" s="25" t="n">
        <x:v>29</x:v>
      </x:c>
      <x:c r="C165" s="25" t="str">
        <x:v>Round1</x:v>
      </x:c>
      <x:c r="D165" s="25" t="str">
        <x:v>NOT_AVAILABLE</x:v>
      </x:c>
      <x:c r="E165" s="25" t="str">
        <x:v>N/A</x:v>
      </x:c>
      <x:c r="F165" s="26" t="str">
        <x:v>Tests exist but current coverage did not complete</x:v>
      </x:c>
      <x:c r="G165" s="25" t="str">
        <x:v>true</x:v>
      </x:c>
      <x:c r="H165" s="25" t="str">
        <x:v>NOT_AVAILABLE</x:v>
      </x:c>
      <x:c r="I165" s="25" t="str">
        <x:v>NOT_RUN</x:v>
      </x:c>
      <x:c r="J165" s="25" t="str">
        <x:v>NOT_RUN</x:v>
      </x:c>
      <x:c r="K165" s="25" t="n">
        <x:v>1</x:v>
      </x:c>
      <x:c r="L165" s="27" t="b">
        <x:v>0</x:v>
      </x:c>
      <x:c r="M165" s="25" t="str">
        <x:v>Gemini-3.8-flash/generation_state.json</x:v>
      </x:c>
      <x:c r="N165" s="25" t="str">
        <x:v>Gemini-3.8-flash/Result/Closure_29/result.json</x:v>
      </x:c>
      <x:c r="O165" s="25" t="str">
        <x:v>Gemini-3.8-flash/Result/Closure_29/result.json</x:v>
      </x:c>
      <x:c r="P165" t="str">
        <x:v>BOTH_NOT_RUN</x:v>
      </x:c>
      <x:c r="Q165" s="21" t="str"/>
      <x:c r="R165" s="21" t="str"/>
      <x:c r="S165" s="21" t="str"/>
      <x:c r="T165" s="17" t="str">
        <x:v>false</x:v>
      </x:c>
      <x:c r="U165" s="17" t="str">
        <x:v>true</x:v>
      </x:c>
      <x:c r="V165" s="17" t="str">
        <x:v>false</x:v>
      </x:c>
    </x:row>
    <x:row r="166" ht="80" customHeight="1">
      <x:c r="A166" s="25" t="str">
        <x:v>Closure</x:v>
      </x:c>
      <x:c r="B166" s="25" t="n">
        <x:v>3</x:v>
      </x:c>
      <x:c r="C166" s="25" t="str">
        <x:v>Round1</x:v>
      </x:c>
      <x:c r="D166" s="25" t="str">
        <x:v>NOT_AVAILABLE</x:v>
      </x:c>
      <x:c r="E166" s="25" t="str">
        <x:v>N/A</x:v>
      </x:c>
      <x:c r="F166" s="26" t="str">
        <x:v>Tests exist but current coverage did not complete</x:v>
      </x:c>
      <x:c r="G166" s="25" t="str">
        <x:v>true</x:v>
      </x:c>
      <x:c r="H166" s="25" t="str">
        <x:v>NOT_AVAILABLE</x:v>
      </x:c>
      <x:c r="I166" s="25" t="str">
        <x:v>NOT_RUN</x:v>
      </x:c>
      <x:c r="J166" s="25" t="str">
        <x:v>NOT_RUN</x:v>
      </x:c>
      <x:c r="K166" s="25" t="n">
        <x:v>1</x:v>
      </x:c>
      <x:c r="L166" s="27" t="b">
        <x:v>0</x:v>
      </x:c>
      <x:c r="M166" s="25" t="str">
        <x:v>Gemini-3.8-flash/generation_state.json</x:v>
      </x:c>
      <x:c r="N166" s="25" t="str">
        <x:v>Gemini-3.8-flash/Result/Closure_3/result.json</x:v>
      </x:c>
      <x:c r="O166" s="25" t="str">
        <x:v>Gemini-3.8-flash/Result/Closure_3/result.json</x:v>
      </x:c>
      <x:c r="P166" t="str">
        <x:v>BOTH_NOT_RUN</x:v>
      </x:c>
      <x:c r="Q166" s="21" t="str"/>
      <x:c r="R166" s="21" t="str"/>
      <x:c r="S166" s="21" t="str"/>
      <x:c r="T166" s="17" t="str">
        <x:v>false</x:v>
      </x:c>
      <x:c r="U166" s="17" t="str">
        <x:v>true</x:v>
      </x:c>
      <x:c r="V166" s="17" t="str">
        <x:v>false</x:v>
      </x:c>
    </x:row>
    <x:row r="167" ht="80" customHeight="1">
      <x:c r="A167" s="25" t="str">
        <x:v>Closure</x:v>
      </x:c>
      <x:c r="B167" s="25" t="n">
        <x:v>30</x:v>
      </x:c>
      <x:c r="C167" s="25" t="str">
        <x:v>Round1</x:v>
      </x:c>
      <x:c r="D167" s="25" t="str">
        <x:v>NOT_AVAILABLE</x:v>
      </x:c>
      <x:c r="E167" s="25" t="str">
        <x:v>N/A</x:v>
      </x:c>
      <x:c r="F167" s="26" t="str">
        <x:v>Tests exist but current coverage did not complete</x:v>
      </x:c>
      <x:c r="G167" s="25" t="str">
        <x:v>true</x:v>
      </x:c>
      <x:c r="H167" s="25" t="str">
        <x:v>NOT_AVAILABLE</x:v>
      </x:c>
      <x:c r="I167" s="25" t="str">
        <x:v>NOT_RUN</x:v>
      </x:c>
      <x:c r="J167" s="25" t="str">
        <x:v>NOT_RUN</x:v>
      </x:c>
      <x:c r="K167" s="25" t="n">
        <x:v>2</x:v>
      </x:c>
      <x:c r="L167" s="27" t="b">
        <x:v>0</x:v>
      </x:c>
      <x:c r="M167" s="25" t="str">
        <x:v>Gemini-3.8-flash/generation_state.json</x:v>
      </x:c>
      <x:c r="N167" s="25" t="str">
        <x:v>Gemini-3.8-flash/Result/Closure_30/result.json</x:v>
      </x:c>
      <x:c r="O167" s="25" t="str">
        <x:v>Gemini-3.8-flash/Result/Closure_30/result.json</x:v>
      </x:c>
      <x:c r="P167" t="str">
        <x:v>BOTH_NOT_RUN</x:v>
      </x:c>
      <x:c r="Q167" s="21" t="str"/>
      <x:c r="R167" s="21" t="str"/>
      <x:c r="S167" s="21" t="str"/>
      <x:c r="T167" s="17" t="str">
        <x:v>false</x:v>
      </x:c>
      <x:c r="U167" s="17" t="str">
        <x:v>true</x:v>
      </x:c>
      <x:c r="V167" s="17" t="str">
        <x:v>false</x:v>
      </x:c>
    </x:row>
    <x:row r="168" ht="80" customHeight="1">
      <x:c r="A168" s="25" t="str">
        <x:v>Closure</x:v>
      </x:c>
      <x:c r="B168" s="25" t="n">
        <x:v>31</x:v>
      </x:c>
      <x:c r="C168" s="25" t="str">
        <x:v>Round1</x:v>
      </x:c>
      <x:c r="D168" s="25" t="str">
        <x:v>NOT_AVAILABLE</x:v>
      </x:c>
      <x:c r="E168" s="25" t="str">
        <x:v>N/A</x:v>
      </x:c>
      <x:c r="F168" s="26" t="str">
        <x:v>Tests exist but current coverage did not complete</x:v>
      </x:c>
      <x:c r="G168" s="25" t="str">
        <x:v>true</x:v>
      </x:c>
      <x:c r="H168" s="25" t="str">
        <x:v>NOT_AVAILABLE</x:v>
      </x:c>
      <x:c r="I168" s="25" t="str">
        <x:v>NOT_RUN</x:v>
      </x:c>
      <x:c r="J168" s="25" t="str">
        <x:v>NOT_RUN</x:v>
      </x:c>
      <x:c r="K168" s="25" t="n">
        <x:v>1</x:v>
      </x:c>
      <x:c r="L168" s="27" t="b">
        <x:v>0</x:v>
      </x:c>
      <x:c r="M168" s="25" t="str">
        <x:v>Gemini-3.8-flash/generation_state.json</x:v>
      </x:c>
      <x:c r="N168" s="25" t="str">
        <x:v>Gemini-3.8-flash/Result/Closure_31/result.json</x:v>
      </x:c>
      <x:c r="O168" s="25" t="str">
        <x:v>Gemini-3.8-flash/Result/Closure_31/result.json</x:v>
      </x:c>
      <x:c r="P168" t="str">
        <x:v>BOTH_NOT_RUN</x:v>
      </x:c>
      <x:c r="Q168" s="21" t="str"/>
      <x:c r="R168" s="21" t="str"/>
      <x:c r="S168" s="21" t="str"/>
      <x:c r="T168" s="17" t="str">
        <x:v>false</x:v>
      </x:c>
      <x:c r="U168" s="17" t="str">
        <x:v>true</x:v>
      </x:c>
      <x:c r="V168" s="17" t="str">
        <x:v>false</x:v>
      </x:c>
    </x:row>
    <x:row r="169" ht="80" customHeight="1">
      <x:c r="A169" s="25" t="str">
        <x:v>Closure</x:v>
      </x:c>
      <x:c r="B169" s="25" t="n">
        <x:v>32</x:v>
      </x:c>
      <x:c r="C169" s="25" t="str">
        <x:v>Round1</x:v>
      </x:c>
      <x:c r="D169" s="25" t="str">
        <x:v>NOT_AVAILABLE</x:v>
      </x:c>
      <x:c r="E169" s="25" t="str">
        <x:v>N/A</x:v>
      </x:c>
      <x:c r="F169" s="26" t="str">
        <x:v>Tests exist but current coverage did not complete</x:v>
      </x:c>
      <x:c r="G169" s="25" t="str">
        <x:v>true</x:v>
      </x:c>
      <x:c r="H169" s="25" t="str">
        <x:v>NOT_AVAILABLE</x:v>
      </x:c>
      <x:c r="I169" s="25" t="str">
        <x:v>NOT_RUN</x:v>
      </x:c>
      <x:c r="J169" s="25" t="str">
        <x:v>NOT_RUN</x:v>
      </x:c>
      <x:c r="K169" s="25" t="n">
        <x:v>1</x:v>
      </x:c>
      <x:c r="L169" s="27" t="b">
        <x:v>0</x:v>
      </x:c>
      <x:c r="M169" s="25" t="str">
        <x:v>Gemini-3.8-flash/generation_state.json</x:v>
      </x:c>
      <x:c r="N169" s="25" t="str">
        <x:v>Gemini-3.8-flash/Result/Closure_32/result.json</x:v>
      </x:c>
      <x:c r="O169" s="25" t="str">
        <x:v>Gemini-3.8-flash/Result/Closure_32/result.json</x:v>
      </x:c>
      <x:c r="P169" t="str">
        <x:v>BOTH_NOT_RUN</x:v>
      </x:c>
      <x:c r="Q169" s="21" t="str"/>
      <x:c r="R169" s="21" t="str"/>
      <x:c r="S169" s="21" t="str"/>
      <x:c r="T169" s="17" t="str">
        <x:v>false</x:v>
      </x:c>
      <x:c r="U169" s="17" t="str">
        <x:v>true</x:v>
      </x:c>
      <x:c r="V169" s="17" t="str">
        <x:v>false</x:v>
      </x:c>
    </x:row>
    <x:row r="170" ht="80" customHeight="1">
      <x:c r="A170" s="25" t="str">
        <x:v>Closure</x:v>
      </x:c>
      <x:c r="B170" s="25" t="n">
        <x:v>33</x:v>
      </x:c>
      <x:c r="C170" s="25" t="str">
        <x:v>Round1</x:v>
      </x:c>
      <x:c r="D170" s="25" t="str">
        <x:v>NOT_AVAILABLE</x:v>
      </x:c>
      <x:c r="E170" s="25" t="str">
        <x:v>N/A</x:v>
      </x:c>
      <x:c r="F170" s="26" t="str">
        <x:v>Tests exist but current coverage did not complete</x:v>
      </x:c>
      <x:c r="G170" s="25" t="str">
        <x:v>true</x:v>
      </x:c>
      <x:c r="H170" s="25" t="str">
        <x:v>NOT_AVAILABLE</x:v>
      </x:c>
      <x:c r="I170" s="25" t="str">
        <x:v>NOT_RUN</x:v>
      </x:c>
      <x:c r="J170" s="25" t="str">
        <x:v>NOT_RUN</x:v>
      </x:c>
      <x:c r="K170" s="25" t="n">
        <x:v>1</x:v>
      </x:c>
      <x:c r="L170" s="27" t="b">
        <x:v>0</x:v>
      </x:c>
      <x:c r="M170" s="25" t="str">
        <x:v>Gemini-3.8-flash/generation_state.json</x:v>
      </x:c>
      <x:c r="N170" s="25" t="str">
        <x:v>Gemini-3.8-flash/Result/Closure_33/result.json</x:v>
      </x:c>
      <x:c r="O170" s="25" t="str">
        <x:v>Gemini-3.8-flash/Result/Closure_33/result.json</x:v>
      </x:c>
      <x:c r="P170" t="str">
        <x:v>BOTH_NOT_RUN</x:v>
      </x:c>
      <x:c r="Q170" s="21" t="str"/>
      <x:c r="R170" s="21" t="str"/>
      <x:c r="S170" s="21" t="str"/>
      <x:c r="T170" s="17" t="str">
        <x:v>false</x:v>
      </x:c>
      <x:c r="U170" s="17" t="str">
        <x:v>true</x:v>
      </x:c>
      <x:c r="V170" s="17" t="str">
        <x:v>false</x:v>
      </x:c>
    </x:row>
    <x:row r="171" ht="80" customHeight="1">
      <x:c r="A171" s="25" t="str">
        <x:v>Closure</x:v>
      </x:c>
      <x:c r="B171" s="25" t="n">
        <x:v>34</x:v>
      </x:c>
      <x:c r="C171" s="25" t="str">
        <x:v>Round1</x:v>
      </x:c>
      <x:c r="D171" s="25" t="str">
        <x:v>NOT_AVAILABLE</x:v>
      </x:c>
      <x:c r="E171" s="25" t="str">
        <x:v>N/A</x:v>
      </x:c>
      <x:c r="F171" s="26" t="str">
        <x:v>Tests exist but current coverage did not complete</x:v>
      </x:c>
      <x:c r="G171" s="25" t="str">
        <x:v>true</x:v>
      </x:c>
      <x:c r="H171" s="25" t="str">
        <x:v>NOT_AVAILABLE</x:v>
      </x:c>
      <x:c r="I171" s="25" t="str">
        <x:v>NOT_RUN</x:v>
      </x:c>
      <x:c r="J171" s="25" t="str">
        <x:v>NOT_RUN</x:v>
      </x:c>
      <x:c r="K171" s="25" t="n">
        <x:v>2</x:v>
      </x:c>
      <x:c r="L171" s="27" t="b">
        <x:v>0</x:v>
      </x:c>
      <x:c r="M171" s="25" t="str">
        <x:v>Gemini-3.8-flash/generation_state.json</x:v>
      </x:c>
      <x:c r="N171" s="25" t="str">
        <x:v>Gemini-3.8-flash/Result/Closure_34/result.json</x:v>
      </x:c>
      <x:c r="O171" s="25" t="str">
        <x:v>Gemini-3.8-flash/Result/Closure_34/result.json</x:v>
      </x:c>
      <x:c r="P171" t="str">
        <x:v>BOTH_NOT_RUN</x:v>
      </x:c>
      <x:c r="Q171" s="21" t="str"/>
      <x:c r="R171" s="21" t="str"/>
      <x:c r="S171" s="21" t="str"/>
      <x:c r="T171" s="17" t="str">
        <x:v>false</x:v>
      </x:c>
      <x:c r="U171" s="17" t="str">
        <x:v>true</x:v>
      </x:c>
      <x:c r="V171" s="17" t="str">
        <x:v>false</x:v>
      </x:c>
    </x:row>
    <x:row r="172" ht="80" customHeight="1">
      <x:c r="A172" s="25" t="str">
        <x:v>Closure</x:v>
      </x:c>
      <x:c r="B172" s="25" t="n">
        <x:v>35</x:v>
      </x:c>
      <x:c r="C172" s="25" t="str">
        <x:v>Round1</x:v>
      </x:c>
      <x:c r="D172" s="25" t="str">
        <x:v>NOT_AVAILABLE</x:v>
      </x:c>
      <x:c r="E172" s="25" t="str">
        <x:v>N/A</x:v>
      </x:c>
      <x:c r="F172" s="26" t="str">
        <x:v>Tests exist but current coverage did not complete</x:v>
      </x:c>
      <x:c r="G172" s="25" t="str">
        <x:v>true</x:v>
      </x:c>
      <x:c r="H172" s="25" t="str">
        <x:v>NOT_AVAILABLE</x:v>
      </x:c>
      <x:c r="I172" s="25" t="str">
        <x:v>NOT_RUN</x:v>
      </x:c>
      <x:c r="J172" s="25" t="str">
        <x:v>NOT_RUN</x:v>
      </x:c>
      <x:c r="K172" s="25" t="n">
        <x:v>1</x:v>
      </x:c>
      <x:c r="L172" s="27" t="b">
        <x:v>0</x:v>
      </x:c>
      <x:c r="M172" s="25" t="str">
        <x:v>Gemini-3.8-flash/generation_state.json</x:v>
      </x:c>
      <x:c r="N172" s="25" t="str">
        <x:v>Gemini-3.8-flash/Result/Closure_35/result.json</x:v>
      </x:c>
      <x:c r="O172" s="25" t="str">
        <x:v>Gemini-3.8-flash/Result/Closure_35/result.json</x:v>
      </x:c>
      <x:c r="P172" t="str">
        <x:v>BOTH_NOT_RUN</x:v>
      </x:c>
      <x:c r="Q172" s="21" t="str"/>
      <x:c r="R172" s="21" t="str"/>
      <x:c r="S172" s="21" t="str"/>
      <x:c r="T172" s="17" t="str">
        <x:v>false</x:v>
      </x:c>
      <x:c r="U172" s="17" t="str">
        <x:v>true</x:v>
      </x:c>
      <x:c r="V172" s="17" t="str">
        <x:v>false</x:v>
      </x:c>
    </x:row>
    <x:row r="173" ht="80" customHeight="1">
      <x:c r="A173" s="25" t="str">
        <x:v>Closure</x:v>
      </x:c>
      <x:c r="B173" s="25" t="n">
        <x:v>36</x:v>
      </x:c>
      <x:c r="C173" s="25" t="str">
        <x:v>Round1</x:v>
      </x:c>
      <x:c r="D173" s="25" t="str">
        <x:v>NOT_AVAILABLE</x:v>
      </x:c>
      <x:c r="E173" s="25" t="str">
        <x:v>N/A</x:v>
      </x:c>
      <x:c r="F173" s="26" t="str">
        <x:v>Tests exist but current coverage did not complete</x:v>
      </x:c>
      <x:c r="G173" s="25" t="str">
        <x:v>true</x:v>
      </x:c>
      <x:c r="H173" s="25" t="str">
        <x:v>NOT_AVAILABLE</x:v>
      </x:c>
      <x:c r="I173" s="25" t="str">
        <x:v>NOT_RUN</x:v>
      </x:c>
      <x:c r="J173" s="25" t="str">
        <x:v>NOT_RUN</x:v>
      </x:c>
      <x:c r="K173" s="25" t="n">
        <x:v>1</x:v>
      </x:c>
      <x:c r="L173" s="27" t="b">
        <x:v>0</x:v>
      </x:c>
      <x:c r="M173" s="25" t="str">
        <x:v>Gemini-3.8-flash/generation_state.json</x:v>
      </x:c>
      <x:c r="N173" s="25" t="str">
        <x:v>Gemini-3.8-flash/Result/Closure_36/result.json</x:v>
      </x:c>
      <x:c r="O173" s="25" t="str">
        <x:v>Gemini-3.8-flash/Result/Closure_36/result.json</x:v>
      </x:c>
      <x:c r="P173" t="str">
        <x:v>BOTH_NOT_RUN</x:v>
      </x:c>
      <x:c r="Q173" s="21" t="str"/>
      <x:c r="R173" s="21" t="str"/>
      <x:c r="S173" s="21" t="str"/>
      <x:c r="T173" s="17" t="str">
        <x:v>false</x:v>
      </x:c>
      <x:c r="U173" s="17" t="str">
        <x:v>true</x:v>
      </x:c>
      <x:c r="V173" s="17" t="str">
        <x:v>false</x:v>
      </x:c>
    </x:row>
    <x:row r="174" ht="80" customHeight="1">
      <x:c r="A174" s="25" t="str">
        <x:v>Closure</x:v>
      </x:c>
      <x:c r="B174" s="25" t="n">
        <x:v>37</x:v>
      </x:c>
      <x:c r="C174" s="25" t="str">
        <x:v>Round1</x:v>
      </x:c>
      <x:c r="D174" s="25" t="str">
        <x:v>NOT_AVAILABLE</x:v>
      </x:c>
      <x:c r="E174" s="25" t="str">
        <x:v>N/A</x:v>
      </x:c>
      <x:c r="F174" s="26" t="str">
        <x:v>Tests exist but current coverage did not complete</x:v>
      </x:c>
      <x:c r="G174" s="25" t="str">
        <x:v>true</x:v>
      </x:c>
      <x:c r="H174" s="25" t="str">
        <x:v>NOT_AVAILABLE</x:v>
      </x:c>
      <x:c r="I174" s="25" t="str">
        <x:v>NOT_RUN</x:v>
      </x:c>
      <x:c r="J174" s="25" t="str">
        <x:v>NOT_RUN</x:v>
      </x:c>
      <x:c r="K174" s="25" t="n">
        <x:v>2</x:v>
      </x:c>
      <x:c r="L174" s="27" t="b">
        <x:v>0</x:v>
      </x:c>
      <x:c r="M174" s="25" t="str">
        <x:v>Gemini-3.8-flash/generation_state.json</x:v>
      </x:c>
      <x:c r="N174" s="25" t="str">
        <x:v>Gemini-3.8-flash/Result/Closure_37/result.json</x:v>
      </x:c>
      <x:c r="O174" s="25" t="str">
        <x:v>Gemini-3.8-flash/Result/Closure_37/result.json</x:v>
      </x:c>
      <x:c r="P174" t="str">
        <x:v>BOTH_NOT_RUN</x:v>
      </x:c>
      <x:c r="Q174" s="21" t="str"/>
      <x:c r="R174" s="21" t="str"/>
      <x:c r="S174" s="21" t="str"/>
      <x:c r="T174" s="17" t="str">
        <x:v>false</x:v>
      </x:c>
      <x:c r="U174" s="17" t="str">
        <x:v>true</x:v>
      </x:c>
      <x:c r="V174" s="17" t="str">
        <x:v>false</x:v>
      </x:c>
    </x:row>
    <x:row r="175" ht="80" customHeight="1">
      <x:c r="A175" s="25" t="str">
        <x:v>Closure</x:v>
      </x:c>
      <x:c r="B175" s="25" t="n">
        <x:v>38</x:v>
      </x:c>
      <x:c r="C175" s="25" t="str">
        <x:v>Round1</x:v>
      </x:c>
      <x:c r="D175" s="25" t="str">
        <x:v>INCONCLUSIVE</x:v>
      </x:c>
      <x:c r="E175" s="25" t="str">
        <x:v>N/A</x:v>
      </x:c>
      <x:c r="F175" s="26" t="str">
        <x:v>Fixed also failed; assertion failure cannot be attributed to this bug</x:v>
      </x:c>
      <x:c r="G175" s="25" t="str">
        <x:v>true</x:v>
      </x:c>
      <x:c r="H175" s="25" t="str">
        <x:v>INCONCLUSIVE</x:v>
      </x:c>
      <x:c r="I175" s="25" t="str">
        <x:v>FAIL</x:v>
      </x:c>
      <x:c r="J175" s="25" t="str">
        <x:v>FAIL</x:v>
      </x:c>
      <x:c r="K175" s="25" t="n">
        <x:v>1</x:v>
      </x:c>
      <x:c r="L175" s="27" t="b">
        <x:v>0</x:v>
      </x:c>
      <x:c r="M175" s="25" t="str">
        <x:v>Gemini-3.8-flash/generation_state.json</x:v>
      </x:c>
      <x:c r="N175" s="25" t="str">
        <x:v>Gemini-3.8-flash/Result/Closure_38/result.json</x:v>
      </x:c>
      <x:c r="O175" s="25" t="str">
        <x:v>Gemini-3.8-flash/Result/Closure_38/result.json</x:v>
      </x:c>
      <x:c r="P175"/>
      <x:c r="Q175" s="21" t="str"/>
      <x:c r="R175" s="21" t="str"/>
      <x:c r="S175" s="21" t="str"/>
      <x:c r="T175" s="17" t="str">
        <x:v>false</x:v>
      </x:c>
      <x:c r="U175" s="17" t="str">
        <x:v>true</x:v>
      </x:c>
      <x:c r="V175" s="17" t="str">
        <x:v>false</x:v>
      </x:c>
    </x:row>
    <x:row r="176" ht="80" customHeight="1">
      <x:c r="A176" s="25" t="str">
        <x:v>Closure</x:v>
      </x:c>
      <x:c r="B176" s="25" t="n">
        <x:v>39</x:v>
      </x:c>
      <x:c r="C176" s="25" t="str">
        <x:v>Round1</x:v>
      </x:c>
      <x:c r="D176" s="25" t="str">
        <x:v>NOT_AVAILABLE</x:v>
      </x:c>
      <x:c r="E176" s="25" t="str">
        <x:v>N/A</x:v>
      </x:c>
      <x:c r="F176" s="26" t="str">
        <x:v>Tests exist but current coverage did not complete</x:v>
      </x:c>
      <x:c r="G176" s="25" t="str">
        <x:v>true</x:v>
      </x:c>
      <x:c r="H176" s="25" t="str">
        <x:v>NOT_AVAILABLE</x:v>
      </x:c>
      <x:c r="I176" s="25" t="str">
        <x:v>NOT_RUN</x:v>
      </x:c>
      <x:c r="J176" s="25" t="str">
        <x:v>NOT_RUN</x:v>
      </x:c>
      <x:c r="K176" s="25" t="n">
        <x:v>1</x:v>
      </x:c>
      <x:c r="L176" s="27" t="b">
        <x:v>0</x:v>
      </x:c>
      <x:c r="M176" s="25" t="str">
        <x:v>Gemini-3.8-flash/generation_state.json</x:v>
      </x:c>
      <x:c r="N176" s="25" t="str">
        <x:v>Gemini-3.8-flash/Result/Closure_39/result.json</x:v>
      </x:c>
      <x:c r="O176" s="25" t="str">
        <x:v>Gemini-3.8-flash/Result/Closure_39/result.json</x:v>
      </x:c>
      <x:c r="P176" t="str">
        <x:v>BOTH_NOT_RUN</x:v>
      </x:c>
      <x:c r="Q176" s="21" t="str"/>
      <x:c r="R176" s="21" t="str"/>
      <x:c r="S176" s="21" t="str"/>
      <x:c r="T176" s="17" t="str">
        <x:v>false</x:v>
      </x:c>
      <x:c r="U176" s="17" t="str">
        <x:v>true</x:v>
      </x:c>
      <x:c r="V176" s="17" t="str">
        <x:v>false</x:v>
      </x:c>
    </x:row>
    <x:row r="177" ht="80" customHeight="1">
      <x:c r="A177" s="25" t="str">
        <x:v>Closure</x:v>
      </x:c>
      <x:c r="B177" s="25" t="n">
        <x:v>4</x:v>
      </x:c>
      <x:c r="C177" s="25" t="str">
        <x:v>Round1</x:v>
      </x:c>
      <x:c r="D177" s="25" t="str">
        <x:v>NOT_AVAILABLE</x:v>
      </x:c>
      <x:c r="E177" s="25" t="str">
        <x:v>N/A</x:v>
      </x:c>
      <x:c r="F177" s="26" t="str">
        <x:v>Tests exist but current coverage did not complete</x:v>
      </x:c>
      <x:c r="G177" s="25" t="str">
        <x:v>true</x:v>
      </x:c>
      <x:c r="H177" s="25" t="str">
        <x:v>NOT_AVAILABLE</x:v>
      </x:c>
      <x:c r="I177" s="25" t="str">
        <x:v>NOT_RUN</x:v>
      </x:c>
      <x:c r="J177" s="25" t="str">
        <x:v>NOT_RUN</x:v>
      </x:c>
      <x:c r="K177" s="25" t="n">
        <x:v>1</x:v>
      </x:c>
      <x:c r="L177" s="27" t="b">
        <x:v>0</x:v>
      </x:c>
      <x:c r="M177" s="25" t="str">
        <x:v>Gemini-3.8-flash/generation_state.json</x:v>
      </x:c>
      <x:c r="N177" s="25" t="str">
        <x:v>Gemini-3.8-flash/Result/Closure_4/result.json</x:v>
      </x:c>
      <x:c r="O177" s="25" t="str">
        <x:v>Gemini-3.8-flash/Result/Closure_4/result.json</x:v>
      </x:c>
      <x:c r="P177" t="str">
        <x:v>BOTH_NOT_RUN</x:v>
      </x:c>
      <x:c r="Q177" s="21" t="str"/>
      <x:c r="R177" s="21" t="str"/>
      <x:c r="S177" s="21" t="str"/>
      <x:c r="T177" s="17" t="str">
        <x:v>false</x:v>
      </x:c>
      <x:c r="U177" s="17" t="str">
        <x:v>true</x:v>
      </x:c>
      <x:c r="V177" s="17" t="str">
        <x:v>false</x:v>
      </x:c>
    </x:row>
    <x:row r="178" ht="80" customHeight="1">
      <x:c r="A178" s="25" t="str">
        <x:v>Closure</x:v>
      </x:c>
      <x:c r="B178" s="25" t="n">
        <x:v>40</x:v>
      </x:c>
      <x:c r="C178" s="25" t="str">
        <x:v>Round1</x:v>
      </x:c>
      <x:c r="D178" s="25" t="str">
        <x:v>NOT_AVAILABLE</x:v>
      </x:c>
      <x:c r="E178" s="25" t="str">
        <x:v>N/A</x:v>
      </x:c>
      <x:c r="F178" s="26" t="str">
        <x:v>Tests exist but current coverage did not complete</x:v>
      </x:c>
      <x:c r="G178" s="25" t="str">
        <x:v>true</x:v>
      </x:c>
      <x:c r="H178" s="25" t="str">
        <x:v>NOT_AVAILABLE</x:v>
      </x:c>
      <x:c r="I178" s="25" t="str">
        <x:v>NOT_RUN</x:v>
      </x:c>
      <x:c r="J178" s="25" t="str">
        <x:v>NOT_RUN</x:v>
      </x:c>
      <x:c r="K178" s="25" t="n">
        <x:v>1</x:v>
      </x:c>
      <x:c r="L178" s="27" t="b">
        <x:v>0</x:v>
      </x:c>
      <x:c r="M178" s="25" t="str">
        <x:v>Gemini-3.8-flash/generation_state.json</x:v>
      </x:c>
      <x:c r="N178" s="25" t="str">
        <x:v>Gemini-3.8-flash/Result/Closure_40/result.json</x:v>
      </x:c>
      <x:c r="O178" s="25" t="str">
        <x:v>Gemini-3.8-flash/Result/Closure_40/result.json</x:v>
      </x:c>
      <x:c r="P178" t="str">
        <x:v>BOTH_NOT_RUN</x:v>
      </x:c>
      <x:c r="Q178" s="21" t="str"/>
      <x:c r="R178" s="21" t="str"/>
      <x:c r="S178" s="21" t="str"/>
      <x:c r="T178" s="17" t="str">
        <x:v>false</x:v>
      </x:c>
      <x:c r="U178" s="17" t="str">
        <x:v>true</x:v>
      </x:c>
      <x:c r="V178" s="17" t="str">
        <x:v>false</x:v>
      </x:c>
    </x:row>
    <x:row r="179" ht="80" customHeight="1">
      <x:c r="A179" s="25" t="str">
        <x:v>Closure</x:v>
      </x:c>
      <x:c r="B179" s="25" t="n">
        <x:v>41</x:v>
      </x:c>
      <x:c r="C179" s="25" t="str">
        <x:v>Round1</x:v>
      </x:c>
      <x:c r="D179" s="25" t="str">
        <x:v>NOT_AVAILABLE</x:v>
      </x:c>
      <x:c r="E179" s="25" t="str">
        <x:v>N/A</x:v>
      </x:c>
      <x:c r="F179" s="26" t="str">
        <x:v>Tests exist but current coverage did not complete</x:v>
      </x:c>
      <x:c r="G179" s="25" t="str">
        <x:v>true</x:v>
      </x:c>
      <x:c r="H179" s="25" t="str">
        <x:v>NOT_AVAILABLE</x:v>
      </x:c>
      <x:c r="I179" s="25" t="str">
        <x:v>NOT_RUN</x:v>
      </x:c>
      <x:c r="J179" s="25" t="str">
        <x:v>NOT_RUN</x:v>
      </x:c>
      <x:c r="K179" s="25" t="n">
        <x:v>1</x:v>
      </x:c>
      <x:c r="L179" s="27" t="b">
        <x:v>0</x:v>
      </x:c>
      <x:c r="M179" s="25" t="str">
        <x:v>Gemini-3.8-flash/generation_state.json</x:v>
      </x:c>
      <x:c r="N179" s="25" t="str">
        <x:v>Gemini-3.8-flash/Result/Closure_41/result.json</x:v>
      </x:c>
      <x:c r="O179" s="25" t="str">
        <x:v>Gemini-3.8-flash/Result/Closure_41/result.json</x:v>
      </x:c>
      <x:c r="P179" t="str">
        <x:v>BOTH_NOT_RUN</x:v>
      </x:c>
      <x:c r="Q179" s="21" t="str"/>
      <x:c r="R179" s="21" t="str"/>
      <x:c r="S179" s="21" t="str"/>
      <x:c r="T179" s="17" t="str">
        <x:v>false</x:v>
      </x:c>
      <x:c r="U179" s="17" t="str">
        <x:v>true</x:v>
      </x:c>
      <x:c r="V179" s="17" t="str">
        <x:v>false</x:v>
      </x:c>
    </x:row>
    <x:row r="180" ht="80" customHeight="1">
      <x:c r="A180" s="25" t="str">
        <x:v>Closure</x:v>
      </x:c>
      <x:c r="B180" s="25" t="n">
        <x:v>42</x:v>
      </x:c>
      <x:c r="C180" s="25" t="str">
        <x:v>Round1</x:v>
      </x:c>
      <x:c r="D180" s="25" t="str">
        <x:v>NOT_AVAILABLE</x:v>
      </x:c>
      <x:c r="E180" s="25" t="str">
        <x:v>N/A</x:v>
      </x:c>
      <x:c r="F180" s="26" t="str">
        <x:v>Tests exist but current coverage did not complete</x:v>
      </x:c>
      <x:c r="G180" s="25" t="str">
        <x:v>true</x:v>
      </x:c>
      <x:c r="H180" s="25" t="str">
        <x:v>NOT_AVAILABLE</x:v>
      </x:c>
      <x:c r="I180" s="25" t="str">
        <x:v>NOT_RUN</x:v>
      </x:c>
      <x:c r="J180" s="25" t="str">
        <x:v>NOT_RUN</x:v>
      </x:c>
      <x:c r="K180" s="25" t="n">
        <x:v>1</x:v>
      </x:c>
      <x:c r="L180" s="27" t="b">
        <x:v>0</x:v>
      </x:c>
      <x:c r="M180" s="25" t="str">
        <x:v>Gemini-3.8-flash/generation_state.json</x:v>
      </x:c>
      <x:c r="N180" s="25" t="str">
        <x:v>Gemini-3.8-flash/Result/Closure_42/result.json</x:v>
      </x:c>
      <x:c r="O180" s="25" t="str">
        <x:v>Gemini-3.8-flash/Result/Closure_42/result.json</x:v>
      </x:c>
      <x:c r="P180" t="str">
        <x:v>BOTH_NOT_RUN</x:v>
      </x:c>
      <x:c r="Q180" s="21" t="str"/>
      <x:c r="R180" s="21" t="str"/>
      <x:c r="S180" s="21" t="str"/>
      <x:c r="T180" s="17" t="str">
        <x:v>false</x:v>
      </x:c>
      <x:c r="U180" s="17" t="str">
        <x:v>true</x:v>
      </x:c>
      <x:c r="V180" s="17" t="str">
        <x:v>false</x:v>
      </x:c>
    </x:row>
    <x:row r="181" ht="80" customHeight="1">
      <x:c r="A181" s="25" t="str">
        <x:v>Closure</x:v>
      </x:c>
      <x:c r="B181" s="25" t="n">
        <x:v>43</x:v>
      </x:c>
      <x:c r="C181" s="25" t="str">
        <x:v>Round1</x:v>
      </x:c>
      <x:c r="D181" s="25" t="str">
        <x:v>NOT_AVAILABLE</x:v>
      </x:c>
      <x:c r="E181" s="25" t="str">
        <x:v>N/A</x:v>
      </x:c>
      <x:c r="F181" s="26" t="str">
        <x:v>Tests exist but current coverage did not complete</x:v>
      </x:c>
      <x:c r="G181" s="25" t="str">
        <x:v>true</x:v>
      </x:c>
      <x:c r="H181" s="25" t="str">
        <x:v>NOT_AVAILABLE</x:v>
      </x:c>
      <x:c r="I181" s="25" t="str">
        <x:v>NOT_RUN</x:v>
      </x:c>
      <x:c r="J181" s="25" t="str">
        <x:v>NOT_RUN</x:v>
      </x:c>
      <x:c r="K181" s="25" t="n">
        <x:v>1</x:v>
      </x:c>
      <x:c r="L181" s="27" t="b">
        <x:v>0</x:v>
      </x:c>
      <x:c r="M181" s="25" t="str">
        <x:v>Gemini-3.8-flash/generation_state.json</x:v>
      </x:c>
      <x:c r="N181" s="25" t="str">
        <x:v>Gemini-3.8-flash/Result/Closure_43/result.json</x:v>
      </x:c>
      <x:c r="O181" s="25" t="str">
        <x:v>Gemini-3.8-flash/Result/Closure_43/result.json</x:v>
      </x:c>
      <x:c r="P181" t="str">
        <x:v>BOTH_NOT_RUN</x:v>
      </x:c>
      <x:c r="Q181" s="21" t="str"/>
      <x:c r="R181" s="21" t="str"/>
      <x:c r="S181" s="21" t="str"/>
      <x:c r="T181" s="17" t="str">
        <x:v>false</x:v>
      </x:c>
      <x:c r="U181" s="17" t="str">
        <x:v>true</x:v>
      </x:c>
      <x:c r="V181" s="17" t="str">
        <x:v>false</x:v>
      </x:c>
    </x:row>
    <x:row r="182" ht="80" customHeight="1">
      <x:c r="A182" s="25" t="str">
        <x:v>Closure</x:v>
      </x:c>
      <x:c r="B182" s="25" t="n">
        <x:v>44</x:v>
      </x:c>
      <x:c r="C182" s="25" t="str">
        <x:v>Round1</x:v>
      </x:c>
      <x:c r="D182" s="25" t="str">
        <x:v>NOT_AVAILABLE</x:v>
      </x:c>
      <x:c r="E182" s="25" t="str">
        <x:v>N/A</x:v>
      </x:c>
      <x:c r="F182" s="26" t="str">
        <x:v>Paired buggy/fixed execution missing or could not run</x:v>
      </x:c>
      <x:c r="G182" s="25" t="str">
        <x:v>true</x:v>
      </x:c>
      <x:c r="H182" s="25" t="str">
        <x:v>NOT_AVAILABLE</x:v>
      </x:c>
      <x:c r="I182" s="25" t="str">
        <x:v>FAIL</x:v>
      </x:c>
      <x:c r="J182" s="25" t="str">
        <x:v>NOT_RUN</x:v>
      </x:c>
      <x:c r="K182" s="25" t="n">
        <x:v>1</x:v>
      </x:c>
      <x:c r="L182" s="27" t="b">
        <x:v>0</x:v>
      </x:c>
      <x:c r="M182" s="25" t="str">
        <x:v>Gemini-3.8-flash/generation_state.json</x:v>
      </x:c>
      <x:c r="N182" s="25" t="str">
        <x:v>Gemini-3.8-flash/Result/Closure_44/result.json</x:v>
      </x:c>
      <x:c r="O182" s="25" t="str">
        <x:v>Gemini-3.8-flash/Result/Closure_44/result.json</x:v>
      </x:c>
      <x:c r="P182" t="str">
        <x:v>FIXED_NOT_RUN</x:v>
      </x:c>
      <x:c r="Q182" s="21" t="str"/>
      <x:c r="R182" s="21" t="str"/>
      <x:c r="S182" s="21" t="str"/>
      <x:c r="T182" s="17" t="str">
        <x:v>false</x:v>
      </x:c>
      <x:c r="U182" s="17" t="str">
        <x:v>true</x:v>
      </x:c>
      <x:c r="V182" s="17" t="str">
        <x:v>false</x:v>
      </x:c>
    </x:row>
    <x:row r="183" ht="80" customHeight="1">
      <x:c r="A183" s="25" t="str">
        <x:v>Closure</x:v>
      </x:c>
      <x:c r="B183" s="25" t="n">
        <x:v>45</x:v>
      </x:c>
      <x:c r="C183" s="25" t="str">
        <x:v>Round1</x:v>
      </x:c>
      <x:c r="D183" s="25" t="str">
        <x:v>NOT_AVAILABLE</x:v>
      </x:c>
      <x:c r="E183" s="25" t="str">
        <x:v>N/A</x:v>
      </x:c>
      <x:c r="F183" s="26" t="str">
        <x:v>Tests exist but current coverage did not complete</x:v>
      </x:c>
      <x:c r="G183" s="25" t="str">
        <x:v>true</x:v>
      </x:c>
      <x:c r="H183" s="25" t="str">
        <x:v>NOT_AVAILABLE</x:v>
      </x:c>
      <x:c r="I183" s="25" t="str">
        <x:v>NOT_RUN</x:v>
      </x:c>
      <x:c r="J183" s="25" t="str">
        <x:v>NOT_RUN</x:v>
      </x:c>
      <x:c r="K183" s="25" t="n">
        <x:v>1</x:v>
      </x:c>
      <x:c r="L183" s="27" t="b">
        <x:v>0</x:v>
      </x:c>
      <x:c r="M183" s="25" t="str">
        <x:v>Gemini-3.8-flash/generation_state.json</x:v>
      </x:c>
      <x:c r="N183" s="25" t="str">
        <x:v>Gemini-3.8-flash/Result/Closure_45/result.json</x:v>
      </x:c>
      <x:c r="O183" s="25" t="str">
        <x:v>Gemini-3.8-flash/Result/Closure_45/result.json</x:v>
      </x:c>
      <x:c r="P183" t="str">
        <x:v>BOTH_NOT_RUN</x:v>
      </x:c>
      <x:c r="Q183" s="21" t="str"/>
      <x:c r="R183" s="21" t="str"/>
      <x:c r="S183" s="21" t="str"/>
      <x:c r="T183" s="17" t="str">
        <x:v>false</x:v>
      </x:c>
      <x:c r="U183" s="17" t="str">
        <x:v>true</x:v>
      </x:c>
      <x:c r="V183" s="17" t="str">
        <x:v>false</x:v>
      </x:c>
    </x:row>
    <x:row r="184" ht="80" customHeight="1">
      <x:c r="A184" s="25" t="str">
        <x:v>Closure</x:v>
      </x:c>
      <x:c r="B184" s="25" t="n">
        <x:v>46</x:v>
      </x:c>
      <x:c r="C184" s="25" t="str">
        <x:v>Round1</x:v>
      </x:c>
      <x:c r="D184" s="25" t="str">
        <x:v>NOT_AVAILABLE</x:v>
      </x:c>
      <x:c r="E184" s="25" t="str">
        <x:v>N/A</x:v>
      </x:c>
      <x:c r="F184" s="26" t="str">
        <x:v>Tests exist but current coverage did not complete</x:v>
      </x:c>
      <x:c r="G184" s="25" t="str">
        <x:v>true</x:v>
      </x:c>
      <x:c r="H184" s="25" t="str">
        <x:v>NOT_AVAILABLE</x:v>
      </x:c>
      <x:c r="I184" s="25" t="str">
        <x:v>NOT_RUN</x:v>
      </x:c>
      <x:c r="J184" s="25" t="str">
        <x:v>NOT_RUN</x:v>
      </x:c>
      <x:c r="K184" s="25" t="n">
        <x:v>1</x:v>
      </x:c>
      <x:c r="L184" s="27" t="b">
        <x:v>0</x:v>
      </x:c>
      <x:c r="M184" s="25" t="str">
        <x:v>Gemini-3.8-flash/generation_state.json</x:v>
      </x:c>
      <x:c r="N184" s="25" t="str">
        <x:v>Gemini-3.8-flash/Result/Closure_46/result.json</x:v>
      </x:c>
      <x:c r="O184" s="25" t="str">
        <x:v>Gemini-3.8-flash/Result/Closure_46/result.json</x:v>
      </x:c>
      <x:c r="P184" t="str">
        <x:v>BOTH_NOT_RUN</x:v>
      </x:c>
      <x:c r="Q184" s="21" t="str"/>
      <x:c r="R184" s="21" t="str"/>
      <x:c r="S184" s="21" t="str"/>
      <x:c r="T184" s="17" t="str">
        <x:v>false</x:v>
      </x:c>
      <x:c r="U184" s="17" t="str">
        <x:v>true</x:v>
      </x:c>
      <x:c r="V184" s="17" t="str">
        <x:v>false</x:v>
      </x:c>
    </x:row>
    <x:row r="185" ht="80" customHeight="1">
      <x:c r="A185" s="25" t="str">
        <x:v>Closure</x:v>
      </x:c>
      <x:c r="B185" s="25" t="n">
        <x:v>47</x:v>
      </x:c>
      <x:c r="C185" s="25" t="str">
        <x:v>Round1</x:v>
      </x:c>
      <x:c r="D185" s="25" t="str">
        <x:v>NOT_AVAILABLE</x:v>
      </x:c>
      <x:c r="E185" s="25" t="str">
        <x:v>N/A</x:v>
      </x:c>
      <x:c r="F185" s="26" t="str">
        <x:v>Tests exist but current coverage did not complete</x:v>
      </x:c>
      <x:c r="G185" s="25" t="str">
        <x:v>true</x:v>
      </x:c>
      <x:c r="H185" s="25" t="str">
        <x:v>NOT_AVAILABLE</x:v>
      </x:c>
      <x:c r="I185" s="25" t="str">
        <x:v>NOT_RUN</x:v>
      </x:c>
      <x:c r="J185" s="25" t="str">
        <x:v>NOT_RUN</x:v>
      </x:c>
      <x:c r="K185" s="25" t="n">
        <x:v>1</x:v>
      </x:c>
      <x:c r="L185" s="27" t="b">
        <x:v>0</x:v>
      </x:c>
      <x:c r="M185" s="25" t="str">
        <x:v>Gemini-3.8-flash/generation_state.json</x:v>
      </x:c>
      <x:c r="N185" s="25" t="str">
        <x:v>Gemini-3.8-flash/Result/Closure_47/result.json</x:v>
      </x:c>
      <x:c r="O185" s="25" t="str">
        <x:v>Gemini-3.8-flash/Result/Closure_47/result.json</x:v>
      </x:c>
      <x:c r="P185" t="str">
        <x:v>BOTH_NOT_RUN</x:v>
      </x:c>
      <x:c r="Q185" s="21" t="str"/>
      <x:c r="R185" s="21" t="str"/>
      <x:c r="S185" s="21" t="str"/>
      <x:c r="T185" s="17" t="str">
        <x:v>false</x:v>
      </x:c>
      <x:c r="U185" s="17" t="str">
        <x:v>true</x:v>
      </x:c>
      <x:c r="V185" s="17" t="str">
        <x:v>false</x:v>
      </x:c>
    </x:row>
    <x:row r="186" ht="80" customHeight="1">
      <x:c r="A186" s="25" t="str">
        <x:v>Closure</x:v>
      </x:c>
      <x:c r="B186" s="25" t="n">
        <x:v>48</x:v>
      </x:c>
      <x:c r="C186" s="25" t="str">
        <x:v>Round1</x:v>
      </x:c>
      <x:c r="D186" s="25" t="str">
        <x:v>NOT_AVAILABLE</x:v>
      </x:c>
      <x:c r="E186" s="25" t="str">
        <x:v>N/A</x:v>
      </x:c>
      <x:c r="F186" s="26" t="str">
        <x:v>Tests exist but current coverage did not complete</x:v>
      </x:c>
      <x:c r="G186" s="25" t="str">
        <x:v>true</x:v>
      </x:c>
      <x:c r="H186" s="25" t="str">
        <x:v>NOT_AVAILABLE</x:v>
      </x:c>
      <x:c r="I186" s="25" t="str">
        <x:v>NOT_RUN</x:v>
      </x:c>
      <x:c r="J186" s="25" t="str">
        <x:v>NOT_RUN</x:v>
      </x:c>
      <x:c r="K186" s="25" t="n">
        <x:v>1</x:v>
      </x:c>
      <x:c r="L186" s="27" t="b">
        <x:v>0</x:v>
      </x:c>
      <x:c r="M186" s="25" t="str">
        <x:v>Gemini-3.8-flash/generation_state.json</x:v>
      </x:c>
      <x:c r="N186" s="25" t="str">
        <x:v>Gemini-3.8-flash/Result/Closure_48/result.json</x:v>
      </x:c>
      <x:c r="O186" s="25" t="str">
        <x:v>Gemini-3.8-flash/Result/Closure_48/result.json</x:v>
      </x:c>
      <x:c r="P186" t="str">
        <x:v>BOTH_NOT_RUN</x:v>
      </x:c>
      <x:c r="Q186" s="21" t="str"/>
      <x:c r="R186" s="21" t="str"/>
      <x:c r="S186" s="21" t="str"/>
      <x:c r="T186" s="17" t="str">
        <x:v>false</x:v>
      </x:c>
      <x:c r="U186" s="17" t="str">
        <x:v>true</x:v>
      </x:c>
      <x:c r="V186" s="17" t="str">
        <x:v>false</x:v>
      </x:c>
    </x:row>
    <x:row r="187" ht="80" customHeight="1">
      <x:c r="A187" s="25" t="str">
        <x:v>Closure</x:v>
      </x:c>
      <x:c r="B187" s="25" t="n">
        <x:v>49</x:v>
      </x:c>
      <x:c r="C187" s="25" t="str">
        <x:v>Round1</x:v>
      </x:c>
      <x:c r="D187" s="25" t="str">
        <x:v>NOT_AVAILABLE</x:v>
      </x:c>
      <x:c r="E187" s="25" t="str">
        <x:v>N/A</x:v>
      </x:c>
      <x:c r="F187" s="26" t="str">
        <x:v>Tests exist but current coverage did not complete</x:v>
      </x:c>
      <x:c r="G187" s="25" t="str">
        <x:v>true</x:v>
      </x:c>
      <x:c r="H187" s="25" t="str">
        <x:v>NOT_AVAILABLE</x:v>
      </x:c>
      <x:c r="I187" s="25" t="str">
        <x:v>NOT_RUN</x:v>
      </x:c>
      <x:c r="J187" s="25" t="str">
        <x:v>NOT_RUN</x:v>
      </x:c>
      <x:c r="K187" s="25" t="n">
        <x:v>1</x:v>
      </x:c>
      <x:c r="L187" s="27" t="b">
        <x:v>0</x:v>
      </x:c>
      <x:c r="M187" s="25" t="str">
        <x:v>Gemini-3.8-flash/generation_state.json</x:v>
      </x:c>
      <x:c r="N187" s="25" t="str">
        <x:v>Gemini-3.8-flash/Result/Closure_49/result.json</x:v>
      </x:c>
      <x:c r="O187" s="25" t="str">
        <x:v>Gemini-3.8-flash/Result/Closure_49/result.json</x:v>
      </x:c>
      <x:c r="P187" t="str">
        <x:v>BOTH_NOT_RUN</x:v>
      </x:c>
      <x:c r="Q187" s="21" t="str"/>
      <x:c r="R187" s="21" t="str"/>
      <x:c r="S187" s="21" t="str"/>
      <x:c r="T187" s="17" t="str">
        <x:v>false</x:v>
      </x:c>
      <x:c r="U187" s="17" t="str">
        <x:v>true</x:v>
      </x:c>
      <x:c r="V187" s="17" t="str">
        <x:v>false</x:v>
      </x:c>
    </x:row>
    <x:row r="188" ht="80" customHeight="1">
      <x:c r="A188" s="25" t="str">
        <x:v>Closure</x:v>
      </x:c>
      <x:c r="B188" s="25" t="n">
        <x:v>5</x:v>
      </x:c>
      <x:c r="C188" s="25" t="str">
        <x:v>Round1</x:v>
      </x:c>
      <x:c r="D188" s="25" t="str">
        <x:v>NOT_AVAILABLE</x:v>
      </x:c>
      <x:c r="E188" s="25" t="str">
        <x:v>N/A</x:v>
      </x:c>
      <x:c r="F188" s="26" t="str">
        <x:v>Tests exist but current coverage did not complete</x:v>
      </x:c>
      <x:c r="G188" s="25" t="str">
        <x:v>true</x:v>
      </x:c>
      <x:c r="H188" s="25" t="str">
        <x:v>NOT_AVAILABLE</x:v>
      </x:c>
      <x:c r="I188" s="25" t="str">
        <x:v>NOT_RUN</x:v>
      </x:c>
      <x:c r="J188" s="25" t="str">
        <x:v>NOT_RUN</x:v>
      </x:c>
      <x:c r="K188" s="25" t="n">
        <x:v>1</x:v>
      </x:c>
      <x:c r="L188" s="27" t="b">
        <x:v>0</x:v>
      </x:c>
      <x:c r="M188" s="25" t="str">
        <x:v>Gemini-3.8-flash/generation_state.json</x:v>
      </x:c>
      <x:c r="N188" s="25" t="str">
        <x:v>Gemini-3.8-flash/Result/Closure_5/result.json</x:v>
      </x:c>
      <x:c r="O188" s="25" t="str">
        <x:v>Gemini-3.8-flash/Result/Closure_5/result.json</x:v>
      </x:c>
      <x:c r="P188" t="str">
        <x:v>BOTH_NOT_RUN</x:v>
      </x:c>
      <x:c r="Q188" s="21" t="str"/>
      <x:c r="R188" s="21" t="str"/>
      <x:c r="S188" s="21" t="str"/>
      <x:c r="T188" s="17" t="str">
        <x:v>false</x:v>
      </x:c>
      <x:c r="U188" s="17" t="str">
        <x:v>true</x:v>
      </x:c>
      <x:c r="V188" s="17" t="str">
        <x:v>false</x:v>
      </x:c>
    </x:row>
    <x:row r="189" ht="80" customHeight="1">
      <x:c r="A189" s="25" t="str">
        <x:v>Closure</x:v>
      </x:c>
      <x:c r="B189" s="25" t="n">
        <x:v>50</x:v>
      </x:c>
      <x:c r="C189" s="25" t="str">
        <x:v>Round1</x:v>
      </x:c>
      <x:c r="D189" s="25" t="str">
        <x:v>NOT_AVAILABLE</x:v>
      </x:c>
      <x:c r="E189" s="25" t="str">
        <x:v>N/A</x:v>
      </x:c>
      <x:c r="F189" s="26" t="str">
        <x:v>Tests exist but current coverage did not complete</x:v>
      </x:c>
      <x:c r="G189" s="25" t="str">
        <x:v>true</x:v>
      </x:c>
      <x:c r="H189" s="25" t="str">
        <x:v>NOT_AVAILABLE</x:v>
      </x:c>
      <x:c r="I189" s="25" t="str">
        <x:v>NOT_RUN</x:v>
      </x:c>
      <x:c r="J189" s="25" t="str">
        <x:v>NOT_RUN</x:v>
      </x:c>
      <x:c r="K189" s="25" t="n">
        <x:v>1</x:v>
      </x:c>
      <x:c r="L189" s="27" t="b">
        <x:v>0</x:v>
      </x:c>
      <x:c r="M189" s="25" t="str">
        <x:v>Gemini-3.8-flash/generation_state.json</x:v>
      </x:c>
      <x:c r="N189" s="25" t="str">
        <x:v>Gemini-3.8-flash/Result/Closure_50/result.json</x:v>
      </x:c>
      <x:c r="O189" s="25" t="str">
        <x:v>Gemini-3.8-flash/Result/Closure_50/result.json</x:v>
      </x:c>
      <x:c r="P189" t="str">
        <x:v>BOTH_NOT_RUN</x:v>
      </x:c>
      <x:c r="Q189" s="21" t="str"/>
      <x:c r="R189" s="21" t="str"/>
      <x:c r="S189" s="21" t="str"/>
      <x:c r="T189" s="17" t="str">
        <x:v>false</x:v>
      </x:c>
      <x:c r="U189" s="17" t="str">
        <x:v>true</x:v>
      </x:c>
      <x:c r="V189" s="17" t="str">
        <x:v>false</x:v>
      </x:c>
    </x:row>
    <x:row r="190" ht="80" customHeight="1">
      <x:c r="A190" s="25" t="str">
        <x:v>Closure</x:v>
      </x:c>
      <x:c r="B190" s="25" t="n">
        <x:v>51</x:v>
      </x:c>
      <x:c r="C190" s="25" t="str">
        <x:v>Round1</x:v>
      </x:c>
      <x:c r="D190" s="25" t="str">
        <x:v>NOT_AVAILABLE</x:v>
      </x:c>
      <x:c r="E190" s="25" t="str">
        <x:v>N/A</x:v>
      </x:c>
      <x:c r="F190" s="26" t="str">
        <x:v>Tests exist but current coverage did not complete</x:v>
      </x:c>
      <x:c r="G190" s="25" t="str">
        <x:v>true</x:v>
      </x:c>
      <x:c r="H190" s="25" t="str">
        <x:v>NOT_AVAILABLE</x:v>
      </x:c>
      <x:c r="I190" s="25" t="str">
        <x:v>NOT_RUN</x:v>
      </x:c>
      <x:c r="J190" s="25" t="str">
        <x:v>NOT_RUN</x:v>
      </x:c>
      <x:c r="K190" s="25" t="n">
        <x:v>1</x:v>
      </x:c>
      <x:c r="L190" s="27" t="b">
        <x:v>0</x:v>
      </x:c>
      <x:c r="M190" s="25" t="str">
        <x:v>Gemini-3.8-flash/generation_state.json</x:v>
      </x:c>
      <x:c r="N190" s="25" t="str">
        <x:v>Gemini-3.8-flash/Result/Closure_51/result.json</x:v>
      </x:c>
      <x:c r="O190" s="25" t="str">
        <x:v>Gemini-3.8-flash/Result/Closure_51/result.json</x:v>
      </x:c>
      <x:c r="P190" t="str">
        <x:v>BOTH_NOT_RUN</x:v>
      </x:c>
      <x:c r="Q190" s="21" t="str"/>
      <x:c r="R190" s="21" t="str"/>
      <x:c r="S190" s="21" t="str"/>
      <x:c r="T190" s="17" t="str">
        <x:v>false</x:v>
      </x:c>
      <x:c r="U190" s="17" t="str">
        <x:v>true</x:v>
      </x:c>
      <x:c r="V190" s="17" t="str">
        <x:v>false</x:v>
      </x:c>
    </x:row>
    <x:row r="191" ht="80" customHeight="1">
      <x:c r="A191" s="25" t="str">
        <x:v>Closure</x:v>
      </x:c>
      <x:c r="B191" s="25" t="n">
        <x:v>52</x:v>
      </x:c>
      <x:c r="C191" s="25" t="str">
        <x:v>Round1</x:v>
      </x:c>
      <x:c r="D191" s="25" t="str">
        <x:v>NOT_AVAILABLE</x:v>
      </x:c>
      <x:c r="E191" s="25" t="str">
        <x:v>N/A</x:v>
      </x:c>
      <x:c r="F191" s="26" t="str">
        <x:v>Tests exist but current coverage did not complete</x:v>
      </x:c>
      <x:c r="G191" s="25" t="str">
        <x:v>true</x:v>
      </x:c>
      <x:c r="H191" s="25" t="str">
        <x:v>NOT_AVAILABLE</x:v>
      </x:c>
      <x:c r="I191" s="25" t="str">
        <x:v>NOT_RUN</x:v>
      </x:c>
      <x:c r="J191" s="25" t="str">
        <x:v>NOT_RUN</x:v>
      </x:c>
      <x:c r="K191" s="25" t="n">
        <x:v>1</x:v>
      </x:c>
      <x:c r="L191" s="27" t="b">
        <x:v>0</x:v>
      </x:c>
      <x:c r="M191" s="25" t="str">
        <x:v>Gemini-3.8-flash/generation_state.json</x:v>
      </x:c>
      <x:c r="N191" s="25" t="str">
        <x:v>Gemini-3.8-flash/Result/Closure_52/result.json</x:v>
      </x:c>
      <x:c r="O191" s="25" t="str">
        <x:v>Gemini-3.8-flash/Result/Closure_52/result.json</x:v>
      </x:c>
      <x:c r="P191" t="str">
        <x:v>BOTH_NOT_RUN</x:v>
      </x:c>
      <x:c r="Q191" s="21" t="str"/>
      <x:c r="R191" s="21" t="str"/>
      <x:c r="S191" s="21" t="str"/>
      <x:c r="T191" s="17" t="str">
        <x:v>false</x:v>
      </x:c>
      <x:c r="U191" s="17" t="str">
        <x:v>true</x:v>
      </x:c>
      <x:c r="V191" s="17" t="str">
        <x:v>false</x:v>
      </x:c>
    </x:row>
    <x:row r="192" ht="80" customHeight="1">
      <x:c r="A192" s="25" t="str">
        <x:v>Closure</x:v>
      </x:c>
      <x:c r="B192" s="25" t="n">
        <x:v>53</x:v>
      </x:c>
      <x:c r="C192" s="25" t="str">
        <x:v>Round1</x:v>
      </x:c>
      <x:c r="D192" s="25" t="str">
        <x:v>NOT_AVAILABLE</x:v>
      </x:c>
      <x:c r="E192" s="25" t="str">
        <x:v>N/A</x:v>
      </x:c>
      <x:c r="F192" s="26" t="str">
        <x:v>Tests exist but current coverage did not complete</x:v>
      </x:c>
      <x:c r="G192" s="25" t="str">
        <x:v>true</x:v>
      </x:c>
      <x:c r="H192" s="25" t="str">
        <x:v>NOT_AVAILABLE</x:v>
      </x:c>
      <x:c r="I192" s="25" t="str">
        <x:v>NOT_RUN</x:v>
      </x:c>
      <x:c r="J192" s="25" t="str">
        <x:v>NOT_RUN</x:v>
      </x:c>
      <x:c r="K192" s="25" t="n">
        <x:v>1</x:v>
      </x:c>
      <x:c r="L192" s="27" t="b">
        <x:v>0</x:v>
      </x:c>
      <x:c r="M192" s="25" t="str">
        <x:v>Gemini-3.8-flash/generation_state.json</x:v>
      </x:c>
      <x:c r="N192" s="25" t="str">
        <x:v>Gemini-3.8-flash/Result/Closure_53/result.json</x:v>
      </x:c>
      <x:c r="O192" s="25" t="str">
        <x:v>Gemini-3.8-flash/Result/Closure_53/result.json</x:v>
      </x:c>
      <x:c r="P192" t="str">
        <x:v>BOTH_NOT_RUN</x:v>
      </x:c>
      <x:c r="Q192" s="21" t="str"/>
      <x:c r="R192" s="21" t="str"/>
      <x:c r="S192" s="21" t="str"/>
      <x:c r="T192" s="17" t="str">
        <x:v>false</x:v>
      </x:c>
      <x:c r="U192" s="17" t="str">
        <x:v>true</x:v>
      </x:c>
      <x:c r="V192" s="17" t="str">
        <x:v>false</x:v>
      </x:c>
    </x:row>
    <x:row r="193" ht="80" customHeight="1">
      <x:c r="A193" s="25" t="str">
        <x:v>Closure</x:v>
      </x:c>
      <x:c r="B193" s="25" t="n">
        <x:v>54</x:v>
      </x:c>
      <x:c r="C193" s="25" t="str">
        <x:v>Round1</x:v>
      </x:c>
      <x:c r="D193" s="25" t="str">
        <x:v>NOT_AVAILABLE</x:v>
      </x:c>
      <x:c r="E193" s="25" t="str">
        <x:v>N/A</x:v>
      </x:c>
      <x:c r="F193" s="26" t="str">
        <x:v>Tests exist but current coverage did not complete</x:v>
      </x:c>
      <x:c r="G193" s="25" t="str">
        <x:v>true</x:v>
      </x:c>
      <x:c r="H193" s="25" t="str">
        <x:v>NOT_AVAILABLE</x:v>
      </x:c>
      <x:c r="I193" s="25" t="str">
        <x:v>NOT_RUN</x:v>
      </x:c>
      <x:c r="J193" s="25" t="str">
        <x:v>NOT_RUN</x:v>
      </x:c>
      <x:c r="K193" s="25" t="n">
        <x:v>2</x:v>
      </x:c>
      <x:c r="L193" s="27" t="b">
        <x:v>0</x:v>
      </x:c>
      <x:c r="M193" s="25" t="str">
        <x:v>Gemini-3.8-flash/generation_state.json</x:v>
      </x:c>
      <x:c r="N193" s="25" t="str">
        <x:v>Gemini-3.8-flash/Result/Closure_54/result.json</x:v>
      </x:c>
      <x:c r="O193" s="25" t="str">
        <x:v>Gemini-3.8-flash/Result/Closure_54/result.json</x:v>
      </x:c>
      <x:c r="P193" t="str">
        <x:v>BOTH_NOT_RUN</x:v>
      </x:c>
      <x:c r="Q193" s="21" t="str"/>
      <x:c r="R193" s="21" t="str"/>
      <x:c r="S193" s="21" t="str"/>
      <x:c r="T193" s="17" t="str">
        <x:v>false</x:v>
      </x:c>
      <x:c r="U193" s="17" t="str">
        <x:v>true</x:v>
      </x:c>
      <x:c r="V193" s="17" t="str">
        <x:v>false</x:v>
      </x:c>
    </x:row>
    <x:row r="194" ht="80" customHeight="1">
      <x:c r="A194" s="25" t="str">
        <x:v>Closure</x:v>
      </x:c>
      <x:c r="B194" s="25" t="n">
        <x:v>55</x:v>
      </x:c>
      <x:c r="C194" s="25" t="str">
        <x:v>Round1</x:v>
      </x:c>
      <x:c r="D194" s="25" t="str">
        <x:v>NOT_AVAILABLE</x:v>
      </x:c>
      <x:c r="E194" s="25" t="str">
        <x:v>N/A</x:v>
      </x:c>
      <x:c r="F194" s="26" t="str">
        <x:v>Tests exist but current coverage did not complete</x:v>
      </x:c>
      <x:c r="G194" s="25" t="str">
        <x:v>true</x:v>
      </x:c>
      <x:c r="H194" s="25" t="str">
        <x:v>NOT_AVAILABLE</x:v>
      </x:c>
      <x:c r="I194" s="25" t="str">
        <x:v>NOT_RUN</x:v>
      </x:c>
      <x:c r="J194" s="25" t="str">
        <x:v>NOT_RUN</x:v>
      </x:c>
      <x:c r="K194" s="25" t="n">
        <x:v>1</x:v>
      </x:c>
      <x:c r="L194" s="27" t="b">
        <x:v>0</x:v>
      </x:c>
      <x:c r="M194" s="25" t="str">
        <x:v>Gemini-3.8-flash/generation_state.json</x:v>
      </x:c>
      <x:c r="N194" s="25" t="str">
        <x:v>Gemini-3.8-flash/Result/Closure_55/result.json</x:v>
      </x:c>
      <x:c r="O194" s="25" t="str">
        <x:v>Gemini-3.8-flash/Result/Closure_55/result.json</x:v>
      </x:c>
      <x:c r="P194" t="str">
        <x:v>BOTH_NOT_RUN</x:v>
      </x:c>
      <x:c r="Q194" s="21" t="str"/>
      <x:c r="R194" s="21" t="str"/>
      <x:c r="S194" s="21" t="str"/>
      <x:c r="T194" s="17" t="str">
        <x:v>false</x:v>
      </x:c>
      <x:c r="U194" s="17" t="str">
        <x:v>true</x:v>
      </x:c>
      <x:c r="V194" s="17" t="str">
        <x:v>false</x:v>
      </x:c>
    </x:row>
    <x:row r="195" ht="80" customHeight="1">
      <x:c r="A195" s="25" t="str">
        <x:v>Closure</x:v>
      </x:c>
      <x:c r="B195" s="25" t="n">
        <x:v>56</x:v>
      </x:c>
      <x:c r="C195" s="25" t="str">
        <x:v>Round1</x:v>
      </x:c>
      <x:c r="D195" s="25" t="str">
        <x:v>NOT_AVAILABLE</x:v>
      </x:c>
      <x:c r="E195" s="25" t="str">
        <x:v>N/A</x:v>
      </x:c>
      <x:c r="F195" s="26" t="str">
        <x:v>Tests exist but current coverage did not complete</x:v>
      </x:c>
      <x:c r="G195" s="25" t="str">
        <x:v>true</x:v>
      </x:c>
      <x:c r="H195" s="25" t="str">
        <x:v>NOT_AVAILABLE</x:v>
      </x:c>
      <x:c r="I195" s="25" t="str">
        <x:v>NOT_RUN</x:v>
      </x:c>
      <x:c r="J195" s="25" t="str">
        <x:v>NOT_RUN</x:v>
      </x:c>
      <x:c r="K195" s="25" t="n">
        <x:v>1</x:v>
      </x:c>
      <x:c r="L195" s="27" t="b">
        <x:v>0</x:v>
      </x:c>
      <x:c r="M195" s="25" t="str">
        <x:v>Gemini-3.8-flash/generation_state.json</x:v>
      </x:c>
      <x:c r="N195" s="25" t="str">
        <x:v>Gemini-3.8-flash/Result/Closure_56/result.json</x:v>
      </x:c>
      <x:c r="O195" s="25" t="str">
        <x:v>Gemini-3.8-flash/Result/Closure_56/result.json</x:v>
      </x:c>
      <x:c r="P195" t="str">
        <x:v>BOTH_NOT_RUN</x:v>
      </x:c>
      <x:c r="Q195" s="21" t="str"/>
      <x:c r="R195" s="21" t="str"/>
      <x:c r="S195" s="21" t="str"/>
      <x:c r="T195" s="17" t="str">
        <x:v>false</x:v>
      </x:c>
      <x:c r="U195" s="17" t="str">
        <x:v>true</x:v>
      </x:c>
      <x:c r="V195" s="17" t="str">
        <x:v>false</x:v>
      </x:c>
    </x:row>
    <x:row r="196" ht="80" customHeight="1">
      <x:c r="A196" s="25" t="str">
        <x:v>Closure</x:v>
      </x:c>
      <x:c r="B196" s="25" t="n">
        <x:v>57</x:v>
      </x:c>
      <x:c r="C196" s="25" t="str">
        <x:v>Round1</x:v>
      </x:c>
      <x:c r="D196" s="25" t="str">
        <x:v>NOT_AVAILABLE</x:v>
      </x:c>
      <x:c r="E196" s="25" t="str">
        <x:v>N/A</x:v>
      </x:c>
      <x:c r="F196" s="26" t="str">
        <x:v>Tests exist but current coverage did not complete</x:v>
      </x:c>
      <x:c r="G196" s="25" t="str">
        <x:v>true</x:v>
      </x:c>
      <x:c r="H196" s="25" t="str">
        <x:v>NOT_AVAILABLE</x:v>
      </x:c>
      <x:c r="I196" s="25" t="str">
        <x:v>NOT_RUN</x:v>
      </x:c>
      <x:c r="J196" s="25" t="str">
        <x:v>NOT_RUN</x:v>
      </x:c>
      <x:c r="K196" s="25" t="n">
        <x:v>1</x:v>
      </x:c>
      <x:c r="L196" s="27" t="b">
        <x:v>0</x:v>
      </x:c>
      <x:c r="M196" s="25" t="str">
        <x:v>Gemini-3.8-flash/generation_state.json</x:v>
      </x:c>
      <x:c r="N196" s="25" t="str">
        <x:v>Gemini-3.8-flash/Result/Closure_57/result.json</x:v>
      </x:c>
      <x:c r="O196" s="25" t="str">
        <x:v>Gemini-3.8-flash/Result/Closure_57/result.json</x:v>
      </x:c>
      <x:c r="P196" t="str">
        <x:v>BOTH_NOT_RUN</x:v>
      </x:c>
      <x:c r="Q196" s="21" t="str"/>
      <x:c r="R196" s="21" t="str"/>
      <x:c r="S196" s="21" t="str"/>
      <x:c r="T196" s="17" t="str">
        <x:v>false</x:v>
      </x:c>
      <x:c r="U196" s="17" t="str">
        <x:v>true</x:v>
      </x:c>
      <x:c r="V196" s="17" t="str">
        <x:v>false</x:v>
      </x:c>
    </x:row>
    <x:row r="197" ht="80" customHeight="1">
      <x:c r="A197" s="25" t="str">
        <x:v>Closure</x:v>
      </x:c>
      <x:c r="B197" s="25" t="n">
        <x:v>58</x:v>
      </x:c>
      <x:c r="C197" s="25" t="str">
        <x:v>Round1</x:v>
      </x:c>
      <x:c r="D197" s="25" t="str">
        <x:v>NOT_AVAILABLE</x:v>
      </x:c>
      <x:c r="E197" s="25" t="str">
        <x:v>N/A</x:v>
      </x:c>
      <x:c r="F197" s="26" t="str">
        <x:v>Tests exist but current coverage did not complete</x:v>
      </x:c>
      <x:c r="G197" s="25" t="str">
        <x:v>true</x:v>
      </x:c>
      <x:c r="H197" s="25" t="str">
        <x:v>NOT_AVAILABLE</x:v>
      </x:c>
      <x:c r="I197" s="25" t="str">
        <x:v>NOT_RUN</x:v>
      </x:c>
      <x:c r="J197" s="25" t="str">
        <x:v>NOT_RUN</x:v>
      </x:c>
      <x:c r="K197" s="25" t="n">
        <x:v>1</x:v>
      </x:c>
      <x:c r="L197" s="27" t="b">
        <x:v>0</x:v>
      </x:c>
      <x:c r="M197" s="25" t="str">
        <x:v>Gemini-3.8-flash/generation_state.json</x:v>
      </x:c>
      <x:c r="N197" s="25" t="str">
        <x:v>Gemini-3.8-flash/Result/Closure_58/result.json</x:v>
      </x:c>
      <x:c r="O197" s="25" t="str">
        <x:v>Gemini-3.8-flash/Result/Closure_58/result.json</x:v>
      </x:c>
      <x:c r="P197" t="str">
        <x:v>BOTH_NOT_RUN</x:v>
      </x:c>
      <x:c r="Q197" s="21" t="str"/>
      <x:c r="R197" s="21" t="str"/>
      <x:c r="S197" s="21" t="str"/>
      <x:c r="T197" s="17" t="str">
        <x:v>false</x:v>
      </x:c>
      <x:c r="U197" s="17" t="str">
        <x:v>true</x:v>
      </x:c>
      <x:c r="V197" s="17" t="str">
        <x:v>false</x:v>
      </x:c>
    </x:row>
    <x:row r="198" ht="80" customHeight="1">
      <x:c r="A198" s="25" t="str">
        <x:v>Closure</x:v>
      </x:c>
      <x:c r="B198" s="25" t="n">
        <x:v>59</x:v>
      </x:c>
      <x:c r="C198" s="25" t="str">
        <x:v>Round1</x:v>
      </x:c>
      <x:c r="D198" s="25" t="str">
        <x:v>NOT_AVAILABLE</x:v>
      </x:c>
      <x:c r="E198" s="25" t="str">
        <x:v>N/A</x:v>
      </x:c>
      <x:c r="F198" s="26" t="str">
        <x:v>Tests exist but current coverage did not complete</x:v>
      </x:c>
      <x:c r="G198" s="25" t="str">
        <x:v>true</x:v>
      </x:c>
      <x:c r="H198" s="25" t="str">
        <x:v>NOT_AVAILABLE</x:v>
      </x:c>
      <x:c r="I198" s="25" t="str">
        <x:v>NOT_RUN</x:v>
      </x:c>
      <x:c r="J198" s="25" t="str">
        <x:v>NOT_RUN</x:v>
      </x:c>
      <x:c r="K198" s="25" t="n">
        <x:v>1</x:v>
      </x:c>
      <x:c r="L198" s="27" t="b">
        <x:v>0</x:v>
      </x:c>
      <x:c r="M198" s="25" t="str">
        <x:v>Gemini-3.8-flash/generation_state.json</x:v>
      </x:c>
      <x:c r="N198" s="25" t="str">
        <x:v>Gemini-3.8-flash/Result/Closure_59/result.json</x:v>
      </x:c>
      <x:c r="O198" s="25" t="str">
        <x:v>Gemini-3.8-flash/Result/Closure_59/result.json</x:v>
      </x:c>
      <x:c r="P198" t="str">
        <x:v>BOTH_NOT_RUN</x:v>
      </x:c>
      <x:c r="Q198" s="21" t="str"/>
      <x:c r="R198" s="21" t="str"/>
      <x:c r="S198" s="21" t="str"/>
      <x:c r="T198" s="17" t="str">
        <x:v>false</x:v>
      </x:c>
      <x:c r="U198" s="17" t="str">
        <x:v>true</x:v>
      </x:c>
      <x:c r="V198" s="17" t="str">
        <x:v>false</x:v>
      </x:c>
    </x:row>
    <x:row r="199" ht="80" customHeight="1">
      <x:c r="A199" s="25" t="str">
        <x:v>Closure</x:v>
      </x:c>
      <x:c r="B199" s="25" t="n">
        <x:v>6</x:v>
      </x:c>
      <x:c r="C199" s="25" t="str">
        <x:v>Round1</x:v>
      </x:c>
      <x:c r="D199" s="25" t="str">
        <x:v>NOT_AVAILABLE</x:v>
      </x:c>
      <x:c r="E199" s="25" t="str">
        <x:v>N/A</x:v>
      </x:c>
      <x:c r="F199" s="26" t="str">
        <x:v>Tests exist but current coverage did not complete</x:v>
      </x:c>
      <x:c r="G199" s="25" t="str">
        <x:v>true</x:v>
      </x:c>
      <x:c r="H199" s="25" t="str">
        <x:v>NOT_AVAILABLE</x:v>
      </x:c>
      <x:c r="I199" s="25" t="str">
        <x:v>NOT_RUN</x:v>
      </x:c>
      <x:c r="J199" s="25" t="str">
        <x:v>NOT_RUN</x:v>
      </x:c>
      <x:c r="K199" s="25" t="n">
        <x:v>1</x:v>
      </x:c>
      <x:c r="L199" s="27" t="b">
        <x:v>0</x:v>
      </x:c>
      <x:c r="M199" s="25" t="str">
        <x:v>Gemini-3.8-flash/generation_state.json</x:v>
      </x:c>
      <x:c r="N199" s="25" t="str">
        <x:v>Gemini-3.8-flash/Result/Closure_6/result.json</x:v>
      </x:c>
      <x:c r="O199" s="25" t="str">
        <x:v>Gemini-3.8-flash/Result/Closure_6/result.json</x:v>
      </x:c>
      <x:c r="P199" t="str">
        <x:v>BOTH_NOT_RUN</x:v>
      </x:c>
      <x:c r="Q199" s="21" t="str"/>
      <x:c r="R199" s="21" t="str"/>
      <x:c r="S199" s="21" t="str"/>
      <x:c r="T199" s="17" t="str">
        <x:v>false</x:v>
      </x:c>
      <x:c r="U199" s="17" t="str">
        <x:v>true</x:v>
      </x:c>
      <x:c r="V199" s="17" t="str">
        <x:v>false</x:v>
      </x:c>
    </x:row>
    <x:row r="200" ht="80" customHeight="1">
      <x:c r="A200" s="25" t="str">
        <x:v>Closure</x:v>
      </x:c>
      <x:c r="B200" s="25" t="n">
        <x:v>60</x:v>
      </x:c>
      <x:c r="C200" s="25" t="str">
        <x:v>Round1</x:v>
      </x:c>
      <x:c r="D200" s="25" t="str">
        <x:v>NOT_AVAILABLE</x:v>
      </x:c>
      <x:c r="E200" s="25" t="str">
        <x:v>N/A</x:v>
      </x:c>
      <x:c r="F200" s="26" t="str">
        <x:v>Tests exist but current coverage did not complete</x:v>
      </x:c>
      <x:c r="G200" s="25" t="str">
        <x:v>true</x:v>
      </x:c>
      <x:c r="H200" s="25" t="str">
        <x:v>NOT_AVAILABLE</x:v>
      </x:c>
      <x:c r="I200" s="25" t="str">
        <x:v>NOT_RUN</x:v>
      </x:c>
      <x:c r="J200" s="25" t="str">
        <x:v>NOT_RUN</x:v>
      </x:c>
      <x:c r="K200" s="25" t="n">
        <x:v>1</x:v>
      </x:c>
      <x:c r="L200" s="27" t="b">
        <x:v>0</x:v>
      </x:c>
      <x:c r="M200" s="25" t="str">
        <x:v>Gemini-3.8-flash/generation_state.json</x:v>
      </x:c>
      <x:c r="N200" s="25" t="str">
        <x:v>Gemini-3.8-flash/Result/Closure_60/result.json</x:v>
      </x:c>
      <x:c r="O200" s="25" t="str">
        <x:v>Gemini-3.8-flash/Result/Closure_60/result.json</x:v>
      </x:c>
      <x:c r="P200" t="str">
        <x:v>BOTH_NOT_RUN</x:v>
      </x:c>
      <x:c r="Q200" s="21" t="str"/>
      <x:c r="R200" s="21" t="str"/>
      <x:c r="S200" s="21" t="str"/>
      <x:c r="T200" s="17" t="str">
        <x:v>false</x:v>
      </x:c>
      <x:c r="U200" s="17" t="str">
        <x:v>true</x:v>
      </x:c>
      <x:c r="V200" s="17" t="str">
        <x:v>false</x:v>
      </x:c>
    </x:row>
    <x:row r="201" ht="80" customHeight="1">
      <x:c r="A201" s="25" t="str">
        <x:v>Closure</x:v>
      </x:c>
      <x:c r="B201" s="25" t="n">
        <x:v>61</x:v>
      </x:c>
      <x:c r="C201" s="25" t="str">
        <x:v>Round1</x:v>
      </x:c>
      <x:c r="D201" s="25" t="str">
        <x:v>NOT_AVAILABLE</x:v>
      </x:c>
      <x:c r="E201" s="25" t="str">
        <x:v>N/A</x:v>
      </x:c>
      <x:c r="F201" s="26" t="str">
        <x:v>Tests exist but current coverage did not complete</x:v>
      </x:c>
      <x:c r="G201" s="25" t="str">
        <x:v>true</x:v>
      </x:c>
      <x:c r="H201" s="25" t="str">
        <x:v>NOT_AVAILABLE</x:v>
      </x:c>
      <x:c r="I201" s="25" t="str">
        <x:v>NOT_RUN</x:v>
      </x:c>
      <x:c r="J201" s="25" t="str">
        <x:v>NOT_RUN</x:v>
      </x:c>
      <x:c r="K201" s="25" t="n">
        <x:v>1</x:v>
      </x:c>
      <x:c r="L201" s="27" t="b">
        <x:v>0</x:v>
      </x:c>
      <x:c r="M201" s="25" t="str">
        <x:v>Gemini-3.8-flash/generation_state.json</x:v>
      </x:c>
      <x:c r="N201" s="25" t="str">
        <x:v>Gemini-3.8-flash/Result/Closure_61/result.json</x:v>
      </x:c>
      <x:c r="O201" s="25" t="str">
        <x:v>Gemini-3.8-flash/Result/Closure_61/result.json</x:v>
      </x:c>
      <x:c r="P201" t="str">
        <x:v>BOTH_NOT_RUN</x:v>
      </x:c>
      <x:c r="Q201" s="21" t="str"/>
      <x:c r="R201" s="21" t="str"/>
      <x:c r="S201" s="21" t="str"/>
      <x:c r="T201" s="17" t="str">
        <x:v>false</x:v>
      </x:c>
      <x:c r="U201" s="17" t="str">
        <x:v>true</x:v>
      </x:c>
      <x:c r="V201" s="17" t="str">
        <x:v>false</x:v>
      </x:c>
    </x:row>
    <x:row r="202" ht="80" customHeight="1">
      <x:c r="A202" s="25" t="str">
        <x:v>Closure</x:v>
      </x:c>
      <x:c r="B202" s="25" t="n">
        <x:v>62</x:v>
      </x:c>
      <x:c r="C202" s="25" t="str">
        <x:v>Round1</x:v>
      </x:c>
      <x:c r="D202" s="25" t="str">
        <x:v>INCONCLUSIVE</x:v>
      </x:c>
      <x:c r="E202" s="25" t="str">
        <x:v>N/A</x:v>
      </x:c>
      <x:c r="F202" s="26" t="str">
        <x:v>Fixed also failed; assertion failure cannot be attributed to this bug</x:v>
      </x:c>
      <x:c r="G202" s="25" t="str">
        <x:v>true</x:v>
      </x:c>
      <x:c r="H202" s="25" t="str">
        <x:v>INCONCLUSIVE</x:v>
      </x:c>
      <x:c r="I202" s="25" t="str">
        <x:v>FAIL</x:v>
      </x:c>
      <x:c r="J202" s="25" t="str">
        <x:v>FAIL</x:v>
      </x:c>
      <x:c r="K202" s="25" t="n">
        <x:v>1</x:v>
      </x:c>
      <x:c r="L202" s="27" t="b">
        <x:v>0</x:v>
      </x:c>
      <x:c r="M202" s="25" t="str">
        <x:v>Gemini-3.8-flash/generation_state.json</x:v>
      </x:c>
      <x:c r="N202" s="25" t="str">
        <x:v>Gemini-3.8-flash/Result/Closure_62/result.json</x:v>
      </x:c>
      <x:c r="O202" s="25" t="str">
        <x:v>Gemini-3.8-flash/Result/Closure_62/result.json</x:v>
      </x:c>
      <x:c r="P202"/>
      <x:c r="Q202" s="21" t="str"/>
      <x:c r="R202" s="21" t="str"/>
      <x:c r="S202" s="21" t="str"/>
      <x:c r="T202" s="17" t="str">
        <x:v>false</x:v>
      </x:c>
      <x:c r="U202" s="17" t="str">
        <x:v>true</x:v>
      </x:c>
      <x:c r="V202" s="17" t="str">
        <x:v>false</x:v>
      </x:c>
    </x:row>
    <x:row r="203" ht="80" customHeight="1">
      <x:c r="A203" s="25" t="str">
        <x:v>Closure</x:v>
      </x:c>
      <x:c r="B203" s="25" t="n">
        <x:v>64</x:v>
      </x:c>
      <x:c r="C203" s="25" t="str">
        <x:v>Round1</x:v>
      </x:c>
      <x:c r="D203" s="25" t="str">
        <x:v>NOT_AVAILABLE</x:v>
      </x:c>
      <x:c r="E203" s="25" t="str">
        <x:v>N/A</x:v>
      </x:c>
      <x:c r="F203" s="26" t="str">
        <x:v>Tests exist but current coverage did not complete</x:v>
      </x:c>
      <x:c r="G203" s="25" t="str">
        <x:v>true</x:v>
      </x:c>
      <x:c r="H203" s="25" t="str">
        <x:v>NOT_AVAILABLE</x:v>
      </x:c>
      <x:c r="I203" s="25" t="str">
        <x:v>NOT_RUN</x:v>
      </x:c>
      <x:c r="J203" s="25" t="str">
        <x:v>NOT_RUN</x:v>
      </x:c>
      <x:c r="K203" s="25" t="n">
        <x:v>1</x:v>
      </x:c>
      <x:c r="L203" s="27" t="b">
        <x:v>0</x:v>
      </x:c>
      <x:c r="M203" s="25" t="str">
        <x:v>Gemini-3.8-flash/generation_state.json</x:v>
      </x:c>
      <x:c r="N203" s="25" t="str">
        <x:v>Gemini-3.8-flash/Result/Closure_64/result.json</x:v>
      </x:c>
      <x:c r="O203" s="25" t="str">
        <x:v>Gemini-3.8-flash/Result/Closure_64/result.json</x:v>
      </x:c>
      <x:c r="P203" t="str">
        <x:v>BOTH_NOT_RUN</x:v>
      </x:c>
      <x:c r="Q203" s="21" t="str"/>
      <x:c r="R203" s="21" t="str"/>
      <x:c r="S203" s="21" t="str"/>
      <x:c r="T203" s="17" t="str">
        <x:v>false</x:v>
      </x:c>
      <x:c r="U203" s="17" t="str">
        <x:v>true</x:v>
      </x:c>
      <x:c r="V203" s="17" t="str">
        <x:v>false</x:v>
      </x:c>
    </x:row>
    <x:row r="204" ht="80" customHeight="1">
      <x:c r="A204" s="25" t="str">
        <x:v>Closure</x:v>
      </x:c>
      <x:c r="B204" s="25" t="n">
        <x:v>65</x:v>
      </x:c>
      <x:c r="C204" s="25" t="str">
        <x:v>Round1</x:v>
      </x:c>
      <x:c r="D204" s="25" t="str">
        <x:v>NOT_AVAILABLE</x:v>
      </x:c>
      <x:c r="E204" s="25" t="str">
        <x:v>N/A</x:v>
      </x:c>
      <x:c r="F204" s="26" t="str">
        <x:v>Tests exist but current coverage did not complete</x:v>
      </x:c>
      <x:c r="G204" s="25" t="str">
        <x:v>true</x:v>
      </x:c>
      <x:c r="H204" s="25" t="str">
        <x:v>NOT_AVAILABLE</x:v>
      </x:c>
      <x:c r="I204" s="25" t="str">
        <x:v>NOT_RUN</x:v>
      </x:c>
      <x:c r="J204" s="25" t="str">
        <x:v>NOT_RUN</x:v>
      </x:c>
      <x:c r="K204" s="25" t="n">
        <x:v>1</x:v>
      </x:c>
      <x:c r="L204" s="27" t="b">
        <x:v>0</x:v>
      </x:c>
      <x:c r="M204" s="25" t="str">
        <x:v>Gemini-3.8-flash/generation_state.json</x:v>
      </x:c>
      <x:c r="N204" s="25" t="str">
        <x:v>Gemini-3.8-flash/Result/Closure_65/result.json</x:v>
      </x:c>
      <x:c r="O204" s="25" t="str">
        <x:v>Gemini-3.8-flash/Result/Closure_65/result.json</x:v>
      </x:c>
      <x:c r="P204" t="str">
        <x:v>BOTH_NOT_RUN</x:v>
      </x:c>
      <x:c r="Q204" s="21" t="str"/>
      <x:c r="R204" s="21" t="str"/>
      <x:c r="S204" s="21" t="str"/>
      <x:c r="T204" s="17" t="str">
        <x:v>false</x:v>
      </x:c>
      <x:c r="U204" s="17" t="str">
        <x:v>true</x:v>
      </x:c>
      <x:c r="V204" s="17" t="str">
        <x:v>false</x:v>
      </x:c>
    </x:row>
    <x:row r="205" ht="80" customHeight="1">
      <x:c r="A205" s="25" t="str">
        <x:v>Closure</x:v>
      </x:c>
      <x:c r="B205" s="25" t="n">
        <x:v>66</x:v>
      </x:c>
      <x:c r="C205" s="25" t="str">
        <x:v>Round1</x:v>
      </x:c>
      <x:c r="D205" s="25" t="str">
        <x:v>NOT_AVAILABLE</x:v>
      </x:c>
      <x:c r="E205" s="25" t="str">
        <x:v>N/A</x:v>
      </x:c>
      <x:c r="F205" s="26" t="str">
        <x:v>Tests exist but current coverage did not complete</x:v>
      </x:c>
      <x:c r="G205" s="25" t="str">
        <x:v>true</x:v>
      </x:c>
      <x:c r="H205" s="25" t="str">
        <x:v>NOT_AVAILABLE</x:v>
      </x:c>
      <x:c r="I205" s="25" t="str">
        <x:v>NOT_RUN</x:v>
      </x:c>
      <x:c r="J205" s="25" t="str">
        <x:v>NOT_RUN</x:v>
      </x:c>
      <x:c r="K205" s="25" t="n">
        <x:v>1</x:v>
      </x:c>
      <x:c r="L205" s="27" t="b">
        <x:v>0</x:v>
      </x:c>
      <x:c r="M205" s="25" t="str">
        <x:v>Gemini-3.8-flash/generation_state.json</x:v>
      </x:c>
      <x:c r="N205" s="25" t="str">
        <x:v>Gemini-3.8-flash/Result/Closure_66/result.json</x:v>
      </x:c>
      <x:c r="O205" s="25" t="str">
        <x:v>Gemini-3.8-flash/Result/Closure_66/result.json</x:v>
      </x:c>
      <x:c r="P205" t="str">
        <x:v>BOTH_NOT_RUN</x:v>
      </x:c>
      <x:c r="Q205" s="21" t="str"/>
      <x:c r="R205" s="21" t="str"/>
      <x:c r="S205" s="21" t="str"/>
      <x:c r="T205" s="17" t="str">
        <x:v>false</x:v>
      </x:c>
      <x:c r="U205" s="17" t="str">
        <x:v>true</x:v>
      </x:c>
      <x:c r="V205" s="17" t="str">
        <x:v>false</x:v>
      </x:c>
    </x:row>
    <x:row r="206" ht="80" customHeight="1">
      <x:c r="A206" s="25" t="str">
        <x:v>Closure</x:v>
      </x:c>
      <x:c r="B206" s="25" t="n">
        <x:v>67</x:v>
      </x:c>
      <x:c r="C206" s="25" t="str">
        <x:v>Round1</x:v>
      </x:c>
      <x:c r="D206" s="25" t="str">
        <x:v>NOT_AVAILABLE</x:v>
      </x:c>
      <x:c r="E206" s="25" t="str">
        <x:v>N/A</x:v>
      </x:c>
      <x:c r="F206" s="26" t="str">
        <x:v>Tests exist but current coverage did not complete</x:v>
      </x:c>
      <x:c r="G206" s="25" t="str">
        <x:v>true</x:v>
      </x:c>
      <x:c r="H206" s="25" t="str">
        <x:v>NOT_AVAILABLE</x:v>
      </x:c>
      <x:c r="I206" s="25" t="str">
        <x:v>NOT_RUN</x:v>
      </x:c>
      <x:c r="J206" s="25" t="str">
        <x:v>NOT_RUN</x:v>
      </x:c>
      <x:c r="K206" s="25" t="n">
        <x:v>1</x:v>
      </x:c>
      <x:c r="L206" s="27" t="b">
        <x:v>0</x:v>
      </x:c>
      <x:c r="M206" s="25" t="str">
        <x:v>Gemini-3.8-flash/generation_state.json</x:v>
      </x:c>
      <x:c r="N206" s="25" t="str">
        <x:v>Gemini-3.8-flash/Result/Closure_67/result.json</x:v>
      </x:c>
      <x:c r="O206" s="25" t="str">
        <x:v>Gemini-3.8-flash/Result/Closure_67/result.json</x:v>
      </x:c>
      <x:c r="P206" t="str">
        <x:v>BOTH_NOT_RUN</x:v>
      </x:c>
      <x:c r="Q206" s="21" t="str"/>
      <x:c r="R206" s="21" t="str"/>
      <x:c r="S206" s="21" t="str"/>
      <x:c r="T206" s="17" t="str">
        <x:v>false</x:v>
      </x:c>
      <x:c r="U206" s="17" t="str">
        <x:v>true</x:v>
      </x:c>
      <x:c r="V206" s="17" t="str">
        <x:v>false</x:v>
      </x:c>
    </x:row>
    <x:row r="207" ht="80" customHeight="1">
      <x:c r="A207" s="25" t="str">
        <x:v>Closure</x:v>
      </x:c>
      <x:c r="B207" s="25" t="n">
        <x:v>68</x:v>
      </x:c>
      <x:c r="C207" s="25" t="str">
        <x:v>Round1</x:v>
      </x:c>
      <x:c r="D207" s="25" t="str">
        <x:v>NOT_AVAILABLE</x:v>
      </x:c>
      <x:c r="E207" s="25" t="str">
        <x:v>N/A</x:v>
      </x:c>
      <x:c r="F207" s="26" t="str">
        <x:v>Tests exist but current coverage did not complete</x:v>
      </x:c>
      <x:c r="G207" s="25" t="str">
        <x:v>true</x:v>
      </x:c>
      <x:c r="H207" s="25" t="str">
        <x:v>NOT_AVAILABLE</x:v>
      </x:c>
      <x:c r="I207" s="25" t="str">
        <x:v>NOT_RUN</x:v>
      </x:c>
      <x:c r="J207" s="25" t="str">
        <x:v>NOT_RUN</x:v>
      </x:c>
      <x:c r="K207" s="25" t="n">
        <x:v>1</x:v>
      </x:c>
      <x:c r="L207" s="27" t="b">
        <x:v>0</x:v>
      </x:c>
      <x:c r="M207" s="25" t="str">
        <x:v>Gemini-3.8-flash/generation_state.json</x:v>
      </x:c>
      <x:c r="N207" s="25" t="str">
        <x:v>Gemini-3.8-flash/Result/Closure_68/result.json</x:v>
      </x:c>
      <x:c r="O207" s="25" t="str">
        <x:v>Gemini-3.8-flash/Result/Closure_68/result.json</x:v>
      </x:c>
      <x:c r="P207" t="str">
        <x:v>BOTH_NOT_RUN</x:v>
      </x:c>
      <x:c r="Q207" s="21" t="str"/>
      <x:c r="R207" s="21" t="str"/>
      <x:c r="S207" s="21" t="str"/>
      <x:c r="T207" s="17" t="str">
        <x:v>false</x:v>
      </x:c>
      <x:c r="U207" s="17" t="str">
        <x:v>true</x:v>
      </x:c>
      <x:c r="V207" s="17" t="str">
        <x:v>false</x:v>
      </x:c>
    </x:row>
    <x:row r="208" ht="80" customHeight="1">
      <x:c r="A208" s="25" t="str">
        <x:v>Closure</x:v>
      </x:c>
      <x:c r="B208" s="25" t="n">
        <x:v>69</x:v>
      </x:c>
      <x:c r="C208" s="25" t="str">
        <x:v>Round1</x:v>
      </x:c>
      <x:c r="D208" s="25" t="str">
        <x:v>NOT_AVAILABLE</x:v>
      </x:c>
      <x:c r="E208" s="25" t="str">
        <x:v>N/A</x:v>
      </x:c>
      <x:c r="F208" s="26" t="str">
        <x:v>Tests exist but current coverage did not complete</x:v>
      </x:c>
      <x:c r="G208" s="25" t="str">
        <x:v>true</x:v>
      </x:c>
      <x:c r="H208" s="25" t="str">
        <x:v>NOT_AVAILABLE</x:v>
      </x:c>
      <x:c r="I208" s="25" t="str">
        <x:v>NOT_RUN</x:v>
      </x:c>
      <x:c r="J208" s="25" t="str">
        <x:v>NOT_RUN</x:v>
      </x:c>
      <x:c r="K208" s="25" t="n">
        <x:v>1</x:v>
      </x:c>
      <x:c r="L208" s="27" t="b">
        <x:v>0</x:v>
      </x:c>
      <x:c r="M208" s="25" t="str">
        <x:v>Gemini-3.8-flash/generation_state.json</x:v>
      </x:c>
      <x:c r="N208" s="25" t="str">
        <x:v>Gemini-3.8-flash/Result/Closure_69/result.json</x:v>
      </x:c>
      <x:c r="O208" s="25" t="str">
        <x:v>Gemini-3.8-flash/Result/Closure_69/result.json</x:v>
      </x:c>
      <x:c r="P208" t="str">
        <x:v>BOTH_NOT_RUN</x:v>
      </x:c>
      <x:c r="Q208" s="21" t="str"/>
      <x:c r="R208" s="21" t="str"/>
      <x:c r="S208" s="21" t="str"/>
      <x:c r="T208" s="17" t="str">
        <x:v>false</x:v>
      </x:c>
      <x:c r="U208" s="17" t="str">
        <x:v>true</x:v>
      </x:c>
      <x:c r="V208" s="17" t="str">
        <x:v>false</x:v>
      </x:c>
    </x:row>
    <x:row r="209" ht="80" customHeight="1">
      <x:c r="A209" s="25" t="str">
        <x:v>Closure</x:v>
      </x:c>
      <x:c r="B209" s="25" t="n">
        <x:v>7</x:v>
      </x:c>
      <x:c r="C209" s="25" t="str">
        <x:v>Round1</x:v>
      </x:c>
      <x:c r="D209" s="25" t="str">
        <x:v>NOT_AVAILABLE</x:v>
      </x:c>
      <x:c r="E209" s="25" t="str">
        <x:v>N/A</x:v>
      </x:c>
      <x:c r="F209" s="26" t="str">
        <x:v>Tests exist but current coverage did not complete</x:v>
      </x:c>
      <x:c r="G209" s="25" t="str">
        <x:v>true</x:v>
      </x:c>
      <x:c r="H209" s="25" t="str">
        <x:v>NOT_AVAILABLE</x:v>
      </x:c>
      <x:c r="I209" s="25" t="str">
        <x:v>NOT_RUN</x:v>
      </x:c>
      <x:c r="J209" s="25" t="str">
        <x:v>NOT_RUN</x:v>
      </x:c>
      <x:c r="K209" s="25" t="n">
        <x:v>1</x:v>
      </x:c>
      <x:c r="L209" s="27" t="b">
        <x:v>0</x:v>
      </x:c>
      <x:c r="M209" s="25" t="str">
        <x:v>Gemini-3.8-flash/generation_state.json</x:v>
      </x:c>
      <x:c r="N209" s="25" t="str">
        <x:v>Gemini-3.8-flash/Result/Closure_7/result.json</x:v>
      </x:c>
      <x:c r="O209" s="25" t="str">
        <x:v>Gemini-3.8-flash/Result/Closure_7/result.json</x:v>
      </x:c>
      <x:c r="P209" t="str">
        <x:v>BOTH_NOT_RUN</x:v>
      </x:c>
      <x:c r="Q209" s="21" t="str"/>
      <x:c r="R209" s="21" t="str"/>
      <x:c r="S209" s="21" t="str"/>
      <x:c r="T209" s="17" t="str">
        <x:v>false</x:v>
      </x:c>
      <x:c r="U209" s="17" t="str">
        <x:v>true</x:v>
      </x:c>
      <x:c r="V209" s="17" t="str">
        <x:v>false</x:v>
      </x:c>
    </x:row>
    <x:row r="210" ht="80" customHeight="1">
      <x:c r="A210" s="25" t="str">
        <x:v>Closure</x:v>
      </x:c>
      <x:c r="B210" s="25" t="n">
        <x:v>70</x:v>
      </x:c>
      <x:c r="C210" s="25" t="str">
        <x:v>Round1</x:v>
      </x:c>
      <x:c r="D210" s="25" t="str">
        <x:v>NOT_AVAILABLE</x:v>
      </x:c>
      <x:c r="E210" s="25" t="str">
        <x:v>N/A</x:v>
      </x:c>
      <x:c r="F210" s="26" t="str">
        <x:v>Tests exist but current coverage did not complete</x:v>
      </x:c>
      <x:c r="G210" s="25" t="str">
        <x:v>true</x:v>
      </x:c>
      <x:c r="H210" s="25" t="str">
        <x:v>NOT_AVAILABLE</x:v>
      </x:c>
      <x:c r="I210" s="25" t="str">
        <x:v>NOT_RUN</x:v>
      </x:c>
      <x:c r="J210" s="25" t="str">
        <x:v>NOT_RUN</x:v>
      </x:c>
      <x:c r="K210" s="25" t="n">
        <x:v>1</x:v>
      </x:c>
      <x:c r="L210" s="27" t="b">
        <x:v>0</x:v>
      </x:c>
      <x:c r="M210" s="25" t="str">
        <x:v>Gemini-3.8-flash/generation_state.json</x:v>
      </x:c>
      <x:c r="N210" s="25" t="str">
        <x:v>Gemini-3.8-flash/Result/Closure_70/result.json</x:v>
      </x:c>
      <x:c r="O210" s="25" t="str">
        <x:v>Gemini-3.8-flash/Result/Closure_70/result.json</x:v>
      </x:c>
      <x:c r="P210" t="str">
        <x:v>BOTH_NOT_RUN</x:v>
      </x:c>
      <x:c r="Q210" s="21" t="str"/>
      <x:c r="R210" s="21" t="str"/>
      <x:c r="S210" s="21" t="str"/>
      <x:c r="T210" s="17" t="str">
        <x:v>false</x:v>
      </x:c>
      <x:c r="U210" s="17" t="str">
        <x:v>true</x:v>
      </x:c>
      <x:c r="V210" s="17" t="str">
        <x:v>false</x:v>
      </x:c>
    </x:row>
    <x:row r="211" ht="80" customHeight="1">
      <x:c r="A211" s="25" t="str">
        <x:v>Closure</x:v>
      </x:c>
      <x:c r="B211" s="25" t="n">
        <x:v>71</x:v>
      </x:c>
      <x:c r="C211" s="25" t="str">
        <x:v>Round1</x:v>
      </x:c>
      <x:c r="D211" s="25" t="str">
        <x:v>NOT_AVAILABLE</x:v>
      </x:c>
      <x:c r="E211" s="25" t="str">
        <x:v>N/A</x:v>
      </x:c>
      <x:c r="F211" s="26" t="str">
        <x:v>Tests exist but current coverage did not complete</x:v>
      </x:c>
      <x:c r="G211" s="25" t="str">
        <x:v>true</x:v>
      </x:c>
      <x:c r="H211" s="25" t="str">
        <x:v>NOT_AVAILABLE</x:v>
      </x:c>
      <x:c r="I211" s="25" t="str">
        <x:v>NOT_RUN</x:v>
      </x:c>
      <x:c r="J211" s="25" t="str">
        <x:v>NOT_RUN</x:v>
      </x:c>
      <x:c r="K211" s="25" t="n">
        <x:v>1</x:v>
      </x:c>
      <x:c r="L211" s="27" t="b">
        <x:v>0</x:v>
      </x:c>
      <x:c r="M211" s="25" t="str">
        <x:v>Gemini-3.8-flash/generation_state.json</x:v>
      </x:c>
      <x:c r="N211" s="25" t="str">
        <x:v>Gemini-3.8-flash/Result/Closure_71/result.json</x:v>
      </x:c>
      <x:c r="O211" s="25" t="str">
        <x:v>Gemini-3.8-flash/Result/Closure_71/result.json</x:v>
      </x:c>
      <x:c r="P211" t="str">
        <x:v>BOTH_NOT_RUN</x:v>
      </x:c>
      <x:c r="Q211" s="21" t="str"/>
      <x:c r="R211" s="21" t="str"/>
      <x:c r="S211" s="21" t="str"/>
      <x:c r="T211" s="17" t="str">
        <x:v>false</x:v>
      </x:c>
      <x:c r="U211" s="17" t="str">
        <x:v>true</x:v>
      </x:c>
      <x:c r="V211" s="17" t="str">
        <x:v>false</x:v>
      </x:c>
    </x:row>
    <x:row r="212" ht="80" customHeight="1">
      <x:c r="A212" s="25" t="str">
        <x:v>Closure</x:v>
      </x:c>
      <x:c r="B212" s="25" t="n">
        <x:v>72</x:v>
      </x:c>
      <x:c r="C212" s="25" t="str">
        <x:v>Round1</x:v>
      </x:c>
      <x:c r="D212" s="25" t="str">
        <x:v>NOT_AVAILABLE</x:v>
      </x:c>
      <x:c r="E212" s="25" t="str">
        <x:v>N/A</x:v>
      </x:c>
      <x:c r="F212" s="26" t="str">
        <x:v>Tests exist but current coverage did not complete</x:v>
      </x:c>
      <x:c r="G212" s="25" t="str">
        <x:v>true</x:v>
      </x:c>
      <x:c r="H212" s="25" t="str">
        <x:v>NOT_AVAILABLE</x:v>
      </x:c>
      <x:c r="I212" s="25" t="str">
        <x:v>NOT_RUN</x:v>
      </x:c>
      <x:c r="J212" s="25" t="str">
        <x:v>NOT_RUN</x:v>
      </x:c>
      <x:c r="K212" s="25" t="n">
        <x:v>2</x:v>
      </x:c>
      <x:c r="L212" s="27" t="b">
        <x:v>0</x:v>
      </x:c>
      <x:c r="M212" s="25" t="str">
        <x:v>Gemini-3.8-flash/generation_state.json</x:v>
      </x:c>
      <x:c r="N212" s="25" t="str">
        <x:v>Gemini-3.8-flash/Result/Closure_72/result.json</x:v>
      </x:c>
      <x:c r="O212" s="25" t="str">
        <x:v>Gemini-3.8-flash/Result/Closure_72/result.json</x:v>
      </x:c>
      <x:c r="P212" t="str">
        <x:v>BOTH_NOT_RUN</x:v>
      </x:c>
      <x:c r="Q212" s="21" t="str"/>
      <x:c r="R212" s="21" t="str"/>
      <x:c r="S212" s="21" t="str"/>
      <x:c r="T212" s="17" t="str">
        <x:v>false</x:v>
      </x:c>
      <x:c r="U212" s="17" t="str">
        <x:v>true</x:v>
      </x:c>
      <x:c r="V212" s="17" t="str">
        <x:v>false</x:v>
      </x:c>
    </x:row>
    <x:row r="213" ht="80" customHeight="1">
      <x:c r="A213" s="25" t="str">
        <x:v>Closure</x:v>
      </x:c>
      <x:c r="B213" s="25" t="n">
        <x:v>73</x:v>
      </x:c>
      <x:c r="C213" s="25" t="str">
        <x:v>Round1</x:v>
      </x:c>
      <x:c r="D213" s="25" t="str">
        <x:v>NOT_AVAILABLE</x:v>
      </x:c>
      <x:c r="E213" s="25" t="str">
        <x:v>N/A</x:v>
      </x:c>
      <x:c r="F213" s="26" t="str">
        <x:v>Tests exist but current coverage did not complete</x:v>
      </x:c>
      <x:c r="G213" s="25" t="str">
        <x:v>true</x:v>
      </x:c>
      <x:c r="H213" s="25" t="str">
        <x:v>NOT_AVAILABLE</x:v>
      </x:c>
      <x:c r="I213" s="25" t="str">
        <x:v>NOT_RUN</x:v>
      </x:c>
      <x:c r="J213" s="25" t="str">
        <x:v>NOT_RUN</x:v>
      </x:c>
      <x:c r="K213" s="25" t="n">
        <x:v>1</x:v>
      </x:c>
      <x:c r="L213" s="27" t="b">
        <x:v>0</x:v>
      </x:c>
      <x:c r="M213" s="25" t="str">
        <x:v>Gemini-3.8-flash/generation_state.json</x:v>
      </x:c>
      <x:c r="N213" s="25" t="str">
        <x:v>Gemini-3.8-flash/Result/Closure_73/result.json</x:v>
      </x:c>
      <x:c r="O213" s="25" t="str">
        <x:v>Gemini-3.8-flash/Result/Closure_73/result.json</x:v>
      </x:c>
      <x:c r="P213" t="str">
        <x:v>BOTH_NOT_RUN</x:v>
      </x:c>
      <x:c r="Q213" s="21" t="str"/>
      <x:c r="R213" s="21" t="str"/>
      <x:c r="S213" s="21" t="str"/>
      <x:c r="T213" s="17" t="str">
        <x:v>false</x:v>
      </x:c>
      <x:c r="U213" s="17" t="str">
        <x:v>true</x:v>
      </x:c>
      <x:c r="V213" s="17" t="str">
        <x:v>false</x:v>
      </x:c>
    </x:row>
    <x:row r="214" ht="80" customHeight="1">
      <x:c r="A214" s="25" t="str">
        <x:v>Closure</x:v>
      </x:c>
      <x:c r="B214" s="25" t="n">
        <x:v>74</x:v>
      </x:c>
      <x:c r="C214" s="25" t="str">
        <x:v>Round1</x:v>
      </x:c>
      <x:c r="D214" s="25" t="str">
        <x:v>NOT_AVAILABLE</x:v>
      </x:c>
      <x:c r="E214" s="25" t="str">
        <x:v>N/A</x:v>
      </x:c>
      <x:c r="F214" s="26" t="str">
        <x:v>Tests exist but current coverage did not complete</x:v>
      </x:c>
      <x:c r="G214" s="25" t="str">
        <x:v>true</x:v>
      </x:c>
      <x:c r="H214" s="25" t="str">
        <x:v>NOT_AVAILABLE</x:v>
      </x:c>
      <x:c r="I214" s="25" t="str">
        <x:v>NOT_RUN</x:v>
      </x:c>
      <x:c r="J214" s="25" t="str">
        <x:v>NOT_RUN</x:v>
      </x:c>
      <x:c r="K214" s="25" t="n">
        <x:v>1</x:v>
      </x:c>
      <x:c r="L214" s="27" t="b">
        <x:v>0</x:v>
      </x:c>
      <x:c r="M214" s="25" t="str">
        <x:v>Gemini-3.8-flash/generation_state.json</x:v>
      </x:c>
      <x:c r="N214" s="25" t="str">
        <x:v>Gemini-3.8-flash/Result/Closure_74/result.json</x:v>
      </x:c>
      <x:c r="O214" s="25" t="str">
        <x:v>Gemini-3.8-flash/Result/Closure_74/result.json</x:v>
      </x:c>
      <x:c r="P214" t="str">
        <x:v>BOTH_NOT_RUN</x:v>
      </x:c>
      <x:c r="Q214" s="21" t="str"/>
      <x:c r="R214" s="21" t="str"/>
      <x:c r="S214" s="21" t="str"/>
      <x:c r="T214" s="17" t="str">
        <x:v>false</x:v>
      </x:c>
      <x:c r="U214" s="17" t="str">
        <x:v>true</x:v>
      </x:c>
      <x:c r="V214" s="17" t="str">
        <x:v>false</x:v>
      </x:c>
    </x:row>
    <x:row r="215" ht="80" customHeight="1">
      <x:c r="A215" s="25" t="str">
        <x:v>Closure</x:v>
      </x:c>
      <x:c r="B215" s="25" t="n">
        <x:v>75</x:v>
      </x:c>
      <x:c r="C215" s="25" t="str">
        <x:v>Round1</x:v>
      </x:c>
      <x:c r="D215" s="25" t="str">
        <x:v>NOT_AVAILABLE</x:v>
      </x:c>
      <x:c r="E215" s="25" t="str">
        <x:v>N/A</x:v>
      </x:c>
      <x:c r="F215" s="26" t="str">
        <x:v>Tests exist but current coverage did not complete</x:v>
      </x:c>
      <x:c r="G215" s="25" t="str">
        <x:v>true</x:v>
      </x:c>
      <x:c r="H215" s="25" t="str">
        <x:v>NOT_AVAILABLE</x:v>
      </x:c>
      <x:c r="I215" s="25" t="str">
        <x:v>NOT_RUN</x:v>
      </x:c>
      <x:c r="J215" s="25" t="str">
        <x:v>NOT_RUN</x:v>
      </x:c>
      <x:c r="K215" s="25" t="n">
        <x:v>1</x:v>
      </x:c>
      <x:c r="L215" s="27" t="b">
        <x:v>0</x:v>
      </x:c>
      <x:c r="M215" s="25" t="str">
        <x:v>Gemini-3.8-flash/generation_state.json</x:v>
      </x:c>
      <x:c r="N215" s="25" t="str">
        <x:v>Gemini-3.8-flash/Result/Closure_75/result.json</x:v>
      </x:c>
      <x:c r="O215" s="25" t="str">
        <x:v>Gemini-3.8-flash/Result/Closure_75/result.json</x:v>
      </x:c>
      <x:c r="P215" t="str">
        <x:v>BOTH_NOT_RUN</x:v>
      </x:c>
      <x:c r="Q215" s="21" t="str"/>
      <x:c r="R215" s="21" t="str"/>
      <x:c r="S215" s="21" t="str"/>
      <x:c r="T215" s="17" t="str">
        <x:v>false</x:v>
      </x:c>
      <x:c r="U215" s="17" t="str">
        <x:v>true</x:v>
      </x:c>
      <x:c r="V215" s="17" t="str">
        <x:v>false</x:v>
      </x:c>
    </x:row>
    <x:row r="216" ht="80" customHeight="1">
      <x:c r="A216" s="25" t="str">
        <x:v>Closure</x:v>
      </x:c>
      <x:c r="B216" s="25" t="n">
        <x:v>76</x:v>
      </x:c>
      <x:c r="C216" s="25" t="str">
        <x:v>Round1</x:v>
      </x:c>
      <x:c r="D216" s="25" t="str">
        <x:v>NOT_AVAILABLE</x:v>
      </x:c>
      <x:c r="E216" s="25" t="str">
        <x:v>N/A</x:v>
      </x:c>
      <x:c r="F216" s="26" t="str">
        <x:v>Tests exist but current coverage did not complete</x:v>
      </x:c>
      <x:c r="G216" s="25" t="str">
        <x:v>true</x:v>
      </x:c>
      <x:c r="H216" s="25" t="str">
        <x:v>NOT_AVAILABLE</x:v>
      </x:c>
      <x:c r="I216" s="25" t="str">
        <x:v>NOT_RUN</x:v>
      </x:c>
      <x:c r="J216" s="25" t="str">
        <x:v>NOT_RUN</x:v>
      </x:c>
      <x:c r="K216" s="25" t="n">
        <x:v>1</x:v>
      </x:c>
      <x:c r="L216" s="27" t="b">
        <x:v>0</x:v>
      </x:c>
      <x:c r="M216" s="25" t="str">
        <x:v>Gemini-3.8-flash/generation_state.json</x:v>
      </x:c>
      <x:c r="N216" s="25" t="str">
        <x:v>Gemini-3.8-flash/Result/Closure_76/result.json</x:v>
      </x:c>
      <x:c r="O216" s="25" t="str">
        <x:v>Gemini-3.8-flash/Result/Closure_76/result.json</x:v>
      </x:c>
      <x:c r="P216" t="str">
        <x:v>BOTH_NOT_RUN</x:v>
      </x:c>
      <x:c r="Q216" s="21" t="str"/>
      <x:c r="R216" s="21" t="str"/>
      <x:c r="S216" s="21" t="str"/>
      <x:c r="T216" s="17" t="str">
        <x:v>false</x:v>
      </x:c>
      <x:c r="U216" s="17" t="str">
        <x:v>true</x:v>
      </x:c>
      <x:c r="V216" s="17" t="str">
        <x:v>false</x:v>
      </x:c>
    </x:row>
    <x:row r="217" ht="80" customHeight="1">
      <x:c r="A217" s="25" t="str">
        <x:v>Closure</x:v>
      </x:c>
      <x:c r="B217" s="25" t="n">
        <x:v>77</x:v>
      </x:c>
      <x:c r="C217" s="25" t="str">
        <x:v>Round1</x:v>
      </x:c>
      <x:c r="D217" s="25" t="str">
        <x:v>NOT_AVAILABLE</x:v>
      </x:c>
      <x:c r="E217" s="25" t="str">
        <x:v>N/A</x:v>
      </x:c>
      <x:c r="F217" s="26" t="str">
        <x:v>Tests exist but current coverage did not complete</x:v>
      </x:c>
      <x:c r="G217" s="25" t="str">
        <x:v>true</x:v>
      </x:c>
      <x:c r="H217" s="25" t="str">
        <x:v>NOT_AVAILABLE</x:v>
      </x:c>
      <x:c r="I217" s="25" t="str">
        <x:v>NOT_RUN</x:v>
      </x:c>
      <x:c r="J217" s="25" t="str">
        <x:v>NOT_RUN</x:v>
      </x:c>
      <x:c r="K217" s="25" t="n">
        <x:v>1</x:v>
      </x:c>
      <x:c r="L217" s="27" t="b">
        <x:v>0</x:v>
      </x:c>
      <x:c r="M217" s="25" t="str">
        <x:v>Gemini-3.8-flash/generation_state.json</x:v>
      </x:c>
      <x:c r="N217" s="25" t="str">
        <x:v>Gemini-3.8-flash/Result/Closure_77/result.json</x:v>
      </x:c>
      <x:c r="O217" s="25" t="str">
        <x:v>Gemini-3.8-flash/Result/Closure_77/result.json</x:v>
      </x:c>
      <x:c r="P217" t="str">
        <x:v>BOTH_NOT_RUN</x:v>
      </x:c>
      <x:c r="Q217" s="21" t="str"/>
      <x:c r="R217" s="21" t="str"/>
      <x:c r="S217" s="21" t="str"/>
      <x:c r="T217" s="17" t="str">
        <x:v>false</x:v>
      </x:c>
      <x:c r="U217" s="17" t="str">
        <x:v>true</x:v>
      </x:c>
      <x:c r="V217" s="17" t="str">
        <x:v>false</x:v>
      </x:c>
    </x:row>
    <x:row r="218" ht="80" customHeight="1">
      <x:c r="A218" s="25" t="str">
        <x:v>Closure</x:v>
      </x:c>
      <x:c r="B218" s="25" t="n">
        <x:v>78</x:v>
      </x:c>
      <x:c r="C218" s="25" t="str">
        <x:v>Round1</x:v>
      </x:c>
      <x:c r="D218" s="25" t="str">
        <x:v>NOT_AVAILABLE</x:v>
      </x:c>
      <x:c r="E218" s="25" t="str">
        <x:v>N/A</x:v>
      </x:c>
      <x:c r="F218" s="26" t="str">
        <x:v>Tests exist but current coverage did not complete</x:v>
      </x:c>
      <x:c r="G218" s="25" t="str">
        <x:v>true</x:v>
      </x:c>
      <x:c r="H218" s="25" t="str">
        <x:v>NOT_AVAILABLE</x:v>
      </x:c>
      <x:c r="I218" s="25" t="str">
        <x:v>NOT_RUN</x:v>
      </x:c>
      <x:c r="J218" s="25" t="str">
        <x:v>NOT_RUN</x:v>
      </x:c>
      <x:c r="K218" s="25" t="n">
        <x:v>1</x:v>
      </x:c>
      <x:c r="L218" s="27" t="b">
        <x:v>0</x:v>
      </x:c>
      <x:c r="M218" s="25" t="str">
        <x:v>Gemini-3.8-flash/generation_state.json</x:v>
      </x:c>
      <x:c r="N218" s="25" t="str">
        <x:v>Gemini-3.8-flash/Result/Closure_78/result.json</x:v>
      </x:c>
      <x:c r="O218" s="25" t="str">
        <x:v>Gemini-3.8-flash/Result/Closure_78/result.json</x:v>
      </x:c>
      <x:c r="P218" t="str">
        <x:v>BOTH_NOT_RUN</x:v>
      </x:c>
      <x:c r="Q218" s="21" t="str"/>
      <x:c r="R218" s="21" t="str"/>
      <x:c r="S218" s="21" t="str"/>
      <x:c r="T218" s="17" t="str">
        <x:v>false</x:v>
      </x:c>
      <x:c r="U218" s="17" t="str">
        <x:v>true</x:v>
      </x:c>
      <x:c r="V218" s="17" t="str">
        <x:v>false</x:v>
      </x:c>
    </x:row>
    <x:row r="219" ht="80" customHeight="1">
      <x:c r="A219" s="25" t="str">
        <x:v>Closure</x:v>
      </x:c>
      <x:c r="B219" s="25" t="n">
        <x:v>79</x:v>
      </x:c>
      <x:c r="C219" s="25" t="str">
        <x:v>Round1</x:v>
      </x:c>
      <x:c r="D219" s="25" t="str">
        <x:v>NOT_AVAILABLE</x:v>
      </x:c>
      <x:c r="E219" s="25" t="str">
        <x:v>N/A</x:v>
      </x:c>
      <x:c r="F219" s="26" t="str">
        <x:v>Tests exist but current coverage did not complete</x:v>
      </x:c>
      <x:c r="G219" s="25" t="str">
        <x:v>true</x:v>
      </x:c>
      <x:c r="H219" s="25" t="str">
        <x:v>NOT_AVAILABLE</x:v>
      </x:c>
      <x:c r="I219" s="25" t="str">
        <x:v>NOT_RUN</x:v>
      </x:c>
      <x:c r="J219" s="25" t="str">
        <x:v>NOT_RUN</x:v>
      </x:c>
      <x:c r="K219" s="25" t="n">
        <x:v>2</x:v>
      </x:c>
      <x:c r="L219" s="27" t="b">
        <x:v>0</x:v>
      </x:c>
      <x:c r="M219" s="25" t="str">
        <x:v>Gemini-3.8-flash/generation_state.json</x:v>
      </x:c>
      <x:c r="N219" s="25" t="str">
        <x:v>Gemini-3.8-flash/Result/Closure_79/result.json</x:v>
      </x:c>
      <x:c r="O219" s="25" t="str">
        <x:v>Gemini-3.8-flash/Result/Closure_79/result.json</x:v>
      </x:c>
      <x:c r="P219" t="str">
        <x:v>BOTH_NOT_RUN</x:v>
      </x:c>
      <x:c r="Q219" s="21" t="str"/>
      <x:c r="R219" s="21" t="str"/>
      <x:c r="S219" s="21" t="str"/>
      <x:c r="T219" s="17" t="str">
        <x:v>false</x:v>
      </x:c>
      <x:c r="U219" s="17" t="str">
        <x:v>true</x:v>
      </x:c>
      <x:c r="V219" s="17" t="str">
        <x:v>false</x:v>
      </x:c>
    </x:row>
    <x:row r="220" ht="80" customHeight="1">
      <x:c r="A220" s="25" t="str">
        <x:v>Closure</x:v>
      </x:c>
      <x:c r="B220" s="25" t="n">
        <x:v>8</x:v>
      </x:c>
      <x:c r="C220" s="25" t="str">
        <x:v>Round1</x:v>
      </x:c>
      <x:c r="D220" s="25" t="str">
        <x:v>INCONCLUSIVE</x:v>
      </x:c>
      <x:c r="E220" s="25" t="str">
        <x:v>N/A</x:v>
      </x:c>
      <x:c r="F220" s="26" t="str">
        <x:v>Fixed also failed; assertion failure cannot be attributed to this bug</x:v>
      </x:c>
      <x:c r="G220" s="25" t="str">
        <x:v>true</x:v>
      </x:c>
      <x:c r="H220" s="25" t="str">
        <x:v>INCONCLUSIVE</x:v>
      </x:c>
      <x:c r="I220" s="25" t="str">
        <x:v>FAIL</x:v>
      </x:c>
      <x:c r="J220" s="25" t="str">
        <x:v>FAIL</x:v>
      </x:c>
      <x:c r="K220" s="25" t="n">
        <x:v>1</x:v>
      </x:c>
      <x:c r="L220" s="27" t="b">
        <x:v>0</x:v>
      </x:c>
      <x:c r="M220" s="25" t="str">
        <x:v>Gemini-3.8-flash/generation_state.json</x:v>
      </x:c>
      <x:c r="N220" s="25" t="str">
        <x:v>Gemini-3.8-flash/Result/Closure_8/result.json</x:v>
      </x:c>
      <x:c r="O220" s="25" t="str">
        <x:v>Gemini-3.8-flash/Result/Closure_8/result.json</x:v>
      </x:c>
      <x:c r="P220"/>
      <x:c r="Q220" s="21" t="str"/>
      <x:c r="R220" s="21" t="str"/>
      <x:c r="S220" s="21" t="str"/>
      <x:c r="T220" s="17" t="str">
        <x:v>false</x:v>
      </x:c>
      <x:c r="U220" s="17" t="str">
        <x:v>true</x:v>
      </x:c>
      <x:c r="V220" s="17" t="str">
        <x:v>false</x:v>
      </x:c>
    </x:row>
    <x:row r="221" ht="80" customHeight="1">
      <x:c r="A221" s="25" t="str">
        <x:v>Closure</x:v>
      </x:c>
      <x:c r="B221" s="25" t="n">
        <x:v>80</x:v>
      </x:c>
      <x:c r="C221" s="25" t="str">
        <x:v>Round1</x:v>
      </x:c>
      <x:c r="D221" s="25" t="str">
        <x:v>NOT_AVAILABLE</x:v>
      </x:c>
      <x:c r="E221" s="25" t="str">
        <x:v>N/A</x:v>
      </x:c>
      <x:c r="F221" s="26" t="str">
        <x:v>Tests exist but current coverage did not complete</x:v>
      </x:c>
      <x:c r="G221" s="25" t="str">
        <x:v>true</x:v>
      </x:c>
      <x:c r="H221" s="25" t="str">
        <x:v>NOT_AVAILABLE</x:v>
      </x:c>
      <x:c r="I221" s="25" t="str">
        <x:v>NOT_RUN</x:v>
      </x:c>
      <x:c r="J221" s="25" t="str">
        <x:v>NOT_RUN</x:v>
      </x:c>
      <x:c r="K221" s="25" t="n">
        <x:v>1</x:v>
      </x:c>
      <x:c r="L221" s="27" t="b">
        <x:v>0</x:v>
      </x:c>
      <x:c r="M221" s="25" t="str">
        <x:v>Gemini-3.8-flash/generation_state.json</x:v>
      </x:c>
      <x:c r="N221" s="25" t="str">
        <x:v>Gemini-3.8-flash/Result/Closure_80/result.json</x:v>
      </x:c>
      <x:c r="O221" s="25" t="str">
        <x:v>Gemini-3.8-flash/Result/Closure_80/result.json</x:v>
      </x:c>
      <x:c r="P221" t="str">
        <x:v>BOTH_NOT_RUN</x:v>
      </x:c>
      <x:c r="Q221" s="21" t="str"/>
      <x:c r="R221" s="21" t="str"/>
      <x:c r="S221" s="21" t="str"/>
      <x:c r="T221" s="17" t="str">
        <x:v>false</x:v>
      </x:c>
      <x:c r="U221" s="17" t="str">
        <x:v>true</x:v>
      </x:c>
      <x:c r="V221" s="17" t="str">
        <x:v>false</x:v>
      </x:c>
    </x:row>
    <x:row r="222" ht="80" customHeight="1">
      <x:c r="A222" s="25" t="str">
        <x:v>Closure</x:v>
      </x:c>
      <x:c r="B222" s="25" t="n">
        <x:v>81</x:v>
      </x:c>
      <x:c r="C222" s="25" t="str">
        <x:v>Round1</x:v>
      </x:c>
      <x:c r="D222" s="25" t="str">
        <x:v>NOT_AVAILABLE</x:v>
      </x:c>
      <x:c r="E222" s="25" t="str">
        <x:v>N/A</x:v>
      </x:c>
      <x:c r="F222" s="26" t="str">
        <x:v>Tests exist but current coverage did not complete</x:v>
      </x:c>
      <x:c r="G222" s="25" t="str">
        <x:v>true</x:v>
      </x:c>
      <x:c r="H222" s="25" t="str">
        <x:v>NOT_AVAILABLE</x:v>
      </x:c>
      <x:c r="I222" s="25" t="str">
        <x:v>NOT_RUN</x:v>
      </x:c>
      <x:c r="J222" s="25" t="str">
        <x:v>NOT_RUN</x:v>
      </x:c>
      <x:c r="K222" s="25" t="n">
        <x:v>1</x:v>
      </x:c>
      <x:c r="L222" s="27" t="b">
        <x:v>0</x:v>
      </x:c>
      <x:c r="M222" s="25" t="str">
        <x:v>Gemini-3.8-flash/generation_state.json</x:v>
      </x:c>
      <x:c r="N222" s="25" t="str">
        <x:v>Gemini-3.8-flash/Result/Closure_81/result.json</x:v>
      </x:c>
      <x:c r="O222" s="25" t="str">
        <x:v>Gemini-3.8-flash/Result/Closure_81/result.json</x:v>
      </x:c>
      <x:c r="P222" t="str">
        <x:v>BOTH_NOT_RUN</x:v>
      </x:c>
      <x:c r="Q222" s="21" t="str"/>
      <x:c r="R222" s="21" t="str"/>
      <x:c r="S222" s="21" t="str"/>
      <x:c r="T222" s="17" t="str">
        <x:v>false</x:v>
      </x:c>
      <x:c r="U222" s="17" t="str">
        <x:v>true</x:v>
      </x:c>
      <x:c r="V222" s="17" t="str">
        <x:v>false</x:v>
      </x:c>
    </x:row>
    <x:row r="223" ht="80" customHeight="1">
      <x:c r="A223" s="25" t="str">
        <x:v>Closure</x:v>
      </x:c>
      <x:c r="B223" s="25" t="n">
        <x:v>82</x:v>
      </x:c>
      <x:c r="C223" s="25" t="str">
        <x:v>Round1</x:v>
      </x:c>
      <x:c r="D223" s="25" t="str">
        <x:v>NOT_AVAILABLE</x:v>
      </x:c>
      <x:c r="E223" s="25" t="str">
        <x:v>N/A</x:v>
      </x:c>
      <x:c r="F223" s="26" t="str">
        <x:v>Tests exist but current coverage did not complete</x:v>
      </x:c>
      <x:c r="G223" s="25" t="str">
        <x:v>true</x:v>
      </x:c>
      <x:c r="H223" s="25" t="str">
        <x:v>NOT_AVAILABLE</x:v>
      </x:c>
      <x:c r="I223" s="25" t="str">
        <x:v>NOT_RUN</x:v>
      </x:c>
      <x:c r="J223" s="25" t="str">
        <x:v>NOT_RUN</x:v>
      </x:c>
      <x:c r="K223" s="25" t="n">
        <x:v>1</x:v>
      </x:c>
      <x:c r="L223" s="27" t="b">
        <x:v>0</x:v>
      </x:c>
      <x:c r="M223" s="25" t="str">
        <x:v>Gemini-3.8-flash/generation_state.json</x:v>
      </x:c>
      <x:c r="N223" s="25" t="str">
        <x:v>Gemini-3.8-flash/Result/Closure_82/result.json</x:v>
      </x:c>
      <x:c r="O223" s="25" t="str">
        <x:v>Gemini-3.8-flash/Result/Closure_82/result.json</x:v>
      </x:c>
      <x:c r="P223" t="str">
        <x:v>BOTH_NOT_RUN</x:v>
      </x:c>
      <x:c r="Q223" s="21" t="str"/>
      <x:c r="R223" s="21" t="str"/>
      <x:c r="S223" s="21" t="str"/>
      <x:c r="T223" s="17" t="str">
        <x:v>false</x:v>
      </x:c>
      <x:c r="U223" s="17" t="str">
        <x:v>true</x:v>
      </x:c>
      <x:c r="V223" s="17" t="str">
        <x:v>false</x:v>
      </x:c>
    </x:row>
    <x:row r="224" ht="80" customHeight="1">
      <x:c r="A224" s="25" t="str">
        <x:v>Closure</x:v>
      </x:c>
      <x:c r="B224" s="25" t="n">
        <x:v>83</x:v>
      </x:c>
      <x:c r="C224" s="25" t="str">
        <x:v>Round1</x:v>
      </x:c>
      <x:c r="D224" s="25" t="str">
        <x:v>NOT_AVAILABLE</x:v>
      </x:c>
      <x:c r="E224" s="25" t="str">
        <x:v>N/A</x:v>
      </x:c>
      <x:c r="F224" s="26" t="str">
        <x:v>Tests exist but current coverage did not complete</x:v>
      </x:c>
      <x:c r="G224" s="25" t="str">
        <x:v>true</x:v>
      </x:c>
      <x:c r="H224" s="25" t="str">
        <x:v>NOT_AVAILABLE</x:v>
      </x:c>
      <x:c r="I224" s="25" t="str">
        <x:v>NOT_RUN</x:v>
      </x:c>
      <x:c r="J224" s="25" t="str">
        <x:v>NOT_RUN</x:v>
      </x:c>
      <x:c r="K224" s="25" t="n">
        <x:v>1</x:v>
      </x:c>
      <x:c r="L224" s="27" t="b">
        <x:v>0</x:v>
      </x:c>
      <x:c r="M224" s="25" t="str">
        <x:v>Gemini-3.8-flash/generation_state.json</x:v>
      </x:c>
      <x:c r="N224" s="25" t="str">
        <x:v>Gemini-3.8-flash/Result/Closure_83/result.json</x:v>
      </x:c>
      <x:c r="O224" s="25" t="str">
        <x:v>Gemini-3.8-flash/Result/Closure_83/result.json</x:v>
      </x:c>
      <x:c r="P224" t="str">
        <x:v>BOTH_NOT_RUN</x:v>
      </x:c>
      <x:c r="Q224" s="21" t="str"/>
      <x:c r="R224" s="21" t="str"/>
      <x:c r="S224" s="21" t="str"/>
      <x:c r="T224" s="17" t="str">
        <x:v>false</x:v>
      </x:c>
      <x:c r="U224" s="17" t="str">
        <x:v>true</x:v>
      </x:c>
      <x:c r="V224" s="17" t="str">
        <x:v>false</x:v>
      </x:c>
    </x:row>
    <x:row r="225" ht="80" customHeight="1">
      <x:c r="A225" s="25" t="str">
        <x:v>Closure</x:v>
      </x:c>
      <x:c r="B225" s="25" t="n">
        <x:v>84</x:v>
      </x:c>
      <x:c r="C225" s="25" t="str">
        <x:v>Round1</x:v>
      </x:c>
      <x:c r="D225" s="25" t="str">
        <x:v>NOT_AVAILABLE</x:v>
      </x:c>
      <x:c r="E225" s="25" t="str">
        <x:v>N/A</x:v>
      </x:c>
      <x:c r="F225" s="26" t="str">
        <x:v>Tests exist but current coverage did not complete</x:v>
      </x:c>
      <x:c r="G225" s="25" t="str">
        <x:v>true</x:v>
      </x:c>
      <x:c r="H225" s="25" t="str">
        <x:v>NOT_AVAILABLE</x:v>
      </x:c>
      <x:c r="I225" s="25" t="str">
        <x:v>NOT_RUN</x:v>
      </x:c>
      <x:c r="J225" s="25" t="str">
        <x:v>NOT_RUN</x:v>
      </x:c>
      <x:c r="K225" s="25" t="n">
        <x:v>1</x:v>
      </x:c>
      <x:c r="L225" s="27" t="b">
        <x:v>0</x:v>
      </x:c>
      <x:c r="M225" s="25" t="str">
        <x:v>Gemini-3.8-flash/generation_state.json</x:v>
      </x:c>
      <x:c r="N225" s="25" t="str">
        <x:v>Gemini-3.8-flash/Result/Closure_84/result.json</x:v>
      </x:c>
      <x:c r="O225" s="25" t="str">
        <x:v>Gemini-3.8-flash/Result/Closure_84/result.json</x:v>
      </x:c>
      <x:c r="P225" t="str">
        <x:v>BOTH_NOT_RUN</x:v>
      </x:c>
      <x:c r="Q225" s="21" t="str"/>
      <x:c r="R225" s="21" t="str"/>
      <x:c r="S225" s="21" t="str"/>
      <x:c r="T225" s="17" t="str">
        <x:v>false</x:v>
      </x:c>
      <x:c r="U225" s="17" t="str">
        <x:v>true</x:v>
      </x:c>
      <x:c r="V225" s="17" t="str">
        <x:v>false</x:v>
      </x:c>
    </x:row>
    <x:row r="226" ht="80" customHeight="1">
      <x:c r="A226" s="25" t="str">
        <x:v>Closure</x:v>
      </x:c>
      <x:c r="B226" s="25" t="n">
        <x:v>85</x:v>
      </x:c>
      <x:c r="C226" s="25" t="str">
        <x:v>Round1</x:v>
      </x:c>
      <x:c r="D226" s="25" t="str">
        <x:v>NOT_AVAILABLE</x:v>
      </x:c>
      <x:c r="E226" s="25" t="str">
        <x:v>N/A</x:v>
      </x:c>
      <x:c r="F226" s="26" t="str">
        <x:v>Tests exist but current coverage did not complete</x:v>
      </x:c>
      <x:c r="G226" s="25" t="str">
        <x:v>true</x:v>
      </x:c>
      <x:c r="H226" s="25" t="str">
        <x:v>NOT_AVAILABLE</x:v>
      </x:c>
      <x:c r="I226" s="25" t="str">
        <x:v>NOT_RUN</x:v>
      </x:c>
      <x:c r="J226" s="25" t="str">
        <x:v>NOT_RUN</x:v>
      </x:c>
      <x:c r="K226" s="25" t="n">
        <x:v>1</x:v>
      </x:c>
      <x:c r="L226" s="27" t="b">
        <x:v>0</x:v>
      </x:c>
      <x:c r="M226" s="25" t="str">
        <x:v>Gemini-3.8-flash/generation_state.json</x:v>
      </x:c>
      <x:c r="N226" s="25" t="str">
        <x:v>Gemini-3.8-flash/Result/Closure_85/result.json</x:v>
      </x:c>
      <x:c r="O226" s="25" t="str">
        <x:v>Gemini-3.8-flash/Result/Closure_85/result.json</x:v>
      </x:c>
      <x:c r="P226" t="str">
        <x:v>BOTH_NOT_RUN</x:v>
      </x:c>
      <x:c r="Q226" s="21" t="str"/>
      <x:c r="R226" s="21" t="str"/>
      <x:c r="S226" s="21" t="str"/>
      <x:c r="T226" s="17" t="str">
        <x:v>false</x:v>
      </x:c>
      <x:c r="U226" s="17" t="str">
        <x:v>true</x:v>
      </x:c>
      <x:c r="V226" s="17" t="str">
        <x:v>false</x:v>
      </x:c>
    </x:row>
    <x:row r="227" ht="80" customHeight="1">
      <x:c r="A227" s="25" t="str">
        <x:v>Closure</x:v>
      </x:c>
      <x:c r="B227" s="25" t="n">
        <x:v>86</x:v>
      </x:c>
      <x:c r="C227" s="25" t="str">
        <x:v>Round1</x:v>
      </x:c>
      <x:c r="D227" s="25" t="str">
        <x:v>NOT_AVAILABLE</x:v>
      </x:c>
      <x:c r="E227" s="25" t="str">
        <x:v>N/A</x:v>
      </x:c>
      <x:c r="F227" s="26" t="str">
        <x:v>Tests exist but current coverage did not complete</x:v>
      </x:c>
      <x:c r="G227" s="25" t="str">
        <x:v>true</x:v>
      </x:c>
      <x:c r="H227" s="25" t="str">
        <x:v>NOT_AVAILABLE</x:v>
      </x:c>
      <x:c r="I227" s="25" t="str">
        <x:v>NOT_RUN</x:v>
      </x:c>
      <x:c r="J227" s="25" t="str">
        <x:v>NOT_RUN</x:v>
      </x:c>
      <x:c r="K227" s="25" t="n">
        <x:v>1</x:v>
      </x:c>
      <x:c r="L227" s="27" t="b">
        <x:v>0</x:v>
      </x:c>
      <x:c r="M227" s="25" t="str">
        <x:v>Gemini-3.8-flash/generation_state.json</x:v>
      </x:c>
      <x:c r="N227" s="25" t="str">
        <x:v>Gemini-3.8-flash/Result/Closure_86/result.json</x:v>
      </x:c>
      <x:c r="O227" s="25" t="str">
        <x:v>Gemini-3.8-flash/Result/Closure_86/result.json</x:v>
      </x:c>
      <x:c r="P227" t="str">
        <x:v>BOTH_NOT_RUN</x:v>
      </x:c>
      <x:c r="Q227" s="21" t="str"/>
      <x:c r="R227" s="21" t="str"/>
      <x:c r="S227" s="21" t="str"/>
      <x:c r="T227" s="17" t="str">
        <x:v>false</x:v>
      </x:c>
      <x:c r="U227" s="17" t="str">
        <x:v>true</x:v>
      </x:c>
      <x:c r="V227" s="17" t="str">
        <x:v>false</x:v>
      </x:c>
    </x:row>
    <x:row r="228" ht="80" customHeight="1">
      <x:c r="A228" s="25" t="str">
        <x:v>Closure</x:v>
      </x:c>
      <x:c r="B228" s="25" t="n">
        <x:v>87</x:v>
      </x:c>
      <x:c r="C228" s="25" t="str">
        <x:v>Round1</x:v>
      </x:c>
      <x:c r="D228" s="25" t="str">
        <x:v>NOT_AVAILABLE</x:v>
      </x:c>
      <x:c r="E228" s="25" t="str">
        <x:v>N/A</x:v>
      </x:c>
      <x:c r="F228" s="26" t="str">
        <x:v>Tests exist but current coverage did not complete</x:v>
      </x:c>
      <x:c r="G228" s="25" t="str">
        <x:v>true</x:v>
      </x:c>
      <x:c r="H228" s="25" t="str">
        <x:v>NOT_AVAILABLE</x:v>
      </x:c>
      <x:c r="I228" s="25" t="str">
        <x:v>NOT_RUN</x:v>
      </x:c>
      <x:c r="J228" s="25" t="str">
        <x:v>NOT_RUN</x:v>
      </x:c>
      <x:c r="K228" s="25" t="n">
        <x:v>1</x:v>
      </x:c>
      <x:c r="L228" s="27" t="b">
        <x:v>0</x:v>
      </x:c>
      <x:c r="M228" s="25" t="str">
        <x:v>Gemini-3.8-flash/generation_state.json</x:v>
      </x:c>
      <x:c r="N228" s="25" t="str">
        <x:v>Gemini-3.8-flash/Result/Closure_87/result.json</x:v>
      </x:c>
      <x:c r="O228" s="25" t="str">
        <x:v>Gemini-3.8-flash/Result/Closure_87/result.json</x:v>
      </x:c>
      <x:c r="P228" t="str">
        <x:v>BOTH_NOT_RUN</x:v>
      </x:c>
      <x:c r="Q228" s="21" t="str"/>
      <x:c r="R228" s="21" t="str"/>
      <x:c r="S228" s="21" t="str"/>
      <x:c r="T228" s="17" t="str">
        <x:v>false</x:v>
      </x:c>
      <x:c r="U228" s="17" t="str">
        <x:v>true</x:v>
      </x:c>
      <x:c r="V228" s="17" t="str">
        <x:v>false</x:v>
      </x:c>
    </x:row>
    <x:row r="229" ht="80" customHeight="1">
      <x:c r="A229" s="25" t="str">
        <x:v>Closure</x:v>
      </x:c>
      <x:c r="B229" s="25" t="n">
        <x:v>88</x:v>
      </x:c>
      <x:c r="C229" s="25" t="str">
        <x:v>Round1</x:v>
      </x:c>
      <x:c r="D229" s="25" t="str">
        <x:v>NOT_AVAILABLE</x:v>
      </x:c>
      <x:c r="E229" s="25" t="str">
        <x:v>N/A</x:v>
      </x:c>
      <x:c r="F229" s="26" t="str">
        <x:v>Tests exist but current coverage did not complete</x:v>
      </x:c>
      <x:c r="G229" s="25" t="str">
        <x:v>true</x:v>
      </x:c>
      <x:c r="H229" s="25" t="str">
        <x:v>NOT_AVAILABLE</x:v>
      </x:c>
      <x:c r="I229" s="25" t="str">
        <x:v>NOT_RUN</x:v>
      </x:c>
      <x:c r="J229" s="25" t="str">
        <x:v>NOT_RUN</x:v>
      </x:c>
      <x:c r="K229" s="25" t="n">
        <x:v>1</x:v>
      </x:c>
      <x:c r="L229" s="27" t="b">
        <x:v>0</x:v>
      </x:c>
      <x:c r="M229" s="25" t="str">
        <x:v>Gemini-3.8-flash/generation_state.json</x:v>
      </x:c>
      <x:c r="N229" s="25" t="str">
        <x:v>Gemini-3.8-flash/Result/Closure_88/result.json</x:v>
      </x:c>
      <x:c r="O229" s="25" t="str">
        <x:v>Gemini-3.8-flash/Result/Closure_88/result.json</x:v>
      </x:c>
      <x:c r="P229" t="str">
        <x:v>BOTH_NOT_RUN</x:v>
      </x:c>
      <x:c r="Q229" s="21" t="str"/>
      <x:c r="R229" s="21" t="str"/>
      <x:c r="S229" s="21" t="str"/>
      <x:c r="T229" s="17" t="str">
        <x:v>false</x:v>
      </x:c>
      <x:c r="U229" s="17" t="str">
        <x:v>true</x:v>
      </x:c>
      <x:c r="V229" s="17" t="str">
        <x:v>false</x:v>
      </x:c>
    </x:row>
    <x:row r="230" ht="80" customHeight="1">
      <x:c r="A230" s="25" t="str">
        <x:v>Closure</x:v>
      </x:c>
      <x:c r="B230" s="25" t="n">
        <x:v>89</x:v>
      </x:c>
      <x:c r="C230" s="25" t="str">
        <x:v>Round1</x:v>
      </x:c>
      <x:c r="D230" s="25" t="str">
        <x:v>NOT_AVAILABLE</x:v>
      </x:c>
      <x:c r="E230" s="25" t="str">
        <x:v>N/A</x:v>
      </x:c>
      <x:c r="F230" s="26" t="str">
        <x:v>Tests exist but current coverage did not complete</x:v>
      </x:c>
      <x:c r="G230" s="25" t="str">
        <x:v>true</x:v>
      </x:c>
      <x:c r="H230" s="25" t="str">
        <x:v>NOT_AVAILABLE</x:v>
      </x:c>
      <x:c r="I230" s="25" t="str">
        <x:v>NOT_RUN</x:v>
      </x:c>
      <x:c r="J230" s="25" t="str">
        <x:v>NOT_RUN</x:v>
      </x:c>
      <x:c r="K230" s="25" t="n">
        <x:v>2</x:v>
      </x:c>
      <x:c r="L230" s="27" t="b">
        <x:v>0</x:v>
      </x:c>
      <x:c r="M230" s="25" t="str">
        <x:v>Gemini-3.8-flash/generation_state.json</x:v>
      </x:c>
      <x:c r="N230" s="25" t="str">
        <x:v>Gemini-3.8-flash/Result/Closure_89/result.json</x:v>
      </x:c>
      <x:c r="O230" s="25" t="str">
        <x:v>Gemini-3.8-flash/Result/Closure_89/result.json</x:v>
      </x:c>
      <x:c r="P230" t="str">
        <x:v>BOTH_NOT_RUN</x:v>
      </x:c>
      <x:c r="Q230" s="21" t="str"/>
      <x:c r="R230" s="21" t="str"/>
      <x:c r="S230" s="21" t="str"/>
      <x:c r="T230" s="17" t="str">
        <x:v>false</x:v>
      </x:c>
      <x:c r="U230" s="17" t="str">
        <x:v>true</x:v>
      </x:c>
      <x:c r="V230" s="17" t="str">
        <x:v>false</x:v>
      </x:c>
    </x:row>
    <x:row r="231" ht="80" customHeight="1">
      <x:c r="A231" s="25" t="str">
        <x:v>Closure</x:v>
      </x:c>
      <x:c r="B231" s="25" t="n">
        <x:v>9</x:v>
      </x:c>
      <x:c r="C231" s="25" t="str">
        <x:v>Round1</x:v>
      </x:c>
      <x:c r="D231" s="25" t="str">
        <x:v>NOT_AVAILABLE</x:v>
      </x:c>
      <x:c r="E231" s="25" t="str">
        <x:v>N/A</x:v>
      </x:c>
      <x:c r="F231" s="26" t="str">
        <x:v>Tests exist but current coverage did not complete</x:v>
      </x:c>
      <x:c r="G231" s="25" t="str">
        <x:v>true</x:v>
      </x:c>
      <x:c r="H231" s="25" t="str">
        <x:v>NOT_AVAILABLE</x:v>
      </x:c>
      <x:c r="I231" s="25" t="str">
        <x:v>NOT_RUN</x:v>
      </x:c>
      <x:c r="J231" s="25" t="str">
        <x:v>NOT_RUN</x:v>
      </x:c>
      <x:c r="K231" s="25" t="n">
        <x:v>1</x:v>
      </x:c>
      <x:c r="L231" s="27" t="b">
        <x:v>0</x:v>
      </x:c>
      <x:c r="M231" s="25" t="str">
        <x:v>Gemini-3.8-flash/generation_state.json</x:v>
      </x:c>
      <x:c r="N231" s="25" t="str">
        <x:v>Gemini-3.8-flash/Result/Closure_9/result.json</x:v>
      </x:c>
      <x:c r="O231" s="25" t="str">
        <x:v>Gemini-3.8-flash/Result/Closure_9/result.json</x:v>
      </x:c>
      <x:c r="P231" t="str">
        <x:v>BOTH_NOT_RUN</x:v>
      </x:c>
      <x:c r="Q231" s="21" t="str"/>
      <x:c r="R231" s="21" t="str"/>
      <x:c r="S231" s="21" t="str"/>
      <x:c r="T231" s="17" t="str">
        <x:v>false</x:v>
      </x:c>
      <x:c r="U231" s="17" t="str">
        <x:v>true</x:v>
      </x:c>
      <x:c r="V231" s="17" t="str">
        <x:v>false</x:v>
      </x:c>
    </x:row>
    <x:row r="232" ht="80" customHeight="1">
      <x:c r="A232" s="25" t="str">
        <x:v>Closure</x:v>
      </x:c>
      <x:c r="B232" s="25" t="n">
        <x:v>90</x:v>
      </x:c>
      <x:c r="C232" s="25" t="str">
        <x:v>Round1</x:v>
      </x:c>
      <x:c r="D232" s="25" t="str">
        <x:v>NOT_AVAILABLE</x:v>
      </x:c>
      <x:c r="E232" s="25" t="str">
        <x:v>N/A</x:v>
      </x:c>
      <x:c r="F232" s="26" t="str">
        <x:v>Tests exist but current coverage did not complete</x:v>
      </x:c>
      <x:c r="G232" s="25" t="str">
        <x:v>true</x:v>
      </x:c>
      <x:c r="H232" s="25" t="str">
        <x:v>NOT_AVAILABLE</x:v>
      </x:c>
      <x:c r="I232" s="25" t="str">
        <x:v>NOT_RUN</x:v>
      </x:c>
      <x:c r="J232" s="25" t="str">
        <x:v>NOT_RUN</x:v>
      </x:c>
      <x:c r="K232" s="25" t="n">
        <x:v>2</x:v>
      </x:c>
      <x:c r="L232" s="27" t="b">
        <x:v>0</x:v>
      </x:c>
      <x:c r="M232" s="25" t="str">
        <x:v>Gemini-3.8-flash/generation_state.json</x:v>
      </x:c>
      <x:c r="N232" s="25" t="str">
        <x:v>Gemini-3.8-flash/Result/Closure_90/result.json</x:v>
      </x:c>
      <x:c r="O232" s="25" t="str">
        <x:v>Gemini-3.8-flash/Result/Closure_90/result.json</x:v>
      </x:c>
      <x:c r="P232" t="str">
        <x:v>BOTH_NOT_RUN</x:v>
      </x:c>
      <x:c r="Q232" s="21" t="str"/>
      <x:c r="R232" s="21" t="str"/>
      <x:c r="S232" s="21" t="str"/>
      <x:c r="T232" s="17" t="str">
        <x:v>false</x:v>
      </x:c>
      <x:c r="U232" s="17" t="str">
        <x:v>true</x:v>
      </x:c>
      <x:c r="V232" s="17" t="str">
        <x:v>false</x:v>
      </x:c>
    </x:row>
    <x:row r="233" ht="80" customHeight="1">
      <x:c r="A233" s="25" t="str">
        <x:v>Closure</x:v>
      </x:c>
      <x:c r="B233" s="25" t="n">
        <x:v>91</x:v>
      </x:c>
      <x:c r="C233" s="25" t="str">
        <x:v>Round1</x:v>
      </x:c>
      <x:c r="D233" s="25" t="str">
        <x:v>NOT_AVAILABLE</x:v>
      </x:c>
      <x:c r="E233" s="25" t="str">
        <x:v>N/A</x:v>
      </x:c>
      <x:c r="F233" s="26" t="str">
        <x:v>Tests exist but current coverage did not complete</x:v>
      </x:c>
      <x:c r="G233" s="25" t="str">
        <x:v>true</x:v>
      </x:c>
      <x:c r="H233" s="25" t="str">
        <x:v>NOT_AVAILABLE</x:v>
      </x:c>
      <x:c r="I233" s="25" t="str">
        <x:v>NOT_RUN</x:v>
      </x:c>
      <x:c r="J233" s="25" t="str">
        <x:v>NOT_RUN</x:v>
      </x:c>
      <x:c r="K233" s="25" t="n">
        <x:v>1</x:v>
      </x:c>
      <x:c r="L233" s="27" t="b">
        <x:v>0</x:v>
      </x:c>
      <x:c r="M233" s="25" t="str">
        <x:v>Gemini-3.8-flash/generation_state.json</x:v>
      </x:c>
      <x:c r="N233" s="25" t="str">
        <x:v>Gemini-3.8-flash/Result/Closure_91/result.json</x:v>
      </x:c>
      <x:c r="O233" s="25" t="str">
        <x:v>Gemini-3.8-flash/Result/Closure_91/result.json</x:v>
      </x:c>
      <x:c r="P233" t="str">
        <x:v>BOTH_NOT_RUN</x:v>
      </x:c>
      <x:c r="Q233" s="21" t="str"/>
      <x:c r="R233" s="21" t="str"/>
      <x:c r="S233" s="21" t="str"/>
      <x:c r="T233" s="17" t="str">
        <x:v>false</x:v>
      </x:c>
      <x:c r="U233" s="17" t="str">
        <x:v>true</x:v>
      </x:c>
      <x:c r="V233" s="17" t="str">
        <x:v>false</x:v>
      </x:c>
    </x:row>
    <x:row r="234" ht="80" customHeight="1">
      <x:c r="A234" s="25" t="str">
        <x:v>Closure</x:v>
      </x:c>
      <x:c r="B234" s="25" t="n">
        <x:v>92</x:v>
      </x:c>
      <x:c r="C234" s="25" t="str">
        <x:v>Round1</x:v>
      </x:c>
      <x:c r="D234" s="25" t="str">
        <x:v>NOT_AVAILABLE</x:v>
      </x:c>
      <x:c r="E234" s="25" t="str">
        <x:v>N/A</x:v>
      </x:c>
      <x:c r="F234" s="26" t="str">
        <x:v>Tests exist but current coverage did not complete</x:v>
      </x:c>
      <x:c r="G234" s="25" t="str">
        <x:v>true</x:v>
      </x:c>
      <x:c r="H234" s="25" t="str">
        <x:v>NOT_AVAILABLE</x:v>
      </x:c>
      <x:c r="I234" s="25" t="str">
        <x:v>NOT_RUN</x:v>
      </x:c>
      <x:c r="J234" s="25" t="str">
        <x:v>NOT_RUN</x:v>
      </x:c>
      <x:c r="K234" s="25" t="n">
        <x:v>1</x:v>
      </x:c>
      <x:c r="L234" s="27" t="b">
        <x:v>0</x:v>
      </x:c>
      <x:c r="M234" s="25" t="str">
        <x:v>Gemini-3.8-flash/generation_state.json</x:v>
      </x:c>
      <x:c r="N234" s="25" t="str">
        <x:v>Gemini-3.8-flash/Result/Closure_92/result.json</x:v>
      </x:c>
      <x:c r="O234" s="25" t="str">
        <x:v>Gemini-3.8-flash/Result/Closure_92/result.json</x:v>
      </x:c>
      <x:c r="P234" t="str">
        <x:v>BOTH_NOT_RUN</x:v>
      </x:c>
      <x:c r="Q234" s="21" t="str"/>
      <x:c r="R234" s="21" t="str"/>
      <x:c r="S234" s="21" t="str"/>
      <x:c r="T234" s="17" t="str">
        <x:v>false</x:v>
      </x:c>
      <x:c r="U234" s="17" t="str">
        <x:v>true</x:v>
      </x:c>
      <x:c r="V234" s="17" t="str">
        <x:v>false</x:v>
      </x:c>
    </x:row>
    <x:row r="235" ht="80" customHeight="1">
      <x:c r="A235" s="25" t="str">
        <x:v>Closure</x:v>
      </x:c>
      <x:c r="B235" s="25" t="n">
        <x:v>94</x:v>
      </x:c>
      <x:c r="C235" s="25" t="str">
        <x:v>Round1</x:v>
      </x:c>
      <x:c r="D235" s="25" t="str">
        <x:v>NOT_AVAILABLE</x:v>
      </x:c>
      <x:c r="E235" s="25" t="str">
        <x:v>N/A</x:v>
      </x:c>
      <x:c r="F235" s="26" t="str">
        <x:v>Tests exist but current coverage did not complete</x:v>
      </x:c>
      <x:c r="G235" s="25" t="str">
        <x:v>true</x:v>
      </x:c>
      <x:c r="H235" s="25" t="str">
        <x:v>NOT_AVAILABLE</x:v>
      </x:c>
      <x:c r="I235" s="25" t="str">
        <x:v>NOT_RUN</x:v>
      </x:c>
      <x:c r="J235" s="25" t="str">
        <x:v>NOT_RUN</x:v>
      </x:c>
      <x:c r="K235" s="25" t="n">
        <x:v>1</x:v>
      </x:c>
      <x:c r="L235" s="27" t="b">
        <x:v>0</x:v>
      </x:c>
      <x:c r="M235" s="25" t="str">
        <x:v>Gemini-3.8-flash/generation_state.json</x:v>
      </x:c>
      <x:c r="N235" s="25" t="str">
        <x:v>Gemini-3.8-flash/Result/Closure_94/result.json</x:v>
      </x:c>
      <x:c r="O235" s="25" t="str">
        <x:v>Gemini-3.8-flash/Result/Closure_94/result.json</x:v>
      </x:c>
      <x:c r="P235" t="str">
        <x:v>BOTH_NOT_RUN</x:v>
      </x:c>
      <x:c r="Q235" s="21" t="str"/>
      <x:c r="R235" s="21" t="str"/>
      <x:c r="S235" s="21" t="str"/>
      <x:c r="T235" s="17" t="str">
        <x:v>false</x:v>
      </x:c>
      <x:c r="U235" s="17" t="str">
        <x:v>true</x:v>
      </x:c>
      <x:c r="V235" s="17" t="str">
        <x:v>false</x:v>
      </x:c>
    </x:row>
    <x:row r="236" ht="80" customHeight="1">
      <x:c r="A236" s="25" t="str">
        <x:v>Closure</x:v>
      </x:c>
      <x:c r="B236" s="25" t="n">
        <x:v>95</x:v>
      </x:c>
      <x:c r="C236" s="25" t="str">
        <x:v>Round1</x:v>
      </x:c>
      <x:c r="D236" s="25" t="str">
        <x:v>NOT_AVAILABLE</x:v>
      </x:c>
      <x:c r="E236" s="25" t="str">
        <x:v>N/A</x:v>
      </x:c>
      <x:c r="F236" s="26" t="str">
        <x:v>Tests exist but current coverage did not complete</x:v>
      </x:c>
      <x:c r="G236" s="25" t="str">
        <x:v>true</x:v>
      </x:c>
      <x:c r="H236" s="25" t="str">
        <x:v>NOT_AVAILABLE</x:v>
      </x:c>
      <x:c r="I236" s="25" t="str">
        <x:v>NOT_RUN</x:v>
      </x:c>
      <x:c r="J236" s="25" t="str">
        <x:v>NOT_RUN</x:v>
      </x:c>
      <x:c r="K236" s="25" t="n">
        <x:v>1</x:v>
      </x:c>
      <x:c r="L236" s="27" t="b">
        <x:v>0</x:v>
      </x:c>
      <x:c r="M236" s="25" t="str">
        <x:v>Gemini-3.8-flash/generation_state.json</x:v>
      </x:c>
      <x:c r="N236" s="25" t="str">
        <x:v>Gemini-3.8-flash/Result/Closure_95/result.json</x:v>
      </x:c>
      <x:c r="O236" s="25" t="str">
        <x:v>Gemini-3.8-flash/Result/Closure_95/result.json</x:v>
      </x:c>
      <x:c r="P236" t="str">
        <x:v>BOTH_NOT_RUN</x:v>
      </x:c>
      <x:c r="Q236" s="21" t="str"/>
      <x:c r="R236" s="21" t="str"/>
      <x:c r="S236" s="21" t="str"/>
      <x:c r="T236" s="17" t="str">
        <x:v>false</x:v>
      </x:c>
      <x:c r="U236" s="17" t="str">
        <x:v>true</x:v>
      </x:c>
      <x:c r="V236" s="17" t="str">
        <x:v>false</x:v>
      </x:c>
    </x:row>
    <x:row r="237" ht="80" customHeight="1">
      <x:c r="A237" s="25" t="str">
        <x:v>Closure</x:v>
      </x:c>
      <x:c r="B237" s="25" t="n">
        <x:v>96</x:v>
      </x:c>
      <x:c r="C237" s="25" t="str">
        <x:v>Round1</x:v>
      </x:c>
      <x:c r="D237" s="25" t="str">
        <x:v>NOT_AVAILABLE</x:v>
      </x:c>
      <x:c r="E237" s="25" t="str">
        <x:v>N/A</x:v>
      </x:c>
      <x:c r="F237" s="26" t="str">
        <x:v>Tests exist but current coverage did not complete</x:v>
      </x:c>
      <x:c r="G237" s="25" t="str">
        <x:v>true</x:v>
      </x:c>
      <x:c r="H237" s="25" t="str">
        <x:v>NOT_AVAILABLE</x:v>
      </x:c>
      <x:c r="I237" s="25" t="str">
        <x:v>NOT_RUN</x:v>
      </x:c>
      <x:c r="J237" s="25" t="str">
        <x:v>NOT_RUN</x:v>
      </x:c>
      <x:c r="K237" s="25" t="n">
        <x:v>1</x:v>
      </x:c>
      <x:c r="L237" s="27" t="b">
        <x:v>0</x:v>
      </x:c>
      <x:c r="M237" s="25" t="str">
        <x:v>Gemini-3.8-flash/generation_state.json</x:v>
      </x:c>
      <x:c r="N237" s="25" t="str">
        <x:v>Gemini-3.8-flash/Result/Closure_96/result.json</x:v>
      </x:c>
      <x:c r="O237" s="25" t="str">
        <x:v>Gemini-3.8-flash/Result/Closure_96/result.json</x:v>
      </x:c>
      <x:c r="P237" t="str">
        <x:v>BOTH_NOT_RUN</x:v>
      </x:c>
      <x:c r="Q237" s="21" t="str"/>
      <x:c r="R237" s="21" t="str"/>
      <x:c r="S237" s="21" t="str"/>
      <x:c r="T237" s="17" t="str">
        <x:v>false</x:v>
      </x:c>
      <x:c r="U237" s="17" t="str">
        <x:v>true</x:v>
      </x:c>
      <x:c r="V237" s="17" t="str">
        <x:v>false</x:v>
      </x:c>
    </x:row>
    <x:row r="238" ht="80" customHeight="1">
      <x:c r="A238" s="25" t="str">
        <x:v>Closure</x:v>
      </x:c>
      <x:c r="B238" s="25" t="n">
        <x:v>97</x:v>
      </x:c>
      <x:c r="C238" s="25" t="str">
        <x:v>Round1</x:v>
      </x:c>
      <x:c r="D238" s="25" t="str">
        <x:v>NOT_AVAILABLE</x:v>
      </x:c>
      <x:c r="E238" s="25" t="str">
        <x:v>N/A</x:v>
      </x:c>
      <x:c r="F238" s="26" t="str">
        <x:v>Tests exist but current coverage did not complete</x:v>
      </x:c>
      <x:c r="G238" s="25" t="str">
        <x:v>true</x:v>
      </x:c>
      <x:c r="H238" s="25" t="str">
        <x:v>NOT_AVAILABLE</x:v>
      </x:c>
      <x:c r="I238" s="25" t="str">
        <x:v>NOT_RUN</x:v>
      </x:c>
      <x:c r="J238" s="25" t="str">
        <x:v>NOT_RUN</x:v>
      </x:c>
      <x:c r="K238" s="25" t="n">
        <x:v>1</x:v>
      </x:c>
      <x:c r="L238" s="27" t="b">
        <x:v>0</x:v>
      </x:c>
      <x:c r="M238" s="25" t="str">
        <x:v>Gemini-3.8-flash/generation_state.json</x:v>
      </x:c>
      <x:c r="N238" s="25" t="str">
        <x:v>Gemini-3.8-flash/Result/Closure_97/result.json</x:v>
      </x:c>
      <x:c r="O238" s="25" t="str">
        <x:v>Gemini-3.8-flash/Result/Closure_97/result.json</x:v>
      </x:c>
      <x:c r="P238" t="str">
        <x:v>BOTH_NOT_RUN</x:v>
      </x:c>
      <x:c r="Q238" s="21" t="str"/>
      <x:c r="R238" s="21" t="str"/>
      <x:c r="S238" s="21" t="str"/>
      <x:c r="T238" s="17" t="str">
        <x:v>false</x:v>
      </x:c>
      <x:c r="U238" s="17" t="str">
        <x:v>true</x:v>
      </x:c>
      <x:c r="V238" s="17" t="str">
        <x:v>false</x:v>
      </x:c>
    </x:row>
    <x:row r="239" ht="80" customHeight="1">
      <x:c r="A239" s="25" t="str">
        <x:v>Closure</x:v>
      </x:c>
      <x:c r="B239" s="25" t="n">
        <x:v>98</x:v>
      </x:c>
      <x:c r="C239" s="25" t="str">
        <x:v>Round1</x:v>
      </x:c>
      <x:c r="D239" s="25" t="str">
        <x:v>NOT_AVAILABLE</x:v>
      </x:c>
      <x:c r="E239" s="25" t="str">
        <x:v>N/A</x:v>
      </x:c>
      <x:c r="F239" s="26" t="str">
        <x:v>Tests exist but current coverage did not complete</x:v>
      </x:c>
      <x:c r="G239" s="25" t="str">
        <x:v>true</x:v>
      </x:c>
      <x:c r="H239" s="25" t="str">
        <x:v>NOT_AVAILABLE</x:v>
      </x:c>
      <x:c r="I239" s="25" t="str">
        <x:v>NOT_RUN</x:v>
      </x:c>
      <x:c r="J239" s="25" t="str">
        <x:v>NOT_RUN</x:v>
      </x:c>
      <x:c r="K239" s="25" t="n">
        <x:v>1</x:v>
      </x:c>
      <x:c r="L239" s="27" t="b">
        <x:v>0</x:v>
      </x:c>
      <x:c r="M239" s="25" t="str">
        <x:v>Gemini-3.8-flash/generation_state.json</x:v>
      </x:c>
      <x:c r="N239" s="25" t="str">
        <x:v>Gemini-3.8-flash/Result/Closure_98/result.json</x:v>
      </x:c>
      <x:c r="O239" s="25" t="str">
        <x:v>Gemini-3.8-flash/Result/Closure_98/result.json</x:v>
      </x:c>
      <x:c r="P239" t="str">
        <x:v>BOTH_NOT_RUN</x:v>
      </x:c>
      <x:c r="Q239" s="21" t="str"/>
      <x:c r="R239" s="21" t="str"/>
      <x:c r="S239" s="21" t="str"/>
      <x:c r="T239" s="17" t="str">
        <x:v>false</x:v>
      </x:c>
      <x:c r="U239" s="17" t="str">
        <x:v>true</x:v>
      </x:c>
      <x:c r="V239" s="17" t="str">
        <x:v>false</x:v>
      </x:c>
    </x:row>
    <x:row r="240" ht="80" customHeight="1">
      <x:c r="A240" s="25" t="str">
        <x:v>Closure</x:v>
      </x:c>
      <x:c r="B240" s="25" t="n">
        <x:v>99</x:v>
      </x:c>
      <x:c r="C240" s="25" t="str">
        <x:v>Round1</x:v>
      </x:c>
      <x:c r="D240" s="25" t="str">
        <x:v>NOT_AVAILABLE</x:v>
      </x:c>
      <x:c r="E240" s="25" t="str">
        <x:v>N/A</x:v>
      </x:c>
      <x:c r="F240" s="26" t="str">
        <x:v>Tests exist but current coverage did not complete</x:v>
      </x:c>
      <x:c r="G240" s="25" t="str">
        <x:v>true</x:v>
      </x:c>
      <x:c r="H240" s="25" t="str">
        <x:v>NOT_AVAILABLE</x:v>
      </x:c>
      <x:c r="I240" s="25" t="str">
        <x:v>NOT_RUN</x:v>
      </x:c>
      <x:c r="J240" s="25" t="str">
        <x:v>NOT_RUN</x:v>
      </x:c>
      <x:c r="K240" s="25" t="n">
        <x:v>1</x:v>
      </x:c>
      <x:c r="L240" s="27" t="b">
        <x:v>0</x:v>
      </x:c>
      <x:c r="M240" s="25" t="str">
        <x:v>Gemini-3.8-flash/generation_state.json</x:v>
      </x:c>
      <x:c r="N240" s="25" t="str">
        <x:v>Gemini-3.8-flash/Result/Closure_99/result.json</x:v>
      </x:c>
      <x:c r="O240" s="25" t="str">
        <x:v>Gemini-3.8-flash/Result/Closure_99/result.json</x:v>
      </x:c>
      <x:c r="P240" t="str">
        <x:v>BOTH_NOT_RUN</x:v>
      </x:c>
      <x:c r="Q240" s="21" t="str"/>
      <x:c r="R240" s="21" t="str"/>
      <x:c r="S240" s="21" t="str"/>
      <x:c r="T240" s="17" t="str">
        <x:v>false</x:v>
      </x:c>
      <x:c r="U240" s="17" t="str">
        <x:v>true</x:v>
      </x:c>
      <x:c r="V240" s="17" t="str">
        <x:v>false</x:v>
      </x:c>
    </x:row>
    <x:row r="241" ht="80" customHeight="1">
      <x:c r="A241" s="25" t="str">
        <x:v>Codec</x:v>
      </x:c>
      <x:c r="B241" s="25" t="n">
        <x:v>1</x:v>
      </x:c>
      <x:c r="C241" s="25" t="str">
        <x:v>Round1</x:v>
      </x:c>
      <x:c r="D241" s="25" t="str">
        <x:v>INCONCLUSIVE</x:v>
      </x:c>
      <x:c r="E241" s="25" t="str">
        <x:v>N/A</x:v>
      </x:c>
      <x:c r="F241" s="26" t="str">
        <x:v>Fixed also failed; assertion failure cannot be attributed to this bug</x:v>
      </x:c>
      <x:c r="G241" s="25" t="str">
        <x:v>true</x:v>
      </x:c>
      <x:c r="H241" s="25" t="str">
        <x:v>INCONCLUSIVE</x:v>
      </x:c>
      <x:c r="I241" s="25" t="str">
        <x:v>FAIL</x:v>
      </x:c>
      <x:c r="J241" s="25" t="str">
        <x:v>FAIL</x:v>
      </x:c>
      <x:c r="K241" s="25" t="n">
        <x:v>4</x:v>
      </x:c>
      <x:c r="L241" s="27" t="b">
        <x:v>0</x:v>
      </x:c>
      <x:c r="M241" s="25" t="str">
        <x:v>Gemini-3.8-flash/generation_state.json</x:v>
      </x:c>
      <x:c r="N241" s="25" t="str">
        <x:v>Gemini-3.8-flash/Result/Codec_1/result.json</x:v>
      </x:c>
      <x:c r="O241" s="25" t="str">
        <x:v>Gemini-3.8-flash/Result/Codec_1/result.json</x:v>
      </x:c>
      <x:c r="P241"/>
      <x:c r="Q241" s="21" t="str"/>
      <x:c r="R241" s="21" t="str"/>
      <x:c r="S241" s="21" t="str"/>
      <x:c r="T241" s="17" t="str">
        <x:v>false</x:v>
      </x:c>
      <x:c r="U241" s="17" t="str">
        <x:v>true</x:v>
      </x:c>
      <x:c r="V241" s="17" t="str">
        <x:v>false</x:v>
      </x:c>
    </x:row>
    <x:row r="242" ht="80" customHeight="1">
      <x:c r="A242" s="25" t="str">
        <x:v>Codec</x:v>
      </x:c>
      <x:c r="B242" s="25" t="n">
        <x:v>10</x:v>
      </x:c>
      <x:c r="C242" s="25" t="str">
        <x:v>Round1</x:v>
      </x:c>
      <x:c r="D242" s="25" t="str">
        <x:v>INCONCLUSIVE</x:v>
      </x:c>
      <x:c r="E242" s="25" t="str">
        <x:v>N/A</x:v>
      </x:c>
      <x:c r="F242" s="26" t="str">
        <x:v>Fixed also failed; assertion failure cannot be attributed to this bug</x:v>
      </x:c>
      <x:c r="G242" s="25" t="str">
        <x:v>true</x:v>
      </x:c>
      <x:c r="H242" s="25" t="str">
        <x:v>INCONCLUSIVE</x:v>
      </x:c>
      <x:c r="I242" s="25" t="str">
        <x:v>FAIL</x:v>
      </x:c>
      <x:c r="J242" s="25" t="str">
        <x:v>FAIL</x:v>
      </x:c>
      <x:c r="K242" s="25" t="n">
        <x:v>1</x:v>
      </x:c>
      <x:c r="L242" s="27" t="b">
        <x:v>0</x:v>
      </x:c>
      <x:c r="M242" s="25" t="str">
        <x:v>Gemini-3.8-flash/generation_state.json</x:v>
      </x:c>
      <x:c r="N242" s="25" t="str">
        <x:v>Gemini-3.8-flash/Result/Codec_10/result.json</x:v>
      </x:c>
      <x:c r="O242" s="25" t="str">
        <x:v>Gemini-3.8-flash/Result/Codec_10/result.json</x:v>
      </x:c>
      <x:c r="P242"/>
      <x:c r="Q242" s="21" t="str"/>
      <x:c r="R242" s="21" t="str"/>
      <x:c r="S242" s="21" t="str"/>
      <x:c r="T242" s="17" t="str">
        <x:v>false</x:v>
      </x:c>
      <x:c r="U242" s="17" t="str">
        <x:v>true</x:v>
      </x:c>
      <x:c r="V242" s="17" t="str">
        <x:v>false</x:v>
      </x:c>
    </x:row>
    <x:row r="243" ht="80" customHeight="1">
      <x:c r="A243" s="25" t="str">
        <x:v>Codec</x:v>
      </x:c>
      <x:c r="B243" s="25" t="n">
        <x:v>11</x:v>
      </x:c>
      <x:c r="C243" s="25" t="str">
        <x:v>Round1</x:v>
      </x:c>
      <x:c r="D243" s="25" t="str">
        <x:v>INCONCLUSIVE</x:v>
      </x:c>
      <x:c r="E243" s="25" t="str">
        <x:v>N/A</x:v>
      </x:c>
      <x:c r="F243" s="26" t="str">
        <x:v>Fixed also failed; assertion failure cannot be attributed to this bug</x:v>
      </x:c>
      <x:c r="G243" s="25" t="str">
        <x:v>true</x:v>
      </x:c>
      <x:c r="H243" s="25" t="str">
        <x:v>INCONCLUSIVE</x:v>
      </x:c>
      <x:c r="I243" s="25" t="str">
        <x:v>PASS</x:v>
      </x:c>
      <x:c r="J243" s="25" t="str">
        <x:v>FAIL</x:v>
      </x:c>
      <x:c r="K243" s="25" t="n">
        <x:v>1</x:v>
      </x:c>
      <x:c r="L243" s="27" t="b">
        <x:v>0</x:v>
      </x:c>
      <x:c r="M243" s="25" t="str">
        <x:v>Gemini-3.8-flash/generation_state.json</x:v>
      </x:c>
      <x:c r="N243" s="25" t="str">
        <x:v>Gemini-3.8-flash/Result/Codec_11/result.json</x:v>
      </x:c>
      <x:c r="O243" s="25" t="str">
        <x:v>Gemini-3.8-flash/Result/Codec_11/result.json</x:v>
      </x:c>
      <x:c r="P243"/>
      <x:c r="Q243" s="21" t="str"/>
      <x:c r="R243" s="21" t="str"/>
      <x:c r="S243" s="21" t="str"/>
      <x:c r="T243" s="17" t="str">
        <x:v>false</x:v>
      </x:c>
      <x:c r="U243" s="17" t="str">
        <x:v>true</x:v>
      </x:c>
      <x:c r="V243" s="17" t="str">
        <x:v>false</x:v>
      </x:c>
    </x:row>
    <x:row r="244" ht="80" customHeight="1">
      <x:c r="A244" s="25" t="str">
        <x:v>Codec</x:v>
      </x:c>
      <x:c r="B244" s="25" t="n">
        <x:v>12</x:v>
      </x:c>
      <x:c r="C244" s="25" t="str">
        <x:v>Round1</x:v>
      </x:c>
      <x:c r="D244" s="25" t="str">
        <x:v>NOT_REVEALING</x:v>
      </x:c>
      <x:c r="E244" s="25" t="str">
        <x:v>N/A</x:v>
      </x:c>
      <x:c r="F244" s="26" t="str">
        <x:v>Same saved validation suite passed on buggy and fixed</x:v>
      </x:c>
      <x:c r="G244" s="25" t="str">
        <x:v>true</x:v>
      </x:c>
      <x:c r="H244" s="25" t="str">
        <x:v>NOT_REVEALING</x:v>
      </x:c>
      <x:c r="I244" s="25" t="str">
        <x:v>PASS</x:v>
      </x:c>
      <x:c r="J244" s="25" t="str">
        <x:v>PASS</x:v>
      </x:c>
      <x:c r="K244" s="25" t="n">
        <x:v>1</x:v>
      </x:c>
      <x:c r="L244" s="27" t="b">
        <x:v>0</x:v>
      </x:c>
      <x:c r="M244" s="25" t="str">
        <x:v>Gemini-3.8-flash/generation_state.json</x:v>
      </x:c>
      <x:c r="N244" s="25" t="str">
        <x:v>Gemini-3.8-flash/Result/Codec_12/result.json</x:v>
      </x:c>
      <x:c r="O244" s="25" t="str">
        <x:v>Gemini-3.8-flash/Result/Codec_12/result.json</x:v>
      </x:c>
      <x:c r="P244"/>
      <x:c r="Q244" s="21" t="str"/>
      <x:c r="R244" s="21" t="str"/>
      <x:c r="S244" s="21" t="str"/>
      <x:c r="T244" s="17" t="str">
        <x:v>false</x:v>
      </x:c>
      <x:c r="U244" s="17" t="str">
        <x:v>true</x:v>
      </x:c>
      <x:c r="V244" s="17" t="str">
        <x:v>false</x:v>
      </x:c>
    </x:row>
    <x:row r="245" ht="80" customHeight="1">
      <x:c r="A245" s="25" t="str">
        <x:v>Codec</x:v>
      </x:c>
      <x:c r="B245" s="25" t="n">
        <x:v>13</x:v>
      </x:c>
      <x:c r="C245" s="25" t="str">
        <x:v>Round1</x:v>
      </x:c>
      <x:c r="D245" s="25" t="str">
        <x:v>INCONCLUSIVE</x:v>
      </x:c>
      <x:c r="E245" s="25" t="str">
        <x:v>N/A</x:v>
      </x:c>
      <x:c r="F245" s="26" t="str">
        <x:v>Fixed also failed; assertion failure cannot be attributed to this bug</x:v>
      </x:c>
      <x:c r="G245" s="25" t="str">
        <x:v>true</x:v>
      </x:c>
      <x:c r="H245" s="25" t="str">
        <x:v>INCONCLUSIVE</x:v>
      </x:c>
      <x:c r="I245" s="25" t="str">
        <x:v>FAIL</x:v>
      </x:c>
      <x:c r="J245" s="25" t="str">
        <x:v>FAIL</x:v>
      </x:c>
      <x:c r="K245" s="25" t="n">
        <x:v>2</x:v>
      </x:c>
      <x:c r="L245" s="27" t="b">
        <x:v>0</x:v>
      </x:c>
      <x:c r="M245" s="25" t="str">
        <x:v>Gemini-3.8-flash/generation_state.json</x:v>
      </x:c>
      <x:c r="N245" s="25" t="str">
        <x:v>Gemini-3.8-flash/Result/Codec_13/result.json</x:v>
      </x:c>
      <x:c r="O245" s="25" t="str">
        <x:v>Gemini-3.8-flash/Result/Codec_13/result.json</x:v>
      </x:c>
      <x:c r="P245"/>
      <x:c r="Q245" s="21" t="str"/>
      <x:c r="R245" s="21" t="str"/>
      <x:c r="S245" s="21" t="str"/>
      <x:c r="T245" s="17" t="str">
        <x:v>false</x:v>
      </x:c>
      <x:c r="U245" s="17" t="str">
        <x:v>true</x:v>
      </x:c>
      <x:c r="V245" s="17" t="str">
        <x:v>false</x:v>
      </x:c>
    </x:row>
    <x:row r="246" ht="80" customHeight="1">
      <x:c r="A246" s="25" t="str">
        <x:v>Codec</x:v>
      </x:c>
      <x:c r="B246" s="25" t="n">
        <x:v>14</x:v>
      </x:c>
      <x:c r="C246" s="25" t="str">
        <x:v>Round1</x:v>
      </x:c>
      <x:c r="D246" s="25" t="str">
        <x:v>INCONCLUSIVE</x:v>
      </x:c>
      <x:c r="E246" s="25" t="str">
        <x:v>N/A</x:v>
      </x:c>
      <x:c r="F246" s="26" t="str">
        <x:v>Fixed also failed; assertion failure cannot be attributed to this bug</x:v>
      </x:c>
      <x:c r="G246" s="25" t="str">
        <x:v>true</x:v>
      </x:c>
      <x:c r="H246" s="25" t="str">
        <x:v>INCONCLUSIVE</x:v>
      </x:c>
      <x:c r="I246" s="25" t="str">
        <x:v>FAIL</x:v>
      </x:c>
      <x:c r="J246" s="25" t="str">
        <x:v>FAIL</x:v>
      </x:c>
      <x:c r="K246" s="25" t="n">
        <x:v>3</x:v>
      </x:c>
      <x:c r="L246" s="27" t="b">
        <x:v>0</x:v>
      </x:c>
      <x:c r="M246" s="25" t="str">
        <x:v>Gemini-3.8-flash/generation_state.json</x:v>
      </x:c>
      <x:c r="N246" s="25" t="str">
        <x:v>Gemini-3.8-flash/Result/Codec_14/result.json</x:v>
      </x:c>
      <x:c r="O246" s="25" t="str">
        <x:v>Gemini-3.8-flash/Result/Codec_14/result.json</x:v>
      </x:c>
      <x:c r="P246"/>
      <x:c r="Q246" s="21" t="str"/>
      <x:c r="R246" s="21" t="str"/>
      <x:c r="S246" s="21" t="str"/>
      <x:c r="T246" s="17" t="str">
        <x:v>false</x:v>
      </x:c>
      <x:c r="U246" s="17" t="str">
        <x:v>true</x:v>
      </x:c>
      <x:c r="V246" s="17" t="str">
        <x:v>false</x:v>
      </x:c>
    </x:row>
    <x:row r="247" ht="80" customHeight="1">
      <x:c r="A247" s="25" t="str">
        <x:v>Codec</x:v>
      </x:c>
      <x:c r="B247" s="25" t="n">
        <x:v>15</x:v>
      </x:c>
      <x:c r="C247" s="25" t="str">
        <x:v>Round1</x:v>
      </x:c>
      <x:c r="D247" s="25" t="str">
        <x:v>NOT_AVAILABLE</x:v>
      </x:c>
      <x:c r="E247" s="25" t="str">
        <x:v>N/A</x:v>
      </x:c>
      <x:c r="F247" s="26" t="str">
        <x:v>Tests exist but current coverage did not complete</x:v>
      </x:c>
      <x:c r="G247" s="25" t="str">
        <x:v>true</x:v>
      </x:c>
      <x:c r="H247" s="25" t="str">
        <x:v>NOT_AVAILABLE</x:v>
      </x:c>
      <x:c r="I247" s="25" t="str">
        <x:v>NOT_RUN</x:v>
      </x:c>
      <x:c r="J247" s="25" t="str">
        <x:v>NOT_RUN</x:v>
      </x:c>
      <x:c r="K247" s="25" t="n">
        <x:v>1</x:v>
      </x:c>
      <x:c r="L247" s="27" t="b">
        <x:v>0</x:v>
      </x:c>
      <x:c r="M247" s="25" t="str">
        <x:v>Gemini-3.8-flash/generation_state.json</x:v>
      </x:c>
      <x:c r="N247" s="25" t="str">
        <x:v>Gemini-3.8-flash/Result/Codec_15/result.json</x:v>
      </x:c>
      <x:c r="O247" s="25" t="str">
        <x:v>Gemini-3.8-flash/Result/Codec_15/result.json</x:v>
      </x:c>
      <x:c r="P247" t="str">
        <x:v>BOTH_NOT_RUN</x:v>
      </x:c>
      <x:c r="Q247" s="21" t="str"/>
      <x:c r="R247" s="21" t="str"/>
      <x:c r="S247" s="21" t="str"/>
      <x:c r="T247" s="17" t="str">
        <x:v>false</x:v>
      </x:c>
      <x:c r="U247" s="17" t="str">
        <x:v>true</x:v>
      </x:c>
      <x:c r="V247" s="17" t="str">
        <x:v>false</x:v>
      </x:c>
    </x:row>
    <x:row r="248" ht="80" customHeight="1">
      <x:c r="A248" s="25" t="str">
        <x:v>Codec</x:v>
      </x:c>
      <x:c r="B248" s="25" t="n">
        <x:v>16</x:v>
      </x:c>
      <x:c r="C248" s="25" t="str">
        <x:v>Round1</x:v>
      </x:c>
      <x:c r="D248" s="25" t="str">
        <x:v>NOT_REVEALING</x:v>
      </x:c>
      <x:c r="E248" s="25" t="str">
        <x:v>N/A</x:v>
      </x:c>
      <x:c r="F248" s="26" t="str">
        <x:v>Same saved validation suite passed on buggy and fixed</x:v>
      </x:c>
      <x:c r="G248" s="25" t="str">
        <x:v>true</x:v>
      </x:c>
      <x:c r="H248" s="25" t="str">
        <x:v>NOT_REVEALING</x:v>
      </x:c>
      <x:c r="I248" s="25" t="str">
        <x:v>PASS</x:v>
      </x:c>
      <x:c r="J248" s="25" t="str">
        <x:v>PASS</x:v>
      </x:c>
      <x:c r="K248" s="25" t="n">
        <x:v>1</x:v>
      </x:c>
      <x:c r="L248" s="27" t="b">
        <x:v>0</x:v>
      </x:c>
      <x:c r="M248" s="25" t="str">
        <x:v>Gemini-3.8-flash/generation_state.json</x:v>
      </x:c>
      <x:c r="N248" s="25" t="str">
        <x:v>Gemini-3.8-flash/Result/Codec_16/result.json</x:v>
      </x:c>
      <x:c r="O248" s="25" t="str">
        <x:v>Gemini-3.8-flash/Result/Codec_16/result.json</x:v>
      </x:c>
      <x:c r="P248"/>
      <x:c r="Q248" s="21" t="str"/>
      <x:c r="R248" s="21" t="str"/>
      <x:c r="S248" s="21" t="str"/>
      <x:c r="T248" s="17" t="str">
        <x:v>false</x:v>
      </x:c>
      <x:c r="U248" s="17" t="str">
        <x:v>true</x:v>
      </x:c>
      <x:c r="V248" s="17" t="str">
        <x:v>false</x:v>
      </x:c>
    </x:row>
    <x:row r="249" ht="80" customHeight="1">
      <x:c r="A249" s="25" t="str">
        <x:v>Codec</x:v>
      </x:c>
      <x:c r="B249" s="25" t="n">
        <x:v>17</x:v>
      </x:c>
      <x:c r="C249" s="25" t="str">
        <x:v>Round1</x:v>
      </x:c>
      <x:c r="D249" s="25" t="str">
        <x:v>NOT_REVEALING</x:v>
      </x:c>
      <x:c r="E249" s="25" t="str">
        <x:v>N/A</x:v>
      </x:c>
      <x:c r="F249" s="26" t="str">
        <x:v>Same saved validation suite passed on buggy and fixed</x:v>
      </x:c>
      <x:c r="G249" s="25" t="str">
        <x:v>true</x:v>
      </x:c>
      <x:c r="H249" s="25" t="str">
        <x:v>NOT_REVEALING</x:v>
      </x:c>
      <x:c r="I249" s="25" t="str">
        <x:v>PASS</x:v>
      </x:c>
      <x:c r="J249" s="25" t="str">
        <x:v>PASS</x:v>
      </x:c>
      <x:c r="K249" s="25" t="n">
        <x:v>1</x:v>
      </x:c>
      <x:c r="L249" s="27" t="b">
        <x:v>0</x:v>
      </x:c>
      <x:c r="M249" s="25" t="str">
        <x:v>Gemini-3.8-flash/generation_state.json</x:v>
      </x:c>
      <x:c r="N249" s="25" t="str">
        <x:v>Gemini-3.8-flash/Result/Codec_17/result.json</x:v>
      </x:c>
      <x:c r="O249" s="25" t="str">
        <x:v>Gemini-3.8-flash/Result/Codec_17/result.json</x:v>
      </x:c>
      <x:c r="P249"/>
      <x:c r="Q249" s="21" t="str"/>
      <x:c r="R249" s="21" t="str"/>
      <x:c r="S249" s="21" t="str"/>
      <x:c r="T249" s="17" t="str">
        <x:v>false</x:v>
      </x:c>
      <x:c r="U249" s="17" t="str">
        <x:v>true</x:v>
      </x:c>
      <x:c r="V249" s="17" t="str">
        <x:v>false</x:v>
      </x:c>
    </x:row>
    <x:row r="250" ht="80" customHeight="1">
      <x:c r="A250" s="25" t="str">
        <x:v>Codec</x:v>
      </x:c>
      <x:c r="B250" s="25" t="n">
        <x:v>18</x:v>
      </x:c>
      <x:c r="C250" s="25" t="str">
        <x:v>Round1</x:v>
      </x:c>
      <x:c r="D250" s="25" t="str">
        <x:v>NOT_REVEALING</x:v>
      </x:c>
      <x:c r="E250" s="25" t="str">
        <x:v>N/A</x:v>
      </x:c>
      <x:c r="F250" s="26" t="str">
        <x:v>Same saved validation suite passed on buggy and fixed</x:v>
      </x:c>
      <x:c r="G250" s="25" t="str">
        <x:v>true</x:v>
      </x:c>
      <x:c r="H250" s="25" t="str">
        <x:v>NOT_REVEALING</x:v>
      </x:c>
      <x:c r="I250" s="25" t="str">
        <x:v>PASS</x:v>
      </x:c>
      <x:c r="J250" s="25" t="str">
        <x:v>PASS</x:v>
      </x:c>
      <x:c r="K250" s="25" t="n">
        <x:v>1</x:v>
      </x:c>
      <x:c r="L250" s="27" t="b">
        <x:v>0</x:v>
      </x:c>
      <x:c r="M250" s="25" t="str">
        <x:v>Gemini-3.8-flash/generation_state.json</x:v>
      </x:c>
      <x:c r="N250" s="25" t="str">
        <x:v>Gemini-3.8-flash/Result/Codec_18/result.json</x:v>
      </x:c>
      <x:c r="O250" s="25" t="str">
        <x:v>Gemini-3.8-flash/Result/Codec_18/result.json</x:v>
      </x:c>
      <x:c r="P250"/>
      <x:c r="Q250" s="21" t="str"/>
      <x:c r="R250" s="21" t="str"/>
      <x:c r="S250" s="21" t="str"/>
      <x:c r="T250" s="17" t="str">
        <x:v>false</x:v>
      </x:c>
      <x:c r="U250" s="17" t="str">
        <x:v>true</x:v>
      </x:c>
      <x:c r="V250" s="17" t="str">
        <x:v>false</x:v>
      </x:c>
    </x:row>
    <x:row r="251" ht="80" customHeight="1">
      <x:c r="A251" s="25" t="str">
        <x:v>Codec</x:v>
      </x:c>
      <x:c r="B251" s="25" t="n">
        <x:v>2</x:v>
      </x:c>
      <x:c r="C251" s="25" t="str">
        <x:v>Round1</x:v>
      </x:c>
      <x:c r="D251" s="25" t="str">
        <x:v>NOT_AVAILABLE</x:v>
      </x:c>
      <x:c r="E251" s="25" t="str">
        <x:v>N/A</x:v>
      </x:c>
      <x:c r="F251" s="26" t="str">
        <x:v>Tests exist but current coverage did not complete</x:v>
      </x:c>
      <x:c r="G251" s="25" t="str">
        <x:v>true</x:v>
      </x:c>
      <x:c r="H251" s="25" t="str">
        <x:v>NOT_AVAILABLE</x:v>
      </x:c>
      <x:c r="I251" s="25" t="str">
        <x:v>NOT_RUN</x:v>
      </x:c>
      <x:c r="J251" s="25" t="str">
        <x:v>NOT_RUN</x:v>
      </x:c>
      <x:c r="K251" s="25" t="n">
        <x:v>1</x:v>
      </x:c>
      <x:c r="L251" s="27" t="b">
        <x:v>0</x:v>
      </x:c>
      <x:c r="M251" s="25" t="str">
        <x:v>Gemini-3.8-flash/generation_state.json</x:v>
      </x:c>
      <x:c r="N251" s="25" t="str">
        <x:v>Gemini-3.8-flash/Result/Codec_2/result.json</x:v>
      </x:c>
      <x:c r="O251" s="25" t="str">
        <x:v>Gemini-3.8-flash/Result/Codec_2/result.json</x:v>
      </x:c>
      <x:c r="P251" t="str">
        <x:v>BOTH_NOT_RUN</x:v>
      </x:c>
      <x:c r="Q251" s="21" t="str"/>
      <x:c r="R251" s="21" t="str"/>
      <x:c r="S251" s="21" t="str"/>
      <x:c r="T251" s="17" t="str">
        <x:v>false</x:v>
      </x:c>
      <x:c r="U251" s="17" t="str">
        <x:v>true</x:v>
      </x:c>
      <x:c r="V251" s="17" t="str">
        <x:v>false</x:v>
      </x:c>
    </x:row>
    <x:row r="252" ht="80" customHeight="1">
      <x:c r="A252" s="25" t="str">
        <x:v>Codec</x:v>
      </x:c>
      <x:c r="B252" s="25" t="n">
        <x:v>3</x:v>
      </x:c>
      <x:c r="C252" s="25" t="str">
        <x:v>Round1</x:v>
      </x:c>
      <x:c r="D252" s="25" t="str">
        <x:v>INCONCLUSIVE</x:v>
      </x:c>
      <x:c r="E252" s="25" t="str">
        <x:v>N/A</x:v>
      </x:c>
      <x:c r="F252" s="26" t="str">
        <x:v>Fixed also failed; assertion failure cannot be attributed to this bug</x:v>
      </x:c>
      <x:c r="G252" s="25" t="str">
        <x:v>true</x:v>
      </x:c>
      <x:c r="H252" s="25" t="str">
        <x:v>INCONCLUSIVE</x:v>
      </x:c>
      <x:c r="I252" s="25" t="str">
        <x:v>FAIL</x:v>
      </x:c>
      <x:c r="J252" s="25" t="str">
        <x:v>FAIL</x:v>
      </x:c>
      <x:c r="K252" s="25" t="n">
        <x:v>1</x:v>
      </x:c>
      <x:c r="L252" s="27" t="b">
        <x:v>0</x:v>
      </x:c>
      <x:c r="M252" s="25" t="str">
        <x:v>Gemini-3.8-flash/generation_state.json</x:v>
      </x:c>
      <x:c r="N252" s="25" t="str">
        <x:v>Gemini-3.8-flash/Result/Codec_3/result.json</x:v>
      </x:c>
      <x:c r="O252" s="25" t="str">
        <x:v>Gemini-3.8-flash/Result/Codec_3/result.json</x:v>
      </x:c>
      <x:c r="P252"/>
      <x:c r="Q252" s="21" t="str"/>
      <x:c r="R252" s="21" t="str"/>
      <x:c r="S252" s="21" t="str"/>
      <x:c r="T252" s="17" t="str">
        <x:v>false</x:v>
      </x:c>
      <x:c r="U252" s="17" t="str">
        <x:v>true</x:v>
      </x:c>
      <x:c r="V252" s="17" t="str">
        <x:v>false</x:v>
      </x:c>
    </x:row>
    <x:row r="253" ht="80" customHeight="1">
      <x:c r="A253" s="25" t="str">
        <x:v>Codec</x:v>
      </x:c>
      <x:c r="B253" s="25" t="n">
        <x:v>4</x:v>
      </x:c>
      <x:c r="C253" s="25" t="str">
        <x:v>Round1</x:v>
      </x:c>
      <x:c r="D253" s="25" t="str">
        <x:v>NOT_AVAILABLE</x:v>
      </x:c>
      <x:c r="E253" s="25" t="str">
        <x:v>N/A</x:v>
      </x:c>
      <x:c r="F253" s="26" t="str">
        <x:v>Tests exist but current coverage did not complete</x:v>
      </x:c>
      <x:c r="G253" s="25" t="str">
        <x:v>true</x:v>
      </x:c>
      <x:c r="H253" s="25" t="str">
        <x:v>NOT_AVAILABLE</x:v>
      </x:c>
      <x:c r="I253" s="25" t="str">
        <x:v>NOT_RUN</x:v>
      </x:c>
      <x:c r="J253" s="25" t="str">
        <x:v>NOT_RUN</x:v>
      </x:c>
      <x:c r="K253" s="25" t="n">
        <x:v>1</x:v>
      </x:c>
      <x:c r="L253" s="27" t="b">
        <x:v>0</x:v>
      </x:c>
      <x:c r="M253" s="25" t="str">
        <x:v>Gemini-3.8-flash/generation_state.json</x:v>
      </x:c>
      <x:c r="N253" s="25" t="str">
        <x:v>Gemini-3.8-flash/Result/Codec_4/result.json</x:v>
      </x:c>
      <x:c r="O253" s="25" t="str">
        <x:v>Gemini-3.8-flash/Result/Codec_4/result.json</x:v>
      </x:c>
      <x:c r="P253" t="str">
        <x:v>BOTH_NOT_RUN</x:v>
      </x:c>
      <x:c r="Q253" s="21" t="str"/>
      <x:c r="R253" s="21" t="str"/>
      <x:c r="S253" s="21" t="str"/>
      <x:c r="T253" s="17" t="str">
        <x:v>false</x:v>
      </x:c>
      <x:c r="U253" s="17" t="str">
        <x:v>true</x:v>
      </x:c>
      <x:c r="V253" s="17" t="str">
        <x:v>false</x:v>
      </x:c>
    </x:row>
    <x:row r="254" ht="80" customHeight="1">
      <x:c r="A254" s="25" t="str">
        <x:v>Codec</x:v>
      </x:c>
      <x:c r="B254" s="25" t="n">
        <x:v>5</x:v>
      </x:c>
      <x:c r="C254" s="25" t="str">
        <x:v>Round1</x:v>
      </x:c>
      <x:c r="D254" s="25" t="str">
        <x:v>NOT_AVAILABLE</x:v>
      </x:c>
      <x:c r="E254" s="25" t="str">
        <x:v>N/A</x:v>
      </x:c>
      <x:c r="F254" s="26" t="str">
        <x:v>Tests exist but current coverage did not complete</x:v>
      </x:c>
      <x:c r="G254" s="25" t="str">
        <x:v>true</x:v>
      </x:c>
      <x:c r="H254" s="25" t="str">
        <x:v>NOT_AVAILABLE</x:v>
      </x:c>
      <x:c r="I254" s="25" t="str">
        <x:v>NOT_RUN</x:v>
      </x:c>
      <x:c r="J254" s="25" t="str">
        <x:v>NOT_RUN</x:v>
      </x:c>
      <x:c r="K254" s="25" t="n">
        <x:v>1</x:v>
      </x:c>
      <x:c r="L254" s="27" t="b">
        <x:v>0</x:v>
      </x:c>
      <x:c r="M254" s="25" t="str">
        <x:v>Gemini-3.8-flash/generation_state.json</x:v>
      </x:c>
      <x:c r="N254" s="25" t="str">
        <x:v>Gemini-3.8-flash/Result/Codec_5/result.json</x:v>
      </x:c>
      <x:c r="O254" s="25" t="str">
        <x:v>Gemini-3.8-flash/Result/Codec_5/result.json</x:v>
      </x:c>
      <x:c r="P254" t="str">
        <x:v>BOTH_NOT_RUN</x:v>
      </x:c>
      <x:c r="Q254" s="21" t="str"/>
      <x:c r="R254" s="21" t="str"/>
      <x:c r="S254" s="21" t="str"/>
      <x:c r="T254" s="17" t="str">
        <x:v>false</x:v>
      </x:c>
      <x:c r="U254" s="17" t="str">
        <x:v>true</x:v>
      </x:c>
      <x:c r="V254" s="17" t="str">
        <x:v>false</x:v>
      </x:c>
    </x:row>
    <x:row r="255" ht="80" customHeight="1">
      <x:c r="A255" s="25" t="str">
        <x:v>Codec</x:v>
      </x:c>
      <x:c r="B255" s="25" t="n">
        <x:v>6</x:v>
      </x:c>
      <x:c r="C255" s="25" t="str">
        <x:v>Round1</x:v>
      </x:c>
      <x:c r="D255" s="25" t="str">
        <x:v>NOT_REVEALING</x:v>
      </x:c>
      <x:c r="E255" s="25" t="str">
        <x:v>N/A</x:v>
      </x:c>
      <x:c r="F255" s="26" t="str">
        <x:v>Same saved validation suite passed on buggy and fixed</x:v>
      </x:c>
      <x:c r="G255" s="25" t="str">
        <x:v>true</x:v>
      </x:c>
      <x:c r="H255" s="25" t="str">
        <x:v>NOT_REVEALING</x:v>
      </x:c>
      <x:c r="I255" s="25" t="str">
        <x:v>PASS</x:v>
      </x:c>
      <x:c r="J255" s="25" t="str">
        <x:v>PASS</x:v>
      </x:c>
      <x:c r="K255" s="25" t="n">
        <x:v>1</x:v>
      </x:c>
      <x:c r="L255" s="27" t="b">
        <x:v>0</x:v>
      </x:c>
      <x:c r="M255" s="25" t="str">
        <x:v>Gemini-3.8-flash/generation_state.json</x:v>
      </x:c>
      <x:c r="N255" s="25" t="str">
        <x:v>Gemini-3.8-flash/Result/Codec_6/result.json</x:v>
      </x:c>
      <x:c r="O255" s="25" t="str">
        <x:v>Gemini-3.8-flash/Result/Codec_6/result.json</x:v>
      </x:c>
      <x:c r="P255"/>
      <x:c r="Q255" s="21" t="str"/>
      <x:c r="R255" s="21" t="str"/>
      <x:c r="S255" s="21" t="str"/>
      <x:c r="T255" s="17" t="str">
        <x:v>false</x:v>
      </x:c>
      <x:c r="U255" s="17" t="str">
        <x:v>true</x:v>
      </x:c>
      <x:c r="V255" s="17" t="str">
        <x:v>false</x:v>
      </x:c>
    </x:row>
    <x:row r="256" ht="80" customHeight="1">
      <x:c r="A256" s="25" t="str">
        <x:v>Codec</x:v>
      </x:c>
      <x:c r="B256" s="25" t="n">
        <x:v>7</x:v>
      </x:c>
      <x:c r="C256" s="25" t="str">
        <x:v>Round1</x:v>
      </x:c>
      <x:c r="D256" s="25" t="str">
        <x:v>NOT_AVAILABLE</x:v>
      </x:c>
      <x:c r="E256" s="25" t="str">
        <x:v>N/A</x:v>
      </x:c>
      <x:c r="F256" s="26" t="str">
        <x:v>Tests exist but current coverage did not complete</x:v>
      </x:c>
      <x:c r="G256" s="25" t="str">
        <x:v>true</x:v>
      </x:c>
      <x:c r="H256" s="25" t="str">
        <x:v>NOT_AVAILABLE</x:v>
      </x:c>
      <x:c r="I256" s="25" t="str">
        <x:v>NOT_RUN</x:v>
      </x:c>
      <x:c r="J256" s="25" t="str">
        <x:v>NOT_RUN</x:v>
      </x:c>
      <x:c r="K256" s="25" t="n">
        <x:v>1</x:v>
      </x:c>
      <x:c r="L256" s="27" t="b">
        <x:v>0</x:v>
      </x:c>
      <x:c r="M256" s="25" t="str">
        <x:v>Gemini-3.8-flash/generation_state.json</x:v>
      </x:c>
      <x:c r="N256" s="25" t="str">
        <x:v>Gemini-3.8-flash/Result/Codec_7/result.json</x:v>
      </x:c>
      <x:c r="O256" s="25" t="str">
        <x:v>Gemini-3.8-flash/Result/Codec_7/result.json</x:v>
      </x:c>
      <x:c r="P256" t="str">
        <x:v>BOTH_NOT_RUN</x:v>
      </x:c>
      <x:c r="Q256" s="21" t="str"/>
      <x:c r="R256" s="21" t="str"/>
      <x:c r="S256" s="21" t="str"/>
      <x:c r="T256" s="17" t="str">
        <x:v>false</x:v>
      </x:c>
      <x:c r="U256" s="17" t="str">
        <x:v>true</x:v>
      </x:c>
      <x:c r="V256" s="17" t="str">
        <x:v>false</x:v>
      </x:c>
    </x:row>
    <x:row r="257" ht="80" customHeight="1">
      <x:c r="A257" s="25" t="str">
        <x:v>Codec</x:v>
      </x:c>
      <x:c r="B257" s="25" t="n">
        <x:v>8</x:v>
      </x:c>
      <x:c r="C257" s="25" t="str">
        <x:v>Round1</x:v>
      </x:c>
      <x:c r="D257" s="25" t="str">
        <x:v>NOT_AVAILABLE</x:v>
      </x:c>
      <x:c r="E257" s="25" t="str">
        <x:v>N/A</x:v>
      </x:c>
      <x:c r="F257" s="26" t="str">
        <x:v>Tests exist but current coverage did not complete</x:v>
      </x:c>
      <x:c r="G257" s="25" t="str">
        <x:v>true</x:v>
      </x:c>
      <x:c r="H257" s="25" t="str">
        <x:v>NOT_AVAILABLE</x:v>
      </x:c>
      <x:c r="I257" s="25" t="str">
        <x:v>NOT_RUN</x:v>
      </x:c>
      <x:c r="J257" s="25" t="str">
        <x:v>NOT_RUN</x:v>
      </x:c>
      <x:c r="K257" s="25" t="n">
        <x:v>2</x:v>
      </x:c>
      <x:c r="L257" s="27" t="b">
        <x:v>0</x:v>
      </x:c>
      <x:c r="M257" s="25" t="str">
        <x:v>Gemini-3.8-flash/generation_state.json</x:v>
      </x:c>
      <x:c r="N257" s="25" t="str">
        <x:v>Gemini-3.8-flash/Result/Codec_8/result.json</x:v>
      </x:c>
      <x:c r="O257" s="25" t="str">
        <x:v>Gemini-3.8-flash/Result/Codec_8/result.json</x:v>
      </x:c>
      <x:c r="P257" t="str">
        <x:v>BOTH_NOT_RUN</x:v>
      </x:c>
      <x:c r="Q257" s="21" t="str"/>
      <x:c r="R257" s="21" t="str"/>
      <x:c r="S257" s="21" t="str"/>
      <x:c r="T257" s="17" t="str">
        <x:v>false</x:v>
      </x:c>
      <x:c r="U257" s="17" t="str">
        <x:v>true</x:v>
      </x:c>
      <x:c r="V257" s="17" t="str">
        <x:v>false</x:v>
      </x:c>
    </x:row>
    <x:row r="258" ht="80" customHeight="1">
      <x:c r="A258" s="25" t="str">
        <x:v>Codec</x:v>
      </x:c>
      <x:c r="B258" s="25" t="n">
        <x:v>9</x:v>
      </x:c>
      <x:c r="C258" s="25" t="str">
        <x:v>Round1</x:v>
      </x:c>
      <x:c r="D258" s="25" t="str">
        <x:v>NOT_AVAILABLE</x:v>
      </x:c>
      <x:c r="E258" s="25" t="str">
        <x:v>N/A</x:v>
      </x:c>
      <x:c r="F258" s="26" t="str">
        <x:v>Tests exist but current coverage did not complete</x:v>
      </x:c>
      <x:c r="G258" s="25" t="str">
        <x:v>true</x:v>
      </x:c>
      <x:c r="H258" s="25" t="str">
        <x:v>NOT_AVAILABLE</x:v>
      </x:c>
      <x:c r="I258" s="25" t="str">
        <x:v>NOT_RUN</x:v>
      </x:c>
      <x:c r="J258" s="25" t="str">
        <x:v>NOT_RUN</x:v>
      </x:c>
      <x:c r="K258" s="25" t="n">
        <x:v>1</x:v>
      </x:c>
      <x:c r="L258" s="27" t="b">
        <x:v>0</x:v>
      </x:c>
      <x:c r="M258" s="25" t="str">
        <x:v>Gemini-3.8-flash/generation_state.json</x:v>
      </x:c>
      <x:c r="N258" s="25" t="str">
        <x:v>Gemini-3.8-flash/Result/Codec_9/result.json</x:v>
      </x:c>
      <x:c r="O258" s="25" t="str">
        <x:v>Gemini-3.8-flash/Result/Codec_9/result.json</x:v>
      </x:c>
      <x:c r="P258" t="str">
        <x:v>BOTH_NOT_RUN</x:v>
      </x:c>
      <x:c r="Q258" s="21" t="str"/>
      <x:c r="R258" s="21" t="str"/>
      <x:c r="S258" s="21" t="str"/>
      <x:c r="T258" s="17" t="str">
        <x:v>false</x:v>
      </x:c>
      <x:c r="U258" s="17" t="str">
        <x:v>true</x:v>
      </x:c>
      <x:c r="V258" s="17" t="str">
        <x:v>false</x:v>
      </x:c>
    </x:row>
    <x:row r="259" ht="80" customHeight="1">
      <x:c r="A259" s="25" t="str">
        <x:v>Collections</x:v>
      </x:c>
      <x:c r="B259" s="25" t="n">
        <x:v>1</x:v>
      </x:c>
      <x:c r="C259" s="25" t="str">
        <x:v>Round1</x:v>
      </x:c>
      <x:c r="D259" s="25" t="str">
        <x:v>INCONCLUSIVE</x:v>
      </x:c>
      <x:c r="E259" s="25" t="str">
        <x:v>N/A</x:v>
      </x:c>
      <x:c r="F259" s="26" t="str">
        <x:v>Fixed also failed; assertion failure cannot be attributed to this bug</x:v>
      </x:c>
      <x:c r="G259" s="25" t="str">
        <x:v>true</x:v>
      </x:c>
      <x:c r="H259" s="25" t="str">
        <x:v>INCONCLUSIVE</x:v>
      </x:c>
      <x:c r="I259" s="25" t="str">
        <x:v>FAIL</x:v>
      </x:c>
      <x:c r="J259" s="25" t="str">
        <x:v>FAIL</x:v>
      </x:c>
      <x:c r="K259" s="25" t="n">
        <x:v>1</x:v>
      </x:c>
      <x:c r="L259" s="27" t="b">
        <x:v>0</x:v>
      </x:c>
      <x:c r="M259" s="25" t="str">
        <x:v>Gemini-3.8-flash/generation_state.json</x:v>
      </x:c>
      <x:c r="N259" s="25" t="str">
        <x:v>Gemini-3.8-flash/Result/Collections_1/result.json</x:v>
      </x:c>
      <x:c r="O259" s="25" t="str">
        <x:v>Gemini-3.8-flash/Result/Collections_1/result.json</x:v>
      </x:c>
      <x:c r="P259"/>
      <x:c r="Q259" s="21" t="str"/>
      <x:c r="R259" s="21" t="str"/>
      <x:c r="S259" s="21" t="str"/>
      <x:c r="T259" s="17" t="str">
        <x:v>false</x:v>
      </x:c>
      <x:c r="U259" s="17" t="str">
        <x:v>true</x:v>
      </x:c>
      <x:c r="V259" s="17" t="str">
        <x:v>false</x:v>
      </x:c>
    </x:row>
    <x:row r="260" ht="80" customHeight="1">
      <x:c r="A260" s="25" t="str">
        <x:v>Collections</x:v>
      </x:c>
      <x:c r="B260" s="25" t="n">
        <x:v>10</x:v>
      </x:c>
      <x:c r="C260" s="25" t="str">
        <x:v>Round1</x:v>
      </x:c>
      <x:c r="D260" s="25" t="str">
        <x:v>INCONCLUSIVE</x:v>
      </x:c>
      <x:c r="E260" s="25" t="str">
        <x:v>N/A</x:v>
      </x:c>
      <x:c r="F260" s="26" t="str">
        <x:v>Fixed also failed; assertion failure cannot be attributed to this bug</x:v>
      </x:c>
      <x:c r="G260" s="25" t="str">
        <x:v>true</x:v>
      </x:c>
      <x:c r="H260" s="25" t="str">
        <x:v>INCONCLUSIVE</x:v>
      </x:c>
      <x:c r="I260" s="25" t="str">
        <x:v>FAIL</x:v>
      </x:c>
      <x:c r="J260" s="25" t="str">
        <x:v>FAIL</x:v>
      </x:c>
      <x:c r="K260" s="25" t="n">
        <x:v>1</x:v>
      </x:c>
      <x:c r="L260" s="27" t="b">
        <x:v>0</x:v>
      </x:c>
      <x:c r="M260" s="25" t="str">
        <x:v>Gemini-3.8-flash/generation_state.json</x:v>
      </x:c>
      <x:c r="N260" s="25" t="str">
        <x:v>Gemini-3.8-flash/Result/Collections_10/result.json</x:v>
      </x:c>
      <x:c r="O260" s="25" t="str">
        <x:v>Gemini-3.8-flash/Result/Collections_10/result.json</x:v>
      </x:c>
      <x:c r="P260"/>
      <x:c r="Q260" s="21" t="str"/>
      <x:c r="R260" s="21" t="str"/>
      <x:c r="S260" s="21" t="str"/>
      <x:c r="T260" s="17" t="str">
        <x:v>false</x:v>
      </x:c>
      <x:c r="U260" s="17" t="str">
        <x:v>true</x:v>
      </x:c>
      <x:c r="V260" s="17" t="str">
        <x:v>false</x:v>
      </x:c>
    </x:row>
    <x:row r="261" ht="80" customHeight="1">
      <x:c r="A261" s="25" t="str">
        <x:v>Collections</x:v>
      </x:c>
      <x:c r="B261" s="25" t="n">
        <x:v>11</x:v>
      </x:c>
      <x:c r="C261" s="25" t="str">
        <x:v>Round1</x:v>
      </x:c>
      <x:c r="D261" s="25" t="str">
        <x:v>NOT_REVEALING</x:v>
      </x:c>
      <x:c r="E261" s="25" t="str">
        <x:v>N/A</x:v>
      </x:c>
      <x:c r="F261" s="26" t="str">
        <x:v>Same saved validation suite passed on buggy and fixed</x:v>
      </x:c>
      <x:c r="G261" s="25" t="str">
        <x:v>true</x:v>
      </x:c>
      <x:c r="H261" s="25" t="str">
        <x:v>NOT_REVEALING</x:v>
      </x:c>
      <x:c r="I261" s="25" t="str">
        <x:v>PASS</x:v>
      </x:c>
      <x:c r="J261" s="25" t="str">
        <x:v>PASS</x:v>
      </x:c>
      <x:c r="K261" s="25" t="n">
        <x:v>1</x:v>
      </x:c>
      <x:c r="L261" s="27" t="b">
        <x:v>0</x:v>
      </x:c>
      <x:c r="M261" s="25" t="str">
        <x:v>Gemini-3.8-flash/generation_state.json</x:v>
      </x:c>
      <x:c r="N261" s="25" t="str">
        <x:v>Gemini-3.8-flash/Result/Collections_11/result.json</x:v>
      </x:c>
      <x:c r="O261" s="25" t="str">
        <x:v>Gemini-3.8-flash/Result/Collections_11/result.json</x:v>
      </x:c>
      <x:c r="P261"/>
      <x:c r="Q261" s="21" t="str"/>
      <x:c r="R261" s="21" t="str"/>
      <x:c r="S261" s="21" t="str"/>
      <x:c r="T261" s="17" t="str">
        <x:v>false</x:v>
      </x:c>
      <x:c r="U261" s="17" t="str">
        <x:v>true</x:v>
      </x:c>
      <x:c r="V261" s="17" t="str">
        <x:v>false</x:v>
      </x:c>
    </x:row>
    <x:row r="262" ht="80" customHeight="1">
      <x:c r="A262" s="25" t="str">
        <x:v>Collections</x:v>
      </x:c>
      <x:c r="B262" s="25" t="n">
        <x:v>12</x:v>
      </x:c>
      <x:c r="C262" s="25" t="str">
        <x:v>Round1</x:v>
      </x:c>
      <x:c r="D262" s="25" t="str">
        <x:v>NOT_REVEALING</x:v>
      </x:c>
      <x:c r="E262" s="25" t="str">
        <x:v>N/A</x:v>
      </x:c>
      <x:c r="F262" s="26" t="str">
        <x:v>Same saved validation suite passed on buggy and fixed</x:v>
      </x:c>
      <x:c r="G262" s="25" t="str">
        <x:v>true</x:v>
      </x:c>
      <x:c r="H262" s="25" t="str">
        <x:v>NOT_REVEALING</x:v>
      </x:c>
      <x:c r="I262" s="25" t="str">
        <x:v>PASS</x:v>
      </x:c>
      <x:c r="J262" s="25" t="str">
        <x:v>PASS</x:v>
      </x:c>
      <x:c r="K262" s="25" t="n">
        <x:v>1</x:v>
      </x:c>
      <x:c r="L262" s="27" t="b">
        <x:v>0</x:v>
      </x:c>
      <x:c r="M262" s="25" t="str">
        <x:v>Gemini-3.8-flash/generation_state.json</x:v>
      </x:c>
      <x:c r="N262" s="25" t="str">
        <x:v>Gemini-3.8-flash/Result/Collections_12/result.json</x:v>
      </x:c>
      <x:c r="O262" s="25" t="str">
        <x:v>Gemini-3.8-flash/Result/Collections_12/result.json</x:v>
      </x:c>
      <x:c r="P262"/>
      <x:c r="Q262" s="21" t="str"/>
      <x:c r="R262" s="21" t="str"/>
      <x:c r="S262" s="21" t="str"/>
      <x:c r="T262" s="17" t="str">
        <x:v>false</x:v>
      </x:c>
      <x:c r="U262" s="17" t="str">
        <x:v>true</x:v>
      </x:c>
      <x:c r="V262" s="17" t="str">
        <x:v>false</x:v>
      </x:c>
    </x:row>
    <x:row r="263" ht="80" customHeight="1">
      <x:c r="A263" s="25" t="str">
        <x:v>Collections</x:v>
      </x:c>
      <x:c r="B263" s="25" t="n">
        <x:v>13</x:v>
      </x:c>
      <x:c r="C263" s="25" t="str">
        <x:v>Round1</x:v>
      </x:c>
      <x:c r="D263" s="25" t="str">
        <x:v>NOT_REVEALING</x:v>
      </x:c>
      <x:c r="E263" s="25" t="str">
        <x:v>N/A</x:v>
      </x:c>
      <x:c r="F263" s="26" t="str">
        <x:v>Same saved validation suite passed on buggy and fixed</x:v>
      </x:c>
      <x:c r="G263" s="25" t="str">
        <x:v>true</x:v>
      </x:c>
      <x:c r="H263" s="25" t="str">
        <x:v>NOT_REVEALING</x:v>
      </x:c>
      <x:c r="I263" s="25" t="str">
        <x:v>PASS</x:v>
      </x:c>
      <x:c r="J263" s="25" t="str">
        <x:v>PASS</x:v>
      </x:c>
      <x:c r="K263" s="25" t="n">
        <x:v>1</x:v>
      </x:c>
      <x:c r="L263" s="27" t="b">
        <x:v>0</x:v>
      </x:c>
      <x:c r="M263" s="25" t="str">
        <x:v>Gemini-3.8-flash/generation_state.json</x:v>
      </x:c>
      <x:c r="N263" s="25" t="str">
        <x:v>Gemini-3.8-flash/Result/Collections_13/result.json</x:v>
      </x:c>
      <x:c r="O263" s="25" t="str">
        <x:v>Gemini-3.8-flash/Result/Collections_13/result.json</x:v>
      </x:c>
      <x:c r="P263"/>
      <x:c r="Q263" s="21" t="str"/>
      <x:c r="R263" s="21" t="str"/>
      <x:c r="S263" s="21" t="str"/>
      <x:c r="T263" s="17" t="str">
        <x:v>false</x:v>
      </x:c>
      <x:c r="U263" s="17" t="str">
        <x:v>true</x:v>
      </x:c>
      <x:c r="V263" s="17" t="str">
        <x:v>false</x:v>
      </x:c>
    </x:row>
    <x:row r="264" ht="80" customHeight="1">
      <x:c r="A264" s="25" t="str">
        <x:v>Collections</x:v>
      </x:c>
      <x:c r="B264" s="25" t="n">
        <x:v>14</x:v>
      </x:c>
      <x:c r="C264" s="25" t="str">
        <x:v>Round1</x:v>
      </x:c>
      <x:c r="D264" s="25" t="str">
        <x:v>INCONCLUSIVE</x:v>
      </x:c>
      <x:c r="E264" s="25" t="str">
        <x:v>N/A</x:v>
      </x:c>
      <x:c r="F264" s="26" t="str">
        <x:v>Fixed also failed; assertion failure cannot be attributed to this bug</x:v>
      </x:c>
      <x:c r="G264" s="25" t="str">
        <x:v>true</x:v>
      </x:c>
      <x:c r="H264" s="25" t="str">
        <x:v>INCONCLUSIVE</x:v>
      </x:c>
      <x:c r="I264" s="25" t="str">
        <x:v>FAIL</x:v>
      </x:c>
      <x:c r="J264" s="25" t="str">
        <x:v>FAIL</x:v>
      </x:c>
      <x:c r="K264" s="25" t="n">
        <x:v>1</x:v>
      </x:c>
      <x:c r="L264" s="27" t="b">
        <x:v>0</x:v>
      </x:c>
      <x:c r="M264" s="25" t="str">
        <x:v>Gemini-3.8-flash/generation_state.json</x:v>
      </x:c>
      <x:c r="N264" s="25" t="str">
        <x:v>Gemini-3.8-flash/Result/Collections_14/result.json</x:v>
      </x:c>
      <x:c r="O264" s="25" t="str">
        <x:v>Gemini-3.8-flash/Result/Collections_14/result.json</x:v>
      </x:c>
      <x:c r="P264"/>
      <x:c r="Q264" s="21" t="str"/>
      <x:c r="R264" s="21" t="str"/>
      <x:c r="S264" s="21" t="str"/>
      <x:c r="T264" s="17" t="str">
        <x:v>false</x:v>
      </x:c>
      <x:c r="U264" s="17" t="str">
        <x:v>true</x:v>
      </x:c>
      <x:c r="V264" s="17" t="str">
        <x:v>false</x:v>
      </x:c>
    </x:row>
    <x:row r="265" ht="80" customHeight="1">
      <x:c r="A265" s="25" t="str">
        <x:v>Collections</x:v>
      </x:c>
      <x:c r="B265" s="25" t="n">
        <x:v>15</x:v>
      </x:c>
      <x:c r="C265" s="25" t="str">
        <x:v>Round1</x:v>
      </x:c>
      <x:c r="D265" s="25" t="str">
        <x:v>REVEALING</x:v>
      </x:c>
      <x:c r="E265" s="25" t="str">
        <x:v>N/A</x:v>
      </x:c>
      <x:c r="F265" s="26" t="str">
        <x:v>Same saved validation suite failed on buggy and passed on fixed</x:v>
      </x:c>
      <x:c r="G265" s="25" t="str">
        <x:v>true</x:v>
      </x:c>
      <x:c r="H265" s="25" t="str">
        <x:v>REVEALING</x:v>
      </x:c>
      <x:c r="I265" s="25" t="str">
        <x:v>FAIL</x:v>
      </x:c>
      <x:c r="J265" s="25" t="str">
        <x:v>PASS</x:v>
      </x:c>
      <x:c r="K265" s="25" t="n">
        <x:v>1</x:v>
      </x:c>
      <x:c r="L265" s="27" t="b">
        <x:v>0</x:v>
      </x:c>
      <x:c r="M265" s="25" t="str">
        <x:v>Gemini-3.8-flash/generation_state.json</x:v>
      </x:c>
      <x:c r="N265" s="25" t="str">
        <x:v>Gemini-3.8-flash/Result/Collections_15/result.json</x:v>
      </x:c>
      <x:c r="O265" s="25" t="str">
        <x:v>Gemini-3.8-flash/Result/Collections_15/result.json</x:v>
      </x:c>
      <x:c r="P265"/>
      <x:c r="Q265" s="21" t="str"/>
      <x:c r="R265" s="21" t="str"/>
      <x:c r="S265" s="21" t="str"/>
      <x:c r="T265" s="17" t="str">
        <x:v>false</x:v>
      </x:c>
      <x:c r="U265" s="17" t="str">
        <x:v>true</x:v>
      </x:c>
      <x:c r="V265" s="17" t="str">
        <x:v>false</x:v>
      </x:c>
    </x:row>
    <x:row r="266" ht="80" customHeight="1">
      <x:c r="A266" s="25" t="str">
        <x:v>Collections</x:v>
      </x:c>
      <x:c r="B266" s="25" t="n">
        <x:v>16</x:v>
      </x:c>
      <x:c r="C266" s="25" t="str">
        <x:v>Round1</x:v>
      </x:c>
      <x:c r="D266" s="25" t="str">
        <x:v>INCONCLUSIVE</x:v>
      </x:c>
      <x:c r="E266" s="25" t="str">
        <x:v>N/A</x:v>
      </x:c>
      <x:c r="F266" s="26" t="str">
        <x:v>Fixed also failed; assertion failure cannot be attributed to this bug</x:v>
      </x:c>
      <x:c r="G266" s="25" t="str">
        <x:v>true</x:v>
      </x:c>
      <x:c r="H266" s="25" t="str">
        <x:v>INCONCLUSIVE</x:v>
      </x:c>
      <x:c r="I266" s="25" t="str">
        <x:v>PASS</x:v>
      </x:c>
      <x:c r="J266" s="25" t="str">
        <x:v>FAIL</x:v>
      </x:c>
      <x:c r="K266" s="25" t="n">
        <x:v>1</x:v>
      </x:c>
      <x:c r="L266" s="27" t="b">
        <x:v>0</x:v>
      </x:c>
      <x:c r="M266" s="25" t="str">
        <x:v>Gemini-3.8-flash/generation_state.json</x:v>
      </x:c>
      <x:c r="N266" s="25" t="str">
        <x:v>Gemini-3.8-flash/Result/Collections_16/result.json</x:v>
      </x:c>
      <x:c r="O266" s="25" t="str">
        <x:v>Gemini-3.8-flash/Result/Collections_16/result.json</x:v>
      </x:c>
      <x:c r="P266"/>
      <x:c r="Q266" s="21" t="str"/>
      <x:c r="R266" s="21" t="str"/>
      <x:c r="S266" s="21" t="str"/>
      <x:c r="T266" s="17" t="str">
        <x:v>false</x:v>
      </x:c>
      <x:c r="U266" s="17" t="str">
        <x:v>true</x:v>
      </x:c>
      <x:c r="V266" s="17" t="str">
        <x:v>false</x:v>
      </x:c>
    </x:row>
    <x:row r="267" ht="80" customHeight="1">
      <x:c r="A267" s="25" t="str">
        <x:v>Collections</x:v>
      </x:c>
      <x:c r="B267" s="25" t="n">
        <x:v>17</x:v>
      </x:c>
      <x:c r="C267" s="25" t="str">
        <x:v>Round1</x:v>
      </x:c>
      <x:c r="D267" s="25" t="str">
        <x:v>INCONCLUSIVE</x:v>
      </x:c>
      <x:c r="E267" s="25" t="str">
        <x:v>N/A</x:v>
      </x:c>
      <x:c r="F267" s="26" t="str">
        <x:v>Fixed also failed; assertion failure cannot be attributed to this bug</x:v>
      </x:c>
      <x:c r="G267" s="25" t="str">
        <x:v>true</x:v>
      </x:c>
      <x:c r="H267" s="25" t="str">
        <x:v>INCONCLUSIVE</x:v>
      </x:c>
      <x:c r="I267" s="25" t="str">
        <x:v>FAIL</x:v>
      </x:c>
      <x:c r="J267" s="25" t="str">
        <x:v>FAIL</x:v>
      </x:c>
      <x:c r="K267" s="25" t="n">
        <x:v>1</x:v>
      </x:c>
      <x:c r="L267" s="27" t="b">
        <x:v>0</x:v>
      </x:c>
      <x:c r="M267" s="25" t="str">
        <x:v>Gemini-3.8-flash/generation_state.json</x:v>
      </x:c>
      <x:c r="N267" s="25" t="str">
        <x:v>Gemini-3.8-flash/Result/Collections_17/result.json</x:v>
      </x:c>
      <x:c r="O267" s="25" t="str">
        <x:v>Gemini-3.8-flash/Result/Collections_17/result.json</x:v>
      </x:c>
      <x:c r="P267"/>
      <x:c r="Q267" s="21" t="str"/>
      <x:c r="R267" s="21" t="str"/>
      <x:c r="S267" s="21" t="str"/>
      <x:c r="T267" s="17" t="str">
        <x:v>false</x:v>
      </x:c>
      <x:c r="U267" s="17" t="str">
        <x:v>true</x:v>
      </x:c>
      <x:c r="V267" s="17" t="str">
        <x:v>false</x:v>
      </x:c>
    </x:row>
    <x:row r="268" ht="80" customHeight="1">
      <x:c r="A268" s="25" t="str">
        <x:v>Collections</x:v>
      </x:c>
      <x:c r="B268" s="25" t="n">
        <x:v>18</x:v>
      </x:c>
      <x:c r="C268" s="25" t="str">
        <x:v>Round1</x:v>
      </x:c>
      <x:c r="D268" s="25" t="str">
        <x:v>INCONCLUSIVE</x:v>
      </x:c>
      <x:c r="E268" s="25" t="str">
        <x:v>N/A</x:v>
      </x:c>
      <x:c r="F268" s="26" t="str">
        <x:v>Fixed also failed; assertion failure cannot be attributed to this bug</x:v>
      </x:c>
      <x:c r="G268" s="25" t="str">
        <x:v>true</x:v>
      </x:c>
      <x:c r="H268" s="25" t="str">
        <x:v>INCONCLUSIVE</x:v>
      </x:c>
      <x:c r="I268" s="25" t="str">
        <x:v>FAIL</x:v>
      </x:c>
      <x:c r="J268" s="25" t="str">
        <x:v>FAIL</x:v>
      </x:c>
      <x:c r="K268" s="25" t="n">
        <x:v>1</x:v>
      </x:c>
      <x:c r="L268" s="27" t="b">
        <x:v>0</x:v>
      </x:c>
      <x:c r="M268" s="25" t="str">
        <x:v>Gemini-3.8-flash/generation_state.json</x:v>
      </x:c>
      <x:c r="N268" s="25" t="str">
        <x:v>Gemini-3.8-flash/Result/Collections_18/result.json</x:v>
      </x:c>
      <x:c r="O268" s="25" t="str">
        <x:v>Gemini-3.8-flash/Result/Collections_18/result.json</x:v>
      </x:c>
      <x:c r="P268"/>
      <x:c r="Q268" s="21" t="str"/>
      <x:c r="R268" s="21" t="str"/>
      <x:c r="S268" s="21" t="str"/>
      <x:c r="T268" s="17" t="str">
        <x:v>false</x:v>
      </x:c>
      <x:c r="U268" s="17" t="str">
        <x:v>true</x:v>
      </x:c>
      <x:c r="V268" s="17" t="str">
        <x:v>false</x:v>
      </x:c>
    </x:row>
    <x:row r="269" ht="80" customHeight="1">
      <x:c r="A269" s="25" t="str">
        <x:v>Collections</x:v>
      </x:c>
      <x:c r="B269" s="25" t="n">
        <x:v>19</x:v>
      </x:c>
      <x:c r="C269" s="25" t="str">
        <x:v>Round1</x:v>
      </x:c>
      <x:c r="D269" s="25" t="str">
        <x:v>NOT_REVEALING</x:v>
      </x:c>
      <x:c r="E269" s="25" t="str">
        <x:v>N/A</x:v>
      </x:c>
      <x:c r="F269" s="26" t="str">
        <x:v>Same saved validation suite passed on buggy and fixed</x:v>
      </x:c>
      <x:c r="G269" s="25" t="str">
        <x:v>true</x:v>
      </x:c>
      <x:c r="H269" s="25" t="str">
        <x:v>NOT_REVEALING</x:v>
      </x:c>
      <x:c r="I269" s="25" t="str">
        <x:v>PASS</x:v>
      </x:c>
      <x:c r="J269" s="25" t="str">
        <x:v>PASS</x:v>
      </x:c>
      <x:c r="K269" s="25" t="n">
        <x:v>1</x:v>
      </x:c>
      <x:c r="L269" s="27" t="b">
        <x:v>0</x:v>
      </x:c>
      <x:c r="M269" s="25" t="str">
        <x:v>Gemini-3.8-flash/generation_state.json</x:v>
      </x:c>
      <x:c r="N269" s="25" t="str">
        <x:v>Gemini-3.8-flash/Result/Collections_19/result.json</x:v>
      </x:c>
      <x:c r="O269" s="25" t="str">
        <x:v>Gemini-3.8-flash/Result/Collections_19/result.json</x:v>
      </x:c>
      <x:c r="P269"/>
      <x:c r="Q269" s="21" t="str"/>
      <x:c r="R269" s="21" t="str"/>
      <x:c r="S269" s="21" t="str"/>
      <x:c r="T269" s="17" t="str">
        <x:v>false</x:v>
      </x:c>
      <x:c r="U269" s="17" t="str">
        <x:v>true</x:v>
      </x:c>
      <x:c r="V269" s="17" t="str">
        <x:v>false</x:v>
      </x:c>
    </x:row>
    <x:row r="270" ht="80" customHeight="1">
      <x:c r="A270" s="25" t="str">
        <x:v>Collections</x:v>
      </x:c>
      <x:c r="B270" s="25" t="n">
        <x:v>2</x:v>
      </x:c>
      <x:c r="C270" s="25" t="str">
        <x:v>Round1</x:v>
      </x:c>
      <x:c r="D270" s="25" t="str">
        <x:v>NOT_REVEALING</x:v>
      </x:c>
      <x:c r="E270" s="25" t="str">
        <x:v>N/A</x:v>
      </x:c>
      <x:c r="F270" s="26" t="str">
        <x:v>Same saved validation suite passed on buggy and fixed</x:v>
      </x:c>
      <x:c r="G270" s="25" t="str">
        <x:v>true</x:v>
      </x:c>
      <x:c r="H270" s="25" t="str">
        <x:v>NOT_REVEALING</x:v>
      </x:c>
      <x:c r="I270" s="25" t="str">
        <x:v>PASS</x:v>
      </x:c>
      <x:c r="J270" s="25" t="str">
        <x:v>PASS</x:v>
      </x:c>
      <x:c r="K270" s="25" t="n">
        <x:v>1</x:v>
      </x:c>
      <x:c r="L270" s="27" t="b">
        <x:v>0</x:v>
      </x:c>
      <x:c r="M270" s="25" t="str">
        <x:v>Gemini-3.8-flash/generation_state.json</x:v>
      </x:c>
      <x:c r="N270" s="25" t="str">
        <x:v>Gemini-3.8-flash/Result/Collections_2/result.json</x:v>
      </x:c>
      <x:c r="O270" s="25" t="str">
        <x:v>Gemini-3.8-flash/Result/Collections_2/result.json</x:v>
      </x:c>
      <x:c r="P270"/>
      <x:c r="Q270" s="21" t="str"/>
      <x:c r="R270" s="21" t="str"/>
      <x:c r="S270" s="21" t="str"/>
      <x:c r="T270" s="17" t="str">
        <x:v>false</x:v>
      </x:c>
      <x:c r="U270" s="17" t="str">
        <x:v>true</x:v>
      </x:c>
      <x:c r="V270" s="17" t="str">
        <x:v>false</x:v>
      </x:c>
    </x:row>
    <x:row r="271" ht="80" customHeight="1">
      <x:c r="A271" s="25" t="str">
        <x:v>Collections</x:v>
      </x:c>
      <x:c r="B271" s="25" t="n">
        <x:v>20</x:v>
      </x:c>
      <x:c r="C271" s="25" t="str">
        <x:v>Round1</x:v>
      </x:c>
      <x:c r="D271" s="25" t="str">
        <x:v>INCONCLUSIVE</x:v>
      </x:c>
      <x:c r="E271" s="25" t="str">
        <x:v>N/A</x:v>
      </x:c>
      <x:c r="F271" s="26" t="str">
        <x:v>Fixed also failed; assertion failure cannot be attributed to this bug</x:v>
      </x:c>
      <x:c r="G271" s="25" t="str">
        <x:v>true</x:v>
      </x:c>
      <x:c r="H271" s="25" t="str">
        <x:v>INCONCLUSIVE</x:v>
      </x:c>
      <x:c r="I271" s="25" t="str">
        <x:v>FAIL</x:v>
      </x:c>
      <x:c r="J271" s="25" t="str">
        <x:v>FAIL</x:v>
      </x:c>
      <x:c r="K271" s="25" t="n">
        <x:v>1</x:v>
      </x:c>
      <x:c r="L271" s="27" t="b">
        <x:v>0</x:v>
      </x:c>
      <x:c r="M271" s="25" t="str">
        <x:v>Gemini-3.8-flash/generation_state.json</x:v>
      </x:c>
      <x:c r="N271" s="25" t="str">
        <x:v>Gemini-3.8-flash/Result/Collections_20/result.json</x:v>
      </x:c>
      <x:c r="O271" s="25" t="str">
        <x:v>Gemini-3.8-flash/Result/Collections_20/result.json</x:v>
      </x:c>
      <x:c r="P271"/>
      <x:c r="Q271" s="21" t="str"/>
      <x:c r="R271" s="21" t="str"/>
      <x:c r="S271" s="21" t="str"/>
      <x:c r="T271" s="17" t="str">
        <x:v>false</x:v>
      </x:c>
      <x:c r="U271" s="17" t="str">
        <x:v>true</x:v>
      </x:c>
      <x:c r="V271" s="17" t="str">
        <x:v>false</x:v>
      </x:c>
    </x:row>
    <x:row r="272" ht="80" customHeight="1">
      <x:c r="A272" s="25" t="str">
        <x:v>Collections</x:v>
      </x:c>
      <x:c r="B272" s="25" t="n">
        <x:v>21</x:v>
      </x:c>
      <x:c r="C272" s="25" t="str">
        <x:v>Round1</x:v>
      </x:c>
      <x:c r="D272" s="25" t="str">
        <x:v>INCONCLUSIVE</x:v>
      </x:c>
      <x:c r="E272" s="25" t="str">
        <x:v>N/A</x:v>
      </x:c>
      <x:c r="F272" s="26" t="str">
        <x:v>Fixed also failed; assertion failure cannot be attributed to this bug</x:v>
      </x:c>
      <x:c r="G272" s="25" t="str">
        <x:v>true</x:v>
      </x:c>
      <x:c r="H272" s="25" t="str">
        <x:v>INCONCLUSIVE</x:v>
      </x:c>
      <x:c r="I272" s="25" t="str">
        <x:v>FAIL</x:v>
      </x:c>
      <x:c r="J272" s="25" t="str">
        <x:v>FAIL</x:v>
      </x:c>
      <x:c r="K272" s="25" t="n">
        <x:v>1</x:v>
      </x:c>
      <x:c r="L272" s="27" t="b">
        <x:v>0</x:v>
      </x:c>
      <x:c r="M272" s="25" t="str">
        <x:v>Gemini-3.8-flash/generation_state.json</x:v>
      </x:c>
      <x:c r="N272" s="25" t="str">
        <x:v>Gemini-3.8-flash/Result/Collections_21/result.json</x:v>
      </x:c>
      <x:c r="O272" s="25" t="str">
        <x:v>Gemini-3.8-flash/Result/Collections_21/result.json</x:v>
      </x:c>
      <x:c r="P272"/>
      <x:c r="Q272" s="21" t="str"/>
      <x:c r="R272" s="21" t="str"/>
      <x:c r="S272" s="21" t="str"/>
      <x:c r="T272" s="17" t="str">
        <x:v>false</x:v>
      </x:c>
      <x:c r="U272" s="17" t="str">
        <x:v>true</x:v>
      </x:c>
      <x:c r="V272" s="17" t="str">
        <x:v>false</x:v>
      </x:c>
    </x:row>
    <x:row r="273" ht="80" customHeight="1">
      <x:c r="A273" s="25" t="str">
        <x:v>Collections</x:v>
      </x:c>
      <x:c r="B273" s="25" t="n">
        <x:v>22</x:v>
      </x:c>
      <x:c r="C273" s="25" t="str">
        <x:v>Round1</x:v>
      </x:c>
      <x:c r="D273" s="25" t="str">
        <x:v>NOT_AVAILABLE</x:v>
      </x:c>
      <x:c r="E273" s="25" t="str">
        <x:v>N/A</x:v>
      </x:c>
      <x:c r="F273" s="26" t="str">
        <x:v>Tests exist but current coverage did not complete</x:v>
      </x:c>
      <x:c r="G273" s="25" t="str">
        <x:v>true</x:v>
      </x:c>
      <x:c r="H273" s="25" t="str">
        <x:v>NOT_AVAILABLE</x:v>
      </x:c>
      <x:c r="I273" s="25" t="str">
        <x:v>NOT_RUN</x:v>
      </x:c>
      <x:c r="J273" s="25" t="str">
        <x:v>NOT_RUN</x:v>
      </x:c>
      <x:c r="K273" s="25" t="n">
        <x:v>1</x:v>
      </x:c>
      <x:c r="L273" s="27" t="b">
        <x:v>0</x:v>
      </x:c>
      <x:c r="M273" s="25" t="str">
        <x:v>Gemini-3.8-flash/generation_state.json</x:v>
      </x:c>
      <x:c r="N273" s="25" t="str">
        <x:v>Gemini-3.8-flash/Result/Collections_22/result.json</x:v>
      </x:c>
      <x:c r="O273" s="25" t="str">
        <x:v>Gemini-3.8-flash/Result/Collections_22/result.json</x:v>
      </x:c>
      <x:c r="P273" t="str">
        <x:v>BOTH_NOT_RUN</x:v>
      </x:c>
      <x:c r="Q273" s="21" t="str"/>
      <x:c r="R273" s="21" t="str"/>
      <x:c r="S273" s="21" t="str"/>
      <x:c r="T273" s="17" t="str">
        <x:v>false</x:v>
      </x:c>
      <x:c r="U273" s="17" t="str">
        <x:v>true</x:v>
      </x:c>
      <x:c r="V273" s="17" t="str">
        <x:v>false</x:v>
      </x:c>
    </x:row>
    <x:row r="274" ht="80" customHeight="1">
      <x:c r="A274" s="25" t="str">
        <x:v>Collections</x:v>
      </x:c>
      <x:c r="B274" s="25" t="n">
        <x:v>23</x:v>
      </x:c>
      <x:c r="C274" s="25" t="str">
        <x:v>Round1</x:v>
      </x:c>
      <x:c r="D274" s="25" t="str">
        <x:v>INCONCLUSIVE</x:v>
      </x:c>
      <x:c r="E274" s="25" t="str">
        <x:v>N/A</x:v>
      </x:c>
      <x:c r="F274" s="26" t="str">
        <x:v>Fixed also failed; assertion failure cannot be attributed to this bug</x:v>
      </x:c>
      <x:c r="G274" s="25" t="str">
        <x:v>true</x:v>
      </x:c>
      <x:c r="H274" s="25" t="str">
        <x:v>INCONCLUSIVE</x:v>
      </x:c>
      <x:c r="I274" s="25" t="str">
        <x:v>FAIL</x:v>
      </x:c>
      <x:c r="J274" s="25" t="str">
        <x:v>FAIL</x:v>
      </x:c>
      <x:c r="K274" s="25" t="n">
        <x:v>1</x:v>
      </x:c>
      <x:c r="L274" s="27" t="b">
        <x:v>0</x:v>
      </x:c>
      <x:c r="M274" s="25" t="str">
        <x:v>Gemini-3.8-flash/generation_state.json</x:v>
      </x:c>
      <x:c r="N274" s="25" t="str">
        <x:v>Gemini-3.8-flash/Result/Collections_23/result.json</x:v>
      </x:c>
      <x:c r="O274" s="25" t="str">
        <x:v>Gemini-3.8-flash/Result/Collections_23/result.json</x:v>
      </x:c>
      <x:c r="P274"/>
      <x:c r="Q274" s="21" t="str"/>
      <x:c r="R274" s="21" t="str"/>
      <x:c r="S274" s="21" t="str"/>
      <x:c r="T274" s="17" t="str">
        <x:v>false</x:v>
      </x:c>
      <x:c r="U274" s="17" t="str">
        <x:v>true</x:v>
      </x:c>
      <x:c r="V274" s="17" t="str">
        <x:v>false</x:v>
      </x:c>
    </x:row>
    <x:row r="275" ht="80" customHeight="1">
      <x:c r="A275" s="25" t="str">
        <x:v>Collections</x:v>
      </x:c>
      <x:c r="B275" s="25" t="n">
        <x:v>24</x:v>
      </x:c>
      <x:c r="C275" s="25" t="str">
        <x:v>Round1</x:v>
      </x:c>
      <x:c r="D275" s="25" t="str">
        <x:v>NOT_REVEALING</x:v>
      </x:c>
      <x:c r="E275" s="25" t="str">
        <x:v>N/A</x:v>
      </x:c>
      <x:c r="F275" s="26" t="str">
        <x:v>Same saved validation suite passed on buggy and fixed</x:v>
      </x:c>
      <x:c r="G275" s="25" t="str">
        <x:v>true</x:v>
      </x:c>
      <x:c r="H275" s="25" t="str">
        <x:v>NOT_REVEALING</x:v>
      </x:c>
      <x:c r="I275" s="25" t="str">
        <x:v>PASS</x:v>
      </x:c>
      <x:c r="J275" s="25" t="str">
        <x:v>PASS</x:v>
      </x:c>
      <x:c r="K275" s="25" t="n">
        <x:v>1</x:v>
      </x:c>
      <x:c r="L275" s="27" t="b">
        <x:v>0</x:v>
      </x:c>
      <x:c r="M275" s="25" t="str">
        <x:v>Gemini-3.8-flash/generation_state.json</x:v>
      </x:c>
      <x:c r="N275" s="25" t="str">
        <x:v>Gemini-3.8-flash/Result/Collections_24/result.json</x:v>
      </x:c>
      <x:c r="O275" s="25" t="str">
        <x:v>Gemini-3.8-flash/Result/Collections_24/result.json</x:v>
      </x:c>
      <x:c r="P275"/>
      <x:c r="Q275" s="21" t="str"/>
      <x:c r="R275" s="21" t="str"/>
      <x:c r="S275" s="21" t="str"/>
      <x:c r="T275" s="17" t="str">
        <x:v>false</x:v>
      </x:c>
      <x:c r="U275" s="17" t="str">
        <x:v>true</x:v>
      </x:c>
      <x:c r="V275" s="17" t="str">
        <x:v>false</x:v>
      </x:c>
    </x:row>
    <x:row r="276" ht="80" customHeight="1">
      <x:c r="A276" s="25" t="str">
        <x:v>Collections</x:v>
      </x:c>
      <x:c r="B276" s="25" t="n">
        <x:v>25</x:v>
      </x:c>
      <x:c r="C276" s="25" t="str">
        <x:v>Round1</x:v>
      </x:c>
      <x:c r="D276" s="25" t="str">
        <x:v>NOT_AVAILABLE</x:v>
      </x:c>
      <x:c r="E276" s="25" t="str">
        <x:v>N/A</x:v>
      </x:c>
      <x:c r="F276" s="26" t="str">
        <x:v>Tests exist but current coverage did not complete</x:v>
      </x:c>
      <x:c r="G276" s="25" t="str">
        <x:v>true</x:v>
      </x:c>
      <x:c r="H276" s="25" t="str">
        <x:v>NOT_AVAILABLE</x:v>
      </x:c>
      <x:c r="I276" s="25" t="str">
        <x:v>NOT_RUN</x:v>
      </x:c>
      <x:c r="J276" s="25" t="str">
        <x:v>NOT_RUN</x:v>
      </x:c>
      <x:c r="K276" s="25" t="n">
        <x:v>1</x:v>
      </x:c>
      <x:c r="L276" s="27" t="b">
        <x:v>0</x:v>
      </x:c>
      <x:c r="M276" s="25" t="str">
        <x:v>Gemini-3.8-flash/generation_state.json</x:v>
      </x:c>
      <x:c r="N276" s="25" t="str">
        <x:v>Gemini-3.8-flash/Result/Collections_25/result.json</x:v>
      </x:c>
      <x:c r="O276" s="25" t="str">
        <x:v>Gemini-3.8-flash/Result/Collections_25/result.json</x:v>
      </x:c>
      <x:c r="P276" t="str">
        <x:v>BOTH_NOT_RUN</x:v>
      </x:c>
      <x:c r="Q276" s="21" t="str"/>
      <x:c r="R276" s="21" t="str"/>
      <x:c r="S276" s="21" t="str"/>
      <x:c r="T276" s="17" t="str">
        <x:v>false</x:v>
      </x:c>
      <x:c r="U276" s="17" t="str">
        <x:v>true</x:v>
      </x:c>
      <x:c r="V276" s="17" t="str">
        <x:v>false</x:v>
      </x:c>
    </x:row>
    <x:row r="277" ht="80" customHeight="1">
      <x:c r="A277" s="25" t="str">
        <x:v>Collections</x:v>
      </x:c>
      <x:c r="B277" s="25" t="n">
        <x:v>26</x:v>
      </x:c>
      <x:c r="C277" s="25" t="str">
        <x:v>Round1</x:v>
      </x:c>
      <x:c r="D277" s="25" t="str">
        <x:v>INCONCLUSIVE</x:v>
      </x:c>
      <x:c r="E277" s="25" t="str">
        <x:v>N/A</x:v>
      </x:c>
      <x:c r="F277" s="26" t="str">
        <x:v>Fixed also failed; assertion failure cannot be attributed to this bug</x:v>
      </x:c>
      <x:c r="G277" s="25" t="str">
        <x:v>true</x:v>
      </x:c>
      <x:c r="H277" s="25" t="str">
        <x:v>INCONCLUSIVE</x:v>
      </x:c>
      <x:c r="I277" s="25" t="str">
        <x:v>FAIL</x:v>
      </x:c>
      <x:c r="J277" s="25" t="str">
        <x:v>FAIL</x:v>
      </x:c>
      <x:c r="K277" s="25" t="n">
        <x:v>1</x:v>
      </x:c>
      <x:c r="L277" s="27" t="b">
        <x:v>0</x:v>
      </x:c>
      <x:c r="M277" s="25" t="str">
        <x:v>Gemini-3.8-flash/generation_state.json</x:v>
      </x:c>
      <x:c r="N277" s="25" t="str">
        <x:v>Gemini-3.8-flash/Result/Collections_26/result.json</x:v>
      </x:c>
      <x:c r="O277" s="25" t="str">
        <x:v>Gemini-3.8-flash/Result/Collections_26/result.json</x:v>
      </x:c>
      <x:c r="P277"/>
      <x:c r="Q277" s="21" t="str"/>
      <x:c r="R277" s="21" t="str"/>
      <x:c r="S277" s="21" t="str"/>
      <x:c r="T277" s="17" t="str">
        <x:v>false</x:v>
      </x:c>
      <x:c r="U277" s="17" t="str">
        <x:v>true</x:v>
      </x:c>
      <x:c r="V277" s="17" t="str">
        <x:v>false</x:v>
      </x:c>
    </x:row>
    <x:row r="278" ht="80" customHeight="1">
      <x:c r="A278" s="25" t="str">
        <x:v>Collections</x:v>
      </x:c>
      <x:c r="B278" s="25" t="n">
        <x:v>27</x:v>
      </x:c>
      <x:c r="C278" s="25" t="str">
        <x:v>Round1</x:v>
      </x:c>
      <x:c r="D278" s="25" t="str">
        <x:v>NOT_REVEALING</x:v>
      </x:c>
      <x:c r="E278" s="25" t="str">
        <x:v>N/A</x:v>
      </x:c>
      <x:c r="F278" s="26" t="str">
        <x:v>Same saved validation suite passed on buggy and fixed</x:v>
      </x:c>
      <x:c r="G278" s="25" t="str">
        <x:v>true</x:v>
      </x:c>
      <x:c r="H278" s="25" t="str">
        <x:v>NOT_REVEALING</x:v>
      </x:c>
      <x:c r="I278" s="25" t="str">
        <x:v>PASS</x:v>
      </x:c>
      <x:c r="J278" s="25" t="str">
        <x:v>PASS</x:v>
      </x:c>
      <x:c r="K278" s="25" t="n">
        <x:v>1</x:v>
      </x:c>
      <x:c r="L278" s="27" t="b">
        <x:v>0</x:v>
      </x:c>
      <x:c r="M278" s="25" t="str">
        <x:v>Gemini-3.8-flash/generation_state.json</x:v>
      </x:c>
      <x:c r="N278" s="25" t="str">
        <x:v>Gemini-3.8-flash/Result/Collections_27/result.json</x:v>
      </x:c>
      <x:c r="O278" s="25" t="str">
        <x:v>Gemini-3.8-flash/Result/Collections_27/result.json</x:v>
      </x:c>
      <x:c r="P278"/>
      <x:c r="Q278" s="21" t="str"/>
      <x:c r="R278" s="21" t="str"/>
      <x:c r="S278" s="21" t="str"/>
      <x:c r="T278" s="17" t="str">
        <x:v>false</x:v>
      </x:c>
      <x:c r="U278" s="17" t="str">
        <x:v>true</x:v>
      </x:c>
      <x:c r="V278" s="17" t="str">
        <x:v>false</x:v>
      </x:c>
    </x:row>
    <x:row r="279" ht="80" customHeight="1">
      <x:c r="A279" s="25" t="str">
        <x:v>Collections</x:v>
      </x:c>
      <x:c r="B279" s="25" t="n">
        <x:v>28</x:v>
      </x:c>
      <x:c r="C279" s="25" t="str">
        <x:v>Round1</x:v>
      </x:c>
      <x:c r="D279" s="25" t="str">
        <x:v>NOT_AVAILABLE</x:v>
      </x:c>
      <x:c r="E279" s="25" t="str">
        <x:v>N/A</x:v>
      </x:c>
      <x:c r="F279" s="26" t="str">
        <x:v>Tests exist but current coverage did not complete</x:v>
      </x:c>
      <x:c r="G279" s="25" t="str">
        <x:v>true</x:v>
      </x:c>
      <x:c r="H279" s="25" t="str">
        <x:v>NOT_AVAILABLE</x:v>
      </x:c>
      <x:c r="I279" s="25" t="str">
        <x:v>NOT_RUN</x:v>
      </x:c>
      <x:c r="J279" s="25" t="str">
        <x:v>NOT_RUN</x:v>
      </x:c>
      <x:c r="K279" s="25" t="n">
        <x:v>1</x:v>
      </x:c>
      <x:c r="L279" s="27" t="b">
        <x:v>0</x:v>
      </x:c>
      <x:c r="M279" s="25" t="str">
        <x:v>Gemini-3.8-flash/generation_state.json</x:v>
      </x:c>
      <x:c r="N279" s="25" t="str">
        <x:v>Gemini-3.8-flash/Result/Collections_28/result.json</x:v>
      </x:c>
      <x:c r="O279" s="25" t="str">
        <x:v>Gemini-3.8-flash/Result/Collections_28/result.json</x:v>
      </x:c>
      <x:c r="P279" t="str">
        <x:v>BOTH_NOT_RUN</x:v>
      </x:c>
      <x:c r="Q279" s="21" t="str"/>
      <x:c r="R279" s="21" t="str"/>
      <x:c r="S279" s="21" t="str"/>
      <x:c r="T279" s="17" t="str">
        <x:v>false</x:v>
      </x:c>
      <x:c r="U279" s="17" t="str">
        <x:v>true</x:v>
      </x:c>
      <x:c r="V279" s="17" t="str">
        <x:v>false</x:v>
      </x:c>
    </x:row>
    <x:row r="280" ht="80" customHeight="1">
      <x:c r="A280" s="25" t="str">
        <x:v>Collections</x:v>
      </x:c>
      <x:c r="B280" s="25" t="n">
        <x:v>3</x:v>
      </x:c>
      <x:c r="C280" s="25" t="str">
        <x:v>Round1</x:v>
      </x:c>
      <x:c r="D280" s="25" t="str">
        <x:v>NOT_REVEALING</x:v>
      </x:c>
      <x:c r="E280" s="25" t="str">
        <x:v>N/A</x:v>
      </x:c>
      <x:c r="F280" s="26" t="str">
        <x:v>Same saved validation suite passed on buggy and fixed</x:v>
      </x:c>
      <x:c r="G280" s="25" t="str">
        <x:v>true</x:v>
      </x:c>
      <x:c r="H280" s="25" t="str">
        <x:v>NOT_REVEALING</x:v>
      </x:c>
      <x:c r="I280" s="25" t="str">
        <x:v>PASS</x:v>
      </x:c>
      <x:c r="J280" s="25" t="str">
        <x:v>PASS</x:v>
      </x:c>
      <x:c r="K280" s="25" t="n">
        <x:v>1</x:v>
      </x:c>
      <x:c r="L280" s="27" t="b">
        <x:v>0</x:v>
      </x:c>
      <x:c r="M280" s="25" t="str">
        <x:v>Gemini-3.8-flash/generation_state.json</x:v>
      </x:c>
      <x:c r="N280" s="25" t="str">
        <x:v>Gemini-3.8-flash/Result/Collections_3/result.json</x:v>
      </x:c>
      <x:c r="O280" s="25" t="str">
        <x:v>Gemini-3.8-flash/Result/Collections_3/result.json</x:v>
      </x:c>
      <x:c r="P280"/>
      <x:c r="Q280" s="21" t="str"/>
      <x:c r="R280" s="21" t="str"/>
      <x:c r="S280" s="21" t="str"/>
      <x:c r="T280" s="17" t="str">
        <x:v>false</x:v>
      </x:c>
      <x:c r="U280" s="17" t="str">
        <x:v>true</x:v>
      </x:c>
      <x:c r="V280" s="17" t="str">
        <x:v>false</x:v>
      </x:c>
    </x:row>
    <x:row r="281" ht="80" customHeight="1">
      <x:c r="A281" s="25" t="str">
        <x:v>Collections</x:v>
      </x:c>
      <x:c r="B281" s="25" t="n">
        <x:v>4</x:v>
      </x:c>
      <x:c r="C281" s="25" t="str">
        <x:v>Round1</x:v>
      </x:c>
      <x:c r="D281" s="25" t="str">
        <x:v>INCONCLUSIVE</x:v>
      </x:c>
      <x:c r="E281" s="25" t="str">
        <x:v>N/A</x:v>
      </x:c>
      <x:c r="F281" s="26" t="str">
        <x:v>Fixed also failed; assertion failure cannot be attributed to this bug</x:v>
      </x:c>
      <x:c r="G281" s="25" t="str">
        <x:v>true</x:v>
      </x:c>
      <x:c r="H281" s="25" t="str">
        <x:v>INCONCLUSIVE</x:v>
      </x:c>
      <x:c r="I281" s="25" t="str">
        <x:v>FAIL</x:v>
      </x:c>
      <x:c r="J281" s="25" t="str">
        <x:v>FAIL</x:v>
      </x:c>
      <x:c r="K281" s="25" t="n">
        <x:v>1</x:v>
      </x:c>
      <x:c r="L281" s="27" t="b">
        <x:v>0</x:v>
      </x:c>
      <x:c r="M281" s="25" t="str">
        <x:v>Gemini-3.8-flash/generation_state.json</x:v>
      </x:c>
      <x:c r="N281" s="25" t="str">
        <x:v>Gemini-3.8-flash/Result/Collections_4/result.json</x:v>
      </x:c>
      <x:c r="O281" s="25" t="str">
        <x:v>Gemini-3.8-flash/Result/Collections_4/result.json</x:v>
      </x:c>
      <x:c r="P281"/>
      <x:c r="Q281" s="21" t="str"/>
      <x:c r="R281" s="21" t="str"/>
      <x:c r="S281" s="21" t="str"/>
      <x:c r="T281" s="17" t="str">
        <x:v>false</x:v>
      </x:c>
      <x:c r="U281" s="17" t="str">
        <x:v>true</x:v>
      </x:c>
      <x:c r="V281" s="17" t="str">
        <x:v>false</x:v>
      </x:c>
    </x:row>
    <x:row r="282" ht="80" customHeight="1">
      <x:c r="A282" s="25" t="str">
        <x:v>Collections</x:v>
      </x:c>
      <x:c r="B282" s="25" t="n">
        <x:v>5</x:v>
      </x:c>
      <x:c r="C282" s="25" t="str">
        <x:v>Round1</x:v>
      </x:c>
      <x:c r="D282" s="25" t="str">
        <x:v>NOT_REVEALING</x:v>
      </x:c>
      <x:c r="E282" s="25" t="str">
        <x:v>N/A</x:v>
      </x:c>
      <x:c r="F282" s="26" t="str">
        <x:v>Same saved validation suite passed on buggy and fixed</x:v>
      </x:c>
      <x:c r="G282" s="25" t="str">
        <x:v>true</x:v>
      </x:c>
      <x:c r="H282" s="25" t="str">
        <x:v>NOT_REVEALING</x:v>
      </x:c>
      <x:c r="I282" s="25" t="str">
        <x:v>PASS</x:v>
      </x:c>
      <x:c r="J282" s="25" t="str">
        <x:v>PASS</x:v>
      </x:c>
      <x:c r="K282" s="25" t="n">
        <x:v>1</x:v>
      </x:c>
      <x:c r="L282" s="27" t="b">
        <x:v>0</x:v>
      </x:c>
      <x:c r="M282" s="25" t="str">
        <x:v>Gemini-3.8-flash/generation_state.json</x:v>
      </x:c>
      <x:c r="N282" s="25" t="str">
        <x:v>Gemini-3.8-flash/Result/Collections_5/result.json</x:v>
      </x:c>
      <x:c r="O282" s="25" t="str">
        <x:v>Gemini-3.8-flash/Result/Collections_5/result.json</x:v>
      </x:c>
      <x:c r="P282"/>
      <x:c r="Q282" s="21" t="str"/>
      <x:c r="R282" s="21" t="str"/>
      <x:c r="S282" s="21" t="str"/>
      <x:c r="T282" s="17" t="str">
        <x:v>false</x:v>
      </x:c>
      <x:c r="U282" s="17" t="str">
        <x:v>true</x:v>
      </x:c>
      <x:c r="V282" s="17" t="str">
        <x:v>false</x:v>
      </x:c>
    </x:row>
    <x:row r="283" ht="80" customHeight="1">
      <x:c r="A283" s="25" t="str">
        <x:v>Collections</x:v>
      </x:c>
      <x:c r="B283" s="25" t="n">
        <x:v>6</x:v>
      </x:c>
      <x:c r="C283" s="25" t="str">
        <x:v>Round1</x:v>
      </x:c>
      <x:c r="D283" s="25" t="str">
        <x:v>REVEALING</x:v>
      </x:c>
      <x:c r="E283" s="25" t="str">
        <x:v>N/A</x:v>
      </x:c>
      <x:c r="F283" s="26" t="str">
        <x:v>Same saved validation suite failed on buggy and passed on fixed</x:v>
      </x:c>
      <x:c r="G283" s="25" t="str">
        <x:v>true</x:v>
      </x:c>
      <x:c r="H283" s="25" t="str">
        <x:v>REVEALING</x:v>
      </x:c>
      <x:c r="I283" s="25" t="str">
        <x:v>FAIL</x:v>
      </x:c>
      <x:c r="J283" s="25" t="str">
        <x:v>PASS</x:v>
      </x:c>
      <x:c r="K283" s="25" t="n">
        <x:v>1</x:v>
      </x:c>
      <x:c r="L283" s="27" t="b">
        <x:v>0</x:v>
      </x:c>
      <x:c r="M283" s="25" t="str">
        <x:v>Gemini-3.8-flash/generation_state.json</x:v>
      </x:c>
      <x:c r="N283" s="25" t="str">
        <x:v>Gemini-3.8-flash/Result/Collections_6/result.json</x:v>
      </x:c>
      <x:c r="O283" s="25" t="str">
        <x:v>Gemini-3.8-flash/Result/Collections_6/result.json</x:v>
      </x:c>
      <x:c r="P283"/>
      <x:c r="Q283" s="21" t="str"/>
      <x:c r="R283" s="21" t="str"/>
      <x:c r="S283" s="21" t="str"/>
      <x:c r="T283" s="17" t="str">
        <x:v>false</x:v>
      </x:c>
      <x:c r="U283" s="17" t="str">
        <x:v>true</x:v>
      </x:c>
      <x:c r="V283" s="17" t="str">
        <x:v>false</x:v>
      </x:c>
    </x:row>
    <x:row r="284" ht="80" customHeight="1">
      <x:c r="A284" s="25" t="str">
        <x:v>Collections</x:v>
      </x:c>
      <x:c r="B284" s="25" t="n">
        <x:v>7</x:v>
      </x:c>
      <x:c r="C284" s="25" t="str">
        <x:v>Round1</x:v>
      </x:c>
      <x:c r="D284" s="25" t="str">
        <x:v>NOT_REVEALING</x:v>
      </x:c>
      <x:c r="E284" s="25" t="str">
        <x:v>N/A</x:v>
      </x:c>
      <x:c r="F284" s="26" t="str">
        <x:v>Same saved validation suite passed on buggy and fixed</x:v>
      </x:c>
      <x:c r="G284" s="25" t="str">
        <x:v>true</x:v>
      </x:c>
      <x:c r="H284" s="25" t="str">
        <x:v>NOT_REVEALING</x:v>
      </x:c>
      <x:c r="I284" s="25" t="str">
        <x:v>PASS</x:v>
      </x:c>
      <x:c r="J284" s="25" t="str">
        <x:v>PASS</x:v>
      </x:c>
      <x:c r="K284" s="25" t="n">
        <x:v>1</x:v>
      </x:c>
      <x:c r="L284" s="27" t="b">
        <x:v>0</x:v>
      </x:c>
      <x:c r="M284" s="25" t="str">
        <x:v>Gemini-3.8-flash/generation_state.json</x:v>
      </x:c>
      <x:c r="N284" s="25" t="str">
        <x:v>Gemini-3.8-flash/Result/Collections_7/result.json</x:v>
      </x:c>
      <x:c r="O284" s="25" t="str">
        <x:v>Gemini-3.8-flash/Result/Collections_7/result.json</x:v>
      </x:c>
      <x:c r="P284"/>
      <x:c r="Q284" s="21" t="str"/>
      <x:c r="R284" s="21" t="str"/>
      <x:c r="S284" s="21" t="str"/>
      <x:c r="T284" s="17" t="str">
        <x:v>false</x:v>
      </x:c>
      <x:c r="U284" s="17" t="str">
        <x:v>true</x:v>
      </x:c>
      <x:c r="V284" s="17" t="str">
        <x:v>false</x:v>
      </x:c>
    </x:row>
    <x:row r="285" ht="80" customHeight="1">
      <x:c r="A285" s="25" t="str">
        <x:v>Collections</x:v>
      </x:c>
      <x:c r="B285" s="25" t="n">
        <x:v>8</x:v>
      </x:c>
      <x:c r="C285" s="25" t="str">
        <x:v>Round1</x:v>
      </x:c>
      <x:c r="D285" s="25" t="str">
        <x:v>NOT_REVEALING</x:v>
      </x:c>
      <x:c r="E285" s="25" t="str">
        <x:v>N/A</x:v>
      </x:c>
      <x:c r="F285" s="26" t="str">
        <x:v>Same saved validation suite passed on buggy and fixed</x:v>
      </x:c>
      <x:c r="G285" s="25" t="str">
        <x:v>true</x:v>
      </x:c>
      <x:c r="H285" s="25" t="str">
        <x:v>NOT_REVEALING</x:v>
      </x:c>
      <x:c r="I285" s="25" t="str">
        <x:v>PASS</x:v>
      </x:c>
      <x:c r="J285" s="25" t="str">
        <x:v>PASS</x:v>
      </x:c>
      <x:c r="K285" s="25" t="n">
        <x:v>1</x:v>
      </x:c>
      <x:c r="L285" s="27" t="b">
        <x:v>0</x:v>
      </x:c>
      <x:c r="M285" s="25" t="str">
        <x:v>Gemini-3.8-flash/generation_state.json</x:v>
      </x:c>
      <x:c r="N285" s="25" t="str">
        <x:v>Gemini-3.8-flash/Result/Collections_8/result.json</x:v>
      </x:c>
      <x:c r="O285" s="25" t="str">
        <x:v>Gemini-3.8-flash/Result/Collections_8/result.json</x:v>
      </x:c>
      <x:c r="P285"/>
      <x:c r="Q285" s="21" t="str"/>
      <x:c r="R285" s="21" t="str"/>
      <x:c r="S285" s="21" t="str"/>
      <x:c r="T285" s="17" t="str">
        <x:v>false</x:v>
      </x:c>
      <x:c r="U285" s="17" t="str">
        <x:v>true</x:v>
      </x:c>
      <x:c r="V285" s="17" t="str">
        <x:v>false</x:v>
      </x:c>
    </x:row>
    <x:row r="286" ht="80" customHeight="1">
      <x:c r="A286" s="25" t="str">
        <x:v>Collections</x:v>
      </x:c>
      <x:c r="B286" s="25" t="n">
        <x:v>9</x:v>
      </x:c>
      <x:c r="C286" s="25" t="str">
        <x:v>Round1</x:v>
      </x:c>
      <x:c r="D286" s="25" t="str">
        <x:v>NOT_REVEALING</x:v>
      </x:c>
      <x:c r="E286" s="25" t="str">
        <x:v>N/A</x:v>
      </x:c>
      <x:c r="F286" s="26" t="str">
        <x:v>Same saved validation suite passed on buggy and fixed</x:v>
      </x:c>
      <x:c r="G286" s="25" t="str">
        <x:v>true</x:v>
      </x:c>
      <x:c r="H286" s="25" t="str">
        <x:v>NOT_REVEALING</x:v>
      </x:c>
      <x:c r="I286" s="25" t="str">
        <x:v>PASS</x:v>
      </x:c>
      <x:c r="J286" s="25" t="str">
        <x:v>PASS</x:v>
      </x:c>
      <x:c r="K286" s="25" t="n">
        <x:v>1</x:v>
      </x:c>
      <x:c r="L286" s="27" t="b">
        <x:v>0</x:v>
      </x:c>
      <x:c r="M286" s="25" t="str">
        <x:v>Gemini-3.8-flash/generation_state.json</x:v>
      </x:c>
      <x:c r="N286" s="25" t="str">
        <x:v>Gemini-3.8-flash/Result/Collections_9/result.json</x:v>
      </x:c>
      <x:c r="O286" s="25" t="str">
        <x:v>Gemini-3.8-flash/Result/Collections_9/result.json</x:v>
      </x:c>
      <x:c r="P286"/>
      <x:c r="Q286" s="21" t="str"/>
      <x:c r="R286" s="21" t="str"/>
      <x:c r="S286" s="21" t="str"/>
      <x:c r="T286" s="17" t="str">
        <x:v>false</x:v>
      </x:c>
      <x:c r="U286" s="17" t="str">
        <x:v>true</x:v>
      </x:c>
      <x:c r="V286" s="17" t="str">
        <x:v>false</x:v>
      </x:c>
    </x:row>
    <x:row r="287" ht="80" customHeight="1">
      <x:c r="A287" s="25" t="str">
        <x:v>Compress</x:v>
      </x:c>
      <x:c r="B287" s="25" t="n">
        <x:v>1</x:v>
      </x:c>
      <x:c r="C287" s="25" t="str">
        <x:v>Round1</x:v>
      </x:c>
      <x:c r="D287" s="25" t="str">
        <x:v>NOT_AVAILABLE</x:v>
      </x:c>
      <x:c r="E287" s="25" t="str">
        <x:v>N/A</x:v>
      </x:c>
      <x:c r="F287" s="26" t="str">
        <x:v>Tests exist but current coverage did not complete</x:v>
      </x:c>
      <x:c r="G287" s="25" t="str">
        <x:v>true</x:v>
      </x:c>
      <x:c r="H287" s="25" t="str">
        <x:v>NOT_AVAILABLE</x:v>
      </x:c>
      <x:c r="I287" s="25" t="str">
        <x:v>NOT_RUN</x:v>
      </x:c>
      <x:c r="J287" s="25" t="str">
        <x:v>NOT_RUN</x:v>
      </x:c>
      <x:c r="K287" s="25" t="n">
        <x:v>1</x:v>
      </x:c>
      <x:c r="L287" s="27" t="b">
        <x:v>0</x:v>
      </x:c>
      <x:c r="M287" s="25" t="str">
        <x:v>Gemini-3.8-flash/generation_state.json</x:v>
      </x:c>
      <x:c r="N287" s="25" t="str">
        <x:v>Gemini-3.8-flash/Result/Compress_1/result.json</x:v>
      </x:c>
      <x:c r="O287" s="25" t="str">
        <x:v>Gemini-3.8-flash/Result/Compress_1/result.json</x:v>
      </x:c>
      <x:c r="P287" t="str">
        <x:v>BOTH_NOT_RUN</x:v>
      </x:c>
      <x:c r="Q287" s="21" t="str"/>
      <x:c r="R287" s="21" t="str"/>
      <x:c r="S287" s="21" t="str"/>
      <x:c r="T287" s="17" t="str">
        <x:v>false</x:v>
      </x:c>
      <x:c r="U287" s="17" t="str">
        <x:v>true</x:v>
      </x:c>
      <x:c r="V287" s="17" t="str">
        <x:v>false</x:v>
      </x:c>
    </x:row>
    <x:row r="288" ht="80" customHeight="1">
      <x:c r="A288" s="25" t="str">
        <x:v>Compress</x:v>
      </x:c>
      <x:c r="B288" s="25" t="n">
        <x:v>10</x:v>
      </x:c>
      <x:c r="C288" s="25" t="str">
        <x:v>Round1</x:v>
      </x:c>
      <x:c r="D288" s="25" t="str">
        <x:v>INCONCLUSIVE</x:v>
      </x:c>
      <x:c r="E288" s="25" t="str">
        <x:v>N/A</x:v>
      </x:c>
      <x:c r="F288" s="26" t="str">
        <x:v>Fixed also failed; assertion failure cannot be attributed to this bug</x:v>
      </x:c>
      <x:c r="G288" s="25" t="str">
        <x:v>true</x:v>
      </x:c>
      <x:c r="H288" s="25" t="str">
        <x:v>INCONCLUSIVE</x:v>
      </x:c>
      <x:c r="I288" s="25" t="str">
        <x:v>FAIL</x:v>
      </x:c>
      <x:c r="J288" s="25" t="str">
        <x:v>FAIL</x:v>
      </x:c>
      <x:c r="K288" s="25" t="n">
        <x:v>1</x:v>
      </x:c>
      <x:c r="L288" s="27" t="b">
        <x:v>0</x:v>
      </x:c>
      <x:c r="M288" s="25" t="str">
        <x:v>Gemini-3.8-flash/generation_state.json</x:v>
      </x:c>
      <x:c r="N288" s="25" t="str">
        <x:v>Gemini-3.8-flash/Result/Compress_10/result.json</x:v>
      </x:c>
      <x:c r="O288" s="25" t="str">
        <x:v>Gemini-3.8-flash/Result/Compress_10/result.json</x:v>
      </x:c>
      <x:c r="P288"/>
      <x:c r="Q288" s="21" t="str"/>
      <x:c r="R288" s="21" t="str"/>
      <x:c r="S288" s="21" t="str"/>
      <x:c r="T288" s="17" t="str">
        <x:v>false</x:v>
      </x:c>
      <x:c r="U288" s="17" t="str">
        <x:v>true</x:v>
      </x:c>
      <x:c r="V288" s="17" t="str">
        <x:v>false</x:v>
      </x:c>
    </x:row>
    <x:row r="289" ht="80" customHeight="1">
      <x:c r="A289" s="25" t="str">
        <x:v>Compress</x:v>
      </x:c>
      <x:c r="B289" s="25" t="n">
        <x:v>11</x:v>
      </x:c>
      <x:c r="C289" s="25" t="str">
        <x:v>Round1</x:v>
      </x:c>
      <x:c r="D289" s="25" t="str">
        <x:v>NOT_AVAILABLE</x:v>
      </x:c>
      <x:c r="E289" s="25" t="str">
        <x:v>N/A</x:v>
      </x:c>
      <x:c r="F289" s="26" t="str">
        <x:v>Tests exist but current coverage did not complete</x:v>
      </x:c>
      <x:c r="G289" s="25" t="str">
        <x:v>true</x:v>
      </x:c>
      <x:c r="H289" s="25" t="str">
        <x:v>NOT_AVAILABLE</x:v>
      </x:c>
      <x:c r="I289" s="25" t="str">
        <x:v>NOT_RUN</x:v>
      </x:c>
      <x:c r="J289" s="25" t="str">
        <x:v>NOT_RUN</x:v>
      </x:c>
      <x:c r="K289" s="25" t="n">
        <x:v>1</x:v>
      </x:c>
      <x:c r="L289" s="27" t="b">
        <x:v>0</x:v>
      </x:c>
      <x:c r="M289" s="25" t="str">
        <x:v>Gemini-3.8-flash/generation_state.json</x:v>
      </x:c>
      <x:c r="N289" s="25" t="str">
        <x:v>Gemini-3.8-flash/Result/Compress_11/result.json</x:v>
      </x:c>
      <x:c r="O289" s="25" t="str">
        <x:v>Gemini-3.8-flash/Result/Compress_11/result.json</x:v>
      </x:c>
      <x:c r="P289" t="str">
        <x:v>BOTH_NOT_RUN</x:v>
      </x:c>
      <x:c r="Q289" s="21" t="str"/>
      <x:c r="R289" s="21" t="str"/>
      <x:c r="S289" s="21" t="str"/>
      <x:c r="T289" s="17" t="str">
        <x:v>false</x:v>
      </x:c>
      <x:c r="U289" s="17" t="str">
        <x:v>true</x:v>
      </x:c>
      <x:c r="V289" s="17" t="str">
        <x:v>false</x:v>
      </x:c>
    </x:row>
    <x:row r="290" ht="80" customHeight="1">
      <x:c r="A290" s="25" t="str">
        <x:v>Compress</x:v>
      </x:c>
      <x:c r="B290" s="25" t="n">
        <x:v>12</x:v>
      </x:c>
      <x:c r="C290" s="25" t="str">
        <x:v>Round1</x:v>
      </x:c>
      <x:c r="D290" s="25" t="str">
        <x:v>INCONCLUSIVE</x:v>
      </x:c>
      <x:c r="E290" s="25" t="str">
        <x:v>N/A</x:v>
      </x:c>
      <x:c r="F290" s="26" t="str">
        <x:v>Fixed also failed; assertion failure cannot be attributed to this bug</x:v>
      </x:c>
      <x:c r="G290" s="25" t="str">
        <x:v>true</x:v>
      </x:c>
      <x:c r="H290" s="25" t="str">
        <x:v>INCONCLUSIVE</x:v>
      </x:c>
      <x:c r="I290" s="25" t="str">
        <x:v>FAIL</x:v>
      </x:c>
      <x:c r="J290" s="25" t="str">
        <x:v>FAIL</x:v>
      </x:c>
      <x:c r="K290" s="25" t="n">
        <x:v>1</x:v>
      </x:c>
      <x:c r="L290" s="27" t="b">
        <x:v>0</x:v>
      </x:c>
      <x:c r="M290" s="25" t="str">
        <x:v>Gemini-3.8-flash/generation_state.json</x:v>
      </x:c>
      <x:c r="N290" s="25" t="str">
        <x:v>Gemini-3.8-flash/Result/Compress_12/result.json</x:v>
      </x:c>
      <x:c r="O290" s="25" t="str">
        <x:v>Gemini-3.8-flash/Result/Compress_12/result.json</x:v>
      </x:c>
      <x:c r="P290"/>
      <x:c r="Q290" s="21" t="str"/>
      <x:c r="R290" s="21" t="str"/>
      <x:c r="S290" s="21" t="str"/>
      <x:c r="T290" s="17" t="str">
        <x:v>false</x:v>
      </x:c>
      <x:c r="U290" s="17" t="str">
        <x:v>true</x:v>
      </x:c>
      <x:c r="V290" s="17" t="str">
        <x:v>false</x:v>
      </x:c>
    </x:row>
    <x:row r="291" ht="80" customHeight="1">
      <x:c r="A291" s="25" t="str">
        <x:v>Compress</x:v>
      </x:c>
      <x:c r="B291" s="25" t="n">
        <x:v>13</x:v>
      </x:c>
      <x:c r="C291" s="25" t="str">
        <x:v>Round1</x:v>
      </x:c>
      <x:c r="D291" s="25" t="str">
        <x:v>NOT_AVAILABLE</x:v>
      </x:c>
      <x:c r="E291" s="25" t="str">
        <x:v>N/A</x:v>
      </x:c>
      <x:c r="F291" s="26" t="str">
        <x:v>Tests exist but current coverage did not complete</x:v>
      </x:c>
      <x:c r="G291" s="25" t="str">
        <x:v>true</x:v>
      </x:c>
      <x:c r="H291" s="25" t="str">
        <x:v>NOT_AVAILABLE</x:v>
      </x:c>
      <x:c r="I291" s="25" t="str">
        <x:v>NOT_RUN</x:v>
      </x:c>
      <x:c r="J291" s="25" t="str">
        <x:v>NOT_RUN</x:v>
      </x:c>
      <x:c r="K291" s="25" t="n">
        <x:v>1</x:v>
      </x:c>
      <x:c r="L291" s="27" t="b">
        <x:v>0</x:v>
      </x:c>
      <x:c r="M291" s="25" t="str">
        <x:v>Gemini-3.8-flash/generation_state.json</x:v>
      </x:c>
      <x:c r="N291" s="25" t="str">
        <x:v>Gemini-3.8-flash/Result/Compress_13/result.json</x:v>
      </x:c>
      <x:c r="O291" s="25" t="str">
        <x:v>Gemini-3.8-flash/Result/Compress_13/result.json</x:v>
      </x:c>
      <x:c r="P291" t="str">
        <x:v>BOTH_NOT_RUN</x:v>
      </x:c>
      <x:c r="Q291" s="21" t="str"/>
      <x:c r="R291" s="21" t="str"/>
      <x:c r="S291" s="21" t="str"/>
      <x:c r="T291" s="17" t="str">
        <x:v>false</x:v>
      </x:c>
      <x:c r="U291" s="17" t="str">
        <x:v>true</x:v>
      </x:c>
      <x:c r="V291" s="17" t="str">
        <x:v>false</x:v>
      </x:c>
    </x:row>
    <x:row r="292" ht="80" customHeight="1">
      <x:c r="A292" s="25" t="str">
        <x:v>Compress</x:v>
      </x:c>
      <x:c r="B292" s="25" t="n">
        <x:v>14</x:v>
      </x:c>
      <x:c r="C292" s="25" t="str">
        <x:v>Round1</x:v>
      </x:c>
      <x:c r="D292" s="25" t="str">
        <x:v>NOT_REVEALING</x:v>
      </x:c>
      <x:c r="E292" s="25" t="str">
        <x:v>N/A</x:v>
      </x:c>
      <x:c r="F292" s="26" t="str">
        <x:v>Same saved validation suite passed on buggy and fixed</x:v>
      </x:c>
      <x:c r="G292" s="25" t="str">
        <x:v>true</x:v>
      </x:c>
      <x:c r="H292" s="25" t="str">
        <x:v>NOT_REVEALING</x:v>
      </x:c>
      <x:c r="I292" s="25" t="str">
        <x:v>PASS</x:v>
      </x:c>
      <x:c r="J292" s="25" t="str">
        <x:v>PASS</x:v>
      </x:c>
      <x:c r="K292" s="25" t="n">
        <x:v>1</x:v>
      </x:c>
      <x:c r="L292" s="27" t="b">
        <x:v>0</x:v>
      </x:c>
      <x:c r="M292" s="25" t="str">
        <x:v>Gemini-3.8-flash/generation_state.json</x:v>
      </x:c>
      <x:c r="N292" s="25" t="str">
        <x:v>Gemini-3.8-flash/Result/Compress_14/result.json</x:v>
      </x:c>
      <x:c r="O292" s="25" t="str">
        <x:v>Gemini-3.8-flash/Result/Compress_14/result.json</x:v>
      </x:c>
      <x:c r="P292"/>
      <x:c r="Q292" s="21" t="str"/>
      <x:c r="R292" s="21" t="str"/>
      <x:c r="S292" s="21" t="str"/>
      <x:c r="T292" s="17" t="str">
        <x:v>false</x:v>
      </x:c>
      <x:c r="U292" s="17" t="str">
        <x:v>true</x:v>
      </x:c>
      <x:c r="V292" s="17" t="str">
        <x:v>false</x:v>
      </x:c>
    </x:row>
    <x:row r="293" ht="80" customHeight="1">
      <x:c r="A293" s="25" t="str">
        <x:v>Compress</x:v>
      </x:c>
      <x:c r="B293" s="25" t="n">
        <x:v>15</x:v>
      </x:c>
      <x:c r="C293" s="25" t="str">
        <x:v>Round1</x:v>
      </x:c>
      <x:c r="D293" s="25" t="str">
        <x:v>INCONCLUSIVE</x:v>
      </x:c>
      <x:c r="E293" s="25" t="str">
        <x:v>N/A</x:v>
      </x:c>
      <x:c r="F293" s="26" t="str">
        <x:v>Fixed also failed; assertion failure cannot be attributed to this bug</x:v>
      </x:c>
      <x:c r="G293" s="25" t="str">
        <x:v>true</x:v>
      </x:c>
      <x:c r="H293" s="25" t="str">
        <x:v>INCONCLUSIVE</x:v>
      </x:c>
      <x:c r="I293" s="25" t="str">
        <x:v>FAIL</x:v>
      </x:c>
      <x:c r="J293" s="25" t="str">
        <x:v>FAIL</x:v>
      </x:c>
      <x:c r="K293" s="25" t="n">
        <x:v>1</x:v>
      </x:c>
      <x:c r="L293" s="27" t="b">
        <x:v>0</x:v>
      </x:c>
      <x:c r="M293" s="25" t="str">
        <x:v>Gemini-3.8-flash/generation_state.json</x:v>
      </x:c>
      <x:c r="N293" s="25" t="str">
        <x:v>Gemini-3.8-flash/Result/Compress_15/result.json</x:v>
      </x:c>
      <x:c r="O293" s="25" t="str">
        <x:v>Gemini-3.8-flash/Result/Compress_15/result.json</x:v>
      </x:c>
      <x:c r="P293"/>
      <x:c r="Q293" s="21" t="str"/>
      <x:c r="R293" s="21" t="str"/>
      <x:c r="S293" s="21" t="str"/>
      <x:c r="T293" s="17" t="str">
        <x:v>false</x:v>
      </x:c>
      <x:c r="U293" s="17" t="str">
        <x:v>true</x:v>
      </x:c>
      <x:c r="V293" s="17" t="str">
        <x:v>false</x:v>
      </x:c>
    </x:row>
    <x:row r="294" ht="80" customHeight="1">
      <x:c r="A294" s="25" t="str">
        <x:v>Compress</x:v>
      </x:c>
      <x:c r="B294" s="25" t="n">
        <x:v>16</x:v>
      </x:c>
      <x:c r="C294" s="25" t="str">
        <x:v>Round1</x:v>
      </x:c>
      <x:c r="D294" s="25" t="str">
        <x:v>FAIL</x:v>
      </x:c>
      <x:c r="E294" s="25" t="str">
        <x:v>N/A</x:v>
      </x:c>
      <x:c r="F294" s="26" t="str">
        <x:v>No saved Java source containing a JUnit test method</x:v>
      </x:c>
      <x:c r="G294" s="25" t="str">
        <x:v>true</x:v>
      </x:c>
      <x:c r="H294" s="25" t="str">
        <x:v>NOT_AVAILABLE</x:v>
      </x:c>
      <x:c r="I294" s="25" t="str">
        <x:v>NOT_RUN</x:v>
      </x:c>
      <x:c r="J294" s="25" t="str">
        <x:v>NOT_RUN</x:v>
      </x:c>
      <x:c r="K294" s="25" t="n">
        <x:v>1</x:v>
      </x:c>
      <x:c r="L294" s="27" t="b">
        <x:v>0</x:v>
      </x:c>
      <x:c r="M294" s="25" t="str">
        <x:v>Gemini-3.8-flash/generation_state.json</x:v>
      </x:c>
      <x:c r="N294" s="25" t="str">
        <x:v>Gemini-3.8-flash/Result/Compress_16/result.json</x:v>
      </x:c>
      <x:c r="O294" s="25" t="str">
        <x:v>Gemini-3.8-flash/Result/Compress_16/result.json</x:v>
      </x:c>
      <x:c r="P294"/>
      <x:c r="Q294" s="21" t="str"/>
      <x:c r="R294" s="21" t="str"/>
      <x:c r="S294" s="21" t="str"/>
      <x:c r="T294" s="17" t="str">
        <x:v>false</x:v>
      </x:c>
      <x:c r="U294" s="17" t="str">
        <x:v>false</x:v>
      </x:c>
      <x:c r="V294" s="17" t="str">
        <x:v>true</x:v>
      </x:c>
    </x:row>
    <x:row r="295" ht="80" customHeight="1">
      <x:c r="A295" s="25" t="str">
        <x:v>Compress</x:v>
      </x:c>
      <x:c r="B295" s="25" t="n">
        <x:v>17</x:v>
      </x:c>
      <x:c r="C295" s="25" t="str">
        <x:v>Round1</x:v>
      </x:c>
      <x:c r="D295" s="25" t="str">
        <x:v>NOT_AVAILABLE</x:v>
      </x:c>
      <x:c r="E295" s="25" t="str">
        <x:v>N/A</x:v>
      </x:c>
      <x:c r="F295" s="26" t="str">
        <x:v>Tests exist but current coverage did not complete</x:v>
      </x:c>
      <x:c r="G295" s="25" t="str">
        <x:v>true</x:v>
      </x:c>
      <x:c r="H295" s="25" t="str">
        <x:v>NOT_AVAILABLE</x:v>
      </x:c>
      <x:c r="I295" s="25" t="str">
        <x:v>NOT_RUN</x:v>
      </x:c>
      <x:c r="J295" s="25" t="str">
        <x:v>NOT_RUN</x:v>
      </x:c>
      <x:c r="K295" s="25" t="n">
        <x:v>1</x:v>
      </x:c>
      <x:c r="L295" s="27" t="b">
        <x:v>0</x:v>
      </x:c>
      <x:c r="M295" s="25" t="str">
        <x:v>Gemini-3.8-flash/generation_state.json</x:v>
      </x:c>
      <x:c r="N295" s="25" t="str">
        <x:v>Gemini-3.8-flash/Result/Compress_17/result.json</x:v>
      </x:c>
      <x:c r="O295" s="25" t="str">
        <x:v>Gemini-3.8-flash/Result/Compress_17/result.json</x:v>
      </x:c>
      <x:c r="P295" t="str">
        <x:v>BOTH_NOT_RUN</x:v>
      </x:c>
      <x:c r="Q295" s="21" t="str"/>
      <x:c r="R295" s="21" t="str"/>
      <x:c r="S295" s="21" t="str"/>
      <x:c r="T295" s="17" t="str">
        <x:v>false</x:v>
      </x:c>
      <x:c r="U295" s="17" t="str">
        <x:v>true</x:v>
      </x:c>
      <x:c r="V295" s="17" t="str">
        <x:v>false</x:v>
      </x:c>
    </x:row>
    <x:row r="296" ht="80" customHeight="1">
      <x:c r="A296" s="25" t="str">
        <x:v>Compress</x:v>
      </x:c>
      <x:c r="B296" s="25" t="n">
        <x:v>18</x:v>
      </x:c>
      <x:c r="C296" s="25" t="str">
        <x:v>Round1</x:v>
      </x:c>
      <x:c r="D296" s="25" t="str">
        <x:v>NOT_AVAILABLE</x:v>
      </x:c>
      <x:c r="E296" s="25" t="str">
        <x:v>N/A</x:v>
      </x:c>
      <x:c r="F296" s="26" t="str">
        <x:v>Tests exist but current coverage did not complete</x:v>
      </x:c>
      <x:c r="G296" s="25" t="str">
        <x:v>true</x:v>
      </x:c>
      <x:c r="H296" s="25" t="str">
        <x:v>NOT_AVAILABLE</x:v>
      </x:c>
      <x:c r="I296" s="25" t="str">
        <x:v>NOT_RUN</x:v>
      </x:c>
      <x:c r="J296" s="25" t="str">
        <x:v>NOT_RUN</x:v>
      </x:c>
      <x:c r="K296" s="25" t="n">
        <x:v>1</x:v>
      </x:c>
      <x:c r="L296" s="27" t="b">
        <x:v>0</x:v>
      </x:c>
      <x:c r="M296" s="25" t="str">
        <x:v>Gemini-3.8-flash/generation_state.json</x:v>
      </x:c>
      <x:c r="N296" s="25" t="str">
        <x:v>Gemini-3.8-flash/Result/Compress_18/result.json</x:v>
      </x:c>
      <x:c r="O296" s="25" t="str">
        <x:v>Gemini-3.8-flash/Result/Compress_18/result.json</x:v>
      </x:c>
      <x:c r="P296" t="str">
        <x:v>BOTH_NOT_RUN</x:v>
      </x:c>
      <x:c r="Q296" s="21" t="str"/>
      <x:c r="R296" s="21" t="str"/>
      <x:c r="S296" s="21" t="str"/>
      <x:c r="T296" s="17" t="str">
        <x:v>false</x:v>
      </x:c>
      <x:c r="U296" s="17" t="str">
        <x:v>true</x:v>
      </x:c>
      <x:c r="V296" s="17" t="str">
        <x:v>false</x:v>
      </x:c>
    </x:row>
    <x:row r="297" ht="80" customHeight="1">
      <x:c r="A297" s="25" t="str">
        <x:v>Compress</x:v>
      </x:c>
      <x:c r="B297" s="25" t="n">
        <x:v>19</x:v>
      </x:c>
      <x:c r="C297" s="25" t="str">
        <x:v>Round1</x:v>
      </x:c>
      <x:c r="D297" s="25" t="str">
        <x:v>NOT_REVEALING</x:v>
      </x:c>
      <x:c r="E297" s="25" t="str">
        <x:v>N/A</x:v>
      </x:c>
      <x:c r="F297" s="26" t="str">
        <x:v>Same saved validation suite passed on buggy and fixed</x:v>
      </x:c>
      <x:c r="G297" s="25" t="str">
        <x:v>true</x:v>
      </x:c>
      <x:c r="H297" s="25" t="str">
        <x:v>NOT_REVEALING</x:v>
      </x:c>
      <x:c r="I297" s="25" t="str">
        <x:v>PASS</x:v>
      </x:c>
      <x:c r="J297" s="25" t="str">
        <x:v>PASS</x:v>
      </x:c>
      <x:c r="K297" s="25" t="n">
        <x:v>1</x:v>
      </x:c>
      <x:c r="L297" s="27" t="b">
        <x:v>0</x:v>
      </x:c>
      <x:c r="M297" s="25" t="str">
        <x:v>Gemini-3.8-flash/generation_state.json</x:v>
      </x:c>
      <x:c r="N297" s="25" t="str">
        <x:v>Gemini-3.8-flash/Result/Compress_19/result.json</x:v>
      </x:c>
      <x:c r="O297" s="25" t="str">
        <x:v>Gemini-3.8-flash/Result/Compress_19/result.json</x:v>
      </x:c>
      <x:c r="P297"/>
      <x:c r="Q297" s="21" t="str"/>
      <x:c r="R297" s="21" t="str"/>
      <x:c r="S297" s="21" t="str"/>
      <x:c r="T297" s="17" t="str">
        <x:v>false</x:v>
      </x:c>
      <x:c r="U297" s="17" t="str">
        <x:v>true</x:v>
      </x:c>
      <x:c r="V297" s="17" t="str">
        <x:v>false</x:v>
      </x:c>
    </x:row>
    <x:row r="298" ht="80" customHeight="1">
      <x:c r="A298" s="25" t="str">
        <x:v>Compress</x:v>
      </x:c>
      <x:c r="B298" s="25" t="n">
        <x:v>2</x:v>
      </x:c>
      <x:c r="C298" s="25" t="str">
        <x:v>Round1</x:v>
      </x:c>
      <x:c r="D298" s="25" t="str">
        <x:v>NOT_REVEALING</x:v>
      </x:c>
      <x:c r="E298" s="25" t="str">
        <x:v>N/A</x:v>
      </x:c>
      <x:c r="F298" s="26" t="str">
        <x:v>Same saved validation suite passed on buggy and fixed</x:v>
      </x:c>
      <x:c r="G298" s="25" t="str">
        <x:v>true</x:v>
      </x:c>
      <x:c r="H298" s="25" t="str">
        <x:v>NOT_REVEALING</x:v>
      </x:c>
      <x:c r="I298" s="25" t="str">
        <x:v>PASS</x:v>
      </x:c>
      <x:c r="J298" s="25" t="str">
        <x:v>PASS</x:v>
      </x:c>
      <x:c r="K298" s="25" t="n">
        <x:v>1</x:v>
      </x:c>
      <x:c r="L298" s="27" t="b">
        <x:v>0</x:v>
      </x:c>
      <x:c r="M298" s="25" t="str">
        <x:v>Gemini-3.8-flash/generation_state.json</x:v>
      </x:c>
      <x:c r="N298" s="25" t="str">
        <x:v>Gemini-3.8-flash/Result/Compress_2/result.json</x:v>
      </x:c>
      <x:c r="O298" s="25" t="str">
        <x:v>Gemini-3.8-flash/Result/Compress_2/result.json</x:v>
      </x:c>
      <x:c r="P298"/>
      <x:c r="Q298" s="21" t="str"/>
      <x:c r="R298" s="21" t="str"/>
      <x:c r="S298" s="21" t="str"/>
      <x:c r="T298" s="17" t="str">
        <x:v>false</x:v>
      </x:c>
      <x:c r="U298" s="17" t="str">
        <x:v>true</x:v>
      </x:c>
      <x:c r="V298" s="17" t="str">
        <x:v>false</x:v>
      </x:c>
    </x:row>
    <x:row r="299" ht="80" customHeight="1">
      <x:c r="A299" s="25" t="str">
        <x:v>Compress</x:v>
      </x:c>
      <x:c r="B299" s="25" t="n">
        <x:v>20</x:v>
      </x:c>
      <x:c r="C299" s="25" t="str">
        <x:v>Round1</x:v>
      </x:c>
      <x:c r="D299" s="25" t="str">
        <x:v>INCONCLUSIVE</x:v>
      </x:c>
      <x:c r="E299" s="25" t="str">
        <x:v>N/A</x:v>
      </x:c>
      <x:c r="F299" s="26" t="str">
        <x:v>Fixed also failed; assertion failure cannot be attributed to this bug</x:v>
      </x:c>
      <x:c r="G299" s="25" t="str">
        <x:v>true</x:v>
      </x:c>
      <x:c r="H299" s="25" t="str">
        <x:v>INCONCLUSIVE</x:v>
      </x:c>
      <x:c r="I299" s="25" t="str">
        <x:v>FAIL</x:v>
      </x:c>
      <x:c r="J299" s="25" t="str">
        <x:v>FAIL</x:v>
      </x:c>
      <x:c r="K299" s="25" t="n">
        <x:v>1</x:v>
      </x:c>
      <x:c r="L299" s="27" t="b">
        <x:v>0</x:v>
      </x:c>
      <x:c r="M299" s="25" t="str">
        <x:v>Gemini-3.8-flash/generation_state.json</x:v>
      </x:c>
      <x:c r="N299" s="25" t="str">
        <x:v>Gemini-3.8-flash/Result/Compress_20/result.json</x:v>
      </x:c>
      <x:c r="O299" s="25" t="str">
        <x:v>Gemini-3.8-flash/Result/Compress_20/result.json</x:v>
      </x:c>
      <x:c r="P299"/>
      <x:c r="Q299" s="21" t="str"/>
      <x:c r="R299" s="21" t="str"/>
      <x:c r="S299" s="21" t="str"/>
      <x:c r="T299" s="17" t="str">
        <x:v>false</x:v>
      </x:c>
      <x:c r="U299" s="17" t="str">
        <x:v>true</x:v>
      </x:c>
      <x:c r="V299" s="17" t="str">
        <x:v>false</x:v>
      </x:c>
    </x:row>
    <x:row r="300" ht="80" customHeight="1">
      <x:c r="A300" s="25" t="str">
        <x:v>Compress</x:v>
      </x:c>
      <x:c r="B300" s="25" t="n">
        <x:v>21</x:v>
      </x:c>
      <x:c r="C300" s="25" t="str">
        <x:v>Round1</x:v>
      </x:c>
      <x:c r="D300" s="25" t="str">
        <x:v>NOT_REVEALING</x:v>
      </x:c>
      <x:c r="E300" s="25" t="str">
        <x:v>N/A</x:v>
      </x:c>
      <x:c r="F300" s="26" t="str">
        <x:v>Same saved validation suite passed on buggy and fixed</x:v>
      </x:c>
      <x:c r="G300" s="25" t="str">
        <x:v>true</x:v>
      </x:c>
      <x:c r="H300" s="25" t="str">
        <x:v>NOT_REVEALING</x:v>
      </x:c>
      <x:c r="I300" s="25" t="str">
        <x:v>PASS</x:v>
      </x:c>
      <x:c r="J300" s="25" t="str">
        <x:v>PASS</x:v>
      </x:c>
      <x:c r="K300" s="25" t="n">
        <x:v>1</x:v>
      </x:c>
      <x:c r="L300" s="27" t="b">
        <x:v>0</x:v>
      </x:c>
      <x:c r="M300" s="25" t="str">
        <x:v>Gemini-3.8-flash/generation_state.json</x:v>
      </x:c>
      <x:c r="N300" s="25" t="str">
        <x:v>Gemini-3.8-flash/Result/Compress_21/result.json</x:v>
      </x:c>
      <x:c r="O300" s="25" t="str">
        <x:v>Gemini-3.8-flash/Result/Compress_21/result.json</x:v>
      </x:c>
      <x:c r="P300"/>
      <x:c r="Q300" s="21" t="str"/>
      <x:c r="R300" s="21" t="str"/>
      <x:c r="S300" s="21" t="str"/>
      <x:c r="T300" s="17" t="str">
        <x:v>false</x:v>
      </x:c>
      <x:c r="U300" s="17" t="str">
        <x:v>true</x:v>
      </x:c>
      <x:c r="V300" s="17" t="str">
        <x:v>false</x:v>
      </x:c>
    </x:row>
    <x:row r="301" ht="80" customHeight="1">
      <x:c r="A301" s="25" t="str">
        <x:v>Compress</x:v>
      </x:c>
      <x:c r="B301" s="25" t="n">
        <x:v>22</x:v>
      </x:c>
      <x:c r="C301" s="25" t="str">
        <x:v>Round1</x:v>
      </x:c>
      <x:c r="D301" s="25" t="str">
        <x:v>NOT_REVEALING</x:v>
      </x:c>
      <x:c r="E301" s="25" t="str">
        <x:v>N/A</x:v>
      </x:c>
      <x:c r="F301" s="26" t="str">
        <x:v>Same saved validation suite passed on buggy and fixed</x:v>
      </x:c>
      <x:c r="G301" s="25" t="str">
        <x:v>true</x:v>
      </x:c>
      <x:c r="H301" s="25" t="str">
        <x:v>NOT_REVEALING</x:v>
      </x:c>
      <x:c r="I301" s="25" t="str">
        <x:v>PASS</x:v>
      </x:c>
      <x:c r="J301" s="25" t="str">
        <x:v>PASS</x:v>
      </x:c>
      <x:c r="K301" s="25" t="n">
        <x:v>1</x:v>
      </x:c>
      <x:c r="L301" s="27" t="b">
        <x:v>0</x:v>
      </x:c>
      <x:c r="M301" s="25" t="str">
        <x:v>Gemini-3.8-flash/generation_state.json</x:v>
      </x:c>
      <x:c r="N301" s="25" t="str">
        <x:v>Gemini-3.8-flash/Result/Compress_22/result.json</x:v>
      </x:c>
      <x:c r="O301" s="25" t="str">
        <x:v>Gemini-3.8-flash/Result/Compress_22/result.json</x:v>
      </x:c>
      <x:c r="P301"/>
      <x:c r="Q301" s="21" t="str"/>
      <x:c r="R301" s="21" t="str"/>
      <x:c r="S301" s="21" t="str"/>
      <x:c r="T301" s="17" t="str">
        <x:v>false</x:v>
      </x:c>
      <x:c r="U301" s="17" t="str">
        <x:v>true</x:v>
      </x:c>
      <x:c r="V301" s="17" t="str">
        <x:v>false</x:v>
      </x:c>
    </x:row>
    <x:row r="302" ht="80" customHeight="1">
      <x:c r="A302" s="25" t="str">
        <x:v>Compress</x:v>
      </x:c>
      <x:c r="B302" s="25" t="n">
        <x:v>23</x:v>
      </x:c>
      <x:c r="C302" s="25" t="str">
        <x:v>Round1</x:v>
      </x:c>
      <x:c r="D302" s="25" t="str">
        <x:v>INCONCLUSIVE</x:v>
      </x:c>
      <x:c r="E302" s="25" t="str">
        <x:v>N/A</x:v>
      </x:c>
      <x:c r="F302" s="26" t="str">
        <x:v>Fixed also failed; assertion failure cannot be attributed to this bug</x:v>
      </x:c>
      <x:c r="G302" s="25" t="str">
        <x:v>true</x:v>
      </x:c>
      <x:c r="H302" s="25" t="str">
        <x:v>INCONCLUSIVE</x:v>
      </x:c>
      <x:c r="I302" s="25" t="str">
        <x:v>FAIL</x:v>
      </x:c>
      <x:c r="J302" s="25" t="str">
        <x:v>FAIL</x:v>
      </x:c>
      <x:c r="K302" s="25" t="n">
        <x:v>1</x:v>
      </x:c>
      <x:c r="L302" s="27" t="b">
        <x:v>0</x:v>
      </x:c>
      <x:c r="M302" s="25" t="str">
        <x:v>Gemini-3.8-flash/generation_state.json</x:v>
      </x:c>
      <x:c r="N302" s="25" t="str">
        <x:v>Gemini-3.8-flash/Result/Compress_23/result.json</x:v>
      </x:c>
      <x:c r="O302" s="25" t="str">
        <x:v>Gemini-3.8-flash/Result/Compress_23/result.json</x:v>
      </x:c>
      <x:c r="P302"/>
      <x:c r="Q302" s="21" t="str"/>
      <x:c r="R302" s="21" t="str"/>
      <x:c r="S302" s="21" t="str"/>
      <x:c r="T302" s="17" t="str">
        <x:v>false</x:v>
      </x:c>
      <x:c r="U302" s="17" t="str">
        <x:v>true</x:v>
      </x:c>
      <x:c r="V302" s="17" t="str">
        <x:v>false</x:v>
      </x:c>
    </x:row>
    <x:row r="303" ht="80" customHeight="1">
      <x:c r="A303" s="25" t="str">
        <x:v>Compress</x:v>
      </x:c>
      <x:c r="B303" s="25" t="n">
        <x:v>24</x:v>
      </x:c>
      <x:c r="C303" s="25" t="str">
        <x:v>Round1</x:v>
      </x:c>
      <x:c r="D303" s="25" t="str">
        <x:v>NOT_AVAILABLE</x:v>
      </x:c>
      <x:c r="E303" s="25" t="str">
        <x:v>N/A</x:v>
      </x:c>
      <x:c r="F303" s="26" t="str">
        <x:v>Tests exist but current coverage did not complete</x:v>
      </x:c>
      <x:c r="G303" s="25" t="str">
        <x:v>true</x:v>
      </x:c>
      <x:c r="H303" s="25" t="str">
        <x:v>NOT_AVAILABLE</x:v>
      </x:c>
      <x:c r="I303" s="25" t="str">
        <x:v>NOT_RUN</x:v>
      </x:c>
      <x:c r="J303" s="25" t="str">
        <x:v>NOT_RUN</x:v>
      </x:c>
      <x:c r="K303" s="25" t="n">
        <x:v>1</x:v>
      </x:c>
      <x:c r="L303" s="27" t="b">
        <x:v>0</x:v>
      </x:c>
      <x:c r="M303" s="25" t="str">
        <x:v>Gemini-3.8-flash/generation_state.json</x:v>
      </x:c>
      <x:c r="N303" s="25" t="str">
        <x:v>Gemini-3.8-flash/Result/Compress_24/result.json</x:v>
      </x:c>
      <x:c r="O303" s="25" t="str">
        <x:v>Gemini-3.8-flash/Result/Compress_24/result.json</x:v>
      </x:c>
      <x:c r="P303" t="str">
        <x:v>BOTH_NOT_RUN</x:v>
      </x:c>
      <x:c r="Q303" s="21" t="str"/>
      <x:c r="R303" s="21" t="str"/>
      <x:c r="S303" s="21" t="str"/>
      <x:c r="T303" s="17" t="str">
        <x:v>false</x:v>
      </x:c>
      <x:c r="U303" s="17" t="str">
        <x:v>true</x:v>
      </x:c>
      <x:c r="V303" s="17" t="str">
        <x:v>false</x:v>
      </x:c>
    </x:row>
    <x:row r="304" ht="80" customHeight="1">
      <x:c r="A304" s="25" t="str">
        <x:v>Compress</x:v>
      </x:c>
      <x:c r="B304" s="25" t="n">
        <x:v>25</x:v>
      </x:c>
      <x:c r="C304" s="25" t="str">
        <x:v>Round1</x:v>
      </x:c>
      <x:c r="D304" s="25" t="str">
        <x:v>REVEALING</x:v>
      </x:c>
      <x:c r="E304" s="25" t="str">
        <x:v>N/A</x:v>
      </x:c>
      <x:c r="F304" s="26" t="str">
        <x:v>Same saved validation suite failed on buggy and passed on fixed</x:v>
      </x:c>
      <x:c r="G304" s="25" t="str">
        <x:v>true</x:v>
      </x:c>
      <x:c r="H304" s="25" t="str">
        <x:v>REVEALING</x:v>
      </x:c>
      <x:c r="I304" s="25" t="str">
        <x:v>FAIL</x:v>
      </x:c>
      <x:c r="J304" s="25" t="str">
        <x:v>PASS</x:v>
      </x:c>
      <x:c r="K304" s="25" t="n">
        <x:v>1</x:v>
      </x:c>
      <x:c r="L304" s="27" t="b">
        <x:v>0</x:v>
      </x:c>
      <x:c r="M304" s="25" t="str">
        <x:v>Gemini-3.8-flash/generation_state.json</x:v>
      </x:c>
      <x:c r="N304" s="25" t="str">
        <x:v>Gemini-3.8-flash/Result/Compress_25/result.json</x:v>
      </x:c>
      <x:c r="O304" s="25" t="str">
        <x:v>Gemini-3.8-flash/Result/Compress_25/result.json</x:v>
      </x:c>
      <x:c r="P304"/>
      <x:c r="Q304" s="21" t="str"/>
      <x:c r="R304" s="21" t="str"/>
      <x:c r="S304" s="21" t="str"/>
      <x:c r="T304" s="17" t="str">
        <x:v>false</x:v>
      </x:c>
      <x:c r="U304" s="17" t="str">
        <x:v>true</x:v>
      </x:c>
      <x:c r="V304" s="17" t="str">
        <x:v>false</x:v>
      </x:c>
    </x:row>
    <x:row r="305" ht="80" customHeight="1">
      <x:c r="A305" s="25" t="str">
        <x:v>Compress</x:v>
      </x:c>
      <x:c r="B305" s="25" t="n">
        <x:v>26</x:v>
      </x:c>
      <x:c r="C305" s="25" t="str">
        <x:v>Round1</x:v>
      </x:c>
      <x:c r="D305" s="25" t="str">
        <x:v>INCONCLUSIVE</x:v>
      </x:c>
      <x:c r="E305" s="25" t="str">
        <x:v>N/A</x:v>
      </x:c>
      <x:c r="F305" s="26" t="str">
        <x:v>Fixed also failed; assertion failure cannot be attributed to this bug</x:v>
      </x:c>
      <x:c r="G305" s="25" t="str">
        <x:v>true</x:v>
      </x:c>
      <x:c r="H305" s="25" t="str">
        <x:v>INCONCLUSIVE</x:v>
      </x:c>
      <x:c r="I305" s="25" t="str">
        <x:v>PASS</x:v>
      </x:c>
      <x:c r="J305" s="25" t="str">
        <x:v>FAIL</x:v>
      </x:c>
      <x:c r="K305" s="25" t="n">
        <x:v>1</x:v>
      </x:c>
      <x:c r="L305" s="27" t="b">
        <x:v>0</x:v>
      </x:c>
      <x:c r="M305" s="25" t="str">
        <x:v>Gemini-3.8-flash/generation_state.json</x:v>
      </x:c>
      <x:c r="N305" s="25" t="str">
        <x:v>Gemini-3.8-flash/Result/Compress_26/result.json</x:v>
      </x:c>
      <x:c r="O305" s="25" t="str">
        <x:v>Gemini-3.8-flash/Result/Compress_26/result.json</x:v>
      </x:c>
      <x:c r="P305"/>
      <x:c r="Q305" s="21" t="str"/>
      <x:c r="R305" s="21" t="str"/>
      <x:c r="S305" s="21" t="str"/>
      <x:c r="T305" s="17" t="str">
        <x:v>false</x:v>
      </x:c>
      <x:c r="U305" s="17" t="str">
        <x:v>true</x:v>
      </x:c>
      <x:c r="V305" s="17" t="str">
        <x:v>false</x:v>
      </x:c>
    </x:row>
    <x:row r="306" ht="80" customHeight="1">
      <x:c r="A306" s="25" t="str">
        <x:v>Compress</x:v>
      </x:c>
      <x:c r="B306" s="25" t="n">
        <x:v>27</x:v>
      </x:c>
      <x:c r="C306" s="25" t="str">
        <x:v>Round1</x:v>
      </x:c>
      <x:c r="D306" s="25" t="str">
        <x:v>NOT_AVAILABLE</x:v>
      </x:c>
      <x:c r="E306" s="25" t="str">
        <x:v>N/A</x:v>
      </x:c>
      <x:c r="F306" s="26" t="str">
        <x:v>Tests exist but current coverage did not complete</x:v>
      </x:c>
      <x:c r="G306" s="25" t="str">
        <x:v>true</x:v>
      </x:c>
      <x:c r="H306" s="25" t="str">
        <x:v>NOT_AVAILABLE</x:v>
      </x:c>
      <x:c r="I306" s="25" t="str">
        <x:v>NOT_RUN</x:v>
      </x:c>
      <x:c r="J306" s="25" t="str">
        <x:v>NOT_RUN</x:v>
      </x:c>
      <x:c r="K306" s="25" t="n">
        <x:v>1</x:v>
      </x:c>
      <x:c r="L306" s="27" t="b">
        <x:v>0</x:v>
      </x:c>
      <x:c r="M306" s="25" t="str">
        <x:v>Gemini-3.8-flash/generation_state.json</x:v>
      </x:c>
      <x:c r="N306" s="25" t="str">
        <x:v>Gemini-3.8-flash/Result/Compress_27/result.json</x:v>
      </x:c>
      <x:c r="O306" s="25" t="str">
        <x:v>Gemini-3.8-flash/Result/Compress_27/result.json</x:v>
      </x:c>
      <x:c r="P306" t="str">
        <x:v>BOTH_NOT_RUN</x:v>
      </x:c>
      <x:c r="Q306" s="21" t="str"/>
      <x:c r="R306" s="21" t="str"/>
      <x:c r="S306" s="21" t="str"/>
      <x:c r="T306" s="17" t="str">
        <x:v>false</x:v>
      </x:c>
      <x:c r="U306" s="17" t="str">
        <x:v>true</x:v>
      </x:c>
      <x:c r="V306" s="17" t="str">
        <x:v>false</x:v>
      </x:c>
    </x:row>
    <x:row r="307" ht="80" customHeight="1">
      <x:c r="A307" s="25" t="str">
        <x:v>Compress</x:v>
      </x:c>
      <x:c r="B307" s="25" t="n">
        <x:v>28</x:v>
      </x:c>
      <x:c r="C307" s="25" t="str">
        <x:v>Round1</x:v>
      </x:c>
      <x:c r="D307" s="25" t="str">
        <x:v>INCONCLUSIVE</x:v>
      </x:c>
      <x:c r="E307" s="25" t="str">
        <x:v>N/A</x:v>
      </x:c>
      <x:c r="F307" s="26" t="str">
        <x:v>Fixed also failed; assertion failure cannot be attributed to this bug</x:v>
      </x:c>
      <x:c r="G307" s="25" t="str">
        <x:v>true</x:v>
      </x:c>
      <x:c r="H307" s="25" t="str">
        <x:v>INCONCLUSIVE</x:v>
      </x:c>
      <x:c r="I307" s="25" t="str">
        <x:v>FAIL</x:v>
      </x:c>
      <x:c r="J307" s="25" t="str">
        <x:v>FAIL</x:v>
      </x:c>
      <x:c r="K307" s="25" t="n">
        <x:v>1</x:v>
      </x:c>
      <x:c r="L307" s="27" t="b">
        <x:v>0</x:v>
      </x:c>
      <x:c r="M307" s="25" t="str">
        <x:v>Gemini-3.8-flash/generation_state.json</x:v>
      </x:c>
      <x:c r="N307" s="25" t="str">
        <x:v>Gemini-3.8-flash/Result/Compress_28/result.json</x:v>
      </x:c>
      <x:c r="O307" s="25" t="str">
        <x:v>Gemini-3.8-flash/Result/Compress_28/result.json</x:v>
      </x:c>
      <x:c r="P307"/>
      <x:c r="Q307" s="21" t="str"/>
      <x:c r="R307" s="21" t="str"/>
      <x:c r="S307" s="21" t="str"/>
      <x:c r="T307" s="17" t="str">
        <x:v>false</x:v>
      </x:c>
      <x:c r="U307" s="17" t="str">
        <x:v>true</x:v>
      </x:c>
      <x:c r="V307" s="17" t="str">
        <x:v>false</x:v>
      </x:c>
    </x:row>
    <x:row r="308" ht="80" customHeight="1">
      <x:c r="A308" s="25" t="str">
        <x:v>Compress</x:v>
      </x:c>
      <x:c r="B308" s="25" t="n">
        <x:v>29</x:v>
      </x:c>
      <x:c r="C308" s="25" t="str">
        <x:v>Round1</x:v>
      </x:c>
      <x:c r="D308" s="25" t="str">
        <x:v>NOT_AVAILABLE</x:v>
      </x:c>
      <x:c r="E308" s="25" t="str">
        <x:v>N/A</x:v>
      </x:c>
      <x:c r="F308" s="26" t="str">
        <x:v>Tests exist but current coverage did not complete; Class generation unavailable: Compress_29/org/apache/commons/compress/archivers/dump/DumpArchiveInputStream.java; status=FAILED; finish_reason=None; Gateway TTFT Timeout</x:v>
      </x:c>
      <x:c r="G308" s="25" t="str">
        <x:v>true</x:v>
      </x:c>
      <x:c r="H308" s="25" t="str">
        <x:v>NOT_AVAILABLE</x:v>
      </x:c>
      <x:c r="I308" s="25" t="str">
        <x:v>NOT_RUN</x:v>
      </x:c>
      <x:c r="J308" s="25" t="str">
        <x:v>NOT_RUN</x:v>
      </x:c>
      <x:c r="K308" s="25" t="n">
        <x:v>6</x:v>
      </x:c>
      <x:c r="L308" s="27" t="b">
        <x:v>0</x:v>
      </x:c>
      <x:c r="M308" s="25" t="str">
        <x:v>Gemini-3.8-flash/generation_state.json</x:v>
      </x:c>
      <x:c r="N308" s="25" t="str">
        <x:v>Gemini-3.8-flash/Result/Compress_29/result.json</x:v>
      </x:c>
      <x:c r="O308" s="25" t="str">
        <x:v>Gemini-3.8-flash/Result/Compress_29/result.json</x:v>
      </x:c>
      <x:c r="P308" t="str">
        <x:v>BOTH_NOT_RUN</x:v>
      </x:c>
      <x:c r="Q308" s="21" t="str">
        <x:v>Compress_29/org/apache/commons/compress/archivers/dump/DumpArchiveInputStream.java</x:v>
      </x:c>
      <x:c r="R308" s="21" t="str"/>
      <x:c r="S308" s="21" t="str"/>
      <x:c r="T308" s="17" t="str">
        <x:v>false</x:v>
      </x:c>
      <x:c r="U308" s="17" t="str">
        <x:v>true</x:v>
      </x:c>
      <x:c r="V308" s="17" t="str">
        <x:v>false</x:v>
      </x:c>
    </x:row>
    <x:row r="309" ht="80" customHeight="1">
      <x:c r="A309" s="25" t="str">
        <x:v>Compress</x:v>
      </x:c>
      <x:c r="B309" s="25" t="n">
        <x:v>3</x:v>
      </x:c>
      <x:c r="C309" s="25" t="str">
        <x:v>Round1</x:v>
      </x:c>
      <x:c r="D309" s="25" t="str">
        <x:v>INCONCLUSIVE</x:v>
      </x:c>
      <x:c r="E309" s="25" t="str">
        <x:v>N/A</x:v>
      </x:c>
      <x:c r="F309" s="26" t="str">
        <x:v>Fixed also failed; assertion failure cannot be attributed to this bug</x:v>
      </x:c>
      <x:c r="G309" s="25" t="str">
        <x:v>true</x:v>
      </x:c>
      <x:c r="H309" s="25" t="str">
        <x:v>INCONCLUSIVE</x:v>
      </x:c>
      <x:c r="I309" s="25" t="str">
        <x:v>FAIL</x:v>
      </x:c>
      <x:c r="J309" s="25" t="str">
        <x:v>FAIL</x:v>
      </x:c>
      <x:c r="K309" s="25" t="n">
        <x:v>1</x:v>
      </x:c>
      <x:c r="L309" s="27" t="b">
        <x:v>0</x:v>
      </x:c>
      <x:c r="M309" s="25" t="str">
        <x:v>Gemini-3.8-flash/generation_state.json</x:v>
      </x:c>
      <x:c r="N309" s="25" t="str">
        <x:v>Gemini-3.8-flash/Result/Compress_3/result.json</x:v>
      </x:c>
      <x:c r="O309" s="25" t="str">
        <x:v>Gemini-3.8-flash/Result/Compress_3/result.json</x:v>
      </x:c>
      <x:c r="P309"/>
      <x:c r="Q309" s="21" t="str"/>
      <x:c r="R309" s="21" t="str"/>
      <x:c r="S309" s="21" t="str"/>
      <x:c r="T309" s="17" t="str">
        <x:v>false</x:v>
      </x:c>
      <x:c r="U309" s="17" t="str">
        <x:v>true</x:v>
      </x:c>
      <x:c r="V309" s="17" t="str">
        <x:v>false</x:v>
      </x:c>
    </x:row>
    <x:row r="310" ht="80" customHeight="1">
      <x:c r="A310" s="25" t="str">
        <x:v>Compress</x:v>
      </x:c>
      <x:c r="B310" s="25" t="n">
        <x:v>30</x:v>
      </x:c>
      <x:c r="C310" s="25" t="str">
        <x:v>Round1</x:v>
      </x:c>
      <x:c r="D310" s="25" t="str">
        <x:v>INCONCLUSIVE</x:v>
      </x:c>
      <x:c r="E310" s="25" t="str">
        <x:v>N/A</x:v>
      </x:c>
      <x:c r="F310" s="26" t="str">
        <x:v>Fixed also failed; assertion failure cannot be attributed to this bug</x:v>
      </x:c>
      <x:c r="G310" s="25" t="str">
        <x:v>true</x:v>
      </x:c>
      <x:c r="H310" s="25" t="str">
        <x:v>INCONCLUSIVE</x:v>
      </x:c>
      <x:c r="I310" s="25" t="str">
        <x:v>PASS</x:v>
      </x:c>
      <x:c r="J310" s="25" t="str">
        <x:v>FAIL</x:v>
      </x:c>
      <x:c r="K310" s="25" t="n">
        <x:v>1</x:v>
      </x:c>
      <x:c r="L310" s="27" t="b">
        <x:v>0</x:v>
      </x:c>
      <x:c r="M310" s="25" t="str">
        <x:v>Gemini-3.8-flash/generation_state.json</x:v>
      </x:c>
      <x:c r="N310" s="25" t="str">
        <x:v>Gemini-3.8-flash/Result/Compress_30/result.json</x:v>
      </x:c>
      <x:c r="O310" s="25" t="str">
        <x:v>Gemini-3.8-flash/Result/Compress_30/result.json</x:v>
      </x:c>
      <x:c r="P310"/>
      <x:c r="Q310" s="21" t="str"/>
      <x:c r="R310" s="21" t="str"/>
      <x:c r="S310" s="21" t="str"/>
      <x:c r="T310" s="17" t="str">
        <x:v>false</x:v>
      </x:c>
      <x:c r="U310" s="17" t="str">
        <x:v>true</x:v>
      </x:c>
      <x:c r="V310" s="17" t="str">
        <x:v>false</x:v>
      </x:c>
    </x:row>
    <x:row r="311" ht="80" customHeight="1">
      <x:c r="A311" s="25" t="str">
        <x:v>Compress</x:v>
      </x:c>
      <x:c r="B311" s="25" t="n">
        <x:v>31</x:v>
      </x:c>
      <x:c r="C311" s="25" t="str">
        <x:v>Round1</x:v>
      </x:c>
      <x:c r="D311" s="25" t="str">
        <x:v>NOT_AVAILABLE</x:v>
      </x:c>
      <x:c r="E311" s="25" t="str">
        <x:v>N/A</x:v>
      </x:c>
      <x:c r="F311" s="26" t="str">
        <x:v>Tests exist but current coverage did not complete</x:v>
      </x:c>
      <x:c r="G311" s="25" t="str">
        <x:v>true</x:v>
      </x:c>
      <x:c r="H311" s="25" t="str">
        <x:v>NOT_AVAILABLE</x:v>
      </x:c>
      <x:c r="I311" s="25" t="str">
        <x:v>NOT_RUN</x:v>
      </x:c>
      <x:c r="J311" s="25" t="str">
        <x:v>NOT_RUN</x:v>
      </x:c>
      <x:c r="K311" s="25" t="n">
        <x:v>1</x:v>
      </x:c>
      <x:c r="L311" s="27" t="b">
        <x:v>0</x:v>
      </x:c>
      <x:c r="M311" s="25" t="str">
        <x:v>Gemini-3.8-flash/generation_state.json</x:v>
      </x:c>
      <x:c r="N311" s="25" t="str">
        <x:v>Gemini-3.8-flash/Result/Compress_31/result.json</x:v>
      </x:c>
      <x:c r="O311" s="25" t="str">
        <x:v>Gemini-3.8-flash/Result/Compress_31/result.json</x:v>
      </x:c>
      <x:c r="P311" t="str">
        <x:v>BOTH_NOT_RUN</x:v>
      </x:c>
      <x:c r="Q311" s="21" t="str"/>
      <x:c r="R311" s="21" t="str"/>
      <x:c r="S311" s="21" t="str"/>
      <x:c r="T311" s="17" t="str">
        <x:v>false</x:v>
      </x:c>
      <x:c r="U311" s="17" t="str">
        <x:v>true</x:v>
      </x:c>
      <x:c r="V311" s="17" t="str">
        <x:v>false</x:v>
      </x:c>
    </x:row>
    <x:row r="312" ht="80" customHeight="1">
      <x:c r="A312" s="25" t="str">
        <x:v>Compress</x:v>
      </x:c>
      <x:c r="B312" s="25" t="n">
        <x:v>32</x:v>
      </x:c>
      <x:c r="C312" s="25" t="str">
        <x:v>Round1</x:v>
      </x:c>
      <x:c r="D312" s="25" t="str">
        <x:v>INCONCLUSIVE</x:v>
      </x:c>
      <x:c r="E312" s="25" t="str">
        <x:v>N/A</x:v>
      </x:c>
      <x:c r="F312" s="26" t="str">
        <x:v>Fixed also failed; assertion failure cannot be attributed to this bug</x:v>
      </x:c>
      <x:c r="G312" s="25" t="str">
        <x:v>true</x:v>
      </x:c>
      <x:c r="H312" s="25" t="str">
        <x:v>INCONCLUSIVE</x:v>
      </x:c>
      <x:c r="I312" s="25" t="str">
        <x:v>FAIL</x:v>
      </x:c>
      <x:c r="J312" s="25" t="str">
        <x:v>FAIL</x:v>
      </x:c>
      <x:c r="K312" s="25" t="n">
        <x:v>1</x:v>
      </x:c>
      <x:c r="L312" s="27" t="b">
        <x:v>0</x:v>
      </x:c>
      <x:c r="M312" s="25" t="str">
        <x:v>Gemini-3.8-flash/generation_state.json</x:v>
      </x:c>
      <x:c r="N312" s="25" t="str">
        <x:v>Gemini-3.8-flash/Result/Compress_32/result.json</x:v>
      </x:c>
      <x:c r="O312" s="25" t="str">
        <x:v>Gemini-3.8-flash/Result/Compress_32/result.json</x:v>
      </x:c>
      <x:c r="P312"/>
      <x:c r="Q312" s="21" t="str"/>
      <x:c r="R312" s="21" t="str"/>
      <x:c r="S312" s="21" t="str"/>
      <x:c r="T312" s="17" t="str">
        <x:v>false</x:v>
      </x:c>
      <x:c r="U312" s="17" t="str">
        <x:v>true</x:v>
      </x:c>
      <x:c r="V312" s="17" t="str">
        <x:v>false</x:v>
      </x:c>
    </x:row>
    <x:row r="313" ht="80" customHeight="1">
      <x:c r="A313" s="25" t="str">
        <x:v>Compress</x:v>
      </x:c>
      <x:c r="B313" s="25" t="n">
        <x:v>33</x:v>
      </x:c>
      <x:c r="C313" s="25" t="str">
        <x:v>Round1</x:v>
      </x:c>
      <x:c r="D313" s="25" t="str">
        <x:v>INCONCLUSIVE</x:v>
      </x:c>
      <x:c r="E313" s="25" t="str">
        <x:v>N/A</x:v>
      </x:c>
      <x:c r="F313" s="26" t="str">
        <x:v>Fixed also failed; assertion failure cannot be attributed to this bug</x:v>
      </x:c>
      <x:c r="G313" s="25" t="str">
        <x:v>true</x:v>
      </x:c>
      <x:c r="H313" s="25" t="str">
        <x:v>INCONCLUSIVE</x:v>
      </x:c>
      <x:c r="I313" s="25" t="str">
        <x:v>FAIL</x:v>
      </x:c>
      <x:c r="J313" s="25" t="str">
        <x:v>FAIL</x:v>
      </x:c>
      <x:c r="K313" s="25" t="n">
        <x:v>2</x:v>
      </x:c>
      <x:c r="L313" s="27" t="b">
        <x:v>0</x:v>
      </x:c>
      <x:c r="M313" s="25" t="str">
        <x:v>Gemini-3.8-flash/generation_state.json</x:v>
      </x:c>
      <x:c r="N313" s="25" t="str">
        <x:v>Gemini-3.8-flash/Result/Compress_33/result.json</x:v>
      </x:c>
      <x:c r="O313" s="25" t="str">
        <x:v>Gemini-3.8-flash/Result/Compress_33/result.json</x:v>
      </x:c>
      <x:c r="P313"/>
      <x:c r="Q313" s="21" t="str"/>
      <x:c r="R313" s="21" t="str"/>
      <x:c r="S313" s="21" t="str"/>
      <x:c r="T313" s="17" t="str">
        <x:v>false</x:v>
      </x:c>
      <x:c r="U313" s="17" t="str">
        <x:v>true</x:v>
      </x:c>
      <x:c r="V313" s="17" t="str">
        <x:v>false</x:v>
      </x:c>
    </x:row>
    <x:row r="314" ht="80" customHeight="1">
      <x:c r="A314" s="25" t="str">
        <x:v>Compress</x:v>
      </x:c>
      <x:c r="B314" s="25" t="n">
        <x:v>34</x:v>
      </x:c>
      <x:c r="C314" s="25" t="str">
        <x:v>Round1</x:v>
      </x:c>
      <x:c r="D314" s="25" t="str">
        <x:v>INCONCLUSIVE</x:v>
      </x:c>
      <x:c r="E314" s="25" t="str">
        <x:v>N/A</x:v>
      </x:c>
      <x:c r="F314" s="26" t="str">
        <x:v>Fixed also failed; assertion failure cannot be attributed to this bug</x:v>
      </x:c>
      <x:c r="G314" s="25" t="str">
        <x:v>true</x:v>
      </x:c>
      <x:c r="H314" s="25" t="str">
        <x:v>INCONCLUSIVE</x:v>
      </x:c>
      <x:c r="I314" s="25" t="str">
        <x:v>PASS</x:v>
      </x:c>
      <x:c r="J314" s="25" t="str">
        <x:v>FAIL</x:v>
      </x:c>
      <x:c r="K314" s="25" t="n">
        <x:v>1</x:v>
      </x:c>
      <x:c r="L314" s="27" t="b">
        <x:v>0</x:v>
      </x:c>
      <x:c r="M314" s="25" t="str">
        <x:v>Gemini-3.8-flash/generation_state.json</x:v>
      </x:c>
      <x:c r="N314" s="25" t="str">
        <x:v>Gemini-3.8-flash/Result/Compress_34/result.json</x:v>
      </x:c>
      <x:c r="O314" s="25" t="str">
        <x:v>Gemini-3.8-flash/Result/Compress_34/result.json</x:v>
      </x:c>
      <x:c r="P314"/>
      <x:c r="Q314" s="21" t="str"/>
      <x:c r="R314" s="21" t="str"/>
      <x:c r="S314" s="21" t="str"/>
      <x:c r="T314" s="17" t="str">
        <x:v>false</x:v>
      </x:c>
      <x:c r="U314" s="17" t="str">
        <x:v>true</x:v>
      </x:c>
      <x:c r="V314" s="17" t="str">
        <x:v>false</x:v>
      </x:c>
    </x:row>
    <x:row r="315" ht="80" customHeight="1">
      <x:c r="A315" s="25" t="str">
        <x:v>Compress</x:v>
      </x:c>
      <x:c r="B315" s="25" t="n">
        <x:v>35</x:v>
      </x:c>
      <x:c r="C315" s="25" t="str">
        <x:v>Round1</x:v>
      </x:c>
      <x:c r="D315" s="25" t="str">
        <x:v>INCONCLUSIVE</x:v>
      </x:c>
      <x:c r="E315" s="25" t="str">
        <x:v>N/A</x:v>
      </x:c>
      <x:c r="F315" s="26" t="str">
        <x:v>Fixed also failed; assertion failure cannot be attributed to this bug</x:v>
      </x:c>
      <x:c r="G315" s="25" t="str">
        <x:v>true</x:v>
      </x:c>
      <x:c r="H315" s="25" t="str">
        <x:v>INCONCLUSIVE</x:v>
      </x:c>
      <x:c r="I315" s="25" t="str">
        <x:v>FAIL</x:v>
      </x:c>
      <x:c r="J315" s="25" t="str">
        <x:v>FAIL</x:v>
      </x:c>
      <x:c r="K315" s="25" t="n">
        <x:v>1</x:v>
      </x:c>
      <x:c r="L315" s="27" t="b">
        <x:v>0</x:v>
      </x:c>
      <x:c r="M315" s="25" t="str">
        <x:v>Gemini-3.8-flash/generation_state.json</x:v>
      </x:c>
      <x:c r="N315" s="25" t="str">
        <x:v>Gemini-3.8-flash/Result/Compress_35/result.json</x:v>
      </x:c>
      <x:c r="O315" s="25" t="str">
        <x:v>Gemini-3.8-flash/Result/Compress_35/result.json</x:v>
      </x:c>
      <x:c r="P315"/>
      <x:c r="Q315" s="21" t="str"/>
      <x:c r="R315" s="21" t="str"/>
      <x:c r="S315" s="21" t="str"/>
      <x:c r="T315" s="17" t="str">
        <x:v>false</x:v>
      </x:c>
      <x:c r="U315" s="17" t="str">
        <x:v>true</x:v>
      </x:c>
      <x:c r="V315" s="17" t="str">
        <x:v>false</x:v>
      </x:c>
    </x:row>
    <x:row r="316" ht="80" customHeight="1">
      <x:c r="A316" s="25" t="str">
        <x:v>Compress</x:v>
      </x:c>
      <x:c r="B316" s="25" t="n">
        <x:v>36</x:v>
      </x:c>
      <x:c r="C316" s="25" t="str">
        <x:v>Round1</x:v>
      </x:c>
      <x:c r="D316" s="25" t="str">
        <x:v>INCONCLUSIVE</x:v>
      </x:c>
      <x:c r="E316" s="25" t="str">
        <x:v>N/A</x:v>
      </x:c>
      <x:c r="F316" s="26" t="str">
        <x:v>Fixed also failed; assertion failure cannot be attributed to this bug</x:v>
      </x:c>
      <x:c r="G316" s="25" t="str">
        <x:v>true</x:v>
      </x:c>
      <x:c r="H316" s="25" t="str">
        <x:v>INCONCLUSIVE</x:v>
      </x:c>
      <x:c r="I316" s="25" t="str">
        <x:v>FAIL</x:v>
      </x:c>
      <x:c r="J316" s="25" t="str">
        <x:v>FAIL</x:v>
      </x:c>
      <x:c r="K316" s="25" t="n">
        <x:v>1</x:v>
      </x:c>
      <x:c r="L316" s="27" t="b">
        <x:v>0</x:v>
      </x:c>
      <x:c r="M316" s="25" t="str">
        <x:v>Gemini-3.8-flash/generation_state.json</x:v>
      </x:c>
      <x:c r="N316" s="25" t="str">
        <x:v>Gemini-3.8-flash/Result/Compress_36/result.json</x:v>
      </x:c>
      <x:c r="O316" s="25" t="str">
        <x:v>Gemini-3.8-flash/Result/Compress_36/result.json</x:v>
      </x:c>
      <x:c r="P316"/>
      <x:c r="Q316" s="21" t="str"/>
      <x:c r="R316" s="21" t="str"/>
      <x:c r="S316" s="21" t="str"/>
      <x:c r="T316" s="17" t="str">
        <x:v>false</x:v>
      </x:c>
      <x:c r="U316" s="17" t="str">
        <x:v>true</x:v>
      </x:c>
      <x:c r="V316" s="17" t="str">
        <x:v>false</x:v>
      </x:c>
    </x:row>
    <x:row r="317" ht="80" customHeight="1">
      <x:c r="A317" s="25" t="str">
        <x:v>Compress</x:v>
      </x:c>
      <x:c r="B317" s="25" t="n">
        <x:v>37</x:v>
      </x:c>
      <x:c r="C317" s="25" t="str">
        <x:v>Round1</x:v>
      </x:c>
      <x:c r="D317" s="25" t="str">
        <x:v>NOT_AVAILABLE</x:v>
      </x:c>
      <x:c r="E317" s="25" t="str">
        <x:v>N/A</x:v>
      </x:c>
      <x:c r="F317" s="26" t="str">
        <x:v>Tests exist but current coverage did not complete</x:v>
      </x:c>
      <x:c r="G317" s="25" t="str">
        <x:v>true</x:v>
      </x:c>
      <x:c r="H317" s="25" t="str">
        <x:v>NOT_AVAILABLE</x:v>
      </x:c>
      <x:c r="I317" s="25" t="str">
        <x:v>NOT_RUN</x:v>
      </x:c>
      <x:c r="J317" s="25" t="str">
        <x:v>NOT_RUN</x:v>
      </x:c>
      <x:c r="K317" s="25" t="n">
        <x:v>1</x:v>
      </x:c>
      <x:c r="L317" s="27" t="b">
        <x:v>0</x:v>
      </x:c>
      <x:c r="M317" s="25" t="str">
        <x:v>Gemini-3.8-flash/generation_state.json</x:v>
      </x:c>
      <x:c r="N317" s="25" t="str">
        <x:v>Gemini-3.8-flash/Result/Compress_37/result.json</x:v>
      </x:c>
      <x:c r="O317" s="25" t="str">
        <x:v>Gemini-3.8-flash/Result/Compress_37/result.json</x:v>
      </x:c>
      <x:c r="P317" t="str">
        <x:v>BOTH_NOT_RUN</x:v>
      </x:c>
      <x:c r="Q317" s="21" t="str"/>
      <x:c r="R317" s="21" t="str"/>
      <x:c r="S317" s="21" t="str"/>
      <x:c r="T317" s="17" t="str">
        <x:v>false</x:v>
      </x:c>
      <x:c r="U317" s="17" t="str">
        <x:v>true</x:v>
      </x:c>
      <x:c r="V317" s="17" t="str">
        <x:v>false</x:v>
      </x:c>
    </x:row>
    <x:row r="318" ht="80" customHeight="1">
      <x:c r="A318" s="25" t="str">
        <x:v>Compress</x:v>
      </x:c>
      <x:c r="B318" s="25" t="n">
        <x:v>38</x:v>
      </x:c>
      <x:c r="C318" s="25" t="str">
        <x:v>Round1</x:v>
      </x:c>
      <x:c r="D318" s="25" t="str">
        <x:v>NOT_AVAILABLE</x:v>
      </x:c>
      <x:c r="E318" s="25" t="str">
        <x:v>N/A</x:v>
      </x:c>
      <x:c r="F318" s="26" t="str">
        <x:v>Tests exist but current coverage did not complete</x:v>
      </x:c>
      <x:c r="G318" s="25" t="str">
        <x:v>true</x:v>
      </x:c>
      <x:c r="H318" s="25" t="str">
        <x:v>NOT_AVAILABLE</x:v>
      </x:c>
      <x:c r="I318" s="25" t="str">
        <x:v>NOT_RUN</x:v>
      </x:c>
      <x:c r="J318" s="25" t="str">
        <x:v>NOT_RUN</x:v>
      </x:c>
      <x:c r="K318" s="25" t="n">
        <x:v>1</x:v>
      </x:c>
      <x:c r="L318" s="27" t="b">
        <x:v>0</x:v>
      </x:c>
      <x:c r="M318" s="25" t="str">
        <x:v>Gemini-3.8-flash/generation_state.json</x:v>
      </x:c>
      <x:c r="N318" s="25" t="str">
        <x:v>Gemini-3.8-flash/Result/Compress_38/result.json</x:v>
      </x:c>
      <x:c r="O318" s="25" t="str">
        <x:v>Gemini-3.8-flash/Result/Compress_38/result.json</x:v>
      </x:c>
      <x:c r="P318" t="str">
        <x:v>BOTH_NOT_RUN</x:v>
      </x:c>
      <x:c r="Q318" s="21" t="str"/>
      <x:c r="R318" s="21" t="str"/>
      <x:c r="S318" s="21" t="str"/>
      <x:c r="T318" s="17" t="str">
        <x:v>false</x:v>
      </x:c>
      <x:c r="U318" s="17" t="str">
        <x:v>true</x:v>
      </x:c>
      <x:c r="V318" s="17" t="str">
        <x:v>false</x:v>
      </x:c>
    </x:row>
    <x:row r="319" ht="80" customHeight="1">
      <x:c r="A319" s="25" t="str">
        <x:v>Compress</x:v>
      </x:c>
      <x:c r="B319" s="25" t="n">
        <x:v>39</x:v>
      </x:c>
      <x:c r="C319" s="25" t="str">
        <x:v>Round1</x:v>
      </x:c>
      <x:c r="D319" s="25" t="str">
        <x:v>NOT_REVEALING</x:v>
      </x:c>
      <x:c r="E319" s="25" t="str">
        <x:v>N/A</x:v>
      </x:c>
      <x:c r="F319" s="26" t="str">
        <x:v>Same saved validation suite passed on buggy and fixed</x:v>
      </x:c>
      <x:c r="G319" s="25" t="str">
        <x:v>true</x:v>
      </x:c>
      <x:c r="H319" s="25" t="str">
        <x:v>NOT_REVEALING</x:v>
      </x:c>
      <x:c r="I319" s="25" t="str">
        <x:v>PASS</x:v>
      </x:c>
      <x:c r="J319" s="25" t="str">
        <x:v>PASS</x:v>
      </x:c>
      <x:c r="K319" s="25" t="n">
        <x:v>1</x:v>
      </x:c>
      <x:c r="L319" s="27" t="b">
        <x:v>0</x:v>
      </x:c>
      <x:c r="M319" s="25" t="str">
        <x:v>Gemini-3.8-flash/generation_state.json</x:v>
      </x:c>
      <x:c r="N319" s="25" t="str">
        <x:v>Gemini-3.8-flash/Result/Compress_39/result.json</x:v>
      </x:c>
      <x:c r="O319" s="25" t="str">
        <x:v>Gemini-3.8-flash/Result/Compress_39/result.json</x:v>
      </x:c>
      <x:c r="P319"/>
      <x:c r="Q319" s="21" t="str"/>
      <x:c r="R319" s="21" t="str"/>
      <x:c r="S319" s="21" t="str"/>
      <x:c r="T319" s="17" t="str">
        <x:v>false</x:v>
      </x:c>
      <x:c r="U319" s="17" t="str">
        <x:v>true</x:v>
      </x:c>
      <x:c r="V319" s="17" t="str">
        <x:v>false</x:v>
      </x:c>
    </x:row>
    <x:row r="320" ht="80" customHeight="1">
      <x:c r="A320" s="25" t="str">
        <x:v>Compress</x:v>
      </x:c>
      <x:c r="B320" s="25" t="n">
        <x:v>4</x:v>
      </x:c>
      <x:c r="C320" s="25" t="str">
        <x:v>Round1</x:v>
      </x:c>
      <x:c r="D320" s="25" t="str">
        <x:v>NOT_AVAILABLE</x:v>
      </x:c>
      <x:c r="E320" s="25" t="str">
        <x:v>N/A</x:v>
      </x:c>
      <x:c r="F320" s="26" t="str">
        <x:v>Tests exist but current coverage did not complete</x:v>
      </x:c>
      <x:c r="G320" s="25" t="str">
        <x:v>true</x:v>
      </x:c>
      <x:c r="H320" s="25" t="str">
        <x:v>NOT_AVAILABLE</x:v>
      </x:c>
      <x:c r="I320" s="25" t="str">
        <x:v>NOT_RUN</x:v>
      </x:c>
      <x:c r="J320" s="25" t="str">
        <x:v>NOT_RUN</x:v>
      </x:c>
      <x:c r="K320" s="25" t="n">
        <x:v>4</x:v>
      </x:c>
      <x:c r="L320" s="27" t="b">
        <x:v>0</x:v>
      </x:c>
      <x:c r="M320" s="25" t="str">
        <x:v>Gemini-3.8-flash/generation_state.json</x:v>
      </x:c>
      <x:c r="N320" s="25" t="str">
        <x:v>Gemini-3.8-flash/Result/Compress_4/result.json</x:v>
      </x:c>
      <x:c r="O320" s="25" t="str">
        <x:v>Gemini-3.8-flash/Result/Compress_4/result.json</x:v>
      </x:c>
      <x:c r="P320" t="str">
        <x:v>BOTH_NOT_RUN</x:v>
      </x:c>
      <x:c r="Q320" s="21" t="str"/>
      <x:c r="R320" s="21" t="str"/>
      <x:c r="S320" s="21" t="str"/>
      <x:c r="T320" s="17" t="str">
        <x:v>false</x:v>
      </x:c>
      <x:c r="U320" s="17" t="str">
        <x:v>true</x:v>
      </x:c>
      <x:c r="V320" s="17" t="str">
        <x:v>false</x:v>
      </x:c>
    </x:row>
    <x:row r="321" ht="80" customHeight="1">
      <x:c r="A321" s="25" t="str">
        <x:v>Compress</x:v>
      </x:c>
      <x:c r="B321" s="25" t="n">
        <x:v>40</x:v>
      </x:c>
      <x:c r="C321" s="25" t="str">
        <x:v>Round1</x:v>
      </x:c>
      <x:c r="D321" s="25" t="str">
        <x:v>INCONCLUSIVE</x:v>
      </x:c>
      <x:c r="E321" s="25" t="str">
        <x:v>N/A</x:v>
      </x:c>
      <x:c r="F321" s="26" t="str">
        <x:v>Fixed also failed; assertion failure cannot be attributed to this bug</x:v>
      </x:c>
      <x:c r="G321" s="25" t="str">
        <x:v>true</x:v>
      </x:c>
      <x:c r="H321" s="25" t="str">
        <x:v>INCONCLUSIVE</x:v>
      </x:c>
      <x:c r="I321" s="25" t="str">
        <x:v>FAIL</x:v>
      </x:c>
      <x:c r="J321" s="25" t="str">
        <x:v>FAIL</x:v>
      </x:c>
      <x:c r="K321" s="25" t="n">
        <x:v>1</x:v>
      </x:c>
      <x:c r="L321" s="27" t="b">
        <x:v>0</x:v>
      </x:c>
      <x:c r="M321" s="25" t="str">
        <x:v>Gemini-3.8-flash/generation_state.json</x:v>
      </x:c>
      <x:c r="N321" s="25" t="str">
        <x:v>Gemini-3.8-flash/Result/Compress_40/result.json</x:v>
      </x:c>
      <x:c r="O321" s="25" t="str">
        <x:v>Gemini-3.8-flash/Result/Compress_40/result.json</x:v>
      </x:c>
      <x:c r="P321"/>
      <x:c r="Q321" s="21" t="str"/>
      <x:c r="R321" s="21" t="str"/>
      <x:c r="S321" s="21" t="str"/>
      <x:c r="T321" s="17" t="str">
        <x:v>false</x:v>
      </x:c>
      <x:c r="U321" s="17" t="str">
        <x:v>true</x:v>
      </x:c>
      <x:c r="V321" s="17" t="str">
        <x:v>false</x:v>
      </x:c>
    </x:row>
    <x:row r="322" ht="80" customHeight="1">
      <x:c r="A322" s="25" t="str">
        <x:v>Compress</x:v>
      </x:c>
      <x:c r="B322" s="25" t="n">
        <x:v>41</x:v>
      </x:c>
      <x:c r="C322" s="25" t="str">
        <x:v>Round1</x:v>
      </x:c>
      <x:c r="D322" s="25" t="str">
        <x:v>INCONCLUSIVE</x:v>
      </x:c>
      <x:c r="E322" s="25" t="str">
        <x:v>N/A</x:v>
      </x:c>
      <x:c r="F322" s="26" t="str">
        <x:v>Fixed also failed; assertion failure cannot be attributed to this bug</x:v>
      </x:c>
      <x:c r="G322" s="25" t="str">
        <x:v>true</x:v>
      </x:c>
      <x:c r="H322" s="25" t="str">
        <x:v>INCONCLUSIVE</x:v>
      </x:c>
      <x:c r="I322" s="25" t="str">
        <x:v>FAIL</x:v>
      </x:c>
      <x:c r="J322" s="25" t="str">
        <x:v>FAIL</x:v>
      </x:c>
      <x:c r="K322" s="25" t="n">
        <x:v>1</x:v>
      </x:c>
      <x:c r="L322" s="27" t="b">
        <x:v>0</x:v>
      </x:c>
      <x:c r="M322" s="25" t="str">
        <x:v>Gemini-3.8-flash/generation_state.json</x:v>
      </x:c>
      <x:c r="N322" s="25" t="str">
        <x:v>Gemini-3.8-flash/Result/Compress_41/result.json</x:v>
      </x:c>
      <x:c r="O322" s="25" t="str">
        <x:v>Gemini-3.8-flash/Result/Compress_41/result.json</x:v>
      </x:c>
      <x:c r="P322"/>
      <x:c r="Q322" s="21" t="str"/>
      <x:c r="R322" s="21" t="str"/>
      <x:c r="S322" s="21" t="str"/>
      <x:c r="T322" s="17" t="str">
        <x:v>false</x:v>
      </x:c>
      <x:c r="U322" s="17" t="str">
        <x:v>true</x:v>
      </x:c>
      <x:c r="V322" s="17" t="str">
        <x:v>false</x:v>
      </x:c>
    </x:row>
    <x:row r="323" ht="80" customHeight="1">
      <x:c r="A323" s="25" t="str">
        <x:v>Compress</x:v>
      </x:c>
      <x:c r="B323" s="25" t="n">
        <x:v>42</x:v>
      </x:c>
      <x:c r="C323" s="25" t="str">
        <x:v>Round1</x:v>
      </x:c>
      <x:c r="D323" s="25" t="str">
        <x:v>INCONCLUSIVE</x:v>
      </x:c>
      <x:c r="E323" s="25" t="str">
        <x:v>N/A</x:v>
      </x:c>
      <x:c r="F323" s="26" t="str">
        <x:v>Fixed also failed; assertion failure cannot be attributed to this bug</x:v>
      </x:c>
      <x:c r="G323" s="25" t="str">
        <x:v>true</x:v>
      </x:c>
      <x:c r="H323" s="25" t="str">
        <x:v>INCONCLUSIVE</x:v>
      </x:c>
      <x:c r="I323" s="25" t="str">
        <x:v>FAIL</x:v>
      </x:c>
      <x:c r="J323" s="25" t="str">
        <x:v>FAIL</x:v>
      </x:c>
      <x:c r="K323" s="25" t="n">
        <x:v>2</x:v>
      </x:c>
      <x:c r="L323" s="27" t="b">
        <x:v>0</x:v>
      </x:c>
      <x:c r="M323" s="25" t="str">
        <x:v>Gemini-3.8-flash/generation_state.json</x:v>
      </x:c>
      <x:c r="N323" s="25" t="str">
        <x:v>Gemini-3.8-flash/Result/Compress_42/result.json</x:v>
      </x:c>
      <x:c r="O323" s="25" t="str">
        <x:v>Gemini-3.8-flash/Result/Compress_42/result.json</x:v>
      </x:c>
      <x:c r="P323"/>
      <x:c r="Q323" s="21" t="str"/>
      <x:c r="R323" s="21" t="str"/>
      <x:c r="S323" s="21" t="str"/>
      <x:c r="T323" s="17" t="str">
        <x:v>false</x:v>
      </x:c>
      <x:c r="U323" s="17" t="str">
        <x:v>true</x:v>
      </x:c>
      <x:c r="V323" s="17" t="str">
        <x:v>false</x:v>
      </x:c>
    </x:row>
    <x:row r="324" ht="80" customHeight="1">
      <x:c r="A324" s="25" t="str">
        <x:v>Compress</x:v>
      </x:c>
      <x:c r="B324" s="25" t="n">
        <x:v>43</x:v>
      </x:c>
      <x:c r="C324" s="25" t="str">
        <x:v>Round1</x:v>
      </x:c>
      <x:c r="D324" s="25" t="str">
        <x:v>INCONCLUSIVE</x:v>
      </x:c>
      <x:c r="E324" s="25" t="str">
        <x:v>N/A</x:v>
      </x:c>
      <x:c r="F324" s="26" t="str">
        <x:v>Fixed also failed; assertion failure cannot be attributed to this bug</x:v>
      </x:c>
      <x:c r="G324" s="25" t="str">
        <x:v>true</x:v>
      </x:c>
      <x:c r="H324" s="25" t="str">
        <x:v>INCONCLUSIVE</x:v>
      </x:c>
      <x:c r="I324" s="25" t="str">
        <x:v>FAIL</x:v>
      </x:c>
      <x:c r="J324" s="25" t="str">
        <x:v>FAIL</x:v>
      </x:c>
      <x:c r="K324" s="25" t="n">
        <x:v>1</x:v>
      </x:c>
      <x:c r="L324" s="27" t="b">
        <x:v>0</x:v>
      </x:c>
      <x:c r="M324" s="25" t="str">
        <x:v>Gemini-3.8-flash/generation_state.json</x:v>
      </x:c>
      <x:c r="N324" s="25" t="str">
        <x:v>Gemini-3.8-flash/Result/Compress_43/result.json</x:v>
      </x:c>
      <x:c r="O324" s="25" t="str">
        <x:v>Gemini-3.8-flash/Result/Compress_43/result.json</x:v>
      </x:c>
      <x:c r="P324"/>
      <x:c r="Q324" s="21" t="str"/>
      <x:c r="R324" s="21" t="str"/>
      <x:c r="S324" s="21" t="str"/>
      <x:c r="T324" s="17" t="str">
        <x:v>false</x:v>
      </x:c>
      <x:c r="U324" s="17" t="str">
        <x:v>true</x:v>
      </x:c>
      <x:c r="V324" s="17" t="str">
        <x:v>false</x:v>
      </x:c>
    </x:row>
    <x:row r="325" ht="80" customHeight="1">
      <x:c r="A325" s="25" t="str">
        <x:v>Compress</x:v>
      </x:c>
      <x:c r="B325" s="25" t="n">
        <x:v>44</x:v>
      </x:c>
      <x:c r="C325" s="25" t="str">
        <x:v>Round1</x:v>
      </x:c>
      <x:c r="D325" s="25" t="str">
        <x:v>INCONCLUSIVE</x:v>
      </x:c>
      <x:c r="E325" s="25" t="str">
        <x:v>N/A</x:v>
      </x:c>
      <x:c r="F325" s="26" t="str">
        <x:v>Fixed also failed; assertion failure cannot be attributed to this bug</x:v>
      </x:c>
      <x:c r="G325" s="25" t="str">
        <x:v>true</x:v>
      </x:c>
      <x:c r="H325" s="25" t="str">
        <x:v>INCONCLUSIVE</x:v>
      </x:c>
      <x:c r="I325" s="25" t="str">
        <x:v>PASS</x:v>
      </x:c>
      <x:c r="J325" s="25" t="str">
        <x:v>FAIL</x:v>
      </x:c>
      <x:c r="K325" s="25" t="n">
        <x:v>1</x:v>
      </x:c>
      <x:c r="L325" s="27" t="b">
        <x:v>0</x:v>
      </x:c>
      <x:c r="M325" s="25" t="str">
        <x:v>Gemini-3.8-flash/generation_state.json</x:v>
      </x:c>
      <x:c r="N325" s="25" t="str">
        <x:v>Gemini-3.8-flash/Result/Compress_44/result.json</x:v>
      </x:c>
      <x:c r="O325" s="25" t="str">
        <x:v>Gemini-3.8-flash/Result/Compress_44/result.json</x:v>
      </x:c>
      <x:c r="P325"/>
      <x:c r="Q325" s="21" t="str"/>
      <x:c r="R325" s="21" t="str"/>
      <x:c r="S325" s="21" t="str"/>
      <x:c r="T325" s="17" t="str">
        <x:v>false</x:v>
      </x:c>
      <x:c r="U325" s="17" t="str">
        <x:v>true</x:v>
      </x:c>
      <x:c r="V325" s="17" t="str">
        <x:v>false</x:v>
      </x:c>
    </x:row>
    <x:row r="326" ht="80" customHeight="1">
      <x:c r="A326" s="25" t="str">
        <x:v>Compress</x:v>
      </x:c>
      <x:c r="B326" s="25" t="n">
        <x:v>45</x:v>
      </x:c>
      <x:c r="C326" s="25" t="str">
        <x:v>Round1</x:v>
      </x:c>
      <x:c r="D326" s="25" t="str">
        <x:v>INCONCLUSIVE</x:v>
      </x:c>
      <x:c r="E326" s="25" t="str">
        <x:v>N/A</x:v>
      </x:c>
      <x:c r="F326" s="26" t="str">
        <x:v>Fixed also failed; assertion failure cannot be attributed to this bug</x:v>
      </x:c>
      <x:c r="G326" s="25" t="str">
        <x:v>true</x:v>
      </x:c>
      <x:c r="H326" s="25" t="str">
        <x:v>INCONCLUSIVE</x:v>
      </x:c>
      <x:c r="I326" s="25" t="str">
        <x:v>FAIL</x:v>
      </x:c>
      <x:c r="J326" s="25" t="str">
        <x:v>FAIL</x:v>
      </x:c>
      <x:c r="K326" s="25" t="n">
        <x:v>1</x:v>
      </x:c>
      <x:c r="L326" s="27" t="b">
        <x:v>0</x:v>
      </x:c>
      <x:c r="M326" s="25" t="str">
        <x:v>Gemini-3.8-flash/generation_state.json</x:v>
      </x:c>
      <x:c r="N326" s="25" t="str">
        <x:v>Gemini-3.8-flash/Result/Compress_45/result.json</x:v>
      </x:c>
      <x:c r="O326" s="25" t="str">
        <x:v>Gemini-3.8-flash/Result/Compress_45/result.json</x:v>
      </x:c>
      <x:c r="P326"/>
      <x:c r="Q326" s="21" t="str"/>
      <x:c r="R326" s="21" t="str"/>
      <x:c r="S326" s="21" t="str"/>
      <x:c r="T326" s="17" t="str">
        <x:v>false</x:v>
      </x:c>
      <x:c r="U326" s="17" t="str">
        <x:v>true</x:v>
      </x:c>
      <x:c r="V326" s="17" t="str">
        <x:v>false</x:v>
      </x:c>
    </x:row>
    <x:row r="327" ht="80" customHeight="1">
      <x:c r="A327" s="25" t="str">
        <x:v>Compress</x:v>
      </x:c>
      <x:c r="B327" s="25" t="n">
        <x:v>46</x:v>
      </x:c>
      <x:c r="C327" s="25" t="str">
        <x:v>Round1</x:v>
      </x:c>
      <x:c r="D327" s="25" t="str">
        <x:v>NOT_REVEALING</x:v>
      </x:c>
      <x:c r="E327" s="25" t="str">
        <x:v>N/A</x:v>
      </x:c>
      <x:c r="F327" s="26" t="str">
        <x:v>Same saved validation suite passed on buggy and fixed</x:v>
      </x:c>
      <x:c r="G327" s="25" t="str">
        <x:v>true</x:v>
      </x:c>
      <x:c r="H327" s="25" t="str">
        <x:v>NOT_REVEALING</x:v>
      </x:c>
      <x:c r="I327" s="25" t="str">
        <x:v>PASS</x:v>
      </x:c>
      <x:c r="J327" s="25" t="str">
        <x:v>PASS</x:v>
      </x:c>
      <x:c r="K327" s="25" t="n">
        <x:v>1</x:v>
      </x:c>
      <x:c r="L327" s="27" t="b">
        <x:v>0</x:v>
      </x:c>
      <x:c r="M327" s="25" t="str">
        <x:v>Gemini-3.8-flash/generation_state.json</x:v>
      </x:c>
      <x:c r="N327" s="25" t="str">
        <x:v>Gemini-3.8-flash/Result/Compress_46/result.json</x:v>
      </x:c>
      <x:c r="O327" s="25" t="str">
        <x:v>Gemini-3.8-flash/Result/Compress_46/result.json</x:v>
      </x:c>
      <x:c r="P327"/>
      <x:c r="Q327" s="21" t="str"/>
      <x:c r="R327" s="21" t="str"/>
      <x:c r="S327" s="21" t="str"/>
      <x:c r="T327" s="17" t="str">
        <x:v>false</x:v>
      </x:c>
      <x:c r="U327" s="17" t="str">
        <x:v>true</x:v>
      </x:c>
      <x:c r="V327" s="17" t="str">
        <x:v>false</x:v>
      </x:c>
    </x:row>
    <x:row r="328" ht="80" customHeight="1">
      <x:c r="A328" s="25" t="str">
        <x:v>Compress</x:v>
      </x:c>
      <x:c r="B328" s="25" t="n">
        <x:v>47</x:v>
      </x:c>
      <x:c r="C328" s="25" t="str">
        <x:v>Round1</x:v>
      </x:c>
      <x:c r="D328" s="25" t="str">
        <x:v>NOT_REVEALING</x:v>
      </x:c>
      <x:c r="E328" s="25" t="str">
        <x:v>N/A</x:v>
      </x:c>
      <x:c r="F328" s="26" t="str">
        <x:v>Same saved validation suite passed on buggy and fixed</x:v>
      </x:c>
      <x:c r="G328" s="25" t="str">
        <x:v>true</x:v>
      </x:c>
      <x:c r="H328" s="25" t="str">
        <x:v>NOT_REVEALING</x:v>
      </x:c>
      <x:c r="I328" s="25" t="str">
        <x:v>PASS</x:v>
      </x:c>
      <x:c r="J328" s="25" t="str">
        <x:v>PASS</x:v>
      </x:c>
      <x:c r="K328" s="25" t="n">
        <x:v>1</x:v>
      </x:c>
      <x:c r="L328" s="27" t="b">
        <x:v>0</x:v>
      </x:c>
      <x:c r="M328" s="25" t="str">
        <x:v>Gemini-3.8-flash/generation_state.json</x:v>
      </x:c>
      <x:c r="N328" s="25" t="str">
        <x:v>Gemini-3.8-flash/Result/Compress_47/result.json</x:v>
      </x:c>
      <x:c r="O328" s="25" t="str">
        <x:v>Gemini-3.8-flash/Result/Compress_47/result.json</x:v>
      </x:c>
      <x:c r="P328"/>
      <x:c r="Q328" s="21" t="str"/>
      <x:c r="R328" s="21" t="str"/>
      <x:c r="S328" s="21" t="str"/>
      <x:c r="T328" s="17" t="str">
        <x:v>false</x:v>
      </x:c>
      <x:c r="U328" s="17" t="str">
        <x:v>true</x:v>
      </x:c>
      <x:c r="V328" s="17" t="str">
        <x:v>false</x:v>
      </x:c>
    </x:row>
    <x:row r="329" ht="80" customHeight="1">
      <x:c r="A329" s="25" t="str">
        <x:v>Compress</x:v>
      </x:c>
      <x:c r="B329" s="25" t="n">
        <x:v>5</x:v>
      </x:c>
      <x:c r="C329" s="25" t="str">
        <x:v>Round1</x:v>
      </x:c>
      <x:c r="D329" s="25" t="str">
        <x:v>INCONCLUSIVE</x:v>
      </x:c>
      <x:c r="E329" s="25" t="str">
        <x:v>N/A</x:v>
      </x:c>
      <x:c r="F329" s="26" t="str">
        <x:v>Fixed also failed; assertion failure cannot be attributed to this bug</x:v>
      </x:c>
      <x:c r="G329" s="25" t="str">
        <x:v>true</x:v>
      </x:c>
      <x:c r="H329" s="25" t="str">
        <x:v>INCONCLUSIVE</x:v>
      </x:c>
      <x:c r="I329" s="25" t="str">
        <x:v>FAIL</x:v>
      </x:c>
      <x:c r="J329" s="25" t="str">
        <x:v>FAIL</x:v>
      </x:c>
      <x:c r="K329" s="25" t="n">
        <x:v>1</x:v>
      </x:c>
      <x:c r="L329" s="27" t="b">
        <x:v>0</x:v>
      </x:c>
      <x:c r="M329" s="25" t="str">
        <x:v>Gemini-3.8-flash/generation_state.json</x:v>
      </x:c>
      <x:c r="N329" s="25" t="str">
        <x:v>Gemini-3.8-flash/Result/Compress_5/result.json</x:v>
      </x:c>
      <x:c r="O329" s="25" t="str">
        <x:v>Gemini-3.8-flash/Result/Compress_5/result.json</x:v>
      </x:c>
      <x:c r="P329"/>
      <x:c r="Q329" s="21" t="str"/>
      <x:c r="R329" s="21" t="str"/>
      <x:c r="S329" s="21" t="str"/>
      <x:c r="T329" s="17" t="str">
        <x:v>false</x:v>
      </x:c>
      <x:c r="U329" s="17" t="str">
        <x:v>true</x:v>
      </x:c>
      <x:c r="V329" s="17" t="str">
        <x:v>false</x:v>
      </x:c>
    </x:row>
    <x:row r="330" ht="80" customHeight="1">
      <x:c r="A330" s="25" t="str">
        <x:v>Compress</x:v>
      </x:c>
      <x:c r="B330" s="25" t="n">
        <x:v>6</x:v>
      </x:c>
      <x:c r="C330" s="25" t="str">
        <x:v>Round1</x:v>
      </x:c>
      <x:c r="D330" s="25" t="str">
        <x:v>INCONCLUSIVE</x:v>
      </x:c>
      <x:c r="E330" s="25" t="str">
        <x:v>N/A</x:v>
      </x:c>
      <x:c r="F330" s="26" t="str">
        <x:v>Fixed also failed; assertion failure cannot be attributed to this bug</x:v>
      </x:c>
      <x:c r="G330" s="25" t="str">
        <x:v>true</x:v>
      </x:c>
      <x:c r="H330" s="25" t="str">
        <x:v>INCONCLUSIVE</x:v>
      </x:c>
      <x:c r="I330" s="25" t="str">
        <x:v>FAIL</x:v>
      </x:c>
      <x:c r="J330" s="25" t="str">
        <x:v>FAIL</x:v>
      </x:c>
      <x:c r="K330" s="25" t="n">
        <x:v>1</x:v>
      </x:c>
      <x:c r="L330" s="27" t="b">
        <x:v>0</x:v>
      </x:c>
      <x:c r="M330" s="25" t="str">
        <x:v>Gemini-3.8-flash/generation_state.json</x:v>
      </x:c>
      <x:c r="N330" s="25" t="str">
        <x:v>Gemini-3.8-flash/Result/Compress_6/result.json</x:v>
      </x:c>
      <x:c r="O330" s="25" t="str">
        <x:v>Gemini-3.8-flash/Result/Compress_6/result.json</x:v>
      </x:c>
      <x:c r="P330"/>
      <x:c r="Q330" s="21" t="str"/>
      <x:c r="R330" s="21" t="str"/>
      <x:c r="S330" s="21" t="str"/>
      <x:c r="T330" s="17" t="str">
        <x:v>false</x:v>
      </x:c>
      <x:c r="U330" s="17" t="str">
        <x:v>true</x:v>
      </x:c>
      <x:c r="V330" s="17" t="str">
        <x:v>false</x:v>
      </x:c>
    </x:row>
    <x:row r="331" ht="80" customHeight="1">
      <x:c r="A331" s="25" t="str">
        <x:v>Compress</x:v>
      </x:c>
      <x:c r="B331" s="25" t="n">
        <x:v>7</x:v>
      </x:c>
      <x:c r="C331" s="25" t="str">
        <x:v>Round1</x:v>
      </x:c>
      <x:c r="D331" s="25" t="str">
        <x:v>NOT_AVAILABLE</x:v>
      </x:c>
      <x:c r="E331" s="25" t="str">
        <x:v>N/A</x:v>
      </x:c>
      <x:c r="F331" s="26" t="str">
        <x:v>Tests exist but current coverage did not complete</x:v>
      </x:c>
      <x:c r="G331" s="25" t="str">
        <x:v>true</x:v>
      </x:c>
      <x:c r="H331" s="25" t="str">
        <x:v>NOT_AVAILABLE</x:v>
      </x:c>
      <x:c r="I331" s="25" t="str">
        <x:v>NOT_RUN</x:v>
      </x:c>
      <x:c r="J331" s="25" t="str">
        <x:v>NOT_RUN</x:v>
      </x:c>
      <x:c r="K331" s="25" t="n">
        <x:v>1</x:v>
      </x:c>
      <x:c r="L331" s="27" t="b">
        <x:v>0</x:v>
      </x:c>
      <x:c r="M331" s="25" t="str">
        <x:v>Gemini-3.8-flash/generation_state.json</x:v>
      </x:c>
      <x:c r="N331" s="25" t="str">
        <x:v>Gemini-3.8-flash/Result/Compress_7/result.json</x:v>
      </x:c>
      <x:c r="O331" s="25" t="str">
        <x:v>Gemini-3.8-flash/Result/Compress_7/result.json</x:v>
      </x:c>
      <x:c r="P331" t="str">
        <x:v>BOTH_NOT_RUN</x:v>
      </x:c>
      <x:c r="Q331" s="21" t="str"/>
      <x:c r="R331" s="21" t="str"/>
      <x:c r="S331" s="21" t="str"/>
      <x:c r="T331" s="17" t="str">
        <x:v>false</x:v>
      </x:c>
      <x:c r="U331" s="17" t="str">
        <x:v>true</x:v>
      </x:c>
      <x:c r="V331" s="17" t="str">
        <x:v>false</x:v>
      </x:c>
    </x:row>
    <x:row r="332" ht="80" customHeight="1">
      <x:c r="A332" s="25" t="str">
        <x:v>Compress</x:v>
      </x:c>
      <x:c r="B332" s="25" t="n">
        <x:v>8</x:v>
      </x:c>
      <x:c r="C332" s="25" t="str">
        <x:v>Round1</x:v>
      </x:c>
      <x:c r="D332" s="25" t="str">
        <x:v>INCONCLUSIVE</x:v>
      </x:c>
      <x:c r="E332" s="25" t="str">
        <x:v>N/A</x:v>
      </x:c>
      <x:c r="F332" s="26" t="str">
        <x:v>Fixed also failed; assertion failure cannot be attributed to this bug</x:v>
      </x:c>
      <x:c r="G332" s="25" t="str">
        <x:v>true</x:v>
      </x:c>
      <x:c r="H332" s="25" t="str">
        <x:v>INCONCLUSIVE</x:v>
      </x:c>
      <x:c r="I332" s="25" t="str">
        <x:v>PASS</x:v>
      </x:c>
      <x:c r="J332" s="25" t="str">
        <x:v>FAIL</x:v>
      </x:c>
      <x:c r="K332" s="25" t="n">
        <x:v>1</x:v>
      </x:c>
      <x:c r="L332" s="27" t="b">
        <x:v>0</x:v>
      </x:c>
      <x:c r="M332" s="25" t="str">
        <x:v>Gemini-3.8-flash/generation_state.json</x:v>
      </x:c>
      <x:c r="N332" s="25" t="str">
        <x:v>Gemini-3.8-flash/Result/Compress_8/result.json</x:v>
      </x:c>
      <x:c r="O332" s="25" t="str">
        <x:v>Gemini-3.8-flash/Result/Compress_8/result.json</x:v>
      </x:c>
      <x:c r="P332"/>
      <x:c r="Q332" s="21" t="str"/>
      <x:c r="R332" s="21" t="str"/>
      <x:c r="S332" s="21" t="str"/>
      <x:c r="T332" s="17" t="str">
        <x:v>false</x:v>
      </x:c>
      <x:c r="U332" s="17" t="str">
        <x:v>true</x:v>
      </x:c>
      <x:c r="V332" s="17" t="str">
        <x:v>false</x:v>
      </x:c>
    </x:row>
    <x:row r="333" ht="80" customHeight="1">
      <x:c r="A333" s="25" t="str">
        <x:v>Compress</x:v>
      </x:c>
      <x:c r="B333" s="25" t="n">
        <x:v>9</x:v>
      </x:c>
      <x:c r="C333" s="25" t="str">
        <x:v>Round1</x:v>
      </x:c>
      <x:c r="D333" s="25" t="str">
        <x:v>NOT_REVEALING</x:v>
      </x:c>
      <x:c r="E333" s="25" t="str">
        <x:v>N/A</x:v>
      </x:c>
      <x:c r="F333" s="26" t="str">
        <x:v>Same saved validation suite passed on buggy and fixed</x:v>
      </x:c>
      <x:c r="G333" s="25" t="str">
        <x:v>true</x:v>
      </x:c>
      <x:c r="H333" s="25" t="str">
        <x:v>NOT_REVEALING</x:v>
      </x:c>
      <x:c r="I333" s="25" t="str">
        <x:v>PASS</x:v>
      </x:c>
      <x:c r="J333" s="25" t="str">
        <x:v>PASS</x:v>
      </x:c>
      <x:c r="K333" s="25" t="n">
        <x:v>1</x:v>
      </x:c>
      <x:c r="L333" s="27" t="b">
        <x:v>0</x:v>
      </x:c>
      <x:c r="M333" s="25" t="str">
        <x:v>Gemini-3.8-flash/generation_state.json</x:v>
      </x:c>
      <x:c r="N333" s="25" t="str">
        <x:v>Gemini-3.8-flash/Result/Compress_9/result.json</x:v>
      </x:c>
      <x:c r="O333" s="25" t="str">
        <x:v>Gemini-3.8-flash/Result/Compress_9/result.json</x:v>
      </x:c>
      <x:c r="P333"/>
      <x:c r="Q333" s="21" t="str"/>
      <x:c r="R333" s="21" t="str"/>
      <x:c r="S333" s="21" t="str"/>
      <x:c r="T333" s="17" t="str">
        <x:v>false</x:v>
      </x:c>
      <x:c r="U333" s="17" t="str">
        <x:v>true</x:v>
      </x:c>
      <x:c r="V333" s="17" t="str">
        <x:v>false</x:v>
      </x:c>
    </x:row>
    <x:row r="334" ht="80" customHeight="1">
      <x:c r="A334" s="25" t="str">
        <x:v>Csv</x:v>
      </x:c>
      <x:c r="B334" s="25" t="n">
        <x:v>1</x:v>
      </x:c>
      <x:c r="C334" s="25" t="str">
        <x:v>Round1</x:v>
      </x:c>
      <x:c r="D334" s="25" t="str">
        <x:v>INCONCLUSIVE</x:v>
      </x:c>
      <x:c r="E334" s="25" t="str">
        <x:v>N/A</x:v>
      </x:c>
      <x:c r="F334" s="26" t="str">
        <x:v>Fixed also failed; assertion failure cannot be attributed to this bug</x:v>
      </x:c>
      <x:c r="G334" s="25" t="str">
        <x:v>true</x:v>
      </x:c>
      <x:c r="H334" s="25" t="str">
        <x:v>INCONCLUSIVE</x:v>
      </x:c>
      <x:c r="I334" s="25" t="str">
        <x:v>PASS</x:v>
      </x:c>
      <x:c r="J334" s="25" t="str">
        <x:v>FAIL</x:v>
      </x:c>
      <x:c r="K334" s="25" t="n">
        <x:v>1</x:v>
      </x:c>
      <x:c r="L334" s="27" t="b">
        <x:v>0</x:v>
      </x:c>
      <x:c r="M334" s="25" t="str">
        <x:v>Gemini-3.8-flash/generation_state.json</x:v>
      </x:c>
      <x:c r="N334" s="25" t="str">
        <x:v>Gemini-3.8-flash/Result/Csv_1/result.json</x:v>
      </x:c>
      <x:c r="O334" s="25" t="str">
        <x:v>Gemini-3.8-flash/Result/Csv_1/result.json</x:v>
      </x:c>
      <x:c r="P334"/>
      <x:c r="Q334" s="21" t="str"/>
      <x:c r="R334" s="21" t="str"/>
      <x:c r="S334" s="21" t="str"/>
      <x:c r="T334" s="17" t="str">
        <x:v>false</x:v>
      </x:c>
      <x:c r="U334" s="17" t="str">
        <x:v>true</x:v>
      </x:c>
      <x:c r="V334" s="17" t="str">
        <x:v>false</x:v>
      </x:c>
    </x:row>
    <x:row r="335" ht="80" customHeight="1">
      <x:c r="A335" s="25" t="str">
        <x:v>Csv</x:v>
      </x:c>
      <x:c r="B335" s="25" t="n">
        <x:v>10</x:v>
      </x:c>
      <x:c r="C335" s="25" t="str">
        <x:v>Round1</x:v>
      </x:c>
      <x:c r="D335" s="25" t="str">
        <x:v>NOT_AVAILABLE</x:v>
      </x:c>
      <x:c r="E335" s="25" t="str">
        <x:v>N/A</x:v>
      </x:c>
      <x:c r="F335" s="26" t="str">
        <x:v>Tests exist but current coverage did not complete</x:v>
      </x:c>
      <x:c r="G335" s="25" t="str">
        <x:v>true</x:v>
      </x:c>
      <x:c r="H335" s="25" t="str">
        <x:v>NOT_AVAILABLE</x:v>
      </x:c>
      <x:c r="I335" s="25" t="str">
        <x:v>NOT_RUN</x:v>
      </x:c>
      <x:c r="J335" s="25" t="str">
        <x:v>NOT_RUN</x:v>
      </x:c>
      <x:c r="K335" s="25" t="n">
        <x:v>1</x:v>
      </x:c>
      <x:c r="L335" s="27" t="b">
        <x:v>0</x:v>
      </x:c>
      <x:c r="M335" s="25" t="str">
        <x:v>Gemini-3.8-flash/generation_state.json</x:v>
      </x:c>
      <x:c r="N335" s="25" t="str">
        <x:v>Gemini-3.8-flash/Result/Csv_10/result.json</x:v>
      </x:c>
      <x:c r="O335" s="25" t="str">
        <x:v>Gemini-3.8-flash/Result/Csv_10/result.json</x:v>
      </x:c>
      <x:c r="P335" t="str">
        <x:v>BOTH_NOT_RUN</x:v>
      </x:c>
      <x:c r="Q335" s="21" t="str"/>
      <x:c r="R335" s="21" t="str"/>
      <x:c r="S335" s="21" t="str"/>
      <x:c r="T335" s="17" t="str">
        <x:v>false</x:v>
      </x:c>
      <x:c r="U335" s="17" t="str">
        <x:v>true</x:v>
      </x:c>
      <x:c r="V335" s="17" t="str">
        <x:v>false</x:v>
      </x:c>
    </x:row>
    <x:row r="336" ht="80" customHeight="1">
      <x:c r="A336" s="25" t="str">
        <x:v>Csv</x:v>
      </x:c>
      <x:c r="B336" s="25" t="n">
        <x:v>11</x:v>
      </x:c>
      <x:c r="C336" s="25" t="str">
        <x:v>Round1</x:v>
      </x:c>
      <x:c r="D336" s="25" t="str">
        <x:v>NOT_REVEALING</x:v>
      </x:c>
      <x:c r="E336" s="25" t="str">
        <x:v>N/A</x:v>
      </x:c>
      <x:c r="F336" s="26" t="str">
        <x:v>Same saved validation suite passed on buggy and fixed</x:v>
      </x:c>
      <x:c r="G336" s="25" t="str">
        <x:v>true</x:v>
      </x:c>
      <x:c r="H336" s="25" t="str">
        <x:v>NOT_REVEALING</x:v>
      </x:c>
      <x:c r="I336" s="25" t="str">
        <x:v>PASS</x:v>
      </x:c>
      <x:c r="J336" s="25" t="str">
        <x:v>PASS</x:v>
      </x:c>
      <x:c r="K336" s="25" t="n">
        <x:v>1</x:v>
      </x:c>
      <x:c r="L336" s="27" t="b">
        <x:v>0</x:v>
      </x:c>
      <x:c r="M336" s="25" t="str">
        <x:v>Gemini-3.8-flash/generation_state.json</x:v>
      </x:c>
      <x:c r="N336" s="25" t="str">
        <x:v>Gemini-3.8-flash/Result/Csv_11/result.json</x:v>
      </x:c>
      <x:c r="O336" s="25" t="str">
        <x:v>Gemini-3.8-flash/Result/Csv_11/result.json</x:v>
      </x:c>
      <x:c r="P336"/>
      <x:c r="Q336" s="21" t="str"/>
      <x:c r="R336" s="21" t="str"/>
      <x:c r="S336" s="21" t="str"/>
      <x:c r="T336" s="17" t="str">
        <x:v>false</x:v>
      </x:c>
      <x:c r="U336" s="17" t="str">
        <x:v>true</x:v>
      </x:c>
      <x:c r="V336" s="17" t="str">
        <x:v>false</x:v>
      </x:c>
    </x:row>
    <x:row r="337" ht="80" customHeight="1">
      <x:c r="A337" s="25" t="str">
        <x:v>Csv</x:v>
      </x:c>
      <x:c r="B337" s="25" t="n">
        <x:v>12</x:v>
      </x:c>
      <x:c r="C337" s="25" t="str">
        <x:v>Round1</x:v>
      </x:c>
      <x:c r="D337" s="25" t="str">
        <x:v>NOT_AVAILABLE</x:v>
      </x:c>
      <x:c r="E337" s="25" t="str">
        <x:v>N/A</x:v>
      </x:c>
      <x:c r="F337" s="26" t="str">
        <x:v>Tests exist but current coverage did not complete</x:v>
      </x:c>
      <x:c r="G337" s="25" t="str">
        <x:v>true</x:v>
      </x:c>
      <x:c r="H337" s="25" t="str">
        <x:v>NOT_AVAILABLE</x:v>
      </x:c>
      <x:c r="I337" s="25" t="str">
        <x:v>NOT_RUN</x:v>
      </x:c>
      <x:c r="J337" s="25" t="str">
        <x:v>NOT_RUN</x:v>
      </x:c>
      <x:c r="K337" s="25" t="n">
        <x:v>1</x:v>
      </x:c>
      <x:c r="L337" s="27" t="b">
        <x:v>0</x:v>
      </x:c>
      <x:c r="M337" s="25" t="str">
        <x:v>Gemini-3.8-flash/generation_state.json</x:v>
      </x:c>
      <x:c r="N337" s="25" t="str">
        <x:v>Gemini-3.8-flash/Result/Csv_12/result.json</x:v>
      </x:c>
      <x:c r="O337" s="25" t="str">
        <x:v>Gemini-3.8-flash/Result/Csv_12/result.json</x:v>
      </x:c>
      <x:c r="P337" t="str">
        <x:v>BOTH_NOT_RUN</x:v>
      </x:c>
      <x:c r="Q337" s="21" t="str"/>
      <x:c r="R337" s="21" t="str"/>
      <x:c r="S337" s="21" t="str"/>
      <x:c r="T337" s="17" t="str">
        <x:v>false</x:v>
      </x:c>
      <x:c r="U337" s="17" t="str">
        <x:v>true</x:v>
      </x:c>
      <x:c r="V337" s="17" t="str">
        <x:v>false</x:v>
      </x:c>
    </x:row>
    <x:row r="338" ht="80" customHeight="1">
      <x:c r="A338" s="25" t="str">
        <x:v>Csv</x:v>
      </x:c>
      <x:c r="B338" s="25" t="n">
        <x:v>13</x:v>
      </x:c>
      <x:c r="C338" s="25" t="str">
        <x:v>Round1</x:v>
      </x:c>
      <x:c r="D338" s="25" t="str">
        <x:v>NOT_AVAILABLE</x:v>
      </x:c>
      <x:c r="E338" s="25" t="str">
        <x:v>N/A</x:v>
      </x:c>
      <x:c r="F338" s="26" t="str">
        <x:v>Tests exist but current coverage did not complete</x:v>
      </x:c>
      <x:c r="G338" s="25" t="str">
        <x:v>true</x:v>
      </x:c>
      <x:c r="H338" s="25" t="str">
        <x:v>NOT_AVAILABLE</x:v>
      </x:c>
      <x:c r="I338" s="25" t="str">
        <x:v>NOT_RUN</x:v>
      </x:c>
      <x:c r="J338" s="25" t="str">
        <x:v>NOT_RUN</x:v>
      </x:c>
      <x:c r="K338" s="25" t="n">
        <x:v>2</x:v>
      </x:c>
      <x:c r="L338" s="27" t="b">
        <x:v>0</x:v>
      </x:c>
      <x:c r="M338" s="25" t="str">
        <x:v>Gemini-3.8-flash/generation_state.json</x:v>
      </x:c>
      <x:c r="N338" s="25" t="str">
        <x:v>Gemini-3.8-flash/Result/Csv_13/result.json</x:v>
      </x:c>
      <x:c r="O338" s="25" t="str">
        <x:v>Gemini-3.8-flash/Result/Csv_13/result.json</x:v>
      </x:c>
      <x:c r="P338" t="str">
        <x:v>BOTH_NOT_RUN</x:v>
      </x:c>
      <x:c r="Q338" s="21" t="str"/>
      <x:c r="R338" s="21" t="str"/>
      <x:c r="S338" s="21" t="str"/>
      <x:c r="T338" s="17" t="str">
        <x:v>false</x:v>
      </x:c>
      <x:c r="U338" s="17" t="str">
        <x:v>true</x:v>
      </x:c>
      <x:c r="V338" s="17" t="str">
        <x:v>false</x:v>
      </x:c>
    </x:row>
    <x:row r="339" ht="80" customHeight="1">
      <x:c r="A339" s="25" t="str">
        <x:v>Csv</x:v>
      </x:c>
      <x:c r="B339" s="25" t="n">
        <x:v>14</x:v>
      </x:c>
      <x:c r="C339" s="25" t="str">
        <x:v>Round1</x:v>
      </x:c>
      <x:c r="D339" s="25" t="str">
        <x:v>NOT_AVAILABLE</x:v>
      </x:c>
      <x:c r="E339" s="25" t="str">
        <x:v>N/A</x:v>
      </x:c>
      <x:c r="F339" s="26" t="str">
        <x:v>Tests exist but current coverage did not complete</x:v>
      </x:c>
      <x:c r="G339" s="25" t="str">
        <x:v>true</x:v>
      </x:c>
      <x:c r="H339" s="25" t="str">
        <x:v>NOT_AVAILABLE</x:v>
      </x:c>
      <x:c r="I339" s="25" t="str">
        <x:v>NOT_RUN</x:v>
      </x:c>
      <x:c r="J339" s="25" t="str">
        <x:v>NOT_RUN</x:v>
      </x:c>
      <x:c r="K339" s="25" t="n">
        <x:v>1</x:v>
      </x:c>
      <x:c r="L339" s="27" t="b">
        <x:v>0</x:v>
      </x:c>
      <x:c r="M339" s="25" t="str">
        <x:v>Gemini-3.8-flash/generation_state.json</x:v>
      </x:c>
      <x:c r="N339" s="25" t="str">
        <x:v>Gemini-3.8-flash/Result/Csv_14/result.json</x:v>
      </x:c>
      <x:c r="O339" s="25" t="str">
        <x:v>Gemini-3.8-flash/Result/Csv_14/result.json</x:v>
      </x:c>
      <x:c r="P339" t="str">
        <x:v>BOTH_NOT_RUN</x:v>
      </x:c>
      <x:c r="Q339" s="21" t="str"/>
      <x:c r="R339" s="21" t="str"/>
      <x:c r="S339" s="21" t="str"/>
      <x:c r="T339" s="17" t="str">
        <x:v>false</x:v>
      </x:c>
      <x:c r="U339" s="17" t="str">
        <x:v>true</x:v>
      </x:c>
      <x:c r="V339" s="17" t="str">
        <x:v>false</x:v>
      </x:c>
    </x:row>
    <x:row r="340" ht="80" customHeight="1">
      <x:c r="A340" s="25" t="str">
        <x:v>Csv</x:v>
      </x:c>
      <x:c r="B340" s="25" t="n">
        <x:v>15</x:v>
      </x:c>
      <x:c r="C340" s="25" t="str">
        <x:v>Round1</x:v>
      </x:c>
      <x:c r="D340" s="25" t="str">
        <x:v>NOT_AVAILABLE</x:v>
      </x:c>
      <x:c r="E340" s="25" t="str">
        <x:v>N/A</x:v>
      </x:c>
      <x:c r="F340" s="26" t="str">
        <x:v>Tests exist but current coverage did not complete</x:v>
      </x:c>
      <x:c r="G340" s="25" t="str">
        <x:v>true</x:v>
      </x:c>
      <x:c r="H340" s="25" t="str">
        <x:v>NOT_AVAILABLE</x:v>
      </x:c>
      <x:c r="I340" s="25" t="str">
        <x:v>NOT_RUN</x:v>
      </x:c>
      <x:c r="J340" s="25" t="str">
        <x:v>NOT_RUN</x:v>
      </x:c>
      <x:c r="K340" s="25" t="n">
        <x:v>1</x:v>
      </x:c>
      <x:c r="L340" s="27" t="b">
        <x:v>0</x:v>
      </x:c>
      <x:c r="M340" s="25" t="str">
        <x:v>Gemini-3.8-flash/generation_state.json</x:v>
      </x:c>
      <x:c r="N340" s="25" t="str">
        <x:v>Gemini-3.8-flash/Result/Csv_15/result.json</x:v>
      </x:c>
      <x:c r="O340" s="25" t="str">
        <x:v>Gemini-3.8-flash/Result/Csv_15/result.json</x:v>
      </x:c>
      <x:c r="P340" t="str">
        <x:v>BOTH_NOT_RUN</x:v>
      </x:c>
      <x:c r="Q340" s="21" t="str"/>
      <x:c r="R340" s="21" t="str"/>
      <x:c r="S340" s="21" t="str"/>
      <x:c r="T340" s="17" t="str">
        <x:v>false</x:v>
      </x:c>
      <x:c r="U340" s="17" t="str">
        <x:v>true</x:v>
      </x:c>
      <x:c r="V340" s="17" t="str">
        <x:v>false</x:v>
      </x:c>
    </x:row>
    <x:row r="341" ht="80" customHeight="1">
      <x:c r="A341" s="25" t="str">
        <x:v>Csv</x:v>
      </x:c>
      <x:c r="B341" s="25" t="n">
        <x:v>16</x:v>
      </x:c>
      <x:c r="C341" s="25" t="str">
        <x:v>Round1</x:v>
      </x:c>
      <x:c r="D341" s="25" t="str">
        <x:v>NOT_REVEALING</x:v>
      </x:c>
      <x:c r="E341" s="25" t="str">
        <x:v>N/A</x:v>
      </x:c>
      <x:c r="F341" s="26" t="str">
        <x:v>Same saved validation suite passed on buggy and fixed</x:v>
      </x:c>
      <x:c r="G341" s="25" t="str">
        <x:v>true</x:v>
      </x:c>
      <x:c r="H341" s="25" t="str">
        <x:v>NOT_REVEALING</x:v>
      </x:c>
      <x:c r="I341" s="25" t="str">
        <x:v>PASS</x:v>
      </x:c>
      <x:c r="J341" s="25" t="str">
        <x:v>PASS</x:v>
      </x:c>
      <x:c r="K341" s="25" t="n">
        <x:v>1</x:v>
      </x:c>
      <x:c r="L341" s="27" t="b">
        <x:v>0</x:v>
      </x:c>
      <x:c r="M341" s="25" t="str">
        <x:v>Gemini-3.8-flash/generation_state.json</x:v>
      </x:c>
      <x:c r="N341" s="25" t="str">
        <x:v>Gemini-3.8-flash/Result/Csv_16/result.json</x:v>
      </x:c>
      <x:c r="O341" s="25" t="str">
        <x:v>Gemini-3.8-flash/Result/Csv_16/result.json</x:v>
      </x:c>
      <x:c r="P341"/>
      <x:c r="Q341" s="21" t="str"/>
      <x:c r="R341" s="21" t="str"/>
      <x:c r="S341" s="21" t="str"/>
      <x:c r="T341" s="17" t="str">
        <x:v>false</x:v>
      </x:c>
      <x:c r="U341" s="17" t="str">
        <x:v>true</x:v>
      </x:c>
      <x:c r="V341" s="17" t="str">
        <x:v>false</x:v>
      </x:c>
    </x:row>
    <x:row r="342" ht="80" customHeight="1">
      <x:c r="A342" s="25" t="str">
        <x:v>Csv</x:v>
      </x:c>
      <x:c r="B342" s="25" t="n">
        <x:v>2</x:v>
      </x:c>
      <x:c r="C342" s="25" t="str">
        <x:v>Round1</x:v>
      </x:c>
      <x:c r="D342" s="25" t="str">
        <x:v>INCONCLUSIVE</x:v>
      </x:c>
      <x:c r="E342" s="25" t="str">
        <x:v>N/A</x:v>
      </x:c>
      <x:c r="F342" s="26" t="str">
        <x:v>Fixed also failed; assertion failure cannot be attributed to this bug</x:v>
      </x:c>
      <x:c r="G342" s="25" t="str">
        <x:v>true</x:v>
      </x:c>
      <x:c r="H342" s="25" t="str">
        <x:v>INCONCLUSIVE</x:v>
      </x:c>
      <x:c r="I342" s="25" t="str">
        <x:v>PASS</x:v>
      </x:c>
      <x:c r="J342" s="25" t="str">
        <x:v>FAIL</x:v>
      </x:c>
      <x:c r="K342" s="25" t="n">
        <x:v>1</x:v>
      </x:c>
      <x:c r="L342" s="27" t="b">
        <x:v>0</x:v>
      </x:c>
      <x:c r="M342" s="25" t="str">
        <x:v>Gemini-3.8-flash/generation_state.json</x:v>
      </x:c>
      <x:c r="N342" s="25" t="str">
        <x:v>Gemini-3.8-flash/Result/Csv_2/result.json</x:v>
      </x:c>
      <x:c r="O342" s="25" t="str">
        <x:v>Gemini-3.8-flash/Result/Csv_2/result.json</x:v>
      </x:c>
      <x:c r="P342"/>
      <x:c r="Q342" s="21" t="str"/>
      <x:c r="R342" s="21" t="str"/>
      <x:c r="S342" s="21" t="str"/>
      <x:c r="T342" s="17" t="str">
        <x:v>false</x:v>
      </x:c>
      <x:c r="U342" s="17" t="str">
        <x:v>true</x:v>
      </x:c>
      <x:c r="V342" s="17" t="str">
        <x:v>false</x:v>
      </x:c>
    </x:row>
    <x:row r="343" ht="80" customHeight="1">
      <x:c r="A343" s="25" t="str">
        <x:v>Csv</x:v>
      </x:c>
      <x:c r="B343" s="25" t="n">
        <x:v>3</x:v>
      </x:c>
      <x:c r="C343" s="25" t="str">
        <x:v>Round1</x:v>
      </x:c>
      <x:c r="D343" s="25" t="str">
        <x:v>NOT_AVAILABLE</x:v>
      </x:c>
      <x:c r="E343" s="25" t="str">
        <x:v>N/A</x:v>
      </x:c>
      <x:c r="F343" s="26" t="str">
        <x:v>Tests exist but current coverage did not complete</x:v>
      </x:c>
      <x:c r="G343" s="25" t="str">
        <x:v>true</x:v>
      </x:c>
      <x:c r="H343" s="25" t="str">
        <x:v>NOT_AVAILABLE</x:v>
      </x:c>
      <x:c r="I343" s="25" t="str">
        <x:v>NOT_RUN</x:v>
      </x:c>
      <x:c r="J343" s="25" t="str">
        <x:v>NOT_RUN</x:v>
      </x:c>
      <x:c r="K343" s="25" t="n">
        <x:v>1</x:v>
      </x:c>
      <x:c r="L343" s="27" t="b">
        <x:v>0</x:v>
      </x:c>
      <x:c r="M343" s="25" t="str">
        <x:v>Gemini-3.8-flash/generation_state.json</x:v>
      </x:c>
      <x:c r="N343" s="25" t="str">
        <x:v>Gemini-3.8-flash/Result/Csv_3/result.json</x:v>
      </x:c>
      <x:c r="O343" s="25" t="str">
        <x:v>Gemini-3.8-flash/Result/Csv_3/result.json</x:v>
      </x:c>
      <x:c r="P343" t="str">
        <x:v>BOTH_NOT_RUN</x:v>
      </x:c>
      <x:c r="Q343" s="21" t="str"/>
      <x:c r="R343" s="21" t="str"/>
      <x:c r="S343" s="21" t="str"/>
      <x:c r="T343" s="17" t="str">
        <x:v>false</x:v>
      </x:c>
      <x:c r="U343" s="17" t="str">
        <x:v>true</x:v>
      </x:c>
      <x:c r="V343" s="17" t="str">
        <x:v>false</x:v>
      </x:c>
    </x:row>
    <x:row r="344" ht="80" customHeight="1">
      <x:c r="A344" s="25" t="str">
        <x:v>Csv</x:v>
      </x:c>
      <x:c r="B344" s="25" t="n">
        <x:v>4</x:v>
      </x:c>
      <x:c r="C344" s="25" t="str">
        <x:v>Round1</x:v>
      </x:c>
      <x:c r="D344" s="25" t="str">
        <x:v>NOT_REVEALING</x:v>
      </x:c>
      <x:c r="E344" s="25" t="str">
        <x:v>N/A</x:v>
      </x:c>
      <x:c r="F344" s="26" t="str">
        <x:v>Same saved validation suite passed on buggy and fixed</x:v>
      </x:c>
      <x:c r="G344" s="25" t="str">
        <x:v>true</x:v>
      </x:c>
      <x:c r="H344" s="25" t="str">
        <x:v>NOT_REVEALING</x:v>
      </x:c>
      <x:c r="I344" s="25" t="str">
        <x:v>PASS</x:v>
      </x:c>
      <x:c r="J344" s="25" t="str">
        <x:v>PASS</x:v>
      </x:c>
      <x:c r="K344" s="25" t="n">
        <x:v>1</x:v>
      </x:c>
      <x:c r="L344" s="27" t="b">
        <x:v>0</x:v>
      </x:c>
      <x:c r="M344" s="25" t="str">
        <x:v>Gemini-3.8-flash/generation_state.json</x:v>
      </x:c>
      <x:c r="N344" s="25" t="str">
        <x:v>Gemini-3.8-flash/Result/Csv_4/result.json</x:v>
      </x:c>
      <x:c r="O344" s="25" t="str">
        <x:v>Gemini-3.8-flash/Result/Csv_4/result.json</x:v>
      </x:c>
      <x:c r="P344"/>
      <x:c r="Q344" s="21" t="str"/>
      <x:c r="R344" s="21" t="str"/>
      <x:c r="S344" s="21" t="str"/>
      <x:c r="T344" s="17" t="str">
        <x:v>false</x:v>
      </x:c>
      <x:c r="U344" s="17" t="str">
        <x:v>true</x:v>
      </x:c>
      <x:c r="V344" s="17" t="str">
        <x:v>false</x:v>
      </x:c>
    </x:row>
    <x:row r="345" ht="80" customHeight="1">
      <x:c r="A345" s="25" t="str">
        <x:v>Csv</x:v>
      </x:c>
      <x:c r="B345" s="25" t="n">
        <x:v>5</x:v>
      </x:c>
      <x:c r="C345" s="25" t="str">
        <x:v>Round1</x:v>
      </x:c>
      <x:c r="D345" s="25" t="str">
        <x:v>NOT_AVAILABLE</x:v>
      </x:c>
      <x:c r="E345" s="25" t="str">
        <x:v>N/A</x:v>
      </x:c>
      <x:c r="F345" s="26" t="str">
        <x:v>Tests exist but current coverage did not complete</x:v>
      </x:c>
      <x:c r="G345" s="25" t="str">
        <x:v>true</x:v>
      </x:c>
      <x:c r="H345" s="25" t="str">
        <x:v>NOT_AVAILABLE</x:v>
      </x:c>
      <x:c r="I345" s="25" t="str">
        <x:v>NOT_RUN</x:v>
      </x:c>
      <x:c r="J345" s="25" t="str">
        <x:v>NOT_RUN</x:v>
      </x:c>
      <x:c r="K345" s="25" t="n">
        <x:v>1</x:v>
      </x:c>
      <x:c r="L345" s="27" t="b">
        <x:v>0</x:v>
      </x:c>
      <x:c r="M345" s="25" t="str">
        <x:v>Gemini-3.8-flash/generation_state.json</x:v>
      </x:c>
      <x:c r="N345" s="25" t="str">
        <x:v>Gemini-3.8-flash/Result/Csv_5/result.json</x:v>
      </x:c>
      <x:c r="O345" s="25" t="str">
        <x:v>Gemini-3.8-flash/Result/Csv_5/result.json</x:v>
      </x:c>
      <x:c r="P345" t="str">
        <x:v>BOTH_NOT_RUN</x:v>
      </x:c>
      <x:c r="Q345" s="21" t="str"/>
      <x:c r="R345" s="21" t="str"/>
      <x:c r="S345" s="21" t="str"/>
      <x:c r="T345" s="17" t="str">
        <x:v>false</x:v>
      </x:c>
      <x:c r="U345" s="17" t="str">
        <x:v>true</x:v>
      </x:c>
      <x:c r="V345" s="17" t="str">
        <x:v>false</x:v>
      </x:c>
    </x:row>
    <x:row r="346" ht="80" customHeight="1">
      <x:c r="A346" s="25" t="str">
        <x:v>Csv</x:v>
      </x:c>
      <x:c r="B346" s="25" t="n">
        <x:v>6</x:v>
      </x:c>
      <x:c r="C346" s="25" t="str">
        <x:v>Round1</x:v>
      </x:c>
      <x:c r="D346" s="25" t="str">
        <x:v>NOT_REVEALING</x:v>
      </x:c>
      <x:c r="E346" s="25" t="str">
        <x:v>N/A</x:v>
      </x:c>
      <x:c r="F346" s="26" t="str">
        <x:v>Same saved validation suite passed on buggy and fixed</x:v>
      </x:c>
      <x:c r="G346" s="25" t="str">
        <x:v>true</x:v>
      </x:c>
      <x:c r="H346" s="25" t="str">
        <x:v>NOT_REVEALING</x:v>
      </x:c>
      <x:c r="I346" s="25" t="str">
        <x:v>PASS</x:v>
      </x:c>
      <x:c r="J346" s="25" t="str">
        <x:v>PASS</x:v>
      </x:c>
      <x:c r="K346" s="25" t="n">
        <x:v>1</x:v>
      </x:c>
      <x:c r="L346" s="27" t="b">
        <x:v>0</x:v>
      </x:c>
      <x:c r="M346" s="25" t="str">
        <x:v>Gemini-3.8-flash/generation_state.json</x:v>
      </x:c>
      <x:c r="N346" s="25" t="str">
        <x:v>Gemini-3.8-flash/Result/Csv_6/result.json</x:v>
      </x:c>
      <x:c r="O346" s="25" t="str">
        <x:v>Gemini-3.8-flash/Result/Csv_6/result.json</x:v>
      </x:c>
      <x:c r="P346"/>
      <x:c r="Q346" s="21" t="str"/>
      <x:c r="R346" s="21" t="str"/>
      <x:c r="S346" s="21" t="str"/>
      <x:c r="T346" s="17" t="str">
        <x:v>false</x:v>
      </x:c>
      <x:c r="U346" s="17" t="str">
        <x:v>true</x:v>
      </x:c>
      <x:c r="V346" s="17" t="str">
        <x:v>false</x:v>
      </x:c>
    </x:row>
    <x:row r="347" ht="80" customHeight="1">
      <x:c r="A347" s="25" t="str">
        <x:v>Csv</x:v>
      </x:c>
      <x:c r="B347" s="25" t="n">
        <x:v>7</x:v>
      </x:c>
      <x:c r="C347" s="25" t="str">
        <x:v>Round1</x:v>
      </x:c>
      <x:c r="D347" s="25" t="str">
        <x:v>NOT_REVEALING</x:v>
      </x:c>
      <x:c r="E347" s="25" t="str">
        <x:v>N/A</x:v>
      </x:c>
      <x:c r="F347" s="26" t="str">
        <x:v>Same saved validation suite passed on buggy and fixed</x:v>
      </x:c>
      <x:c r="G347" s="25" t="str">
        <x:v>true</x:v>
      </x:c>
      <x:c r="H347" s="25" t="str">
        <x:v>NOT_REVEALING</x:v>
      </x:c>
      <x:c r="I347" s="25" t="str">
        <x:v>PASS</x:v>
      </x:c>
      <x:c r="J347" s="25" t="str">
        <x:v>PASS</x:v>
      </x:c>
      <x:c r="K347" s="25" t="n">
        <x:v>1</x:v>
      </x:c>
      <x:c r="L347" s="27" t="b">
        <x:v>0</x:v>
      </x:c>
      <x:c r="M347" s="25" t="str">
        <x:v>Gemini-3.8-flash/generation_state.json</x:v>
      </x:c>
      <x:c r="N347" s="25" t="str">
        <x:v>Gemini-3.8-flash/Result/Csv_7/result.json</x:v>
      </x:c>
      <x:c r="O347" s="25" t="str">
        <x:v>Gemini-3.8-flash/Result/Csv_7/result.json</x:v>
      </x:c>
      <x:c r="P347"/>
      <x:c r="Q347" s="21" t="str"/>
      <x:c r="R347" s="21" t="str"/>
      <x:c r="S347" s="21" t="str"/>
      <x:c r="T347" s="17" t="str">
        <x:v>false</x:v>
      </x:c>
      <x:c r="U347" s="17" t="str">
        <x:v>true</x:v>
      </x:c>
      <x:c r="V347" s="17" t="str">
        <x:v>false</x:v>
      </x:c>
    </x:row>
    <x:row r="348" ht="80" customHeight="1">
      <x:c r="A348" s="25" t="str">
        <x:v>Csv</x:v>
      </x:c>
      <x:c r="B348" s="25" t="n">
        <x:v>8</x:v>
      </x:c>
      <x:c r="C348" s="25" t="str">
        <x:v>Round1</x:v>
      </x:c>
      <x:c r="D348" s="25" t="str">
        <x:v>NOT_AVAILABLE</x:v>
      </x:c>
      <x:c r="E348" s="25" t="str">
        <x:v>N/A</x:v>
      </x:c>
      <x:c r="F348" s="26" t="str">
        <x:v>Tests exist but current coverage did not complete</x:v>
      </x:c>
      <x:c r="G348" s="25" t="str">
        <x:v>true</x:v>
      </x:c>
      <x:c r="H348" s="25" t="str">
        <x:v>NOT_AVAILABLE</x:v>
      </x:c>
      <x:c r="I348" s="25" t="str">
        <x:v>NOT_RUN</x:v>
      </x:c>
      <x:c r="J348" s="25" t="str">
        <x:v>NOT_RUN</x:v>
      </x:c>
      <x:c r="K348" s="25" t="n">
        <x:v>1</x:v>
      </x:c>
      <x:c r="L348" s="27" t="b">
        <x:v>0</x:v>
      </x:c>
      <x:c r="M348" s="25" t="str">
        <x:v>Gemini-3.8-flash/generation_state.json</x:v>
      </x:c>
      <x:c r="N348" s="25" t="str">
        <x:v>Gemini-3.8-flash/Result/Csv_8/result.json</x:v>
      </x:c>
      <x:c r="O348" s="25" t="str">
        <x:v>Gemini-3.8-flash/Result/Csv_8/result.json</x:v>
      </x:c>
      <x:c r="P348" t="str">
        <x:v>BOTH_NOT_RUN</x:v>
      </x:c>
      <x:c r="Q348" s="21" t="str"/>
      <x:c r="R348" s="21" t="str"/>
      <x:c r="S348" s="21" t="str"/>
      <x:c r="T348" s="17" t="str">
        <x:v>false</x:v>
      </x:c>
      <x:c r="U348" s="17" t="str">
        <x:v>true</x:v>
      </x:c>
      <x:c r="V348" s="17" t="str">
        <x:v>false</x:v>
      </x:c>
    </x:row>
    <x:row r="349" ht="80" customHeight="1">
      <x:c r="A349" s="25" t="str">
        <x:v>Csv</x:v>
      </x:c>
      <x:c r="B349" s="25" t="n">
        <x:v>9</x:v>
      </x:c>
      <x:c r="C349" s="25" t="str">
        <x:v>Round1</x:v>
      </x:c>
      <x:c r="D349" s="25" t="str">
        <x:v>NOT_REVEALING</x:v>
      </x:c>
      <x:c r="E349" s="25" t="str">
        <x:v>N/A</x:v>
      </x:c>
      <x:c r="F349" s="26" t="str">
        <x:v>Same saved validation suite passed on buggy and fixed</x:v>
      </x:c>
      <x:c r="G349" s="25" t="str">
        <x:v>true</x:v>
      </x:c>
      <x:c r="H349" s="25" t="str">
        <x:v>NOT_REVEALING</x:v>
      </x:c>
      <x:c r="I349" s="25" t="str">
        <x:v>PASS</x:v>
      </x:c>
      <x:c r="J349" s="25" t="str">
        <x:v>PASS</x:v>
      </x:c>
      <x:c r="K349" s="25" t="n">
        <x:v>1</x:v>
      </x:c>
      <x:c r="L349" s="27" t="b">
        <x:v>0</x:v>
      </x:c>
      <x:c r="M349" s="25" t="str">
        <x:v>Gemini-3.8-flash/generation_state.json</x:v>
      </x:c>
      <x:c r="N349" s="25" t="str">
        <x:v>Gemini-3.8-flash/Result/Csv_9/result.json</x:v>
      </x:c>
      <x:c r="O349" s="25" t="str">
        <x:v>Gemini-3.8-flash/Result/Csv_9/result.json</x:v>
      </x:c>
      <x:c r="P349"/>
      <x:c r="Q349" s="21" t="str"/>
      <x:c r="R349" s="21" t="str"/>
      <x:c r="S349" s="21" t="str"/>
      <x:c r="T349" s="17" t="str">
        <x:v>false</x:v>
      </x:c>
      <x:c r="U349" s="17" t="str">
        <x:v>true</x:v>
      </x:c>
      <x:c r="V349" s="17" t="str">
        <x:v>false</x:v>
      </x:c>
    </x:row>
    <x:row r="350" ht="80" customHeight="1">
      <x:c r="A350" s="25" t="str">
        <x:v>Gson</x:v>
      </x:c>
      <x:c r="B350" s="25" t="n">
        <x:v>1</x:v>
      </x:c>
      <x:c r="C350" s="25" t="str">
        <x:v>Round1</x:v>
      </x:c>
      <x:c r="D350" s="25" t="str">
        <x:v>INCONCLUSIVE</x:v>
      </x:c>
      <x:c r="E350" s="25" t="str">
        <x:v>N/A</x:v>
      </x:c>
      <x:c r="F350" s="26" t="str">
        <x:v>Fixed also failed; assertion failure cannot be attributed to this bug</x:v>
      </x:c>
      <x:c r="G350" s="25" t="str">
        <x:v>true</x:v>
      </x:c>
      <x:c r="H350" s="25" t="str">
        <x:v>INCONCLUSIVE</x:v>
      </x:c>
      <x:c r="I350" s="25" t="str">
        <x:v>FAIL</x:v>
      </x:c>
      <x:c r="J350" s="25" t="str">
        <x:v>FAIL</x:v>
      </x:c>
      <x:c r="K350" s="25" t="n">
        <x:v>1</x:v>
      </x:c>
      <x:c r="L350" s="27" t="b">
        <x:v>0</x:v>
      </x:c>
      <x:c r="M350" s="25" t="str">
        <x:v>Gemini-3.8-flash/generation_state.json</x:v>
      </x:c>
      <x:c r="N350" s="25" t="str">
        <x:v>Gemini-3.8-flash/Result/Gson_1/result.json</x:v>
      </x:c>
      <x:c r="O350" s="25" t="str">
        <x:v>Gemini-3.8-flash/Result/Gson_1/result.json</x:v>
      </x:c>
      <x:c r="P350"/>
      <x:c r="Q350" s="21" t="str"/>
      <x:c r="R350" s="21" t="str"/>
      <x:c r="S350" s="21" t="str"/>
      <x:c r="T350" s="17" t="str">
        <x:v>false</x:v>
      </x:c>
      <x:c r="U350" s="17" t="str">
        <x:v>true</x:v>
      </x:c>
      <x:c r="V350" s="17" t="str">
        <x:v>false</x:v>
      </x:c>
    </x:row>
    <x:row r="351" ht="80" customHeight="1">
      <x:c r="A351" s="25" t="str">
        <x:v>Gson</x:v>
      </x:c>
      <x:c r="B351" s="25" t="n">
        <x:v>10</x:v>
      </x:c>
      <x:c r="C351" s="25" t="str">
        <x:v>Round1</x:v>
      </x:c>
      <x:c r="D351" s="25" t="str">
        <x:v>NOT_REVEALING</x:v>
      </x:c>
      <x:c r="E351" s="25" t="str">
        <x:v>N/A</x:v>
      </x:c>
      <x:c r="F351" s="26" t="str">
        <x:v>Same saved validation suite passed on buggy and fixed</x:v>
      </x:c>
      <x:c r="G351" s="25" t="str">
        <x:v>true</x:v>
      </x:c>
      <x:c r="H351" s="25" t="str">
        <x:v>NOT_REVEALING</x:v>
      </x:c>
      <x:c r="I351" s="25" t="str">
        <x:v>PASS</x:v>
      </x:c>
      <x:c r="J351" s="25" t="str">
        <x:v>PASS</x:v>
      </x:c>
      <x:c r="K351" s="25" t="n">
        <x:v>1</x:v>
      </x:c>
      <x:c r="L351" s="27" t="b">
        <x:v>0</x:v>
      </x:c>
      <x:c r="M351" s="25" t="str">
        <x:v>Gemini-3.8-flash/generation_state.json</x:v>
      </x:c>
      <x:c r="N351" s="25" t="str">
        <x:v>Gemini-3.8-flash/Result/Gson_10/result.json</x:v>
      </x:c>
      <x:c r="O351" s="25" t="str">
        <x:v>Gemini-3.8-flash/Result/Gson_10/result.json</x:v>
      </x:c>
      <x:c r="P351"/>
      <x:c r="Q351" s="21" t="str"/>
      <x:c r="R351" s="21" t="str"/>
      <x:c r="S351" s="21" t="str"/>
      <x:c r="T351" s="17" t="str">
        <x:v>false</x:v>
      </x:c>
      <x:c r="U351" s="17" t="str">
        <x:v>true</x:v>
      </x:c>
      <x:c r="V351" s="17" t="str">
        <x:v>false</x:v>
      </x:c>
    </x:row>
    <x:row r="352" ht="80" customHeight="1">
      <x:c r="A352" s="25" t="str">
        <x:v>Gson</x:v>
      </x:c>
      <x:c r="B352" s="25" t="n">
        <x:v>11</x:v>
      </x:c>
      <x:c r="C352" s="25" t="str">
        <x:v>Round1</x:v>
      </x:c>
      <x:c r="D352" s="25" t="str">
        <x:v>NOT_AVAILABLE</x:v>
      </x:c>
      <x:c r="E352" s="25" t="str">
        <x:v>N/A</x:v>
      </x:c>
      <x:c r="F352" s="26" t="str">
        <x:v>Tests exist but current coverage did not complete</x:v>
      </x:c>
      <x:c r="G352" s="25" t="str">
        <x:v>true</x:v>
      </x:c>
      <x:c r="H352" s="25" t="str">
        <x:v>NOT_AVAILABLE</x:v>
      </x:c>
      <x:c r="I352" s="25" t="str">
        <x:v>NOT_RUN</x:v>
      </x:c>
      <x:c r="J352" s="25" t="str">
        <x:v>NOT_RUN</x:v>
      </x:c>
      <x:c r="K352" s="25" t="n">
        <x:v>1</x:v>
      </x:c>
      <x:c r="L352" s="27" t="b">
        <x:v>0</x:v>
      </x:c>
      <x:c r="M352" s="25" t="str">
        <x:v>Gemini-3.8-flash/generation_state.json</x:v>
      </x:c>
      <x:c r="N352" s="25" t="str">
        <x:v>Gemini-3.8-flash/Result/Gson_11/result.json</x:v>
      </x:c>
      <x:c r="O352" s="25" t="str">
        <x:v>Gemini-3.8-flash/Result/Gson_11/result.json</x:v>
      </x:c>
      <x:c r="P352" t="str">
        <x:v>BOTH_NOT_RUN</x:v>
      </x:c>
      <x:c r="Q352" s="21" t="str"/>
      <x:c r="R352" s="21" t="str"/>
      <x:c r="S352" s="21" t="str"/>
      <x:c r="T352" s="17" t="str">
        <x:v>false</x:v>
      </x:c>
      <x:c r="U352" s="17" t="str">
        <x:v>true</x:v>
      </x:c>
      <x:c r="V352" s="17" t="str">
        <x:v>false</x:v>
      </x:c>
    </x:row>
    <x:row r="353" ht="80" customHeight="1">
      <x:c r="A353" s="25" t="str">
        <x:v>Gson</x:v>
      </x:c>
      <x:c r="B353" s="25" t="n">
        <x:v>12</x:v>
      </x:c>
      <x:c r="C353" s="25" t="str">
        <x:v>Round1</x:v>
      </x:c>
      <x:c r="D353" s="25" t="str">
        <x:v>INCONCLUSIVE</x:v>
      </x:c>
      <x:c r="E353" s="25" t="str">
        <x:v>N/A</x:v>
      </x:c>
      <x:c r="F353" s="26" t="str">
        <x:v>Fixed also failed; assertion failure cannot be attributed to this bug</x:v>
      </x:c>
      <x:c r="G353" s="25" t="str">
        <x:v>true</x:v>
      </x:c>
      <x:c r="H353" s="25" t="str">
        <x:v>INCONCLUSIVE</x:v>
      </x:c>
      <x:c r="I353" s="25" t="str">
        <x:v>FAIL</x:v>
      </x:c>
      <x:c r="J353" s="25" t="str">
        <x:v>FAIL</x:v>
      </x:c>
      <x:c r="K353" s="25" t="n">
        <x:v>1</x:v>
      </x:c>
      <x:c r="L353" s="27" t="b">
        <x:v>0</x:v>
      </x:c>
      <x:c r="M353" s="25" t="str">
        <x:v>Gemini-3.8-flash/generation_state.json</x:v>
      </x:c>
      <x:c r="N353" s="25" t="str">
        <x:v>Gemini-3.8-flash/Result/Gson_12/result.json</x:v>
      </x:c>
      <x:c r="O353" s="25" t="str">
        <x:v>Gemini-3.8-flash/Result/Gson_12/result.json</x:v>
      </x:c>
      <x:c r="P353"/>
      <x:c r="Q353" s="21" t="str"/>
      <x:c r="R353" s="21" t="str"/>
      <x:c r="S353" s="21" t="str"/>
      <x:c r="T353" s="17" t="str">
        <x:v>false</x:v>
      </x:c>
      <x:c r="U353" s="17" t="str">
        <x:v>true</x:v>
      </x:c>
      <x:c r="V353" s="17" t="str">
        <x:v>false</x:v>
      </x:c>
    </x:row>
    <x:row r="354" ht="80" customHeight="1">
      <x:c r="A354" s="25" t="str">
        <x:v>Gson</x:v>
      </x:c>
      <x:c r="B354" s="25" t="n">
        <x:v>13</x:v>
      </x:c>
      <x:c r="C354" s="25" t="str">
        <x:v>Round1</x:v>
      </x:c>
      <x:c r="D354" s="25" t="str">
        <x:v>NOT_AVAILABLE</x:v>
      </x:c>
      <x:c r="E354" s="25" t="str">
        <x:v>N/A</x:v>
      </x:c>
      <x:c r="F354" s="26" t="str">
        <x:v>Tests exist but current coverage did not complete</x:v>
      </x:c>
      <x:c r="G354" s="25" t="str">
        <x:v>true</x:v>
      </x:c>
      <x:c r="H354" s="25" t="str">
        <x:v>NOT_AVAILABLE</x:v>
      </x:c>
      <x:c r="I354" s="25" t="str">
        <x:v>NOT_RUN</x:v>
      </x:c>
      <x:c r="J354" s="25" t="str">
        <x:v>NOT_RUN</x:v>
      </x:c>
      <x:c r="K354" s="25" t="n">
        <x:v>1</x:v>
      </x:c>
      <x:c r="L354" s="27" t="b">
        <x:v>0</x:v>
      </x:c>
      <x:c r="M354" s="25" t="str">
        <x:v>Gemini-3.8-flash/generation_state.json</x:v>
      </x:c>
      <x:c r="N354" s="25" t="str">
        <x:v>Gemini-3.8-flash/Result/Gson_13/result.json</x:v>
      </x:c>
      <x:c r="O354" s="25" t="str">
        <x:v>Gemini-3.8-flash/Result/Gson_13/result.json</x:v>
      </x:c>
      <x:c r="P354" t="str">
        <x:v>BOTH_NOT_RUN</x:v>
      </x:c>
      <x:c r="Q354" s="21" t="str"/>
      <x:c r="R354" s="21" t="str"/>
      <x:c r="S354" s="21" t="str"/>
      <x:c r="T354" s="17" t="str">
        <x:v>false</x:v>
      </x:c>
      <x:c r="U354" s="17" t="str">
        <x:v>true</x:v>
      </x:c>
      <x:c r="V354" s="17" t="str">
        <x:v>false</x:v>
      </x:c>
    </x:row>
    <x:row r="355" ht="80" customHeight="1">
      <x:c r="A355" s="25" t="str">
        <x:v>Gson</x:v>
      </x:c>
      <x:c r="B355" s="25" t="n">
        <x:v>14</x:v>
      </x:c>
      <x:c r="C355" s="25" t="str">
        <x:v>Round1</x:v>
      </x:c>
      <x:c r="D355" s="25" t="str">
        <x:v>INCONCLUSIVE</x:v>
      </x:c>
      <x:c r="E355" s="25" t="str">
        <x:v>N/A</x:v>
      </x:c>
      <x:c r="F355" s="26" t="str">
        <x:v>Fixed also failed; assertion failure cannot be attributed to this bug</x:v>
      </x:c>
      <x:c r="G355" s="25" t="str">
        <x:v>true</x:v>
      </x:c>
      <x:c r="H355" s="25" t="str">
        <x:v>INCONCLUSIVE</x:v>
      </x:c>
      <x:c r="I355" s="25" t="str">
        <x:v>FAIL</x:v>
      </x:c>
      <x:c r="J355" s="25" t="str">
        <x:v>FAIL</x:v>
      </x:c>
      <x:c r="K355" s="25" t="n">
        <x:v>1</x:v>
      </x:c>
      <x:c r="L355" s="27" t="b">
        <x:v>0</x:v>
      </x:c>
      <x:c r="M355" s="25" t="str">
        <x:v>Gemini-3.8-flash/generation_state.json</x:v>
      </x:c>
      <x:c r="N355" s="25" t="str">
        <x:v>Gemini-3.8-flash/Result/Gson_14/result.json</x:v>
      </x:c>
      <x:c r="O355" s="25" t="str">
        <x:v>Gemini-3.8-flash/Result/Gson_14/result.json</x:v>
      </x:c>
      <x:c r="P355"/>
      <x:c r="Q355" s="21" t="str"/>
      <x:c r="R355" s="21" t="str"/>
      <x:c r="S355" s="21" t="str"/>
      <x:c r="T355" s="17" t="str">
        <x:v>false</x:v>
      </x:c>
      <x:c r="U355" s="17" t="str">
        <x:v>true</x:v>
      </x:c>
      <x:c r="V355" s="17" t="str">
        <x:v>false</x:v>
      </x:c>
    </x:row>
    <x:row r="356" ht="80" customHeight="1">
      <x:c r="A356" s="25" t="str">
        <x:v>Gson</x:v>
      </x:c>
      <x:c r="B356" s="25" t="n">
        <x:v>15</x:v>
      </x:c>
      <x:c r="C356" s="25" t="str">
        <x:v>Round1</x:v>
      </x:c>
      <x:c r="D356" s="25" t="str">
        <x:v>NOT_REVEALING</x:v>
      </x:c>
      <x:c r="E356" s="25" t="str">
        <x:v>N/A</x:v>
      </x:c>
      <x:c r="F356" s="26" t="str">
        <x:v>Same saved validation suite passed on buggy and fixed</x:v>
      </x:c>
      <x:c r="G356" s="25" t="str">
        <x:v>true</x:v>
      </x:c>
      <x:c r="H356" s="25" t="str">
        <x:v>NOT_REVEALING</x:v>
      </x:c>
      <x:c r="I356" s="25" t="str">
        <x:v>PASS</x:v>
      </x:c>
      <x:c r="J356" s="25" t="str">
        <x:v>PASS</x:v>
      </x:c>
      <x:c r="K356" s="25" t="n">
        <x:v>1</x:v>
      </x:c>
      <x:c r="L356" s="27" t="b">
        <x:v>0</x:v>
      </x:c>
      <x:c r="M356" s="25" t="str">
        <x:v>Gemini-3.8-flash/generation_state.json</x:v>
      </x:c>
      <x:c r="N356" s="25" t="str">
        <x:v>Gemini-3.8-flash/Result/Gson_15/result.json</x:v>
      </x:c>
      <x:c r="O356" s="25" t="str">
        <x:v>Gemini-3.8-flash/Result/Gson_15/result.json</x:v>
      </x:c>
      <x:c r="P356"/>
      <x:c r="Q356" s="21" t="str"/>
      <x:c r="R356" s="21" t="str"/>
      <x:c r="S356" s="21" t="str"/>
      <x:c r="T356" s="17" t="str">
        <x:v>false</x:v>
      </x:c>
      <x:c r="U356" s="17" t="str">
        <x:v>true</x:v>
      </x:c>
      <x:c r="V356" s="17" t="str">
        <x:v>false</x:v>
      </x:c>
    </x:row>
    <x:row r="357" ht="80" customHeight="1">
      <x:c r="A357" s="25" t="str">
        <x:v>Gson</x:v>
      </x:c>
      <x:c r="B357" s="25" t="n">
        <x:v>16</x:v>
      </x:c>
      <x:c r="C357" s="25" t="str">
        <x:v>Round1</x:v>
      </x:c>
      <x:c r="D357" s="25" t="str">
        <x:v>INCONCLUSIVE</x:v>
      </x:c>
      <x:c r="E357" s="25" t="str">
        <x:v>N/A</x:v>
      </x:c>
      <x:c r="F357" s="26" t="str">
        <x:v>Fixed also failed; assertion failure cannot be attributed to this bug</x:v>
      </x:c>
      <x:c r="G357" s="25" t="str">
        <x:v>true</x:v>
      </x:c>
      <x:c r="H357" s="25" t="str">
        <x:v>INCONCLUSIVE</x:v>
      </x:c>
      <x:c r="I357" s="25" t="str">
        <x:v>FAIL</x:v>
      </x:c>
      <x:c r="J357" s="25" t="str">
        <x:v>FAIL</x:v>
      </x:c>
      <x:c r="K357" s="25" t="n">
        <x:v>1</x:v>
      </x:c>
      <x:c r="L357" s="27" t="b">
        <x:v>0</x:v>
      </x:c>
      <x:c r="M357" s="25" t="str">
        <x:v>Gemini-3.8-flash/generation_state.json</x:v>
      </x:c>
      <x:c r="N357" s="25" t="str">
        <x:v>Gemini-3.8-flash/Result/Gson_16/result.json</x:v>
      </x:c>
      <x:c r="O357" s="25" t="str">
        <x:v>Gemini-3.8-flash/Result/Gson_16/result.json</x:v>
      </x:c>
      <x:c r="P357"/>
      <x:c r="Q357" s="21" t="str"/>
      <x:c r="R357" s="21" t="str"/>
      <x:c r="S357" s="21" t="str"/>
      <x:c r="T357" s="17" t="str">
        <x:v>false</x:v>
      </x:c>
      <x:c r="U357" s="17" t="str">
        <x:v>true</x:v>
      </x:c>
      <x:c r="V357" s="17" t="str">
        <x:v>false</x:v>
      </x:c>
    </x:row>
    <x:row r="358" ht="80" customHeight="1">
      <x:c r="A358" s="25" t="str">
        <x:v>Gson</x:v>
      </x:c>
      <x:c r="B358" s="25" t="n">
        <x:v>17</x:v>
      </x:c>
      <x:c r="C358" s="25" t="str">
        <x:v>Round1</x:v>
      </x:c>
      <x:c r="D358" s="25" t="str">
        <x:v>INCONCLUSIVE</x:v>
      </x:c>
      <x:c r="E358" s="25" t="str">
        <x:v>N/A</x:v>
      </x:c>
      <x:c r="F358" s="26" t="str">
        <x:v>Fixed also failed; assertion failure cannot be attributed to this bug</x:v>
      </x:c>
      <x:c r="G358" s="25" t="str">
        <x:v>true</x:v>
      </x:c>
      <x:c r="H358" s="25" t="str">
        <x:v>INCONCLUSIVE</x:v>
      </x:c>
      <x:c r="I358" s="25" t="str">
        <x:v>PASS</x:v>
      </x:c>
      <x:c r="J358" s="25" t="str">
        <x:v>FAIL</x:v>
      </x:c>
      <x:c r="K358" s="25" t="n">
        <x:v>1</x:v>
      </x:c>
      <x:c r="L358" s="27" t="b">
        <x:v>0</x:v>
      </x:c>
      <x:c r="M358" s="25" t="str">
        <x:v>Gemini-3.8-flash/generation_state.json</x:v>
      </x:c>
      <x:c r="N358" s="25" t="str">
        <x:v>Gemini-3.8-flash/Result/Gson_17/result.json</x:v>
      </x:c>
      <x:c r="O358" s="25" t="str">
        <x:v>Gemini-3.8-flash/Result/Gson_17/result.json</x:v>
      </x:c>
      <x:c r="P358"/>
      <x:c r="Q358" s="21" t="str"/>
      <x:c r="R358" s="21" t="str"/>
      <x:c r="S358" s="21" t="str"/>
      <x:c r="T358" s="17" t="str">
        <x:v>false</x:v>
      </x:c>
      <x:c r="U358" s="17" t="str">
        <x:v>true</x:v>
      </x:c>
      <x:c r="V358" s="17" t="str">
        <x:v>false</x:v>
      </x:c>
    </x:row>
    <x:row r="359" ht="80" customHeight="1">
      <x:c r="A359" s="25" t="str">
        <x:v>Gson</x:v>
      </x:c>
      <x:c r="B359" s="25" t="n">
        <x:v>18</x:v>
      </x:c>
      <x:c r="C359" s="25" t="str">
        <x:v>Round1</x:v>
      </x:c>
      <x:c r="D359" s="25" t="str">
        <x:v>INCONCLUSIVE</x:v>
      </x:c>
      <x:c r="E359" s="25" t="str">
        <x:v>N/A</x:v>
      </x:c>
      <x:c r="F359" s="26" t="str">
        <x:v>Fixed also failed; assertion failure cannot be attributed to this bug</x:v>
      </x:c>
      <x:c r="G359" s="25" t="str">
        <x:v>true</x:v>
      </x:c>
      <x:c r="H359" s="25" t="str">
        <x:v>INCONCLUSIVE</x:v>
      </x:c>
      <x:c r="I359" s="25" t="str">
        <x:v>FAIL</x:v>
      </x:c>
      <x:c r="J359" s="25" t="str">
        <x:v>FAIL</x:v>
      </x:c>
      <x:c r="K359" s="25" t="n">
        <x:v>1</x:v>
      </x:c>
      <x:c r="L359" s="27" t="b">
        <x:v>0</x:v>
      </x:c>
      <x:c r="M359" s="25" t="str">
        <x:v>Gemini-3.8-flash/generation_state.json</x:v>
      </x:c>
      <x:c r="N359" s="25" t="str">
        <x:v>Gemini-3.8-flash/Result/Gson_18/result.json</x:v>
      </x:c>
      <x:c r="O359" s="25" t="str">
        <x:v>Gemini-3.8-flash/Result/Gson_18/result.json</x:v>
      </x:c>
      <x:c r="P359"/>
      <x:c r="Q359" s="21" t="str"/>
      <x:c r="R359" s="21" t="str"/>
      <x:c r="S359" s="21" t="str"/>
      <x:c r="T359" s="17" t="str">
        <x:v>false</x:v>
      </x:c>
      <x:c r="U359" s="17" t="str">
        <x:v>true</x:v>
      </x:c>
      <x:c r="V359" s="17" t="str">
        <x:v>false</x:v>
      </x:c>
    </x:row>
    <x:row r="360" ht="80" customHeight="1">
      <x:c r="A360" s="25" t="str">
        <x:v>Gson</x:v>
      </x:c>
      <x:c r="B360" s="25" t="n">
        <x:v>2</x:v>
      </x:c>
      <x:c r="C360" s="25" t="str">
        <x:v>Round1</x:v>
      </x:c>
      <x:c r="D360" s="25" t="str">
        <x:v>NOT_AVAILABLE</x:v>
      </x:c>
      <x:c r="E360" s="25" t="str">
        <x:v>N/A</x:v>
      </x:c>
      <x:c r="F360" s="26" t="str">
        <x:v>Tests exist but current coverage did not complete</x:v>
      </x:c>
      <x:c r="G360" s="25" t="str">
        <x:v>true</x:v>
      </x:c>
      <x:c r="H360" s="25" t="str">
        <x:v>NOT_AVAILABLE</x:v>
      </x:c>
      <x:c r="I360" s="25" t="str">
        <x:v>NOT_RUN</x:v>
      </x:c>
      <x:c r="J360" s="25" t="str">
        <x:v>NOT_RUN</x:v>
      </x:c>
      <x:c r="K360" s="25" t="n">
        <x:v>1</x:v>
      </x:c>
      <x:c r="L360" s="27" t="b">
        <x:v>0</x:v>
      </x:c>
      <x:c r="M360" s="25" t="str">
        <x:v>Gemini-3.8-flash/generation_state.json</x:v>
      </x:c>
      <x:c r="N360" s="25" t="str">
        <x:v>Gemini-3.8-flash/Result/Gson_2/result.json</x:v>
      </x:c>
      <x:c r="O360" s="25" t="str">
        <x:v>Gemini-3.8-flash/Result/Gson_2/result.json</x:v>
      </x:c>
      <x:c r="P360" t="str">
        <x:v>BOTH_NOT_RUN</x:v>
      </x:c>
      <x:c r="Q360" s="21" t="str"/>
      <x:c r="R360" s="21" t="str"/>
      <x:c r="S360" s="21" t="str"/>
      <x:c r="T360" s="17" t="str">
        <x:v>false</x:v>
      </x:c>
      <x:c r="U360" s="17" t="str">
        <x:v>true</x:v>
      </x:c>
      <x:c r="V360" s="17" t="str">
        <x:v>false</x:v>
      </x:c>
    </x:row>
    <x:row r="361" ht="80" customHeight="1">
      <x:c r="A361" s="25" t="str">
        <x:v>Gson</x:v>
      </x:c>
      <x:c r="B361" s="25" t="n">
        <x:v>3</x:v>
      </x:c>
      <x:c r="C361" s="25" t="str">
        <x:v>Round1</x:v>
      </x:c>
      <x:c r="D361" s="25" t="str">
        <x:v>NOT_REVEALING</x:v>
      </x:c>
      <x:c r="E361" s="25" t="str">
        <x:v>N/A</x:v>
      </x:c>
      <x:c r="F361" s="26" t="str">
        <x:v>Same saved validation suite passed on buggy and fixed</x:v>
      </x:c>
      <x:c r="G361" s="25" t="str">
        <x:v>true</x:v>
      </x:c>
      <x:c r="H361" s="25" t="str">
        <x:v>NOT_REVEALING</x:v>
      </x:c>
      <x:c r="I361" s="25" t="str">
        <x:v>PASS</x:v>
      </x:c>
      <x:c r="J361" s="25" t="str">
        <x:v>PASS</x:v>
      </x:c>
      <x:c r="K361" s="25" t="n">
        <x:v>1</x:v>
      </x:c>
      <x:c r="L361" s="27" t="b">
        <x:v>0</x:v>
      </x:c>
      <x:c r="M361" s="25" t="str">
        <x:v>Gemini-3.8-flash/generation_state.json</x:v>
      </x:c>
      <x:c r="N361" s="25" t="str">
        <x:v>Gemini-3.8-flash/Result/Gson_3/result.json</x:v>
      </x:c>
      <x:c r="O361" s="25" t="str">
        <x:v>Gemini-3.8-flash/Result/Gson_3/result.json</x:v>
      </x:c>
      <x:c r="P361"/>
      <x:c r="Q361" s="21" t="str"/>
      <x:c r="R361" s="21" t="str"/>
      <x:c r="S361" s="21" t="str"/>
      <x:c r="T361" s="17" t="str">
        <x:v>false</x:v>
      </x:c>
      <x:c r="U361" s="17" t="str">
        <x:v>true</x:v>
      </x:c>
      <x:c r="V361" s="17" t="str">
        <x:v>false</x:v>
      </x:c>
    </x:row>
    <x:row r="362" ht="80" customHeight="1">
      <x:c r="A362" s="25" t="str">
        <x:v>Gson</x:v>
      </x:c>
      <x:c r="B362" s="25" t="n">
        <x:v>4</x:v>
      </x:c>
      <x:c r="C362" s="25" t="str">
        <x:v>Round1</x:v>
      </x:c>
      <x:c r="D362" s="25" t="str">
        <x:v>INCONCLUSIVE</x:v>
      </x:c>
      <x:c r="E362" s="25" t="str">
        <x:v>N/A</x:v>
      </x:c>
      <x:c r="F362" s="26" t="str">
        <x:v>Fixed also failed; assertion failure cannot be attributed to this bug</x:v>
      </x:c>
      <x:c r="G362" s="25" t="str">
        <x:v>true</x:v>
      </x:c>
      <x:c r="H362" s="25" t="str">
        <x:v>INCONCLUSIVE</x:v>
      </x:c>
      <x:c r="I362" s="25" t="str">
        <x:v>FAIL</x:v>
      </x:c>
      <x:c r="J362" s="25" t="str">
        <x:v>FAIL</x:v>
      </x:c>
      <x:c r="K362" s="25" t="n">
        <x:v>2</x:v>
      </x:c>
      <x:c r="L362" s="27" t="b">
        <x:v>0</x:v>
      </x:c>
      <x:c r="M362" s="25" t="str">
        <x:v>Gemini-3.8-flash/generation_state.json</x:v>
      </x:c>
      <x:c r="N362" s="25" t="str">
        <x:v>Gemini-3.8-flash/Result/Gson_4/result.json</x:v>
      </x:c>
      <x:c r="O362" s="25" t="str">
        <x:v>Gemini-3.8-flash/Result/Gson_4/result.json</x:v>
      </x:c>
      <x:c r="P362"/>
      <x:c r="Q362" s="21" t="str"/>
      <x:c r="R362" s="21" t="str"/>
      <x:c r="S362" s="21" t="str"/>
      <x:c r="T362" s="17" t="str">
        <x:v>false</x:v>
      </x:c>
      <x:c r="U362" s="17" t="str">
        <x:v>true</x:v>
      </x:c>
      <x:c r="V362" s="17" t="str">
        <x:v>false</x:v>
      </x:c>
    </x:row>
    <x:row r="363" ht="80" customHeight="1">
      <x:c r="A363" s="25" t="str">
        <x:v>Gson</x:v>
      </x:c>
      <x:c r="B363" s="25" t="n">
        <x:v>5</x:v>
      </x:c>
      <x:c r="C363" s="25" t="str">
        <x:v>Round1</x:v>
      </x:c>
      <x:c r="D363" s="25" t="str">
        <x:v>NOT_REVEALING</x:v>
      </x:c>
      <x:c r="E363" s="25" t="str">
        <x:v>N/A</x:v>
      </x:c>
      <x:c r="F363" s="26" t="str">
        <x:v>Same saved validation suite passed on buggy and fixed</x:v>
      </x:c>
      <x:c r="G363" s="25" t="str">
        <x:v>true</x:v>
      </x:c>
      <x:c r="H363" s="25" t="str">
        <x:v>NOT_REVEALING</x:v>
      </x:c>
      <x:c r="I363" s="25" t="str">
        <x:v>PASS</x:v>
      </x:c>
      <x:c r="J363" s="25" t="str">
        <x:v>PASS</x:v>
      </x:c>
      <x:c r="K363" s="25" t="n">
        <x:v>1</x:v>
      </x:c>
      <x:c r="L363" s="27" t="b">
        <x:v>0</x:v>
      </x:c>
      <x:c r="M363" s="25" t="str">
        <x:v>Gemini-3.8-flash/generation_state.json</x:v>
      </x:c>
      <x:c r="N363" s="25" t="str">
        <x:v>Gemini-3.8-flash/Result/Gson_5/result.json</x:v>
      </x:c>
      <x:c r="O363" s="25" t="str">
        <x:v>Gemini-3.8-flash/Result/Gson_5/result.json</x:v>
      </x:c>
      <x:c r="P363"/>
      <x:c r="Q363" s="21" t="str"/>
      <x:c r="R363" s="21" t="str"/>
      <x:c r="S363" s="21" t="str"/>
      <x:c r="T363" s="17" t="str">
        <x:v>false</x:v>
      </x:c>
      <x:c r="U363" s="17" t="str">
        <x:v>true</x:v>
      </x:c>
      <x:c r="V363" s="17" t="str">
        <x:v>false</x:v>
      </x:c>
    </x:row>
    <x:row r="364" ht="80" customHeight="1">
      <x:c r="A364" s="25" t="str">
        <x:v>Gson</x:v>
      </x:c>
      <x:c r="B364" s="25" t="n">
        <x:v>6</x:v>
      </x:c>
      <x:c r="C364" s="25" t="str">
        <x:v>Round1</x:v>
      </x:c>
      <x:c r="D364" s="25" t="str">
        <x:v>NOT_AVAILABLE</x:v>
      </x:c>
      <x:c r="E364" s="25" t="str">
        <x:v>N/A</x:v>
      </x:c>
      <x:c r="F364" s="26" t="str">
        <x:v>Tests exist but current coverage did not complete</x:v>
      </x:c>
      <x:c r="G364" s="25" t="str">
        <x:v>true</x:v>
      </x:c>
      <x:c r="H364" s="25" t="str">
        <x:v>NOT_AVAILABLE</x:v>
      </x:c>
      <x:c r="I364" s="25" t="str">
        <x:v>NOT_RUN</x:v>
      </x:c>
      <x:c r="J364" s="25" t="str">
        <x:v>NOT_RUN</x:v>
      </x:c>
      <x:c r="K364" s="25" t="n">
        <x:v>1</x:v>
      </x:c>
      <x:c r="L364" s="27" t="b">
        <x:v>0</x:v>
      </x:c>
      <x:c r="M364" s="25" t="str">
        <x:v>Gemini-3.8-flash/generation_state.json</x:v>
      </x:c>
      <x:c r="N364" s="25" t="str">
        <x:v>Gemini-3.8-flash/Result/Gson_6/result.json</x:v>
      </x:c>
      <x:c r="O364" s="25" t="str">
        <x:v>Gemini-3.8-flash/Result/Gson_6/result.json</x:v>
      </x:c>
      <x:c r="P364" t="str">
        <x:v>BOTH_NOT_RUN</x:v>
      </x:c>
      <x:c r="Q364" s="21" t="str"/>
      <x:c r="R364" s="21" t="str"/>
      <x:c r="S364" s="21" t="str"/>
      <x:c r="T364" s="17" t="str">
        <x:v>false</x:v>
      </x:c>
      <x:c r="U364" s="17" t="str">
        <x:v>true</x:v>
      </x:c>
      <x:c r="V364" s="17" t="str">
        <x:v>false</x:v>
      </x:c>
    </x:row>
    <x:row r="365" ht="80" customHeight="1">
      <x:c r="A365" s="25" t="str">
        <x:v>Gson</x:v>
      </x:c>
      <x:c r="B365" s="25" t="n">
        <x:v>7</x:v>
      </x:c>
      <x:c r="C365" s="25" t="str">
        <x:v>Round1</x:v>
      </x:c>
      <x:c r="D365" s="25" t="str">
        <x:v>INCONCLUSIVE</x:v>
      </x:c>
      <x:c r="E365" s="25" t="str">
        <x:v>N/A</x:v>
      </x:c>
      <x:c r="F365" s="26" t="str">
        <x:v>Fixed also failed; assertion failure cannot be attributed to this bug</x:v>
      </x:c>
      <x:c r="G365" s="25" t="str">
        <x:v>true</x:v>
      </x:c>
      <x:c r="H365" s="25" t="str">
        <x:v>INCONCLUSIVE</x:v>
      </x:c>
      <x:c r="I365" s="25" t="str">
        <x:v>FAIL</x:v>
      </x:c>
      <x:c r="J365" s="25" t="str">
        <x:v>FAIL</x:v>
      </x:c>
      <x:c r="K365" s="25" t="n">
        <x:v>1</x:v>
      </x:c>
      <x:c r="L365" s="27" t="b">
        <x:v>0</x:v>
      </x:c>
      <x:c r="M365" s="25" t="str">
        <x:v>Gemini-3.8-flash/generation_state.json</x:v>
      </x:c>
      <x:c r="N365" s="25" t="str">
        <x:v>Gemini-3.8-flash/Result/Gson_7/result.json</x:v>
      </x:c>
      <x:c r="O365" s="25" t="str">
        <x:v>Gemini-3.8-flash/Result/Gson_7/result.json</x:v>
      </x:c>
      <x:c r="P365"/>
      <x:c r="Q365" s="21" t="str"/>
      <x:c r="R365" s="21" t="str"/>
      <x:c r="S365" s="21" t="str"/>
      <x:c r="T365" s="17" t="str">
        <x:v>false</x:v>
      </x:c>
      <x:c r="U365" s="17" t="str">
        <x:v>true</x:v>
      </x:c>
      <x:c r="V365" s="17" t="str">
        <x:v>false</x:v>
      </x:c>
    </x:row>
    <x:row r="366" ht="80" customHeight="1">
      <x:c r="A366" s="25" t="str">
        <x:v>Gson</x:v>
      </x:c>
      <x:c r="B366" s="25" t="n">
        <x:v>8</x:v>
      </x:c>
      <x:c r="C366" s="25" t="str">
        <x:v>Round1</x:v>
      </x:c>
      <x:c r="D366" s="25" t="str">
        <x:v>NOT_REVEALING</x:v>
      </x:c>
      <x:c r="E366" s="25" t="str">
        <x:v>N/A</x:v>
      </x:c>
      <x:c r="F366" s="26" t="str">
        <x:v>Same saved validation suite passed on buggy and fixed</x:v>
      </x:c>
      <x:c r="G366" s="25" t="str">
        <x:v>true</x:v>
      </x:c>
      <x:c r="H366" s="25" t="str">
        <x:v>NOT_REVEALING</x:v>
      </x:c>
      <x:c r="I366" s="25" t="str">
        <x:v>PASS</x:v>
      </x:c>
      <x:c r="J366" s="25" t="str">
        <x:v>PASS</x:v>
      </x:c>
      <x:c r="K366" s="25" t="n">
        <x:v>1</x:v>
      </x:c>
      <x:c r="L366" s="27" t="b">
        <x:v>0</x:v>
      </x:c>
      <x:c r="M366" s="25" t="str">
        <x:v>Gemini-3.8-flash/generation_state.json</x:v>
      </x:c>
      <x:c r="N366" s="25" t="str">
        <x:v>Gemini-3.8-flash/Result/Gson_8/result.json</x:v>
      </x:c>
      <x:c r="O366" s="25" t="str">
        <x:v>Gemini-3.8-flash/Result/Gson_8/result.json</x:v>
      </x:c>
      <x:c r="P366"/>
      <x:c r="Q366" s="21" t="str"/>
      <x:c r="R366" s="21" t="str"/>
      <x:c r="S366" s="21" t="str"/>
      <x:c r="T366" s="17" t="str">
        <x:v>false</x:v>
      </x:c>
      <x:c r="U366" s="17" t="str">
        <x:v>true</x:v>
      </x:c>
      <x:c r="V366" s="17" t="str">
        <x:v>false</x:v>
      </x:c>
    </x:row>
    <x:row r="367" ht="80" customHeight="1">
      <x:c r="A367" s="25" t="str">
        <x:v>Gson</x:v>
      </x:c>
      <x:c r="B367" s="25" t="n">
        <x:v>9</x:v>
      </x:c>
      <x:c r="C367" s="25" t="str">
        <x:v>Round1</x:v>
      </x:c>
      <x:c r="D367" s="25" t="str">
        <x:v>NOT_AVAILABLE</x:v>
      </x:c>
      <x:c r="E367" s="25" t="str">
        <x:v>N/A</x:v>
      </x:c>
      <x:c r="F367" s="26" t="str">
        <x:v>Tests exist but current coverage did not complete</x:v>
      </x:c>
      <x:c r="G367" s="25" t="str">
        <x:v>true</x:v>
      </x:c>
      <x:c r="H367" s="25" t="str">
        <x:v>NOT_AVAILABLE</x:v>
      </x:c>
      <x:c r="I367" s="25" t="str">
        <x:v>NOT_RUN</x:v>
      </x:c>
      <x:c r="J367" s="25" t="str">
        <x:v>NOT_RUN</x:v>
      </x:c>
      <x:c r="K367" s="25" t="n">
        <x:v>3</x:v>
      </x:c>
      <x:c r="L367" s="27" t="b">
        <x:v>0</x:v>
      </x:c>
      <x:c r="M367" s="25" t="str">
        <x:v>Gemini-3.8-flash/generation_state.json</x:v>
      </x:c>
      <x:c r="N367" s="25" t="str">
        <x:v>Gemini-3.8-flash/Result/Gson_9/result.json</x:v>
      </x:c>
      <x:c r="O367" s="25" t="str">
        <x:v>Gemini-3.8-flash/Result/Gson_9/result.json</x:v>
      </x:c>
      <x:c r="P367" t="str">
        <x:v>BOTH_NOT_RUN</x:v>
      </x:c>
      <x:c r="Q367" s="21" t="str"/>
      <x:c r="R367" s="21" t="str"/>
      <x:c r="S367" s="21" t="str"/>
      <x:c r="T367" s="17" t="str">
        <x:v>false</x:v>
      </x:c>
      <x:c r="U367" s="17" t="str">
        <x:v>true</x:v>
      </x:c>
      <x:c r="V367" s="17" t="str">
        <x:v>false</x:v>
      </x:c>
    </x:row>
    <x:row r="368" ht="80" customHeight="1">
      <x:c r="A368" s="25" t="str">
        <x:v>JacksonCore</x:v>
      </x:c>
      <x:c r="B368" s="25" t="n">
        <x:v>1</x:v>
      </x:c>
      <x:c r="C368" s="25" t="str">
        <x:v>Round1</x:v>
      </x:c>
      <x:c r="D368" s="25" t="str">
        <x:v>NOT_AVAILABLE</x:v>
      </x:c>
      <x:c r="E368" s="25" t="str">
        <x:v>N/A</x:v>
      </x:c>
      <x:c r="F368" s="26" t="str">
        <x:v>Tests exist but current coverage did not complete</x:v>
      </x:c>
      <x:c r="G368" s="25" t="str">
        <x:v>true</x:v>
      </x:c>
      <x:c r="H368" s="25" t="str">
        <x:v>NOT_AVAILABLE</x:v>
      </x:c>
      <x:c r="I368" s="25" t="str">
        <x:v>NOT_RUN</x:v>
      </x:c>
      <x:c r="J368" s="25" t="str">
        <x:v>NOT_RUN</x:v>
      </x:c>
      <x:c r="K368" s="25" t="n">
        <x:v>2</x:v>
      </x:c>
      <x:c r="L368" s="27" t="b">
        <x:v>0</x:v>
      </x:c>
      <x:c r="M368" s="25" t="str">
        <x:v>Gemini-3.8-flash/generation_state.json</x:v>
      </x:c>
      <x:c r="N368" s="25" t="str">
        <x:v>Gemini-3.8-flash/Result/JacksonCore_1/result.json</x:v>
      </x:c>
      <x:c r="O368" s="25" t="str">
        <x:v>Gemini-3.8-flash/Result/JacksonCore_1/result.json</x:v>
      </x:c>
      <x:c r="P368" t="str">
        <x:v>BOTH_NOT_RUN</x:v>
      </x:c>
      <x:c r="Q368" s="21" t="str"/>
      <x:c r="R368" s="21" t="str"/>
      <x:c r="S368" s="21" t="str"/>
      <x:c r="T368" s="17" t="str">
        <x:v>false</x:v>
      </x:c>
      <x:c r="U368" s="17" t="str">
        <x:v>true</x:v>
      </x:c>
      <x:c r="V368" s="17" t="str">
        <x:v>false</x:v>
      </x:c>
    </x:row>
    <x:row r="369" ht="80" customHeight="1">
      <x:c r="A369" s="25" t="str">
        <x:v>JacksonCore</x:v>
      </x:c>
      <x:c r="B369" s="25" t="n">
        <x:v>10</x:v>
      </x:c>
      <x:c r="C369" s="25" t="str">
        <x:v>Round1</x:v>
      </x:c>
      <x:c r="D369" s="25" t="str">
        <x:v>INCONCLUSIVE</x:v>
      </x:c>
      <x:c r="E369" s="25" t="str">
        <x:v>N/A</x:v>
      </x:c>
      <x:c r="F369" s="26" t="str">
        <x:v>Fixed also failed; assertion failure cannot be attributed to this bug</x:v>
      </x:c>
      <x:c r="G369" s="25" t="str">
        <x:v>true</x:v>
      </x:c>
      <x:c r="H369" s="25" t="str">
        <x:v>INCONCLUSIVE</x:v>
      </x:c>
      <x:c r="I369" s="25" t="str">
        <x:v>FAIL</x:v>
      </x:c>
      <x:c r="J369" s="25" t="str">
        <x:v>FAIL</x:v>
      </x:c>
      <x:c r="K369" s="25" t="n">
        <x:v>1</x:v>
      </x:c>
      <x:c r="L369" s="27" t="b">
        <x:v>0</x:v>
      </x:c>
      <x:c r="M369" s="25" t="str">
        <x:v>Gemini-3.8-flash/generation_state.json</x:v>
      </x:c>
      <x:c r="N369" s="25" t="str">
        <x:v>Gemini-3.8-flash/Result/JacksonCore_10/result.json</x:v>
      </x:c>
      <x:c r="O369" s="25" t="str">
        <x:v>Gemini-3.8-flash/Result/JacksonCore_10/result.json</x:v>
      </x:c>
      <x:c r="P369"/>
      <x:c r="Q369" s="21" t="str"/>
      <x:c r="R369" s="21" t="str"/>
      <x:c r="S369" s="21" t="str"/>
      <x:c r="T369" s="17" t="str">
        <x:v>false</x:v>
      </x:c>
      <x:c r="U369" s="17" t="str">
        <x:v>true</x:v>
      </x:c>
      <x:c r="V369" s="17" t="str">
        <x:v>false</x:v>
      </x:c>
    </x:row>
    <x:row r="370" ht="80" customHeight="1">
      <x:c r="A370" s="25" t="str">
        <x:v>JacksonCore</x:v>
      </x:c>
      <x:c r="B370" s="25" t="n">
        <x:v>11</x:v>
      </x:c>
      <x:c r="C370" s="25" t="str">
        <x:v>Round1</x:v>
      </x:c>
      <x:c r="D370" s="25" t="str">
        <x:v>NOT_AVAILABLE</x:v>
      </x:c>
      <x:c r="E370" s="25" t="str">
        <x:v>N/A</x:v>
      </x:c>
      <x:c r="F370" s="26" t="str">
        <x:v>Tests exist but current coverage did not complete</x:v>
      </x:c>
      <x:c r="G370" s="25" t="str">
        <x:v>true</x:v>
      </x:c>
      <x:c r="H370" s="25" t="str">
        <x:v>NOT_AVAILABLE</x:v>
      </x:c>
      <x:c r="I370" s="25" t="str">
        <x:v>NOT_RUN</x:v>
      </x:c>
      <x:c r="J370" s="25" t="str">
        <x:v>NOT_RUN</x:v>
      </x:c>
      <x:c r="K370" s="25" t="n">
        <x:v>1</x:v>
      </x:c>
      <x:c r="L370" s="27" t="b">
        <x:v>0</x:v>
      </x:c>
      <x:c r="M370" s="25" t="str">
        <x:v>Gemini-3.8-flash/generation_state.json</x:v>
      </x:c>
      <x:c r="N370" s="25" t="str">
        <x:v>Gemini-3.8-flash/Result/JacksonCore_11/result.json</x:v>
      </x:c>
      <x:c r="O370" s="25" t="str">
        <x:v>Gemini-3.8-flash/Result/JacksonCore_11/result.json</x:v>
      </x:c>
      <x:c r="P370" t="str">
        <x:v>BOTH_NOT_RUN</x:v>
      </x:c>
      <x:c r="Q370" s="21" t="str"/>
      <x:c r="R370" s="21" t="str"/>
      <x:c r="S370" s="21" t="str"/>
      <x:c r="T370" s="17" t="str">
        <x:v>false</x:v>
      </x:c>
      <x:c r="U370" s="17" t="str">
        <x:v>true</x:v>
      </x:c>
      <x:c r="V370" s="17" t="str">
        <x:v>false</x:v>
      </x:c>
    </x:row>
    <x:row r="371" ht="80" customHeight="1">
      <x:c r="A371" s="25" t="str">
        <x:v>JacksonCore</x:v>
      </x:c>
      <x:c r="B371" s="25" t="n">
        <x:v>12</x:v>
      </x:c>
      <x:c r="C371" s="25" t="str">
        <x:v>Round1</x:v>
      </x:c>
      <x:c r="D371" s="25" t="str">
        <x:v>INCONCLUSIVE</x:v>
      </x:c>
      <x:c r="E371" s="25" t="str">
        <x:v>N/A</x:v>
      </x:c>
      <x:c r="F371" s="26" t="str">
        <x:v>Fixed also failed; assertion failure cannot be attributed to this bug</x:v>
      </x:c>
      <x:c r="G371" s="25" t="str">
        <x:v>true</x:v>
      </x:c>
      <x:c r="H371" s="25" t="str">
        <x:v>INCONCLUSIVE</x:v>
      </x:c>
      <x:c r="I371" s="25" t="str">
        <x:v>FAIL</x:v>
      </x:c>
      <x:c r="J371" s="25" t="str">
        <x:v>FAIL</x:v>
      </x:c>
      <x:c r="K371" s="25" t="n">
        <x:v>2</x:v>
      </x:c>
      <x:c r="L371" s="27" t="b">
        <x:v>0</x:v>
      </x:c>
      <x:c r="M371" s="25" t="str">
        <x:v>Gemini-3.8-flash/generation_state.json</x:v>
      </x:c>
      <x:c r="N371" s="25" t="str">
        <x:v>Gemini-3.8-flash/Result/JacksonCore_12/result.json</x:v>
      </x:c>
      <x:c r="O371" s="25" t="str">
        <x:v>Gemini-3.8-flash/Result/JacksonCore_12/result.json</x:v>
      </x:c>
      <x:c r="P371"/>
      <x:c r="Q371" s="21" t="str"/>
      <x:c r="R371" s="21" t="str"/>
      <x:c r="S371" s="21" t="str"/>
      <x:c r="T371" s="17" t="str">
        <x:v>false</x:v>
      </x:c>
      <x:c r="U371" s="17" t="str">
        <x:v>true</x:v>
      </x:c>
      <x:c r="V371" s="17" t="str">
        <x:v>false</x:v>
      </x:c>
    </x:row>
    <x:row r="372" ht="80" customHeight="1">
      <x:c r="A372" s="25" t="str">
        <x:v>JacksonCore</x:v>
      </x:c>
      <x:c r="B372" s="25" t="n">
        <x:v>13</x:v>
      </x:c>
      <x:c r="C372" s="25" t="str">
        <x:v>Round1</x:v>
      </x:c>
      <x:c r="D372" s="25" t="str">
        <x:v>NOT_REVEALING</x:v>
      </x:c>
      <x:c r="E372" s="25" t="str">
        <x:v>N/A</x:v>
      </x:c>
      <x:c r="F372" s="26" t="str">
        <x:v>Same saved validation suite passed on buggy and fixed</x:v>
      </x:c>
      <x:c r="G372" s="25" t="str">
        <x:v>true</x:v>
      </x:c>
      <x:c r="H372" s="25" t="str">
        <x:v>NOT_REVEALING</x:v>
      </x:c>
      <x:c r="I372" s="25" t="str">
        <x:v>PASS</x:v>
      </x:c>
      <x:c r="J372" s="25" t="str">
        <x:v>PASS</x:v>
      </x:c>
      <x:c r="K372" s="25" t="n">
        <x:v>1</x:v>
      </x:c>
      <x:c r="L372" s="27" t="b">
        <x:v>0</x:v>
      </x:c>
      <x:c r="M372" s="25" t="str">
        <x:v>Gemini-3.8-flash/generation_state.json</x:v>
      </x:c>
      <x:c r="N372" s="25" t="str">
        <x:v>Gemini-3.8-flash/Result/JacksonCore_13/result.json</x:v>
      </x:c>
      <x:c r="O372" s="25" t="str">
        <x:v>Gemini-3.8-flash/Result/JacksonCore_13/result.json</x:v>
      </x:c>
      <x:c r="P372"/>
      <x:c r="Q372" s="21" t="str"/>
      <x:c r="R372" s="21" t="str"/>
      <x:c r="S372" s="21" t="str"/>
      <x:c r="T372" s="17" t="str">
        <x:v>false</x:v>
      </x:c>
      <x:c r="U372" s="17" t="str">
        <x:v>true</x:v>
      </x:c>
      <x:c r="V372" s="17" t="str">
        <x:v>false</x:v>
      </x:c>
    </x:row>
    <x:row r="373" ht="80" customHeight="1">
      <x:c r="A373" s="25" t="str">
        <x:v>JacksonCore</x:v>
      </x:c>
      <x:c r="B373" s="25" t="n">
        <x:v>14</x:v>
      </x:c>
      <x:c r="C373" s="25" t="str">
        <x:v>Round1</x:v>
      </x:c>
      <x:c r="D373" s="25" t="str">
        <x:v>INCONCLUSIVE</x:v>
      </x:c>
      <x:c r="E373" s="25" t="str">
        <x:v>N/A</x:v>
      </x:c>
      <x:c r="F373" s="26" t="str">
        <x:v>Fixed also failed; assertion failure cannot be attributed to this bug</x:v>
      </x:c>
      <x:c r="G373" s="25" t="str">
        <x:v>true</x:v>
      </x:c>
      <x:c r="H373" s="25" t="str">
        <x:v>INCONCLUSIVE</x:v>
      </x:c>
      <x:c r="I373" s="25" t="str">
        <x:v>PASS</x:v>
      </x:c>
      <x:c r="J373" s="25" t="str">
        <x:v>FAIL</x:v>
      </x:c>
      <x:c r="K373" s="25" t="n">
        <x:v>1</x:v>
      </x:c>
      <x:c r="L373" s="27" t="b">
        <x:v>0</x:v>
      </x:c>
      <x:c r="M373" s="25" t="str">
        <x:v>Gemini-3.8-flash/generation_state.json</x:v>
      </x:c>
      <x:c r="N373" s="25" t="str">
        <x:v>Gemini-3.8-flash/Result/JacksonCore_14/result.json</x:v>
      </x:c>
      <x:c r="O373" s="25" t="str">
        <x:v>Gemini-3.8-flash/Result/JacksonCore_14/result.json</x:v>
      </x:c>
      <x:c r="P373"/>
      <x:c r="Q373" s="21" t="str"/>
      <x:c r="R373" s="21" t="str"/>
      <x:c r="S373" s="21" t="str"/>
      <x:c r="T373" s="17" t="str">
        <x:v>false</x:v>
      </x:c>
      <x:c r="U373" s="17" t="str">
        <x:v>true</x:v>
      </x:c>
      <x:c r="V373" s="17" t="str">
        <x:v>false</x:v>
      </x:c>
    </x:row>
    <x:row r="374" ht="80" customHeight="1">
      <x:c r="A374" s="25" t="str">
        <x:v>JacksonCore</x:v>
      </x:c>
      <x:c r="B374" s="25" t="n">
        <x:v>15</x:v>
      </x:c>
      <x:c r="C374" s="25" t="str">
        <x:v>Round1</x:v>
      </x:c>
      <x:c r="D374" s="25" t="str">
        <x:v>NOT_AVAILABLE</x:v>
      </x:c>
      <x:c r="E374" s="25" t="str">
        <x:v>N/A</x:v>
      </x:c>
      <x:c r="F374" s="26" t="str">
        <x:v>Tests exist but current coverage did not complete</x:v>
      </x:c>
      <x:c r="G374" s="25" t="str">
        <x:v>true</x:v>
      </x:c>
      <x:c r="H374" s="25" t="str">
        <x:v>NOT_AVAILABLE</x:v>
      </x:c>
      <x:c r="I374" s="25" t="str">
        <x:v>NOT_RUN</x:v>
      </x:c>
      <x:c r="J374" s="25" t="str">
        <x:v>NOT_RUN</x:v>
      </x:c>
      <x:c r="K374" s="25" t="n">
        <x:v>1</x:v>
      </x:c>
      <x:c r="L374" s="27" t="b">
        <x:v>0</x:v>
      </x:c>
      <x:c r="M374" s="25" t="str">
        <x:v>Gemini-3.8-flash/generation_state.json</x:v>
      </x:c>
      <x:c r="N374" s="25" t="str">
        <x:v>Gemini-3.8-flash/Result/JacksonCore_15/result.json</x:v>
      </x:c>
      <x:c r="O374" s="25" t="str">
        <x:v>Gemini-3.8-flash/Result/JacksonCore_15/result.json</x:v>
      </x:c>
      <x:c r="P374" t="str">
        <x:v>BOTH_NOT_RUN</x:v>
      </x:c>
      <x:c r="Q374" s="21" t="str"/>
      <x:c r="R374" s="21" t="str"/>
      <x:c r="S374" s="21" t="str"/>
      <x:c r="T374" s="17" t="str">
        <x:v>false</x:v>
      </x:c>
      <x:c r="U374" s="17" t="str">
        <x:v>true</x:v>
      </x:c>
      <x:c r="V374" s="17" t="str">
        <x:v>false</x:v>
      </x:c>
    </x:row>
    <x:row r="375" ht="80" customHeight="1">
      <x:c r="A375" s="25" t="str">
        <x:v>JacksonCore</x:v>
      </x:c>
      <x:c r="B375" s="25" t="n">
        <x:v>16</x:v>
      </x:c>
      <x:c r="C375" s="25" t="str">
        <x:v>Round1</x:v>
      </x:c>
      <x:c r="D375" s="25" t="str">
        <x:v>INCONCLUSIVE</x:v>
      </x:c>
      <x:c r="E375" s="25" t="str">
        <x:v>N/A</x:v>
      </x:c>
      <x:c r="F375" s="26" t="str">
        <x:v>Fixed also failed; assertion failure cannot be attributed to this bug</x:v>
      </x:c>
      <x:c r="G375" s="25" t="str">
        <x:v>true</x:v>
      </x:c>
      <x:c r="H375" s="25" t="str">
        <x:v>INCONCLUSIVE</x:v>
      </x:c>
      <x:c r="I375" s="25" t="str">
        <x:v>PASS</x:v>
      </x:c>
      <x:c r="J375" s="25" t="str">
        <x:v>FAIL</x:v>
      </x:c>
      <x:c r="K375" s="25" t="n">
        <x:v>1</x:v>
      </x:c>
      <x:c r="L375" s="27" t="b">
        <x:v>0</x:v>
      </x:c>
      <x:c r="M375" s="25" t="str">
        <x:v>Gemini-3.8-flash/generation_state.json</x:v>
      </x:c>
      <x:c r="N375" s="25" t="str">
        <x:v>Gemini-3.8-flash/Result/JacksonCore_16/result.json</x:v>
      </x:c>
      <x:c r="O375" s="25" t="str">
        <x:v>Gemini-3.8-flash/Result/JacksonCore_16/result.json</x:v>
      </x:c>
      <x:c r="P375"/>
      <x:c r="Q375" s="21" t="str"/>
      <x:c r="R375" s="21" t="str"/>
      <x:c r="S375" s="21" t="str"/>
      <x:c r="T375" s="17" t="str">
        <x:v>false</x:v>
      </x:c>
      <x:c r="U375" s="17" t="str">
        <x:v>true</x:v>
      </x:c>
      <x:c r="V375" s="17" t="str">
        <x:v>false</x:v>
      </x:c>
    </x:row>
    <x:row r="376" ht="80" customHeight="1">
      <x:c r="A376" s="25" t="str">
        <x:v>JacksonCore</x:v>
      </x:c>
      <x:c r="B376" s="25" t="n">
        <x:v>17</x:v>
      </x:c>
      <x:c r="C376" s="25" t="str">
        <x:v>Round1</x:v>
      </x:c>
      <x:c r="D376" s="25" t="str">
        <x:v>INCONCLUSIVE</x:v>
      </x:c>
      <x:c r="E376" s="25" t="str">
        <x:v>N/A</x:v>
      </x:c>
      <x:c r="F376" s="26" t="str">
        <x:v>Fixed also failed; assertion failure cannot be attributed to this bug</x:v>
      </x:c>
      <x:c r="G376" s="25" t="str">
        <x:v>true</x:v>
      </x:c>
      <x:c r="H376" s="25" t="str">
        <x:v>INCONCLUSIVE</x:v>
      </x:c>
      <x:c r="I376" s="25" t="str">
        <x:v>FAIL</x:v>
      </x:c>
      <x:c r="J376" s="25" t="str">
        <x:v>FAIL</x:v>
      </x:c>
      <x:c r="K376" s="25" t="n">
        <x:v>1</x:v>
      </x:c>
      <x:c r="L376" s="27" t="b">
        <x:v>0</x:v>
      </x:c>
      <x:c r="M376" s="25" t="str">
        <x:v>Gemini-3.8-flash/generation_state.json</x:v>
      </x:c>
      <x:c r="N376" s="25" t="str">
        <x:v>Gemini-3.8-flash/Result/JacksonCore_17/result.json</x:v>
      </x:c>
      <x:c r="O376" s="25" t="str">
        <x:v>Gemini-3.8-flash/Result/JacksonCore_17/result.json</x:v>
      </x:c>
      <x:c r="P376"/>
      <x:c r="Q376" s="21" t="str"/>
      <x:c r="R376" s="21" t="str"/>
      <x:c r="S376" s="21" t="str"/>
      <x:c r="T376" s="17" t="str">
        <x:v>false</x:v>
      </x:c>
      <x:c r="U376" s="17" t="str">
        <x:v>true</x:v>
      </x:c>
      <x:c r="V376" s="17" t="str">
        <x:v>false</x:v>
      </x:c>
    </x:row>
    <x:row r="377" ht="80" customHeight="1">
      <x:c r="A377" s="25" t="str">
        <x:v>JacksonCore</x:v>
      </x:c>
      <x:c r="B377" s="25" t="n">
        <x:v>18</x:v>
      </x:c>
      <x:c r="C377" s="25" t="str">
        <x:v>Round1</x:v>
      </x:c>
      <x:c r="D377" s="25" t="str">
        <x:v>INCONCLUSIVE</x:v>
      </x:c>
      <x:c r="E377" s="25" t="str">
        <x:v>N/A</x:v>
      </x:c>
      <x:c r="F377" s="26" t="str">
        <x:v>Fixed also failed; assertion failure cannot be attributed to this bug</x:v>
      </x:c>
      <x:c r="G377" s="25" t="str">
        <x:v>true</x:v>
      </x:c>
      <x:c r="H377" s="25" t="str">
        <x:v>INCONCLUSIVE</x:v>
      </x:c>
      <x:c r="I377" s="25" t="str">
        <x:v>FAIL</x:v>
      </x:c>
      <x:c r="J377" s="25" t="str">
        <x:v>FAIL</x:v>
      </x:c>
      <x:c r="K377" s="25" t="n">
        <x:v>3</x:v>
      </x:c>
      <x:c r="L377" s="27" t="b">
        <x:v>0</x:v>
      </x:c>
      <x:c r="M377" s="25" t="str">
        <x:v>Gemini-3.8-flash/generation_state.json</x:v>
      </x:c>
      <x:c r="N377" s="25" t="str">
        <x:v>Gemini-3.8-flash/Result/JacksonCore_18/result.json</x:v>
      </x:c>
      <x:c r="O377" s="25" t="str">
        <x:v>Gemini-3.8-flash/Result/JacksonCore_18/result.json</x:v>
      </x:c>
      <x:c r="P377"/>
      <x:c r="Q377" s="21" t="str"/>
      <x:c r="R377" s="21" t="str"/>
      <x:c r="S377" s="21" t="str"/>
      <x:c r="T377" s="17" t="str">
        <x:v>false</x:v>
      </x:c>
      <x:c r="U377" s="17" t="str">
        <x:v>true</x:v>
      </x:c>
      <x:c r="V377" s="17" t="str">
        <x:v>false</x:v>
      </x:c>
    </x:row>
    <x:row r="378" ht="80" customHeight="1">
      <x:c r="A378" s="25" t="str">
        <x:v>JacksonCore</x:v>
      </x:c>
      <x:c r="B378" s="25" t="n">
        <x:v>19</x:v>
      </x:c>
      <x:c r="C378" s="25" t="str">
        <x:v>Round1</x:v>
      </x:c>
      <x:c r="D378" s="25" t="str">
        <x:v>NOT_REVEALING</x:v>
      </x:c>
      <x:c r="E378" s="25" t="str">
        <x:v>N/A</x:v>
      </x:c>
      <x:c r="F378" s="26" t="str">
        <x:v>Same saved validation suite passed on buggy and fixed</x:v>
      </x:c>
      <x:c r="G378" s="25" t="str">
        <x:v>true</x:v>
      </x:c>
      <x:c r="H378" s="25" t="str">
        <x:v>NOT_REVEALING</x:v>
      </x:c>
      <x:c r="I378" s="25" t="str">
        <x:v>PASS</x:v>
      </x:c>
      <x:c r="J378" s="25" t="str">
        <x:v>PASS</x:v>
      </x:c>
      <x:c r="K378" s="25" t="n">
        <x:v>2</x:v>
      </x:c>
      <x:c r="L378" s="27" t="b">
        <x:v>0</x:v>
      </x:c>
      <x:c r="M378" s="25" t="str">
        <x:v>Gemini-3.8-flash/generation_state.json</x:v>
      </x:c>
      <x:c r="N378" s="25" t="str">
        <x:v>Gemini-3.8-flash/Result/JacksonCore_19/result.json</x:v>
      </x:c>
      <x:c r="O378" s="25" t="str">
        <x:v>Gemini-3.8-flash/Result/JacksonCore_19/result.json</x:v>
      </x:c>
      <x:c r="P378"/>
      <x:c r="Q378" s="21" t="str"/>
      <x:c r="R378" s="21" t="str"/>
      <x:c r="S378" s="21" t="str"/>
      <x:c r="T378" s="17" t="str">
        <x:v>false</x:v>
      </x:c>
      <x:c r="U378" s="17" t="str">
        <x:v>true</x:v>
      </x:c>
      <x:c r="V378" s="17" t="str">
        <x:v>false</x:v>
      </x:c>
    </x:row>
    <x:row r="379" ht="80" customHeight="1">
      <x:c r="A379" s="25" t="str">
        <x:v>JacksonCore</x:v>
      </x:c>
      <x:c r="B379" s="25" t="n">
        <x:v>2</x:v>
      </x:c>
      <x:c r="C379" s="25" t="str">
        <x:v>Round1</x:v>
      </x:c>
      <x:c r="D379" s="25" t="str">
        <x:v>NOT_REVEALING</x:v>
      </x:c>
      <x:c r="E379" s="25" t="str">
        <x:v>N/A</x:v>
      </x:c>
      <x:c r="F379" s="26" t="str">
        <x:v>Same saved validation suite passed on buggy and fixed</x:v>
      </x:c>
      <x:c r="G379" s="25" t="str">
        <x:v>true</x:v>
      </x:c>
      <x:c r="H379" s="25" t="str">
        <x:v>NOT_REVEALING</x:v>
      </x:c>
      <x:c r="I379" s="25" t="str">
        <x:v>PASS</x:v>
      </x:c>
      <x:c r="J379" s="25" t="str">
        <x:v>PASS</x:v>
      </x:c>
      <x:c r="K379" s="25" t="n">
        <x:v>2</x:v>
      </x:c>
      <x:c r="L379" s="27" t="b">
        <x:v>0</x:v>
      </x:c>
      <x:c r="M379" s="25" t="str">
        <x:v>Gemini-3.8-flash/generation_state.json</x:v>
      </x:c>
      <x:c r="N379" s="25" t="str">
        <x:v>Gemini-3.8-flash/Result/JacksonCore_2/result.json</x:v>
      </x:c>
      <x:c r="O379" s="25" t="str">
        <x:v>Gemini-3.8-flash/Result/JacksonCore_2/result.json</x:v>
      </x:c>
      <x:c r="P379"/>
      <x:c r="Q379" s="21" t="str"/>
      <x:c r="R379" s="21" t="str"/>
      <x:c r="S379" s="21" t="str"/>
      <x:c r="T379" s="17" t="str">
        <x:v>false</x:v>
      </x:c>
      <x:c r="U379" s="17" t="str">
        <x:v>true</x:v>
      </x:c>
      <x:c r="V379" s="17" t="str">
        <x:v>false</x:v>
      </x:c>
    </x:row>
    <x:row r="380" ht="80" customHeight="1">
      <x:c r="A380" s="25" t="str">
        <x:v>JacksonCore</x:v>
      </x:c>
      <x:c r="B380" s="25" t="n">
        <x:v>20</x:v>
      </x:c>
      <x:c r="C380" s="25" t="str">
        <x:v>Round1</x:v>
      </x:c>
      <x:c r="D380" s="25" t="str">
        <x:v>NOT_REVEALING</x:v>
      </x:c>
      <x:c r="E380" s="25" t="str">
        <x:v>N/A</x:v>
      </x:c>
      <x:c r="F380" s="26" t="str">
        <x:v>Same saved validation suite passed on buggy and fixed</x:v>
      </x:c>
      <x:c r="G380" s="25" t="str">
        <x:v>true</x:v>
      </x:c>
      <x:c r="H380" s="25" t="str">
        <x:v>NOT_REVEALING</x:v>
      </x:c>
      <x:c r="I380" s="25" t="str">
        <x:v>PASS</x:v>
      </x:c>
      <x:c r="J380" s="25" t="str">
        <x:v>PASS</x:v>
      </x:c>
      <x:c r="K380" s="25" t="n">
        <x:v>1</x:v>
      </x:c>
      <x:c r="L380" s="27" t="b">
        <x:v>0</x:v>
      </x:c>
      <x:c r="M380" s="25" t="str">
        <x:v>Gemini-3.8-flash/generation_state.json</x:v>
      </x:c>
      <x:c r="N380" s="25" t="str">
        <x:v>Gemini-3.8-flash/Result/JacksonCore_20/result.json</x:v>
      </x:c>
      <x:c r="O380" s="25" t="str">
        <x:v>Gemini-3.8-flash/Result/JacksonCore_20/result.json</x:v>
      </x:c>
      <x:c r="P380"/>
      <x:c r="Q380" s="21" t="str"/>
      <x:c r="R380" s="21" t="str"/>
      <x:c r="S380" s="21" t="str"/>
      <x:c r="T380" s="17" t="str">
        <x:v>false</x:v>
      </x:c>
      <x:c r="U380" s="17" t="str">
        <x:v>true</x:v>
      </x:c>
      <x:c r="V380" s="17" t="str">
        <x:v>false</x:v>
      </x:c>
    </x:row>
    <x:row r="381" ht="80" customHeight="1">
      <x:c r="A381" s="25" t="str">
        <x:v>JacksonCore</x:v>
      </x:c>
      <x:c r="B381" s="25" t="n">
        <x:v>21</x:v>
      </x:c>
      <x:c r="C381" s="25" t="str">
        <x:v>Round1</x:v>
      </x:c>
      <x:c r="D381" s="25" t="str">
        <x:v>NOT_REVEALING</x:v>
      </x:c>
      <x:c r="E381" s="25" t="str">
        <x:v>N/A</x:v>
      </x:c>
      <x:c r="F381" s="26" t="str">
        <x:v>Same saved validation suite passed on buggy and fixed</x:v>
      </x:c>
      <x:c r="G381" s="25" t="str">
        <x:v>true</x:v>
      </x:c>
      <x:c r="H381" s="25" t="str">
        <x:v>NOT_REVEALING</x:v>
      </x:c>
      <x:c r="I381" s="25" t="str">
        <x:v>PASS</x:v>
      </x:c>
      <x:c r="J381" s="25" t="str">
        <x:v>PASS</x:v>
      </x:c>
      <x:c r="K381" s="25" t="n">
        <x:v>1</x:v>
      </x:c>
      <x:c r="L381" s="27" t="b">
        <x:v>0</x:v>
      </x:c>
      <x:c r="M381" s="25" t="str">
        <x:v>Gemini-3.8-flash/generation_state.json</x:v>
      </x:c>
      <x:c r="N381" s="25" t="str">
        <x:v>Gemini-3.8-flash/Result/JacksonCore_21/result.json</x:v>
      </x:c>
      <x:c r="O381" s="25" t="str">
        <x:v>Gemini-3.8-flash/Result/JacksonCore_21/result.json</x:v>
      </x:c>
      <x:c r="P381"/>
      <x:c r="Q381" s="21" t="str"/>
      <x:c r="R381" s="21" t="str"/>
      <x:c r="S381" s="21" t="str"/>
      <x:c r="T381" s="17" t="str">
        <x:v>false</x:v>
      </x:c>
      <x:c r="U381" s="17" t="str">
        <x:v>true</x:v>
      </x:c>
      <x:c r="V381" s="17" t="str">
        <x:v>false</x:v>
      </x:c>
    </x:row>
    <x:row r="382" ht="80" customHeight="1">
      <x:c r="A382" s="25" t="str">
        <x:v>JacksonCore</x:v>
      </x:c>
      <x:c r="B382" s="25" t="n">
        <x:v>22</x:v>
      </x:c>
      <x:c r="C382" s="25" t="str">
        <x:v>Round1</x:v>
      </x:c>
      <x:c r="D382" s="25" t="str">
        <x:v>NOT_REVEALING</x:v>
      </x:c>
      <x:c r="E382" s="25" t="str">
        <x:v>N/A</x:v>
      </x:c>
      <x:c r="F382" s="26" t="str">
        <x:v>Same saved validation suite passed on buggy and fixed</x:v>
      </x:c>
      <x:c r="G382" s="25" t="str">
        <x:v>true</x:v>
      </x:c>
      <x:c r="H382" s="25" t="str">
        <x:v>NOT_REVEALING</x:v>
      </x:c>
      <x:c r="I382" s="25" t="str">
        <x:v>PASS</x:v>
      </x:c>
      <x:c r="J382" s="25" t="str">
        <x:v>PASS</x:v>
      </x:c>
      <x:c r="K382" s="25" t="n">
        <x:v>1</x:v>
      </x:c>
      <x:c r="L382" s="27" t="b">
        <x:v>0</x:v>
      </x:c>
      <x:c r="M382" s="25" t="str">
        <x:v>Gemini-3.8-flash/generation_state.json</x:v>
      </x:c>
      <x:c r="N382" s="25" t="str">
        <x:v>Gemini-3.8-flash/Result/JacksonCore_22/result.json</x:v>
      </x:c>
      <x:c r="O382" s="25" t="str">
        <x:v>Gemini-3.8-flash/Result/JacksonCore_22/result.json</x:v>
      </x:c>
      <x:c r="P382"/>
      <x:c r="Q382" s="21" t="str"/>
      <x:c r="R382" s="21" t="str"/>
      <x:c r="S382" s="21" t="str"/>
      <x:c r="T382" s="17" t="str">
        <x:v>false</x:v>
      </x:c>
      <x:c r="U382" s="17" t="str">
        <x:v>true</x:v>
      </x:c>
      <x:c r="V382" s="17" t="str">
        <x:v>false</x:v>
      </x:c>
    </x:row>
    <x:row r="383" ht="80" customHeight="1">
      <x:c r="A383" s="25" t="str">
        <x:v>JacksonCore</x:v>
      </x:c>
      <x:c r="B383" s="25" t="n">
        <x:v>23</x:v>
      </x:c>
      <x:c r="C383" s="25" t="str">
        <x:v>Round1</x:v>
      </x:c>
      <x:c r="D383" s="25" t="str">
        <x:v>NOT_REVEALING</x:v>
      </x:c>
      <x:c r="E383" s="25" t="str">
        <x:v>N/A</x:v>
      </x:c>
      <x:c r="F383" s="26" t="str">
        <x:v>Same saved validation suite passed on buggy and fixed</x:v>
      </x:c>
      <x:c r="G383" s="25" t="str">
        <x:v>true</x:v>
      </x:c>
      <x:c r="H383" s="25" t="str">
        <x:v>NOT_REVEALING</x:v>
      </x:c>
      <x:c r="I383" s="25" t="str">
        <x:v>PASS</x:v>
      </x:c>
      <x:c r="J383" s="25" t="str">
        <x:v>PASS</x:v>
      </x:c>
      <x:c r="K383" s="25" t="n">
        <x:v>1</x:v>
      </x:c>
      <x:c r="L383" s="27" t="b">
        <x:v>0</x:v>
      </x:c>
      <x:c r="M383" s="25" t="str">
        <x:v>Gemini-3.8-flash/generation_state.json</x:v>
      </x:c>
      <x:c r="N383" s="25" t="str">
        <x:v>Gemini-3.8-flash/Result/JacksonCore_23/result.json</x:v>
      </x:c>
      <x:c r="O383" s="25" t="str">
        <x:v>Gemini-3.8-flash/Result/JacksonCore_23/result.json</x:v>
      </x:c>
      <x:c r="P383"/>
      <x:c r="Q383" s="21" t="str"/>
      <x:c r="R383" s="21" t="str"/>
      <x:c r="S383" s="21" t="str"/>
      <x:c r="T383" s="17" t="str">
        <x:v>false</x:v>
      </x:c>
      <x:c r="U383" s="17" t="str">
        <x:v>true</x:v>
      </x:c>
      <x:c r="V383" s="17" t="str">
        <x:v>false</x:v>
      </x:c>
    </x:row>
    <x:row r="384" ht="80" customHeight="1">
      <x:c r="A384" s="25" t="str">
        <x:v>JacksonCore</x:v>
      </x:c>
      <x:c r="B384" s="25" t="n">
        <x:v>24</x:v>
      </x:c>
      <x:c r="C384" s="25" t="str">
        <x:v>Round1</x:v>
      </x:c>
      <x:c r="D384" s="25" t="str">
        <x:v>NOT_REVEALING</x:v>
      </x:c>
      <x:c r="E384" s="25" t="str">
        <x:v>N/A</x:v>
      </x:c>
      <x:c r="F384" s="26" t="str">
        <x:v>Same saved validation suite passed on buggy and fixed</x:v>
      </x:c>
      <x:c r="G384" s="25" t="str">
        <x:v>true</x:v>
      </x:c>
      <x:c r="H384" s="25" t="str">
        <x:v>NOT_REVEALING</x:v>
      </x:c>
      <x:c r="I384" s="25" t="str">
        <x:v>PASS</x:v>
      </x:c>
      <x:c r="J384" s="25" t="str">
        <x:v>PASS</x:v>
      </x:c>
      <x:c r="K384" s="25" t="n">
        <x:v>2</x:v>
      </x:c>
      <x:c r="L384" s="27" t="b">
        <x:v>0</x:v>
      </x:c>
      <x:c r="M384" s="25" t="str">
        <x:v>Gemini-3.8-flash/generation_state.json</x:v>
      </x:c>
      <x:c r="N384" s="25" t="str">
        <x:v>Gemini-3.8-flash/Result/JacksonCore_24/result.json</x:v>
      </x:c>
      <x:c r="O384" s="25" t="str">
        <x:v>Gemini-3.8-flash/Result/JacksonCore_24/result.json</x:v>
      </x:c>
      <x:c r="P384"/>
      <x:c r="Q384" s="21" t="str"/>
      <x:c r="R384" s="21" t="str"/>
      <x:c r="S384" s="21" t="str"/>
      <x:c r="T384" s="17" t="str">
        <x:v>false</x:v>
      </x:c>
      <x:c r="U384" s="17" t="str">
        <x:v>true</x:v>
      </x:c>
      <x:c r="V384" s="17" t="str">
        <x:v>false</x:v>
      </x:c>
    </x:row>
    <x:row r="385" ht="80" customHeight="1">
      <x:c r="A385" s="25" t="str">
        <x:v>JacksonCore</x:v>
      </x:c>
      <x:c r="B385" s="25" t="n">
        <x:v>25</x:v>
      </x:c>
      <x:c r="C385" s="25" t="str">
        <x:v>Round1</x:v>
      </x:c>
      <x:c r="D385" s="25" t="str">
        <x:v>NOT_REVEALING</x:v>
      </x:c>
      <x:c r="E385" s="25" t="str">
        <x:v>N/A</x:v>
      </x:c>
      <x:c r="F385" s="26" t="str">
        <x:v>Same saved validation suite passed on buggy and fixed</x:v>
      </x:c>
      <x:c r="G385" s="25" t="str">
        <x:v>true</x:v>
      </x:c>
      <x:c r="H385" s="25" t="str">
        <x:v>NOT_REVEALING</x:v>
      </x:c>
      <x:c r="I385" s="25" t="str">
        <x:v>PASS</x:v>
      </x:c>
      <x:c r="J385" s="25" t="str">
        <x:v>PASS</x:v>
      </x:c>
      <x:c r="K385" s="25" t="n">
        <x:v>1</x:v>
      </x:c>
      <x:c r="L385" s="27" t="b">
        <x:v>0</x:v>
      </x:c>
      <x:c r="M385" s="25" t="str">
        <x:v>Gemini-3.8-flash/generation_state.json</x:v>
      </x:c>
      <x:c r="N385" s="25" t="str">
        <x:v>Gemini-3.8-flash/Result/JacksonCore_25/result.json</x:v>
      </x:c>
      <x:c r="O385" s="25" t="str">
        <x:v>Gemini-3.8-flash/Result/JacksonCore_25/result.json</x:v>
      </x:c>
      <x:c r="P385"/>
      <x:c r="Q385" s="21" t="str"/>
      <x:c r="R385" s="21" t="str"/>
      <x:c r="S385" s="21" t="str"/>
      <x:c r="T385" s="17" t="str">
        <x:v>false</x:v>
      </x:c>
      <x:c r="U385" s="17" t="str">
        <x:v>true</x:v>
      </x:c>
      <x:c r="V385" s="17" t="str">
        <x:v>false</x:v>
      </x:c>
    </x:row>
    <x:row r="386" ht="80" customHeight="1">
      <x:c r="A386" s="25" t="str">
        <x:v>JacksonCore</x:v>
      </x:c>
      <x:c r="B386" s="25" t="n">
        <x:v>26</x:v>
      </x:c>
      <x:c r="C386" s="25" t="str">
        <x:v>Round1</x:v>
      </x:c>
      <x:c r="D386" s="25" t="str">
        <x:v>NOT_REVEALING</x:v>
      </x:c>
      <x:c r="E386" s="25" t="str">
        <x:v>N/A</x:v>
      </x:c>
      <x:c r="F386" s="26" t="str">
        <x:v>Same saved validation suite passed on buggy and fixed</x:v>
      </x:c>
      <x:c r="G386" s="25" t="str">
        <x:v>true</x:v>
      </x:c>
      <x:c r="H386" s="25" t="str">
        <x:v>NOT_REVEALING</x:v>
      </x:c>
      <x:c r="I386" s="25" t="str">
        <x:v>PASS</x:v>
      </x:c>
      <x:c r="J386" s="25" t="str">
        <x:v>PASS</x:v>
      </x:c>
      <x:c r="K386" s="25" t="n">
        <x:v>1</x:v>
      </x:c>
      <x:c r="L386" s="27" t="b">
        <x:v>0</x:v>
      </x:c>
      <x:c r="M386" s="25" t="str">
        <x:v>Gemini-3.8-flash/generation_state.json</x:v>
      </x:c>
      <x:c r="N386" s="25" t="str">
        <x:v>Gemini-3.8-flash/Result/JacksonCore_26/result.json</x:v>
      </x:c>
      <x:c r="O386" s="25" t="str">
        <x:v>Gemini-3.8-flash/Result/JacksonCore_26/result.json</x:v>
      </x:c>
      <x:c r="P386"/>
      <x:c r="Q386" s="21" t="str"/>
      <x:c r="R386" s="21" t="str"/>
      <x:c r="S386" s="21" t="str"/>
      <x:c r="T386" s="17" t="str">
        <x:v>false</x:v>
      </x:c>
      <x:c r="U386" s="17" t="str">
        <x:v>true</x:v>
      </x:c>
      <x:c r="V386" s="17" t="str">
        <x:v>false</x:v>
      </x:c>
    </x:row>
    <x:row r="387" ht="80" customHeight="1">
      <x:c r="A387" s="25" t="str">
        <x:v>JacksonCore</x:v>
      </x:c>
      <x:c r="B387" s="25" t="n">
        <x:v>3</x:v>
      </x:c>
      <x:c r="C387" s="25" t="str">
        <x:v>Round1</x:v>
      </x:c>
      <x:c r="D387" s="25" t="str">
        <x:v>NOT_REVEALING</x:v>
      </x:c>
      <x:c r="E387" s="25" t="str">
        <x:v>N/A</x:v>
      </x:c>
      <x:c r="F387" s="26" t="str">
        <x:v>Same saved validation suite passed on buggy and fixed</x:v>
      </x:c>
      <x:c r="G387" s="25" t="str">
        <x:v>true</x:v>
      </x:c>
      <x:c r="H387" s="25" t="str">
        <x:v>NOT_REVEALING</x:v>
      </x:c>
      <x:c r="I387" s="25" t="str">
        <x:v>PASS</x:v>
      </x:c>
      <x:c r="J387" s="25" t="str">
        <x:v>PASS</x:v>
      </x:c>
      <x:c r="K387" s="25" t="n">
        <x:v>1</x:v>
      </x:c>
      <x:c r="L387" s="27" t="b">
        <x:v>0</x:v>
      </x:c>
      <x:c r="M387" s="25" t="str">
        <x:v>Gemini-3.8-flash/generation_state.json</x:v>
      </x:c>
      <x:c r="N387" s="25" t="str">
        <x:v>Gemini-3.8-flash/Result/JacksonCore_3/result.json</x:v>
      </x:c>
      <x:c r="O387" s="25" t="str">
        <x:v>Gemini-3.8-flash/Result/JacksonCore_3/result.json</x:v>
      </x:c>
      <x:c r="P387"/>
      <x:c r="Q387" s="21" t="str"/>
      <x:c r="R387" s="21" t="str"/>
      <x:c r="S387" s="21" t="str"/>
      <x:c r="T387" s="17" t="str">
        <x:v>false</x:v>
      </x:c>
      <x:c r="U387" s="17" t="str">
        <x:v>true</x:v>
      </x:c>
      <x:c r="V387" s="17" t="str">
        <x:v>false</x:v>
      </x:c>
    </x:row>
    <x:row r="388" ht="80" customHeight="1">
      <x:c r="A388" s="25" t="str">
        <x:v>JacksonCore</x:v>
      </x:c>
      <x:c r="B388" s="25" t="n">
        <x:v>4</x:v>
      </x:c>
      <x:c r="C388" s="25" t="str">
        <x:v>Round1</x:v>
      </x:c>
      <x:c r="D388" s="25" t="str">
        <x:v>NOT_AVAILABLE</x:v>
      </x:c>
      <x:c r="E388" s="25" t="str">
        <x:v>N/A</x:v>
      </x:c>
      <x:c r="F388" s="26" t="str">
        <x:v>Tests exist but current coverage did not complete</x:v>
      </x:c>
      <x:c r="G388" s="25" t="str">
        <x:v>true</x:v>
      </x:c>
      <x:c r="H388" s="25" t="str">
        <x:v>NOT_AVAILABLE</x:v>
      </x:c>
      <x:c r="I388" s="25" t="str">
        <x:v>NOT_RUN</x:v>
      </x:c>
      <x:c r="J388" s="25" t="str">
        <x:v>NOT_RUN</x:v>
      </x:c>
      <x:c r="K388" s="25" t="n">
        <x:v>1</x:v>
      </x:c>
      <x:c r="L388" s="27" t="b">
        <x:v>0</x:v>
      </x:c>
      <x:c r="M388" s="25" t="str">
        <x:v>Gemini-3.8-flash/generation_state.json</x:v>
      </x:c>
      <x:c r="N388" s="25" t="str">
        <x:v>Gemini-3.8-flash/Result/JacksonCore_4/result.json</x:v>
      </x:c>
      <x:c r="O388" s="25" t="str">
        <x:v>Gemini-3.8-flash/Result/JacksonCore_4/result.json</x:v>
      </x:c>
      <x:c r="P388" t="str">
        <x:v>BOTH_NOT_RUN</x:v>
      </x:c>
      <x:c r="Q388" s="21" t="str"/>
      <x:c r="R388" s="21" t="str"/>
      <x:c r="S388" s="21" t="str"/>
      <x:c r="T388" s="17" t="str">
        <x:v>false</x:v>
      </x:c>
      <x:c r="U388" s="17" t="str">
        <x:v>true</x:v>
      </x:c>
      <x:c r="V388" s="17" t="str">
        <x:v>false</x:v>
      </x:c>
    </x:row>
    <x:row r="389" ht="80" customHeight="1">
      <x:c r="A389" s="25" t="str">
        <x:v>JacksonCore</x:v>
      </x:c>
      <x:c r="B389" s="25" t="n">
        <x:v>5</x:v>
      </x:c>
      <x:c r="C389" s="25" t="str">
        <x:v>Round1</x:v>
      </x:c>
      <x:c r="D389" s="25" t="str">
        <x:v>NOT_REVEALING</x:v>
      </x:c>
      <x:c r="E389" s="25" t="str">
        <x:v>N/A</x:v>
      </x:c>
      <x:c r="F389" s="26" t="str">
        <x:v>Same saved validation suite passed on buggy and fixed</x:v>
      </x:c>
      <x:c r="G389" s="25" t="str">
        <x:v>true</x:v>
      </x:c>
      <x:c r="H389" s="25" t="str">
        <x:v>NOT_REVEALING</x:v>
      </x:c>
      <x:c r="I389" s="25" t="str">
        <x:v>PASS</x:v>
      </x:c>
      <x:c r="J389" s="25" t="str">
        <x:v>PASS</x:v>
      </x:c>
      <x:c r="K389" s="25" t="n">
        <x:v>1</x:v>
      </x:c>
      <x:c r="L389" s="27" t="b">
        <x:v>0</x:v>
      </x:c>
      <x:c r="M389" s="25" t="str">
        <x:v>Gemini-3.8-flash/generation_state.json</x:v>
      </x:c>
      <x:c r="N389" s="25" t="str">
        <x:v>Gemini-3.8-flash/Result/JacksonCore_5/result.json</x:v>
      </x:c>
      <x:c r="O389" s="25" t="str">
        <x:v>Gemini-3.8-flash/Result/JacksonCore_5/result.json</x:v>
      </x:c>
      <x:c r="P389"/>
      <x:c r="Q389" s="21" t="str"/>
      <x:c r="R389" s="21" t="str"/>
      <x:c r="S389" s="21" t="str"/>
      <x:c r="T389" s="17" t="str">
        <x:v>false</x:v>
      </x:c>
      <x:c r="U389" s="17" t="str">
        <x:v>true</x:v>
      </x:c>
      <x:c r="V389" s="17" t="str">
        <x:v>false</x:v>
      </x:c>
    </x:row>
    <x:row r="390" ht="80" customHeight="1">
      <x:c r="A390" s="25" t="str">
        <x:v>JacksonCore</x:v>
      </x:c>
      <x:c r="B390" s="25" t="n">
        <x:v>6</x:v>
      </x:c>
      <x:c r="C390" s="25" t="str">
        <x:v>Round1</x:v>
      </x:c>
      <x:c r="D390" s="25" t="str">
        <x:v>NOT_REVEALING</x:v>
      </x:c>
      <x:c r="E390" s="25" t="str">
        <x:v>N/A</x:v>
      </x:c>
      <x:c r="F390" s="26" t="str">
        <x:v>Same saved validation suite passed on buggy and fixed</x:v>
      </x:c>
      <x:c r="G390" s="25" t="str">
        <x:v>true</x:v>
      </x:c>
      <x:c r="H390" s="25" t="str">
        <x:v>NOT_REVEALING</x:v>
      </x:c>
      <x:c r="I390" s="25" t="str">
        <x:v>PASS</x:v>
      </x:c>
      <x:c r="J390" s="25" t="str">
        <x:v>PASS</x:v>
      </x:c>
      <x:c r="K390" s="25" t="n">
        <x:v>1</x:v>
      </x:c>
      <x:c r="L390" s="27" t="b">
        <x:v>0</x:v>
      </x:c>
      <x:c r="M390" s="25" t="str">
        <x:v>Gemini-3.8-flash/generation_state.json</x:v>
      </x:c>
      <x:c r="N390" s="25" t="str">
        <x:v>Gemini-3.8-flash/Result/JacksonCore_6/result.json</x:v>
      </x:c>
      <x:c r="O390" s="25" t="str">
        <x:v>Gemini-3.8-flash/Result/JacksonCore_6/result.json</x:v>
      </x:c>
      <x:c r="P390"/>
      <x:c r="Q390" s="21" t="str"/>
      <x:c r="R390" s="21" t="str"/>
      <x:c r="S390" s="21" t="str"/>
      <x:c r="T390" s="17" t="str">
        <x:v>false</x:v>
      </x:c>
      <x:c r="U390" s="17" t="str">
        <x:v>true</x:v>
      </x:c>
      <x:c r="V390" s="17" t="str">
        <x:v>false</x:v>
      </x:c>
    </x:row>
    <x:row r="391" ht="80" customHeight="1">
      <x:c r="A391" s="25" t="str">
        <x:v>JacksonCore</x:v>
      </x:c>
      <x:c r="B391" s="25" t="n">
        <x:v>7</x:v>
      </x:c>
      <x:c r="C391" s="25" t="str">
        <x:v>Round1</x:v>
      </x:c>
      <x:c r="D391" s="25" t="str">
        <x:v>NOT_AVAILABLE</x:v>
      </x:c>
      <x:c r="E391" s="25" t="str">
        <x:v>N/A</x:v>
      </x:c>
      <x:c r="F391" s="26" t="str">
        <x:v>Tests exist but current coverage did not complete</x:v>
      </x:c>
      <x:c r="G391" s="25" t="str">
        <x:v>true</x:v>
      </x:c>
      <x:c r="H391" s="25" t="str">
        <x:v>NOT_AVAILABLE</x:v>
      </x:c>
      <x:c r="I391" s="25" t="str">
        <x:v>NOT_RUN</x:v>
      </x:c>
      <x:c r="J391" s="25" t="str">
        <x:v>NOT_RUN</x:v>
      </x:c>
      <x:c r="K391" s="25" t="n">
        <x:v>1</x:v>
      </x:c>
      <x:c r="L391" s="27" t="b">
        <x:v>0</x:v>
      </x:c>
      <x:c r="M391" s="25" t="str">
        <x:v>Gemini-3.8-flash/generation_state.json</x:v>
      </x:c>
      <x:c r="N391" s="25" t="str">
        <x:v>Gemini-3.8-flash/Result/JacksonCore_7/result.json</x:v>
      </x:c>
      <x:c r="O391" s="25" t="str">
        <x:v>Gemini-3.8-flash/Result/JacksonCore_7/result.json</x:v>
      </x:c>
      <x:c r="P391" t="str">
        <x:v>BOTH_NOT_RUN</x:v>
      </x:c>
      <x:c r="Q391" s="21" t="str"/>
      <x:c r="R391" s="21" t="str"/>
      <x:c r="S391" s="21" t="str"/>
      <x:c r="T391" s="17" t="str">
        <x:v>false</x:v>
      </x:c>
      <x:c r="U391" s="17" t="str">
        <x:v>true</x:v>
      </x:c>
      <x:c r="V391" s="17" t="str">
        <x:v>false</x:v>
      </x:c>
    </x:row>
    <x:row r="392" ht="80" customHeight="1">
      <x:c r="A392" s="25" t="str">
        <x:v>JacksonCore</x:v>
      </x:c>
      <x:c r="B392" s="25" t="n">
        <x:v>8</x:v>
      </x:c>
      <x:c r="C392" s="25" t="str">
        <x:v>Round1</x:v>
      </x:c>
      <x:c r="D392" s="25" t="str">
        <x:v>INCONCLUSIVE</x:v>
      </x:c>
      <x:c r="E392" s="25" t="str">
        <x:v>N/A</x:v>
      </x:c>
      <x:c r="F392" s="26" t="str">
        <x:v>Fixed also failed; assertion failure cannot be attributed to this bug</x:v>
      </x:c>
      <x:c r="G392" s="25" t="str">
        <x:v>true</x:v>
      </x:c>
      <x:c r="H392" s="25" t="str">
        <x:v>INCONCLUSIVE</x:v>
      </x:c>
      <x:c r="I392" s="25" t="str">
        <x:v>FAIL</x:v>
      </x:c>
      <x:c r="J392" s="25" t="str">
        <x:v>FAIL</x:v>
      </x:c>
      <x:c r="K392" s="25" t="n">
        <x:v>1</x:v>
      </x:c>
      <x:c r="L392" s="27" t="b">
        <x:v>0</x:v>
      </x:c>
      <x:c r="M392" s="25" t="str">
        <x:v>Gemini-3.8-flash/generation_state.json</x:v>
      </x:c>
      <x:c r="N392" s="25" t="str">
        <x:v>Gemini-3.8-flash/Result/JacksonCore_8/result.json</x:v>
      </x:c>
      <x:c r="O392" s="25" t="str">
        <x:v>Gemini-3.8-flash/Result/JacksonCore_8/result.json</x:v>
      </x:c>
      <x:c r="P392"/>
      <x:c r="Q392" s="21" t="str"/>
      <x:c r="R392" s="21" t="str"/>
      <x:c r="S392" s="21" t="str"/>
      <x:c r="T392" s="17" t="str">
        <x:v>false</x:v>
      </x:c>
      <x:c r="U392" s="17" t="str">
        <x:v>true</x:v>
      </x:c>
      <x:c r="V392" s="17" t="str">
        <x:v>false</x:v>
      </x:c>
    </x:row>
    <x:row r="393" ht="80" customHeight="1">
      <x:c r="A393" s="25" t="str">
        <x:v>JacksonCore</x:v>
      </x:c>
      <x:c r="B393" s="25" t="n">
        <x:v>9</x:v>
      </x:c>
      <x:c r="C393" s="25" t="str">
        <x:v>Round1</x:v>
      </x:c>
      <x:c r="D393" s="25" t="str">
        <x:v>NOT_AVAILABLE</x:v>
      </x:c>
      <x:c r="E393" s="25" t="str">
        <x:v>N/A</x:v>
      </x:c>
      <x:c r="F393" s="26" t="str">
        <x:v>Tests exist but current coverage did not complete</x:v>
      </x:c>
      <x:c r="G393" s="25" t="str">
        <x:v>true</x:v>
      </x:c>
      <x:c r="H393" s="25" t="str">
        <x:v>NOT_AVAILABLE</x:v>
      </x:c>
      <x:c r="I393" s="25" t="str">
        <x:v>NOT_RUN</x:v>
      </x:c>
      <x:c r="J393" s="25" t="str">
        <x:v>NOT_RUN</x:v>
      </x:c>
      <x:c r="K393" s="25" t="n">
        <x:v>3</x:v>
      </x:c>
      <x:c r="L393" s="27" t="b">
        <x:v>0</x:v>
      </x:c>
      <x:c r="M393" s="25" t="str">
        <x:v>Gemini-3.8-flash/generation_state.json</x:v>
      </x:c>
      <x:c r="N393" s="25" t="str">
        <x:v>Gemini-3.8-flash/Result/JacksonCore_9/result.json</x:v>
      </x:c>
      <x:c r="O393" s="25" t="str">
        <x:v>Gemini-3.8-flash/Result/JacksonCore_9/result.json</x:v>
      </x:c>
      <x:c r="P393" t="str">
        <x:v>BOTH_NOT_RUN</x:v>
      </x:c>
      <x:c r="Q393" s="21" t="str"/>
      <x:c r="R393" s="21" t="str"/>
      <x:c r="S393" s="21" t="str"/>
      <x:c r="T393" s="17" t="str">
        <x:v>false</x:v>
      </x:c>
      <x:c r="U393" s="17" t="str">
        <x:v>true</x:v>
      </x:c>
      <x:c r="V393" s="17" t="str">
        <x:v>false</x:v>
      </x:c>
    </x:row>
    <x:row r="394" ht="80" customHeight="1">
      <x:c r="A394" s="25" t="str">
        <x:v>JacksonDatabind</x:v>
      </x:c>
      <x:c r="B394" s="25" t="n">
        <x:v>1</x:v>
      </x:c>
      <x:c r="C394" s="25" t="str">
        <x:v>Round1</x:v>
      </x:c>
      <x:c r="D394" s="25" t="str">
        <x:v>NOT_REVEALING</x:v>
      </x:c>
      <x:c r="E394" s="25" t="str">
        <x:v>N/A</x:v>
      </x:c>
      <x:c r="F394" s="26" t="str">
        <x:v>Same saved validation suite passed on buggy and fixed</x:v>
      </x:c>
      <x:c r="G394" s="25" t="str">
        <x:v>true</x:v>
      </x:c>
      <x:c r="H394" s="25" t="str">
        <x:v>NOT_REVEALING</x:v>
      </x:c>
      <x:c r="I394" s="25" t="str">
        <x:v>PASS</x:v>
      </x:c>
      <x:c r="J394" s="25" t="str">
        <x:v>PASS</x:v>
      </x:c>
      <x:c r="K394" s="25" t="n">
        <x:v>1</x:v>
      </x:c>
      <x:c r="L394" s="27" t="b">
        <x:v>0</x:v>
      </x:c>
      <x:c r="M394" s="25" t="str">
        <x:v>Gemini-3.8-flash/generation_state.json</x:v>
      </x:c>
      <x:c r="N394" s="25" t="str">
        <x:v>Gemini-3.8-flash/Result/JacksonDatabind_1/result.json</x:v>
      </x:c>
      <x:c r="O394" s="25" t="str">
        <x:v>Gemini-3.8-flash/Result/JacksonDatabind_1/result.json</x:v>
      </x:c>
      <x:c r="P394"/>
      <x:c r="Q394" s="21" t="str"/>
      <x:c r="R394" s="21" t="str"/>
      <x:c r="S394" s="21" t="str"/>
      <x:c r="T394" s="17" t="str">
        <x:v>false</x:v>
      </x:c>
      <x:c r="U394" s="17" t="str">
        <x:v>true</x:v>
      </x:c>
      <x:c r="V394" s="17" t="str">
        <x:v>false</x:v>
      </x:c>
    </x:row>
    <x:row r="395" ht="80" customHeight="1">
      <x:c r="A395" s="25" t="str">
        <x:v>JacksonDatabind</x:v>
      </x:c>
      <x:c r="B395" s="25" t="n">
        <x:v>10</x:v>
      </x:c>
      <x:c r="C395" s="25" t="str">
        <x:v>Round1</x:v>
      </x:c>
      <x:c r="D395" s="25" t="str">
        <x:v>NOT_AVAILABLE</x:v>
      </x:c>
      <x:c r="E395" s="25" t="str">
        <x:v>N/A</x:v>
      </x:c>
      <x:c r="F395" s="26" t="str">
        <x:v>Tests exist but current coverage did not complete</x:v>
      </x:c>
      <x:c r="G395" s="25" t="str">
        <x:v>true</x:v>
      </x:c>
      <x:c r="H395" s="25" t="str">
        <x:v>NOT_AVAILABLE</x:v>
      </x:c>
      <x:c r="I395" s="25" t="str">
        <x:v>NOT_RUN</x:v>
      </x:c>
      <x:c r="J395" s="25" t="str">
        <x:v>NOT_RUN</x:v>
      </x:c>
      <x:c r="K395" s="25" t="n">
        <x:v>1</x:v>
      </x:c>
      <x:c r="L395" s="27" t="b">
        <x:v>0</x:v>
      </x:c>
      <x:c r="M395" s="25" t="str">
        <x:v>Gemini-3.8-flash/generation_state.json</x:v>
      </x:c>
      <x:c r="N395" s="25" t="str">
        <x:v>Gemini-3.8-flash/Result/JacksonDatabind_10/result.json</x:v>
      </x:c>
      <x:c r="O395" s="25" t="str">
        <x:v>Gemini-3.8-flash/Result/JacksonDatabind_10/result.json</x:v>
      </x:c>
      <x:c r="P395" t="str">
        <x:v>BOTH_NOT_RUN</x:v>
      </x:c>
      <x:c r="Q395" s="21" t="str"/>
      <x:c r="R395" s="21" t="str"/>
      <x:c r="S395" s="21" t="str"/>
      <x:c r="T395" s="17" t="str">
        <x:v>false</x:v>
      </x:c>
      <x:c r="U395" s="17" t="str">
        <x:v>true</x:v>
      </x:c>
      <x:c r="V395" s="17" t="str">
        <x:v>false</x:v>
      </x:c>
    </x:row>
    <x:row r="396" ht="80" customHeight="1">
      <x:c r="A396" s="25" t="str">
        <x:v>JacksonDatabind</x:v>
      </x:c>
      <x:c r="B396" s="25" t="n">
        <x:v>100</x:v>
      </x:c>
      <x:c r="C396" s="25" t="str">
        <x:v>Round1</x:v>
      </x:c>
      <x:c r="D396" s="25" t="str">
        <x:v>NOT_AVAILABLE</x:v>
      </x:c>
      <x:c r="E396" s="25" t="str">
        <x:v>N/A</x:v>
      </x:c>
      <x:c r="F396" s="26" t="str">
        <x:v>Tests exist but current coverage did not complete</x:v>
      </x:c>
      <x:c r="G396" s="25" t="str">
        <x:v>true</x:v>
      </x:c>
      <x:c r="H396" s="25" t="str">
        <x:v>NOT_AVAILABLE</x:v>
      </x:c>
      <x:c r="I396" s="25" t="str">
        <x:v>NOT_RUN</x:v>
      </x:c>
      <x:c r="J396" s="25" t="str">
        <x:v>NOT_RUN</x:v>
      </x:c>
      <x:c r="K396" s="25" t="n">
        <x:v>1</x:v>
      </x:c>
      <x:c r="L396" s="27" t="b">
        <x:v>0</x:v>
      </x:c>
      <x:c r="M396" s="25" t="str">
        <x:v>Gemini-3.8-flash/generation_state.json</x:v>
      </x:c>
      <x:c r="N396" s="25" t="str">
        <x:v>Gemini-3.8-flash/Result/JacksonDatabind_100/result.json</x:v>
      </x:c>
      <x:c r="O396" s="25" t="str">
        <x:v>Gemini-3.8-flash/Result/JacksonDatabind_100/result.json</x:v>
      </x:c>
      <x:c r="P396" t="str">
        <x:v>BOTH_NOT_RUN</x:v>
      </x:c>
      <x:c r="Q396" s="21" t="str"/>
      <x:c r="R396" s="21" t="str"/>
      <x:c r="S396" s="21" t="str"/>
      <x:c r="T396" s="17" t="str">
        <x:v>false</x:v>
      </x:c>
      <x:c r="U396" s="17" t="str">
        <x:v>true</x:v>
      </x:c>
      <x:c r="V396" s="17" t="str">
        <x:v>false</x:v>
      </x:c>
    </x:row>
    <x:row r="397" ht="80" customHeight="1">
      <x:c r="A397" s="25" t="str">
        <x:v>JacksonDatabind</x:v>
      </x:c>
      <x:c r="B397" s="25" t="n">
        <x:v>101</x:v>
      </x:c>
      <x:c r="C397" s="25" t="str">
        <x:v>Round1</x:v>
      </x:c>
      <x:c r="D397" s="25" t="str">
        <x:v>NOT_AVAILABLE</x:v>
      </x:c>
      <x:c r="E397" s="25" t="str">
        <x:v>N/A</x:v>
      </x:c>
      <x:c r="F397" s="26" t="str">
        <x:v>Tests exist but current coverage did not complete</x:v>
      </x:c>
      <x:c r="G397" s="25" t="str">
        <x:v>true</x:v>
      </x:c>
      <x:c r="H397" s="25" t="str">
        <x:v>NOT_AVAILABLE</x:v>
      </x:c>
      <x:c r="I397" s="25" t="str">
        <x:v>NOT_RUN</x:v>
      </x:c>
      <x:c r="J397" s="25" t="str">
        <x:v>NOT_RUN</x:v>
      </x:c>
      <x:c r="K397" s="25" t="n">
        <x:v>1</x:v>
      </x:c>
      <x:c r="L397" s="27" t="b">
        <x:v>0</x:v>
      </x:c>
      <x:c r="M397" s="25" t="str">
        <x:v>Gemini-3.8-flash/generation_state.json</x:v>
      </x:c>
      <x:c r="N397" s="25" t="str">
        <x:v>Gemini-3.8-flash/Result/JacksonDatabind_101/result.json</x:v>
      </x:c>
      <x:c r="O397" s="25" t="str">
        <x:v>Gemini-3.8-flash/Result/JacksonDatabind_101/result.json</x:v>
      </x:c>
      <x:c r="P397" t="str">
        <x:v>BOTH_NOT_RUN</x:v>
      </x:c>
      <x:c r="Q397" s="21" t="str"/>
      <x:c r="R397" s="21" t="str"/>
      <x:c r="S397" s="21" t="str"/>
      <x:c r="T397" s="17" t="str">
        <x:v>false</x:v>
      </x:c>
      <x:c r="U397" s="17" t="str">
        <x:v>true</x:v>
      </x:c>
      <x:c r="V397" s="17" t="str">
        <x:v>false</x:v>
      </x:c>
    </x:row>
    <x:row r="398" ht="80" customHeight="1">
      <x:c r="A398" s="25" t="str">
        <x:v>JacksonDatabind</x:v>
      </x:c>
      <x:c r="B398" s="25" t="n">
        <x:v>102</x:v>
      </x:c>
      <x:c r="C398" s="25" t="str">
        <x:v>Round1</x:v>
      </x:c>
      <x:c r="D398" s="25" t="str">
        <x:v>NOT_AVAILABLE</x:v>
      </x:c>
      <x:c r="E398" s="25" t="str">
        <x:v>N/A</x:v>
      </x:c>
      <x:c r="F398" s="26" t="str">
        <x:v>Tests exist but current coverage did not complete</x:v>
      </x:c>
      <x:c r="G398" s="25" t="str">
        <x:v>true</x:v>
      </x:c>
      <x:c r="H398" s="25" t="str">
        <x:v>NOT_AVAILABLE</x:v>
      </x:c>
      <x:c r="I398" s="25" t="str">
        <x:v>NOT_RUN</x:v>
      </x:c>
      <x:c r="J398" s="25" t="str">
        <x:v>NOT_RUN</x:v>
      </x:c>
      <x:c r="K398" s="25" t="n">
        <x:v>1</x:v>
      </x:c>
      <x:c r="L398" s="27" t="b">
        <x:v>0</x:v>
      </x:c>
      <x:c r="M398" s="25" t="str">
        <x:v>Gemini-3.8-flash/generation_state.json</x:v>
      </x:c>
      <x:c r="N398" s="25" t="str">
        <x:v>Gemini-3.8-flash/Result/JacksonDatabind_102/result.json</x:v>
      </x:c>
      <x:c r="O398" s="25" t="str">
        <x:v>Gemini-3.8-flash/Result/JacksonDatabind_102/result.json</x:v>
      </x:c>
      <x:c r="P398" t="str">
        <x:v>BOTH_NOT_RUN</x:v>
      </x:c>
      <x:c r="Q398" s="21" t="str"/>
      <x:c r="R398" s="21" t="str"/>
      <x:c r="S398" s="21" t="str"/>
      <x:c r="T398" s="17" t="str">
        <x:v>false</x:v>
      </x:c>
      <x:c r="U398" s="17" t="str">
        <x:v>true</x:v>
      </x:c>
      <x:c r="V398" s="17" t="str">
        <x:v>false</x:v>
      </x:c>
    </x:row>
    <x:row r="399" ht="80" customHeight="1">
      <x:c r="A399" s="25" t="str">
        <x:v>JacksonDatabind</x:v>
      </x:c>
      <x:c r="B399" s="25" t="n">
        <x:v>103</x:v>
      </x:c>
      <x:c r="C399" s="25" t="str">
        <x:v>Round1</x:v>
      </x:c>
      <x:c r="D399" s="25" t="str">
        <x:v>NOT_AVAILABLE</x:v>
      </x:c>
      <x:c r="E399" s="25" t="str">
        <x:v>N/A</x:v>
      </x:c>
      <x:c r="F399" s="26" t="str">
        <x:v>Tests exist but current coverage did not complete</x:v>
      </x:c>
      <x:c r="G399" s="25" t="str">
        <x:v>true</x:v>
      </x:c>
      <x:c r="H399" s="25" t="str">
        <x:v>NOT_AVAILABLE</x:v>
      </x:c>
      <x:c r="I399" s="25" t="str">
        <x:v>NOT_RUN</x:v>
      </x:c>
      <x:c r="J399" s="25" t="str">
        <x:v>NOT_RUN</x:v>
      </x:c>
      <x:c r="K399" s="25" t="n">
        <x:v>16</x:v>
      </x:c>
      <x:c r="L399" s="27" t="b">
        <x:v>0</x:v>
      </x:c>
      <x:c r="M399" s="25" t="str">
        <x:v>Gemini-3.8-flash/generation_state.json</x:v>
      </x:c>
      <x:c r="N399" s="25" t="str">
        <x:v>Gemini-3.8-flash/Result/JacksonDatabind_103/result.json</x:v>
      </x:c>
      <x:c r="O399" s="25" t="str">
        <x:v>Gemini-3.8-flash/Result/JacksonDatabind_103/result.json</x:v>
      </x:c>
      <x:c r="P399" t="str">
        <x:v>BOTH_NOT_RUN</x:v>
      </x:c>
      <x:c r="Q399" s="21" t="str"/>
      <x:c r="R399" s="21" t="str"/>
      <x:c r="S399" s="21" t="str"/>
      <x:c r="T399" s="17" t="str">
        <x:v>false</x:v>
      </x:c>
      <x:c r="U399" s="17" t="str">
        <x:v>true</x:v>
      </x:c>
      <x:c r="V399" s="17" t="str">
        <x:v>false</x:v>
      </x:c>
    </x:row>
    <x:row r="400" ht="80" customHeight="1">
      <x:c r="A400" s="25" t="str">
        <x:v>JacksonDatabind</x:v>
      </x:c>
      <x:c r="B400" s="25" t="n">
        <x:v>104</x:v>
      </x:c>
      <x:c r="C400" s="25" t="str">
        <x:v>Round1</x:v>
      </x:c>
      <x:c r="D400" s="25" t="str">
        <x:v>NOT_REVEALING</x:v>
      </x:c>
      <x:c r="E400" s="25" t="str">
        <x:v>N/A</x:v>
      </x:c>
      <x:c r="F400" s="26" t="str">
        <x:v>Same saved validation suite passed on buggy and fixed</x:v>
      </x:c>
      <x:c r="G400" s="25" t="str">
        <x:v>true</x:v>
      </x:c>
      <x:c r="H400" s="25" t="str">
        <x:v>NOT_REVEALING</x:v>
      </x:c>
      <x:c r="I400" s="25" t="str">
        <x:v>PASS</x:v>
      </x:c>
      <x:c r="J400" s="25" t="str">
        <x:v>PASS</x:v>
      </x:c>
      <x:c r="K400" s="25" t="n">
        <x:v>1</x:v>
      </x:c>
      <x:c r="L400" s="27" t="b">
        <x:v>0</x:v>
      </x:c>
      <x:c r="M400" s="25" t="str">
        <x:v>Gemini-3.8-flash/generation_state.json</x:v>
      </x:c>
      <x:c r="N400" s="25" t="str">
        <x:v>Gemini-3.8-flash/Result/JacksonDatabind_104/result.json</x:v>
      </x:c>
      <x:c r="O400" s="25" t="str">
        <x:v>Gemini-3.8-flash/Result/JacksonDatabind_104/result.json</x:v>
      </x:c>
      <x:c r="P400"/>
      <x:c r="Q400" s="21" t="str"/>
      <x:c r="R400" s="21" t="str"/>
      <x:c r="S400" s="21" t="str"/>
      <x:c r="T400" s="17" t="str">
        <x:v>false</x:v>
      </x:c>
      <x:c r="U400" s="17" t="str">
        <x:v>true</x:v>
      </x:c>
      <x:c r="V400" s="17" t="str">
        <x:v>false</x:v>
      </x:c>
    </x:row>
    <x:row r="401" ht="80" customHeight="1">
      <x:c r="A401" s="25" t="str">
        <x:v>JacksonDatabind</x:v>
      </x:c>
      <x:c r="B401" s="25" t="n">
        <x:v>105</x:v>
      </x:c>
      <x:c r="C401" s="25" t="str">
        <x:v>Round1</x:v>
      </x:c>
      <x:c r="D401" s="25" t="str">
        <x:v>NOT_REVEALING</x:v>
      </x:c>
      <x:c r="E401" s="25" t="str">
        <x:v>N/A</x:v>
      </x:c>
      <x:c r="F401" s="26" t="str">
        <x:v>Same saved validation suite passed on buggy and fixed</x:v>
      </x:c>
      <x:c r="G401" s="25" t="str">
        <x:v>true</x:v>
      </x:c>
      <x:c r="H401" s="25" t="str">
        <x:v>NOT_REVEALING</x:v>
      </x:c>
      <x:c r="I401" s="25" t="str">
        <x:v>PASS</x:v>
      </x:c>
      <x:c r="J401" s="25" t="str">
        <x:v>PASS</x:v>
      </x:c>
      <x:c r="K401" s="25" t="n">
        <x:v>1</x:v>
      </x:c>
      <x:c r="L401" s="27" t="b">
        <x:v>0</x:v>
      </x:c>
      <x:c r="M401" s="25" t="str">
        <x:v>Gemini-3.8-flash/generation_state.json</x:v>
      </x:c>
      <x:c r="N401" s="25" t="str">
        <x:v>Gemini-3.8-flash/Result/JacksonDatabind_105/result.json</x:v>
      </x:c>
      <x:c r="O401" s="25" t="str">
        <x:v>Gemini-3.8-flash/Result/JacksonDatabind_105/result.json</x:v>
      </x:c>
      <x:c r="P401"/>
      <x:c r="Q401" s="21" t="str"/>
      <x:c r="R401" s="21" t="str"/>
      <x:c r="S401" s="21" t="str"/>
      <x:c r="T401" s="17" t="str">
        <x:v>false</x:v>
      </x:c>
      <x:c r="U401" s="17" t="str">
        <x:v>true</x:v>
      </x:c>
      <x:c r="V401" s="17" t="str">
        <x:v>false</x:v>
      </x:c>
    </x:row>
    <x:row r="402" ht="80" customHeight="1">
      <x:c r="A402" s="25" t="str">
        <x:v>JacksonDatabind</x:v>
      </x:c>
      <x:c r="B402" s="25" t="n">
        <x:v>106</x:v>
      </x:c>
      <x:c r="C402" s="25" t="str">
        <x:v>Round1</x:v>
      </x:c>
      <x:c r="D402" s="25" t="str">
        <x:v>NOT_AVAILABLE</x:v>
      </x:c>
      <x:c r="E402" s="25" t="str">
        <x:v>N/A</x:v>
      </x:c>
      <x:c r="F402" s="26" t="str">
        <x:v>Tests exist but current coverage did not complete</x:v>
      </x:c>
      <x:c r="G402" s="25" t="str">
        <x:v>true</x:v>
      </x:c>
      <x:c r="H402" s="25" t="str">
        <x:v>NOT_AVAILABLE</x:v>
      </x:c>
      <x:c r="I402" s="25" t="str">
        <x:v>NOT_RUN</x:v>
      </x:c>
      <x:c r="J402" s="25" t="str">
        <x:v>NOT_RUN</x:v>
      </x:c>
      <x:c r="K402" s="25" t="n">
        <x:v>1</x:v>
      </x:c>
      <x:c r="L402" s="27" t="b">
        <x:v>0</x:v>
      </x:c>
      <x:c r="M402" s="25" t="str">
        <x:v>Gemini-3.8-flash/generation_state.json</x:v>
      </x:c>
      <x:c r="N402" s="25" t="str">
        <x:v>Gemini-3.8-flash/Result/JacksonDatabind_106/result.json</x:v>
      </x:c>
      <x:c r="O402" s="25" t="str">
        <x:v>Gemini-3.8-flash/Result/JacksonDatabind_106/result.json</x:v>
      </x:c>
      <x:c r="P402" t="str">
        <x:v>BOTH_NOT_RUN</x:v>
      </x:c>
      <x:c r="Q402" s="21" t="str"/>
      <x:c r="R402" s="21" t="str"/>
      <x:c r="S402" s="21" t="str"/>
      <x:c r="T402" s="17" t="str">
        <x:v>false</x:v>
      </x:c>
      <x:c r="U402" s="17" t="str">
        <x:v>true</x:v>
      </x:c>
      <x:c r="V402" s="17" t="str">
        <x:v>false</x:v>
      </x:c>
    </x:row>
    <x:row r="403" ht="80" customHeight="1">
      <x:c r="A403" s="25" t="str">
        <x:v>JacksonDatabind</x:v>
      </x:c>
      <x:c r="B403" s="25" t="n">
        <x:v>107</x:v>
      </x:c>
      <x:c r="C403" s="25" t="str">
        <x:v>Round1</x:v>
      </x:c>
      <x:c r="D403" s="25" t="str">
        <x:v>NOT_REVEALING</x:v>
      </x:c>
      <x:c r="E403" s="25" t="str">
        <x:v>N/A</x:v>
      </x:c>
      <x:c r="F403" s="26" t="str">
        <x:v>Same saved validation suite passed on buggy and fixed</x:v>
      </x:c>
      <x:c r="G403" s="25" t="str">
        <x:v>true</x:v>
      </x:c>
      <x:c r="H403" s="25" t="str">
        <x:v>NOT_REVEALING</x:v>
      </x:c>
      <x:c r="I403" s="25" t="str">
        <x:v>PASS</x:v>
      </x:c>
      <x:c r="J403" s="25" t="str">
        <x:v>PASS</x:v>
      </x:c>
      <x:c r="K403" s="25" t="n">
        <x:v>1</x:v>
      </x:c>
      <x:c r="L403" s="27" t="b">
        <x:v>0</x:v>
      </x:c>
      <x:c r="M403" s="25" t="str">
        <x:v>Gemini-3.8-flash/generation_state.json</x:v>
      </x:c>
      <x:c r="N403" s="25" t="str">
        <x:v>Gemini-3.8-flash/Result/JacksonDatabind_107/result.json</x:v>
      </x:c>
      <x:c r="O403" s="25" t="str">
        <x:v>Gemini-3.8-flash/Result/JacksonDatabind_107/result.json</x:v>
      </x:c>
      <x:c r="P403"/>
      <x:c r="Q403" s="21" t="str"/>
      <x:c r="R403" s="21" t="str"/>
      <x:c r="S403" s="21" t="str"/>
      <x:c r="T403" s="17" t="str">
        <x:v>false</x:v>
      </x:c>
      <x:c r="U403" s="17" t="str">
        <x:v>true</x:v>
      </x:c>
      <x:c r="V403" s="17" t="str">
        <x:v>false</x:v>
      </x:c>
    </x:row>
    <x:row r="404" ht="80" customHeight="1">
      <x:c r="A404" s="25" t="str">
        <x:v>JacksonDatabind</x:v>
      </x:c>
      <x:c r="B404" s="25" t="n">
        <x:v>108</x:v>
      </x:c>
      <x:c r="C404" s="25" t="str">
        <x:v>Round1</x:v>
      </x:c>
      <x:c r="D404" s="25" t="str">
        <x:v>NOT_REVEALING</x:v>
      </x:c>
      <x:c r="E404" s="25" t="str">
        <x:v>N/A</x:v>
      </x:c>
      <x:c r="F404" s="26" t="str">
        <x:v>Same saved validation suite passed on buggy and fixed</x:v>
      </x:c>
      <x:c r="G404" s="25" t="str">
        <x:v>true</x:v>
      </x:c>
      <x:c r="H404" s="25" t="str">
        <x:v>NOT_REVEALING</x:v>
      </x:c>
      <x:c r="I404" s="25" t="str">
        <x:v>PASS</x:v>
      </x:c>
      <x:c r="J404" s="25" t="str">
        <x:v>PASS</x:v>
      </x:c>
      <x:c r="K404" s="25" t="n">
        <x:v>1</x:v>
      </x:c>
      <x:c r="L404" s="27" t="b">
        <x:v>0</x:v>
      </x:c>
      <x:c r="M404" s="25" t="str">
        <x:v>Gemini-3.8-flash/generation_state.json</x:v>
      </x:c>
      <x:c r="N404" s="25" t="str">
        <x:v>Gemini-3.8-flash/Result/JacksonDatabind_108/result.json</x:v>
      </x:c>
      <x:c r="O404" s="25" t="str">
        <x:v>Gemini-3.8-flash/Result/JacksonDatabind_108/result.json</x:v>
      </x:c>
      <x:c r="P404"/>
      <x:c r="Q404" s="21" t="str"/>
      <x:c r="R404" s="21" t="str"/>
      <x:c r="S404" s="21" t="str"/>
      <x:c r="T404" s="17" t="str">
        <x:v>false</x:v>
      </x:c>
      <x:c r="U404" s="17" t="str">
        <x:v>true</x:v>
      </x:c>
      <x:c r="V404" s="17" t="str">
        <x:v>false</x:v>
      </x:c>
    </x:row>
    <x:row r="405" ht="80" customHeight="1">
      <x:c r="A405" s="25" t="str">
        <x:v>JacksonDatabind</x:v>
      </x:c>
      <x:c r="B405" s="25" t="n">
        <x:v>109</x:v>
      </x:c>
      <x:c r="C405" s="25" t="str">
        <x:v>Round1</x:v>
      </x:c>
      <x:c r="D405" s="25" t="str">
        <x:v>NOT_AVAILABLE</x:v>
      </x:c>
      <x:c r="E405" s="25" t="str">
        <x:v>N/A</x:v>
      </x:c>
      <x:c r="F405" s="26" t="str">
        <x:v>Tests exist but current coverage did not complete</x:v>
      </x:c>
      <x:c r="G405" s="25" t="str">
        <x:v>true</x:v>
      </x:c>
      <x:c r="H405" s="25" t="str">
        <x:v>NOT_AVAILABLE</x:v>
      </x:c>
      <x:c r="I405" s="25" t="str">
        <x:v>NOT_RUN</x:v>
      </x:c>
      <x:c r="J405" s="25" t="str">
        <x:v>NOT_RUN</x:v>
      </x:c>
      <x:c r="K405" s="25" t="n">
        <x:v>1</x:v>
      </x:c>
      <x:c r="L405" s="27" t="b">
        <x:v>0</x:v>
      </x:c>
      <x:c r="M405" s="25" t="str">
        <x:v>Gemini-3.8-flash/generation_state.json</x:v>
      </x:c>
      <x:c r="N405" s="25" t="str">
        <x:v>Gemini-3.8-flash/Result/JacksonDatabind_109/result.json</x:v>
      </x:c>
      <x:c r="O405" s="25" t="str">
        <x:v>Gemini-3.8-flash/Result/JacksonDatabind_109/result.json</x:v>
      </x:c>
      <x:c r="P405" t="str">
        <x:v>BOTH_NOT_RUN</x:v>
      </x:c>
      <x:c r="Q405" s="21" t="str"/>
      <x:c r="R405" s="21" t="str"/>
      <x:c r="S405" s="21" t="str"/>
      <x:c r="T405" s="17" t="str">
        <x:v>false</x:v>
      </x:c>
      <x:c r="U405" s="17" t="str">
        <x:v>true</x:v>
      </x:c>
      <x:c r="V405" s="17" t="str">
        <x:v>false</x:v>
      </x:c>
    </x:row>
    <x:row r="406" ht="80" customHeight="1">
      <x:c r="A406" s="25" t="str">
        <x:v>JacksonDatabind</x:v>
      </x:c>
      <x:c r="B406" s="25" t="n">
        <x:v>11</x:v>
      </x:c>
      <x:c r="C406" s="25" t="str">
        <x:v>Round1</x:v>
      </x:c>
      <x:c r="D406" s="25" t="str">
        <x:v>NOT_REVEALING</x:v>
      </x:c>
      <x:c r="E406" s="25" t="str">
        <x:v>N/A</x:v>
      </x:c>
      <x:c r="F406" s="26" t="str">
        <x:v>Same saved validation suite passed on buggy and fixed</x:v>
      </x:c>
      <x:c r="G406" s="25" t="str">
        <x:v>true</x:v>
      </x:c>
      <x:c r="H406" s="25" t="str">
        <x:v>NOT_REVEALING</x:v>
      </x:c>
      <x:c r="I406" s="25" t="str">
        <x:v>PASS</x:v>
      </x:c>
      <x:c r="J406" s="25" t="str">
        <x:v>PASS</x:v>
      </x:c>
      <x:c r="K406" s="25" t="n">
        <x:v>1</x:v>
      </x:c>
      <x:c r="L406" s="27" t="b">
        <x:v>0</x:v>
      </x:c>
      <x:c r="M406" s="25" t="str">
        <x:v>Gemini-3.8-flash/generation_state.json</x:v>
      </x:c>
      <x:c r="N406" s="25" t="str">
        <x:v>Gemini-3.8-flash/Result/JacksonDatabind_11/result.json</x:v>
      </x:c>
      <x:c r="O406" s="25" t="str">
        <x:v>Gemini-3.8-flash/Result/JacksonDatabind_11/result.json</x:v>
      </x:c>
      <x:c r="P406"/>
      <x:c r="Q406" s="21" t="str"/>
      <x:c r="R406" s="21" t="str"/>
      <x:c r="S406" s="21" t="str"/>
      <x:c r="T406" s="17" t="str">
        <x:v>false</x:v>
      </x:c>
      <x:c r="U406" s="17" t="str">
        <x:v>true</x:v>
      </x:c>
      <x:c r="V406" s="17" t="str">
        <x:v>false</x:v>
      </x:c>
    </x:row>
    <x:row r="407" ht="80" customHeight="1">
      <x:c r="A407" s="25" t="str">
        <x:v>JacksonDatabind</x:v>
      </x:c>
      <x:c r="B407" s="25" t="n">
        <x:v>110</x:v>
      </x:c>
      <x:c r="C407" s="25" t="str">
        <x:v>Round1</x:v>
      </x:c>
      <x:c r="D407" s="25" t="str">
        <x:v>INCONCLUSIVE</x:v>
      </x:c>
      <x:c r="E407" s="25" t="str">
        <x:v>N/A</x:v>
      </x:c>
      <x:c r="F407" s="26" t="str">
        <x:v>Fixed also failed; assertion failure cannot be attributed to this bug</x:v>
      </x:c>
      <x:c r="G407" s="25" t="str">
        <x:v>true</x:v>
      </x:c>
      <x:c r="H407" s="25" t="str">
        <x:v>INCONCLUSIVE</x:v>
      </x:c>
      <x:c r="I407" s="25" t="str">
        <x:v>FAIL</x:v>
      </x:c>
      <x:c r="J407" s="25" t="str">
        <x:v>FAIL</x:v>
      </x:c>
      <x:c r="K407" s="25" t="n">
        <x:v>1</x:v>
      </x:c>
      <x:c r="L407" s="27" t="b">
        <x:v>0</x:v>
      </x:c>
      <x:c r="M407" s="25" t="str">
        <x:v>Gemini-3.8-flash/generation_state.json</x:v>
      </x:c>
      <x:c r="N407" s="25" t="str">
        <x:v>Gemini-3.8-flash/Result/JacksonDatabind_110/result.json</x:v>
      </x:c>
      <x:c r="O407" s="25" t="str">
        <x:v>Gemini-3.8-flash/Result/JacksonDatabind_110/result.json</x:v>
      </x:c>
      <x:c r="P407"/>
      <x:c r="Q407" s="21" t="str"/>
      <x:c r="R407" s="21" t="str"/>
      <x:c r="S407" s="21" t="str"/>
      <x:c r="T407" s="17" t="str">
        <x:v>false</x:v>
      </x:c>
      <x:c r="U407" s="17" t="str">
        <x:v>true</x:v>
      </x:c>
      <x:c r="V407" s="17" t="str">
        <x:v>false</x:v>
      </x:c>
    </x:row>
    <x:row r="408" ht="80" customHeight="1">
      <x:c r="A408" s="25" t="str">
        <x:v>JacksonDatabind</x:v>
      </x:c>
      <x:c r="B408" s="25" t="n">
        <x:v>111</x:v>
      </x:c>
      <x:c r="C408" s="25" t="str">
        <x:v>Round1</x:v>
      </x:c>
      <x:c r="D408" s="25" t="str">
        <x:v>NOT_AVAILABLE</x:v>
      </x:c>
      <x:c r="E408" s="25" t="str">
        <x:v>N/A</x:v>
      </x:c>
      <x:c r="F408" s="26" t="str">
        <x:v>Tests exist but current coverage did not complete; Class generation unavailable: JacksonDatabind_111/com/fasterxml/jackson/databind/deser/impl/FieldProperty.java; status=FAILED; finish_reason=None; คีย์ API ทั้งหมดในระบบโควต้าหมดแล้ว หรือไม่สามารถเชื่อมต่อได้</x:v>
      </x:c>
      <x:c r="G408" s="25" t="str">
        <x:v>true</x:v>
      </x:c>
      <x:c r="H408" s="25" t="str">
        <x:v>NOT_AVAILABLE</x:v>
      </x:c>
      <x:c r="I408" s="25" t="str">
        <x:v>NOT_RUN</x:v>
      </x:c>
      <x:c r="J408" s="25" t="str">
        <x:v>NOT_RUN</x:v>
      </x:c>
      <x:c r="K408" s="25" t="n">
        <x:v>5</x:v>
      </x:c>
      <x:c r="L408" s="27" t="b">
        <x:v>0</x:v>
      </x:c>
      <x:c r="M408" s="25" t="str">
        <x:v>Gemini-3.8-flash/generation_state.json</x:v>
      </x:c>
      <x:c r="N408" s="25" t="str">
        <x:v>Gemini-3.8-flash/Result/JacksonDatabind_111/result.json</x:v>
      </x:c>
      <x:c r="O408" s="25" t="str">
        <x:v>Gemini-3.8-flash/Result/JacksonDatabind_111/result.json</x:v>
      </x:c>
      <x:c r="P408" t="str">
        <x:v>BOTH_NOT_RUN</x:v>
      </x:c>
      <x:c r="Q408" s="21" t="str">
        <x:v>JacksonDatabind_111/com/fasterxml/jackson/databind/deser/impl/FieldProperty.java</x:v>
      </x:c>
      <x:c r="R408" s="21" t="str"/>
      <x:c r="S408" s="21" t="str"/>
      <x:c r="T408" s="17" t="str">
        <x:v>false</x:v>
      </x:c>
      <x:c r="U408" s="17" t="str">
        <x:v>true</x:v>
      </x:c>
      <x:c r="V408" s="17" t="str">
        <x:v>false</x:v>
      </x:c>
    </x:row>
    <x:row r="409" ht="80" customHeight="1">
      <x:c r="A409" s="25" t="str">
        <x:v>JacksonDatabind</x:v>
      </x:c>
      <x:c r="B409" s="25" t="n">
        <x:v>112</x:v>
      </x:c>
      <x:c r="C409" s="25" t="str">
        <x:v>Round1</x:v>
      </x:c>
      <x:c r="D409" s="25" t="str">
        <x:v>NOT_REVEALING</x:v>
      </x:c>
      <x:c r="E409" s="25" t="str">
        <x:v>N/A</x:v>
      </x:c>
      <x:c r="F409" s="26" t="str">
        <x:v>Same saved validation suite passed on buggy and fixed</x:v>
      </x:c>
      <x:c r="G409" s="25" t="str">
        <x:v>true</x:v>
      </x:c>
      <x:c r="H409" s="25" t="str">
        <x:v>NOT_REVEALING</x:v>
      </x:c>
      <x:c r="I409" s="25" t="str">
        <x:v>PASS</x:v>
      </x:c>
      <x:c r="J409" s="25" t="str">
        <x:v>PASS</x:v>
      </x:c>
      <x:c r="K409" s="25" t="n">
        <x:v>1</x:v>
      </x:c>
      <x:c r="L409" s="27" t="b">
        <x:v>0</x:v>
      </x:c>
      <x:c r="M409" s="25" t="str">
        <x:v>Gemini-3.8-flash/generation_state.json</x:v>
      </x:c>
      <x:c r="N409" s="25" t="str">
        <x:v>Gemini-3.8-flash/Result/JacksonDatabind_112/result.json</x:v>
      </x:c>
      <x:c r="O409" s="25" t="str">
        <x:v>Gemini-3.8-flash/Result/JacksonDatabind_112/result.json</x:v>
      </x:c>
      <x:c r="P409"/>
      <x:c r="Q409" s="21" t="str"/>
      <x:c r="R409" s="21" t="str"/>
      <x:c r="S409" s="21" t="str"/>
      <x:c r="T409" s="17" t="str">
        <x:v>false</x:v>
      </x:c>
      <x:c r="U409" s="17" t="str">
        <x:v>true</x:v>
      </x:c>
      <x:c r="V409" s="17" t="str">
        <x:v>false</x:v>
      </x:c>
    </x:row>
    <x:row r="410" ht="80" customHeight="1">
      <x:c r="A410" s="25" t="str">
        <x:v>JacksonDatabind</x:v>
      </x:c>
      <x:c r="B410" s="25" t="n">
        <x:v>12</x:v>
      </x:c>
      <x:c r="C410" s="25" t="str">
        <x:v>Round1</x:v>
      </x:c>
      <x:c r="D410" s="25" t="str">
        <x:v>NOT_REVEALING</x:v>
      </x:c>
      <x:c r="E410" s="25" t="str">
        <x:v>N/A</x:v>
      </x:c>
      <x:c r="F410" s="26" t="str">
        <x:v>Same saved validation suite passed on buggy and fixed</x:v>
      </x:c>
      <x:c r="G410" s="25" t="str">
        <x:v>true</x:v>
      </x:c>
      <x:c r="H410" s="25" t="str">
        <x:v>NOT_REVEALING</x:v>
      </x:c>
      <x:c r="I410" s="25" t="str">
        <x:v>PASS</x:v>
      </x:c>
      <x:c r="J410" s="25" t="str">
        <x:v>PASS</x:v>
      </x:c>
      <x:c r="K410" s="25" t="n">
        <x:v>1</x:v>
      </x:c>
      <x:c r="L410" s="27" t="b">
        <x:v>0</x:v>
      </x:c>
      <x:c r="M410" s="25" t="str">
        <x:v>Gemini-3.8-flash/generation_state.json</x:v>
      </x:c>
      <x:c r="N410" s="25" t="str">
        <x:v>Gemini-3.8-flash/Result/JacksonDatabind_12/result.json</x:v>
      </x:c>
      <x:c r="O410" s="25" t="str">
        <x:v>Gemini-3.8-flash/Result/JacksonDatabind_12/result.json</x:v>
      </x:c>
      <x:c r="P410"/>
      <x:c r="Q410" s="21" t="str"/>
      <x:c r="R410" s="21" t="str"/>
      <x:c r="S410" s="21" t="str"/>
      <x:c r="T410" s="17" t="str">
        <x:v>false</x:v>
      </x:c>
      <x:c r="U410" s="17" t="str">
        <x:v>true</x:v>
      </x:c>
      <x:c r="V410" s="17" t="str">
        <x:v>false</x:v>
      </x:c>
    </x:row>
    <x:row r="411" ht="80" customHeight="1">
      <x:c r="A411" s="25" t="str">
        <x:v>JacksonDatabind</x:v>
      </x:c>
      <x:c r="B411" s="25" t="n">
        <x:v>13</x:v>
      </x:c>
      <x:c r="C411" s="25" t="str">
        <x:v>Round1</x:v>
      </x:c>
      <x:c r="D411" s="25" t="str">
        <x:v>NOT_AVAILABLE</x:v>
      </x:c>
      <x:c r="E411" s="25" t="str">
        <x:v>N/A</x:v>
      </x:c>
      <x:c r="F411" s="26" t="str">
        <x:v>Tests exist but current coverage did not complete</x:v>
      </x:c>
      <x:c r="G411" s="25" t="str">
        <x:v>true</x:v>
      </x:c>
      <x:c r="H411" s="25" t="str">
        <x:v>NOT_AVAILABLE</x:v>
      </x:c>
      <x:c r="I411" s="25" t="str">
        <x:v>NOT_RUN</x:v>
      </x:c>
      <x:c r="J411" s="25" t="str">
        <x:v>NOT_RUN</x:v>
      </x:c>
      <x:c r="K411" s="25" t="n">
        <x:v>1</x:v>
      </x:c>
      <x:c r="L411" s="27" t="b">
        <x:v>0</x:v>
      </x:c>
      <x:c r="M411" s="25" t="str">
        <x:v>Gemini-3.8-flash/generation_state.json</x:v>
      </x:c>
      <x:c r="N411" s="25" t="str">
        <x:v>Gemini-3.8-flash/Result/JacksonDatabind_13/result.json</x:v>
      </x:c>
      <x:c r="O411" s="25" t="str">
        <x:v>Gemini-3.8-flash/Result/JacksonDatabind_13/result.json</x:v>
      </x:c>
      <x:c r="P411" t="str">
        <x:v>BOTH_NOT_RUN</x:v>
      </x:c>
      <x:c r="Q411" s="21" t="str"/>
      <x:c r="R411" s="21" t="str"/>
      <x:c r="S411" s="21" t="str"/>
      <x:c r="T411" s="17" t="str">
        <x:v>false</x:v>
      </x:c>
      <x:c r="U411" s="17" t="str">
        <x:v>true</x:v>
      </x:c>
      <x:c r="V411" s="17" t="str">
        <x:v>false</x:v>
      </x:c>
    </x:row>
    <x:row r="412" ht="80" customHeight="1">
      <x:c r="A412" s="25" t="str">
        <x:v>JacksonDatabind</x:v>
      </x:c>
      <x:c r="B412" s="25" t="n">
        <x:v>14</x:v>
      </x:c>
      <x:c r="C412" s="25" t="str">
        <x:v>Round1</x:v>
      </x:c>
      <x:c r="D412" s="25" t="str">
        <x:v>NOT_REVEALING</x:v>
      </x:c>
      <x:c r="E412" s="25" t="str">
        <x:v>N/A</x:v>
      </x:c>
      <x:c r="F412" s="26" t="str">
        <x:v>Same saved validation suite passed on buggy and fixed</x:v>
      </x:c>
      <x:c r="G412" s="25" t="str">
        <x:v>true</x:v>
      </x:c>
      <x:c r="H412" s="25" t="str">
        <x:v>NOT_REVEALING</x:v>
      </x:c>
      <x:c r="I412" s="25" t="str">
        <x:v>PASS</x:v>
      </x:c>
      <x:c r="J412" s="25" t="str">
        <x:v>PASS</x:v>
      </x:c>
      <x:c r="K412" s="25" t="n">
        <x:v>1</x:v>
      </x:c>
      <x:c r="L412" s="27" t="b">
        <x:v>0</x:v>
      </x:c>
      <x:c r="M412" s="25" t="str">
        <x:v>Gemini-3.8-flash/generation_state.json</x:v>
      </x:c>
      <x:c r="N412" s="25" t="str">
        <x:v>Gemini-3.8-flash/Result/JacksonDatabind_14/result.json</x:v>
      </x:c>
      <x:c r="O412" s="25" t="str">
        <x:v>Gemini-3.8-flash/Result/JacksonDatabind_14/result.json</x:v>
      </x:c>
      <x:c r="P412"/>
      <x:c r="Q412" s="21" t="str"/>
      <x:c r="R412" s="21" t="str"/>
      <x:c r="S412" s="21" t="str"/>
      <x:c r="T412" s="17" t="str">
        <x:v>false</x:v>
      </x:c>
      <x:c r="U412" s="17" t="str">
        <x:v>true</x:v>
      </x:c>
      <x:c r="V412" s="17" t="str">
        <x:v>false</x:v>
      </x:c>
    </x:row>
    <x:row r="413" ht="80" customHeight="1">
      <x:c r="A413" s="25" t="str">
        <x:v>JacksonDatabind</x:v>
      </x:c>
      <x:c r="B413" s="25" t="n">
        <x:v>15</x:v>
      </x:c>
      <x:c r="C413" s="25" t="str">
        <x:v>Round1</x:v>
      </x:c>
      <x:c r="D413" s="25" t="str">
        <x:v>NOT_AVAILABLE</x:v>
      </x:c>
      <x:c r="E413" s="25" t="str">
        <x:v>N/A</x:v>
      </x:c>
      <x:c r="F413" s="26" t="str">
        <x:v>Tests exist but current coverage did not complete</x:v>
      </x:c>
      <x:c r="G413" s="25" t="str">
        <x:v>true</x:v>
      </x:c>
      <x:c r="H413" s="25" t="str">
        <x:v>NOT_AVAILABLE</x:v>
      </x:c>
      <x:c r="I413" s="25" t="str">
        <x:v>NOT_RUN</x:v>
      </x:c>
      <x:c r="J413" s="25" t="str">
        <x:v>NOT_RUN</x:v>
      </x:c>
      <x:c r="K413" s="25" t="n">
        <x:v>5</x:v>
      </x:c>
      <x:c r="L413" s="27" t="b">
        <x:v>0</x:v>
      </x:c>
      <x:c r="M413" s="25" t="str">
        <x:v>Gemini-3.8-flash/generation_state.json</x:v>
      </x:c>
      <x:c r="N413" s="25" t="str">
        <x:v>Gemini-3.8-flash/Result/JacksonDatabind_15/result.json</x:v>
      </x:c>
      <x:c r="O413" s="25" t="str">
        <x:v>Gemini-3.8-flash/Result/JacksonDatabind_15/result.json</x:v>
      </x:c>
      <x:c r="P413" t="str">
        <x:v>BOTH_NOT_RUN</x:v>
      </x:c>
      <x:c r="Q413" s="21" t="str"/>
      <x:c r="R413" s="21" t="str"/>
      <x:c r="S413" s="21" t="str"/>
      <x:c r="T413" s="17" t="str">
        <x:v>false</x:v>
      </x:c>
      <x:c r="U413" s="17" t="str">
        <x:v>true</x:v>
      </x:c>
      <x:c r="V413" s="17" t="str">
        <x:v>false</x:v>
      </x:c>
    </x:row>
    <x:row r="414" ht="80" customHeight="1">
      <x:c r="A414" s="25" t="str">
        <x:v>JacksonDatabind</x:v>
      </x:c>
      <x:c r="B414" s="25" t="n">
        <x:v>16</x:v>
      </x:c>
      <x:c r="C414" s="25" t="str">
        <x:v>Round1</x:v>
      </x:c>
      <x:c r="D414" s="25" t="str">
        <x:v>INCONCLUSIVE</x:v>
      </x:c>
      <x:c r="E414" s="25" t="str">
        <x:v>N/A</x:v>
      </x:c>
      <x:c r="F414" s="26" t="str">
        <x:v>Fixed also failed; assertion failure cannot be attributed to this bug</x:v>
      </x:c>
      <x:c r="G414" s="25" t="str">
        <x:v>true</x:v>
      </x:c>
      <x:c r="H414" s="25" t="str">
        <x:v>INCONCLUSIVE</x:v>
      </x:c>
      <x:c r="I414" s="25" t="str">
        <x:v>PASS</x:v>
      </x:c>
      <x:c r="J414" s="25" t="str">
        <x:v>FAIL</x:v>
      </x:c>
      <x:c r="K414" s="25" t="n">
        <x:v>1</x:v>
      </x:c>
      <x:c r="L414" s="27" t="b">
        <x:v>0</x:v>
      </x:c>
      <x:c r="M414" s="25" t="str">
        <x:v>Gemini-3.8-flash/generation_state.json</x:v>
      </x:c>
      <x:c r="N414" s="25" t="str">
        <x:v>Gemini-3.8-flash/Result/JacksonDatabind_16/result.json</x:v>
      </x:c>
      <x:c r="O414" s="25" t="str">
        <x:v>Gemini-3.8-flash/Result/JacksonDatabind_16/result.json</x:v>
      </x:c>
      <x:c r="P414"/>
      <x:c r="Q414" s="21" t="str"/>
      <x:c r="R414" s="21" t="str"/>
      <x:c r="S414" s="21" t="str"/>
      <x:c r="T414" s="17" t="str">
        <x:v>false</x:v>
      </x:c>
      <x:c r="U414" s="17" t="str">
        <x:v>true</x:v>
      </x:c>
      <x:c r="V414" s="17" t="str">
        <x:v>false</x:v>
      </x:c>
    </x:row>
    <x:row r="415" ht="80" customHeight="1">
      <x:c r="A415" s="25" t="str">
        <x:v>JacksonDatabind</x:v>
      </x:c>
      <x:c r="B415" s="25" t="n">
        <x:v>17</x:v>
      </x:c>
      <x:c r="C415" s="25" t="str">
        <x:v>Round1</x:v>
      </x:c>
      <x:c r="D415" s="25" t="str">
        <x:v>INCONCLUSIVE</x:v>
      </x:c>
      <x:c r="E415" s="25" t="str">
        <x:v>N/A</x:v>
      </x:c>
      <x:c r="F415" s="26" t="str">
        <x:v>Fixed also failed; assertion failure cannot be attributed to this bug</x:v>
      </x:c>
      <x:c r="G415" s="25" t="str">
        <x:v>true</x:v>
      </x:c>
      <x:c r="H415" s="25" t="str">
        <x:v>INCONCLUSIVE</x:v>
      </x:c>
      <x:c r="I415" s="25" t="str">
        <x:v>FAIL</x:v>
      </x:c>
      <x:c r="J415" s="25" t="str">
        <x:v>FAIL</x:v>
      </x:c>
      <x:c r="K415" s="25" t="n">
        <x:v>1</x:v>
      </x:c>
      <x:c r="L415" s="27" t="b">
        <x:v>0</x:v>
      </x:c>
      <x:c r="M415" s="25" t="str">
        <x:v>Gemini-3.8-flash/generation_state.json</x:v>
      </x:c>
      <x:c r="N415" s="25" t="str">
        <x:v>Gemini-3.8-flash/Result/JacksonDatabind_17/result.json</x:v>
      </x:c>
      <x:c r="O415" s="25" t="str">
        <x:v>Gemini-3.8-flash/Result/JacksonDatabind_17/result.json</x:v>
      </x:c>
      <x:c r="P415"/>
      <x:c r="Q415" s="21" t="str"/>
      <x:c r="R415" s="21" t="str"/>
      <x:c r="S415" s="21" t="str"/>
      <x:c r="T415" s="17" t="str">
        <x:v>false</x:v>
      </x:c>
      <x:c r="U415" s="17" t="str">
        <x:v>true</x:v>
      </x:c>
      <x:c r="V415" s="17" t="str">
        <x:v>false</x:v>
      </x:c>
    </x:row>
    <x:row r="416" ht="80" customHeight="1">
      <x:c r="A416" s="25" t="str">
        <x:v>JacksonDatabind</x:v>
      </x:c>
      <x:c r="B416" s="25" t="n">
        <x:v>18</x:v>
      </x:c>
      <x:c r="C416" s="25" t="str">
        <x:v>Round1</x:v>
      </x:c>
      <x:c r="D416" s="25" t="str">
        <x:v>NOT_REVEALING</x:v>
      </x:c>
      <x:c r="E416" s="25" t="str">
        <x:v>N/A</x:v>
      </x:c>
      <x:c r="F416" s="26" t="str">
        <x:v>Same saved validation suite passed on buggy and fixed</x:v>
      </x:c>
      <x:c r="G416" s="25" t="str">
        <x:v>true</x:v>
      </x:c>
      <x:c r="H416" s="25" t="str">
        <x:v>NOT_REVEALING</x:v>
      </x:c>
      <x:c r="I416" s="25" t="str">
        <x:v>PASS</x:v>
      </x:c>
      <x:c r="J416" s="25" t="str">
        <x:v>PASS</x:v>
      </x:c>
      <x:c r="K416" s="25" t="n">
        <x:v>1</x:v>
      </x:c>
      <x:c r="L416" s="27" t="b">
        <x:v>0</x:v>
      </x:c>
      <x:c r="M416" s="25" t="str">
        <x:v>Gemini-3.8-flash/generation_state.json</x:v>
      </x:c>
      <x:c r="N416" s="25" t="str">
        <x:v>Gemini-3.8-flash/Result/JacksonDatabind_18/result.json</x:v>
      </x:c>
      <x:c r="O416" s="25" t="str">
        <x:v>Gemini-3.8-flash/Result/JacksonDatabind_18/result.json</x:v>
      </x:c>
      <x:c r="P416"/>
      <x:c r="Q416" s="21" t="str"/>
      <x:c r="R416" s="21" t="str"/>
      <x:c r="S416" s="21" t="str"/>
      <x:c r="T416" s="17" t="str">
        <x:v>false</x:v>
      </x:c>
      <x:c r="U416" s="17" t="str">
        <x:v>true</x:v>
      </x:c>
      <x:c r="V416" s="17" t="str">
        <x:v>false</x:v>
      </x:c>
    </x:row>
    <x:row r="417" ht="80" customHeight="1">
      <x:c r="A417" s="25" t="str">
        <x:v>JacksonDatabind</x:v>
      </x:c>
      <x:c r="B417" s="25" t="n">
        <x:v>19</x:v>
      </x:c>
      <x:c r="C417" s="25" t="str">
        <x:v>Round1</x:v>
      </x:c>
      <x:c r="D417" s="25" t="str">
        <x:v>NOT_REVEALING</x:v>
      </x:c>
      <x:c r="E417" s="25" t="str">
        <x:v>N/A</x:v>
      </x:c>
      <x:c r="F417" s="26" t="str">
        <x:v>Same saved validation suite passed on buggy and fixed</x:v>
      </x:c>
      <x:c r="G417" s="25" t="str">
        <x:v>true</x:v>
      </x:c>
      <x:c r="H417" s="25" t="str">
        <x:v>NOT_REVEALING</x:v>
      </x:c>
      <x:c r="I417" s="25" t="str">
        <x:v>PASS</x:v>
      </x:c>
      <x:c r="J417" s="25" t="str">
        <x:v>PASS</x:v>
      </x:c>
      <x:c r="K417" s="25" t="n">
        <x:v>1</x:v>
      </x:c>
      <x:c r="L417" s="27" t="b">
        <x:v>0</x:v>
      </x:c>
      <x:c r="M417" s="25" t="str">
        <x:v>Gemini-3.8-flash/generation_state.json</x:v>
      </x:c>
      <x:c r="N417" s="25" t="str">
        <x:v>Gemini-3.8-flash/Result/JacksonDatabind_19/result.json</x:v>
      </x:c>
      <x:c r="O417" s="25" t="str">
        <x:v>Gemini-3.8-flash/Result/JacksonDatabind_19/result.json</x:v>
      </x:c>
      <x:c r="P417"/>
      <x:c r="Q417" s="21" t="str"/>
      <x:c r="R417" s="21" t="str"/>
      <x:c r="S417" s="21" t="str"/>
      <x:c r="T417" s="17" t="str">
        <x:v>false</x:v>
      </x:c>
      <x:c r="U417" s="17" t="str">
        <x:v>true</x:v>
      </x:c>
      <x:c r="V417" s="17" t="str">
        <x:v>false</x:v>
      </x:c>
    </x:row>
    <x:row r="418" ht="80" customHeight="1">
      <x:c r="A418" s="25" t="str">
        <x:v>JacksonDatabind</x:v>
      </x:c>
      <x:c r="B418" s="25" t="n">
        <x:v>2</x:v>
      </x:c>
      <x:c r="C418" s="25" t="str">
        <x:v>Round1</x:v>
      </x:c>
      <x:c r="D418" s="25" t="str">
        <x:v>NOT_REVEALING</x:v>
      </x:c>
      <x:c r="E418" s="25" t="str">
        <x:v>N/A</x:v>
      </x:c>
      <x:c r="F418" s="26" t="str">
        <x:v>Same saved validation suite passed on buggy and fixed</x:v>
      </x:c>
      <x:c r="G418" s="25" t="str">
        <x:v>true</x:v>
      </x:c>
      <x:c r="H418" s="25" t="str">
        <x:v>NOT_REVEALING</x:v>
      </x:c>
      <x:c r="I418" s="25" t="str">
        <x:v>PASS</x:v>
      </x:c>
      <x:c r="J418" s="25" t="str">
        <x:v>PASS</x:v>
      </x:c>
      <x:c r="K418" s="25" t="n">
        <x:v>1</x:v>
      </x:c>
      <x:c r="L418" s="27" t="b">
        <x:v>0</x:v>
      </x:c>
      <x:c r="M418" s="25" t="str">
        <x:v>Gemini-3.8-flash/generation_state.json</x:v>
      </x:c>
      <x:c r="N418" s="25" t="str">
        <x:v>Gemini-3.8-flash/Result/JacksonDatabind_2/result.json</x:v>
      </x:c>
      <x:c r="O418" s="25" t="str">
        <x:v>Gemini-3.8-flash/Result/JacksonDatabind_2/result.json</x:v>
      </x:c>
      <x:c r="P418"/>
      <x:c r="Q418" s="21" t="str"/>
      <x:c r="R418" s="21" t="str"/>
      <x:c r="S418" s="21" t="str"/>
      <x:c r="T418" s="17" t="str">
        <x:v>false</x:v>
      </x:c>
      <x:c r="U418" s="17" t="str">
        <x:v>true</x:v>
      </x:c>
      <x:c r="V418" s="17" t="str">
        <x:v>false</x:v>
      </x:c>
    </x:row>
    <x:row r="419" ht="80" customHeight="1">
      <x:c r="A419" s="25" t="str">
        <x:v>JacksonDatabind</x:v>
      </x:c>
      <x:c r="B419" s="25" t="n">
        <x:v>20</x:v>
      </x:c>
      <x:c r="C419" s="25" t="str">
        <x:v>Round1</x:v>
      </x:c>
      <x:c r="D419" s="25" t="str">
        <x:v>NOT_REVEALING</x:v>
      </x:c>
      <x:c r="E419" s="25" t="str">
        <x:v>N/A</x:v>
      </x:c>
      <x:c r="F419" s="26" t="str">
        <x:v>Same saved validation suite passed on buggy and fixed</x:v>
      </x:c>
      <x:c r="G419" s="25" t="str">
        <x:v>true</x:v>
      </x:c>
      <x:c r="H419" s="25" t="str">
        <x:v>NOT_REVEALING</x:v>
      </x:c>
      <x:c r="I419" s="25" t="str">
        <x:v>PASS</x:v>
      </x:c>
      <x:c r="J419" s="25" t="str">
        <x:v>PASS</x:v>
      </x:c>
      <x:c r="K419" s="25" t="n">
        <x:v>1</x:v>
      </x:c>
      <x:c r="L419" s="27" t="b">
        <x:v>0</x:v>
      </x:c>
      <x:c r="M419" s="25" t="str">
        <x:v>Gemini-3.8-flash/generation_state.json</x:v>
      </x:c>
      <x:c r="N419" s="25" t="str">
        <x:v>Gemini-3.8-flash/Result/JacksonDatabind_20/result.json</x:v>
      </x:c>
      <x:c r="O419" s="25" t="str">
        <x:v>Gemini-3.8-flash/Result/JacksonDatabind_20/result.json</x:v>
      </x:c>
      <x:c r="P419"/>
      <x:c r="Q419" s="21" t="str"/>
      <x:c r="R419" s="21" t="str"/>
      <x:c r="S419" s="21" t="str"/>
      <x:c r="T419" s="17" t="str">
        <x:v>false</x:v>
      </x:c>
      <x:c r="U419" s="17" t="str">
        <x:v>true</x:v>
      </x:c>
      <x:c r="V419" s="17" t="str">
        <x:v>false</x:v>
      </x:c>
    </x:row>
    <x:row r="420" ht="80" customHeight="1">
      <x:c r="A420" s="25" t="str">
        <x:v>JacksonDatabind</x:v>
      </x:c>
      <x:c r="B420" s="25" t="n">
        <x:v>21</x:v>
      </x:c>
      <x:c r="C420" s="25" t="str">
        <x:v>Round1</x:v>
      </x:c>
      <x:c r="D420" s="25" t="str">
        <x:v>NOT_REVEALING</x:v>
      </x:c>
      <x:c r="E420" s="25" t="str">
        <x:v>N/A</x:v>
      </x:c>
      <x:c r="F420" s="26" t="str">
        <x:v>Same saved validation suite passed on buggy and fixed</x:v>
      </x:c>
      <x:c r="G420" s="25" t="str">
        <x:v>true</x:v>
      </x:c>
      <x:c r="H420" s="25" t="str">
        <x:v>NOT_REVEALING</x:v>
      </x:c>
      <x:c r="I420" s="25" t="str">
        <x:v>PASS</x:v>
      </x:c>
      <x:c r="J420" s="25" t="str">
        <x:v>PASS</x:v>
      </x:c>
      <x:c r="K420" s="25" t="n">
        <x:v>1</x:v>
      </x:c>
      <x:c r="L420" s="27" t="b">
        <x:v>0</x:v>
      </x:c>
      <x:c r="M420" s="25" t="str">
        <x:v>Gemini-3.8-flash/generation_state.json</x:v>
      </x:c>
      <x:c r="N420" s="25" t="str">
        <x:v>Gemini-3.8-flash/Result/JacksonDatabind_21/result.json</x:v>
      </x:c>
      <x:c r="O420" s="25" t="str">
        <x:v>Gemini-3.8-flash/Result/JacksonDatabind_21/result.json</x:v>
      </x:c>
      <x:c r="P420"/>
      <x:c r="Q420" s="21" t="str"/>
      <x:c r="R420" s="21" t="str"/>
      <x:c r="S420" s="21" t="str"/>
      <x:c r="T420" s="17" t="str">
        <x:v>false</x:v>
      </x:c>
      <x:c r="U420" s="17" t="str">
        <x:v>true</x:v>
      </x:c>
      <x:c r="V420" s="17" t="str">
        <x:v>false</x:v>
      </x:c>
    </x:row>
    <x:row r="421" ht="80" customHeight="1">
      <x:c r="A421" s="25" t="str">
        <x:v>JacksonDatabind</x:v>
      </x:c>
      <x:c r="B421" s="25" t="n">
        <x:v>22</x:v>
      </x:c>
      <x:c r="C421" s="25" t="str">
        <x:v>Round1</x:v>
      </x:c>
      <x:c r="D421" s="25" t="str">
        <x:v>NOT_AVAILABLE</x:v>
      </x:c>
      <x:c r="E421" s="25" t="str">
        <x:v>N/A</x:v>
      </x:c>
      <x:c r="F421" s="26" t="str">
        <x:v>Tests exist but current coverage did not complete</x:v>
      </x:c>
      <x:c r="G421" s="25" t="str">
        <x:v>true</x:v>
      </x:c>
      <x:c r="H421" s="25" t="str">
        <x:v>NOT_AVAILABLE</x:v>
      </x:c>
      <x:c r="I421" s="25" t="str">
        <x:v>NOT_RUN</x:v>
      </x:c>
      <x:c r="J421" s="25" t="str">
        <x:v>NOT_RUN</x:v>
      </x:c>
      <x:c r="K421" s="25" t="n">
        <x:v>2</x:v>
      </x:c>
      <x:c r="L421" s="27" t="b">
        <x:v>0</x:v>
      </x:c>
      <x:c r="M421" s="25" t="str">
        <x:v>Gemini-3.8-flash/generation_state.json</x:v>
      </x:c>
      <x:c r="N421" s="25" t="str">
        <x:v>Gemini-3.8-flash/Result/JacksonDatabind_22/result.json</x:v>
      </x:c>
      <x:c r="O421" s="25" t="str">
        <x:v>Gemini-3.8-flash/Result/JacksonDatabind_22/result.json</x:v>
      </x:c>
      <x:c r="P421" t="str">
        <x:v>BOTH_NOT_RUN</x:v>
      </x:c>
      <x:c r="Q421" s="21" t="str"/>
      <x:c r="R421" s="21" t="str"/>
      <x:c r="S421" s="21" t="str"/>
      <x:c r="T421" s="17" t="str">
        <x:v>false</x:v>
      </x:c>
      <x:c r="U421" s="17" t="str">
        <x:v>true</x:v>
      </x:c>
      <x:c r="V421" s="17" t="str">
        <x:v>false</x:v>
      </x:c>
    </x:row>
    <x:row r="422" ht="80" customHeight="1">
      <x:c r="A422" s="25" t="str">
        <x:v>JacksonDatabind</x:v>
      </x:c>
      <x:c r="B422" s="25" t="n">
        <x:v>23</x:v>
      </x:c>
      <x:c r="C422" s="25" t="str">
        <x:v>Round1</x:v>
      </x:c>
      <x:c r="D422" s="25" t="str">
        <x:v>INCONCLUSIVE</x:v>
      </x:c>
      <x:c r="E422" s="25" t="str">
        <x:v>N/A</x:v>
      </x:c>
      <x:c r="F422" s="26" t="str">
        <x:v>Fixed also failed; assertion failure cannot be attributed to this bug</x:v>
      </x:c>
      <x:c r="G422" s="25" t="str">
        <x:v>true</x:v>
      </x:c>
      <x:c r="H422" s="25" t="str">
        <x:v>INCONCLUSIVE</x:v>
      </x:c>
      <x:c r="I422" s="25" t="str">
        <x:v>FAIL</x:v>
      </x:c>
      <x:c r="J422" s="25" t="str">
        <x:v>FAIL</x:v>
      </x:c>
      <x:c r="K422" s="25" t="n">
        <x:v>1</x:v>
      </x:c>
      <x:c r="L422" s="27" t="b">
        <x:v>0</x:v>
      </x:c>
      <x:c r="M422" s="25" t="str">
        <x:v>Gemini-3.8-flash/generation_state.json</x:v>
      </x:c>
      <x:c r="N422" s="25" t="str">
        <x:v>Gemini-3.8-flash/Result/JacksonDatabind_23/result.json</x:v>
      </x:c>
      <x:c r="O422" s="25" t="str">
        <x:v>Gemini-3.8-flash/Result/JacksonDatabind_23/result.json</x:v>
      </x:c>
      <x:c r="P422"/>
      <x:c r="Q422" s="21" t="str"/>
      <x:c r="R422" s="21" t="str"/>
      <x:c r="S422" s="21" t="str"/>
      <x:c r="T422" s="17" t="str">
        <x:v>false</x:v>
      </x:c>
      <x:c r="U422" s="17" t="str">
        <x:v>true</x:v>
      </x:c>
      <x:c r="V422" s="17" t="str">
        <x:v>false</x:v>
      </x:c>
    </x:row>
    <x:row r="423" ht="80" customHeight="1">
      <x:c r="A423" s="25" t="str">
        <x:v>JacksonDatabind</x:v>
      </x:c>
      <x:c r="B423" s="25" t="n">
        <x:v>24</x:v>
      </x:c>
      <x:c r="C423" s="25" t="str">
        <x:v>Round1</x:v>
      </x:c>
      <x:c r="D423" s="25" t="str">
        <x:v>NOT_REVEALING</x:v>
      </x:c>
      <x:c r="E423" s="25" t="str">
        <x:v>N/A</x:v>
      </x:c>
      <x:c r="F423" s="26" t="str">
        <x:v>Same saved validation suite passed on buggy and fixed</x:v>
      </x:c>
      <x:c r="G423" s="25" t="str">
        <x:v>true</x:v>
      </x:c>
      <x:c r="H423" s="25" t="str">
        <x:v>NOT_REVEALING</x:v>
      </x:c>
      <x:c r="I423" s="25" t="str">
        <x:v>PASS</x:v>
      </x:c>
      <x:c r="J423" s="25" t="str">
        <x:v>PASS</x:v>
      </x:c>
      <x:c r="K423" s="25" t="n">
        <x:v>1</x:v>
      </x:c>
      <x:c r="L423" s="27" t="b">
        <x:v>0</x:v>
      </x:c>
      <x:c r="M423" s="25" t="str">
        <x:v>Gemini-3.8-flash/generation_state.json</x:v>
      </x:c>
      <x:c r="N423" s="25" t="str">
        <x:v>Gemini-3.8-flash/Result/JacksonDatabind_24/result.json</x:v>
      </x:c>
      <x:c r="O423" s="25" t="str">
        <x:v>Gemini-3.8-flash/Result/JacksonDatabind_24/result.json</x:v>
      </x:c>
      <x:c r="P423"/>
      <x:c r="Q423" s="21" t="str"/>
      <x:c r="R423" s="21" t="str"/>
      <x:c r="S423" s="21" t="str"/>
      <x:c r="T423" s="17" t="str">
        <x:v>false</x:v>
      </x:c>
      <x:c r="U423" s="17" t="str">
        <x:v>true</x:v>
      </x:c>
      <x:c r="V423" s="17" t="str">
        <x:v>false</x:v>
      </x:c>
    </x:row>
    <x:row r="424" ht="80" customHeight="1">
      <x:c r="A424" s="25" t="str">
        <x:v>JacksonDatabind</x:v>
      </x:c>
      <x:c r="B424" s="25" t="n">
        <x:v>25</x:v>
      </x:c>
      <x:c r="C424" s="25" t="str">
        <x:v>Round1</x:v>
      </x:c>
      <x:c r="D424" s="25" t="str">
        <x:v>INCONCLUSIVE</x:v>
      </x:c>
      <x:c r="E424" s="25" t="str">
        <x:v>N/A</x:v>
      </x:c>
      <x:c r="F424" s="26" t="str">
        <x:v>Fixed also failed; assertion failure cannot be attributed to this bug</x:v>
      </x:c>
      <x:c r="G424" s="25" t="str">
        <x:v>true</x:v>
      </x:c>
      <x:c r="H424" s="25" t="str">
        <x:v>INCONCLUSIVE</x:v>
      </x:c>
      <x:c r="I424" s="25" t="str">
        <x:v>PASS</x:v>
      </x:c>
      <x:c r="J424" s="25" t="str">
        <x:v>FAIL</x:v>
      </x:c>
      <x:c r="K424" s="25" t="n">
        <x:v>1</x:v>
      </x:c>
      <x:c r="L424" s="27" t="b">
        <x:v>0</x:v>
      </x:c>
      <x:c r="M424" s="25" t="str">
        <x:v>Gemini-3.8-flash/generation_state.json</x:v>
      </x:c>
      <x:c r="N424" s="25" t="str">
        <x:v>Gemini-3.8-flash/Result/JacksonDatabind_25/result.json</x:v>
      </x:c>
      <x:c r="O424" s="25" t="str">
        <x:v>Gemini-3.8-flash/Result/JacksonDatabind_25/result.json</x:v>
      </x:c>
      <x:c r="P424"/>
      <x:c r="Q424" s="21" t="str"/>
      <x:c r="R424" s="21" t="str"/>
      <x:c r="S424" s="21" t="str"/>
      <x:c r="T424" s="17" t="str">
        <x:v>false</x:v>
      </x:c>
      <x:c r="U424" s="17" t="str">
        <x:v>true</x:v>
      </x:c>
      <x:c r="V424" s="17" t="str">
        <x:v>false</x:v>
      </x:c>
    </x:row>
    <x:row r="425" ht="80" customHeight="1">
      <x:c r="A425" s="25" t="str">
        <x:v>JacksonDatabind</x:v>
      </x:c>
      <x:c r="B425" s="25" t="n">
        <x:v>26</x:v>
      </x:c>
      <x:c r="C425" s="25" t="str">
        <x:v>Round1</x:v>
      </x:c>
      <x:c r="D425" s="25" t="str">
        <x:v>NOT_REVEALING</x:v>
      </x:c>
      <x:c r="E425" s="25" t="str">
        <x:v>N/A</x:v>
      </x:c>
      <x:c r="F425" s="26" t="str">
        <x:v>Same saved validation suite passed on buggy and fixed</x:v>
      </x:c>
      <x:c r="G425" s="25" t="str">
        <x:v>true</x:v>
      </x:c>
      <x:c r="H425" s="25" t="str">
        <x:v>NOT_REVEALING</x:v>
      </x:c>
      <x:c r="I425" s="25" t="str">
        <x:v>PASS</x:v>
      </x:c>
      <x:c r="J425" s="25" t="str">
        <x:v>PASS</x:v>
      </x:c>
      <x:c r="K425" s="25" t="n">
        <x:v>1</x:v>
      </x:c>
      <x:c r="L425" s="27" t="b">
        <x:v>0</x:v>
      </x:c>
      <x:c r="M425" s="25" t="str">
        <x:v>Gemini-3.8-flash/generation_state.json</x:v>
      </x:c>
      <x:c r="N425" s="25" t="str">
        <x:v>Gemini-3.8-flash/Result/JacksonDatabind_26/result.json</x:v>
      </x:c>
      <x:c r="O425" s="25" t="str">
        <x:v>Gemini-3.8-flash/Result/JacksonDatabind_26/result.json</x:v>
      </x:c>
      <x:c r="P425"/>
      <x:c r="Q425" s="21" t="str"/>
      <x:c r="R425" s="21" t="str"/>
      <x:c r="S425" s="21" t="str"/>
      <x:c r="T425" s="17" t="str">
        <x:v>false</x:v>
      </x:c>
      <x:c r="U425" s="17" t="str">
        <x:v>true</x:v>
      </x:c>
      <x:c r="V425" s="17" t="str">
        <x:v>false</x:v>
      </x:c>
    </x:row>
    <x:row r="426" ht="80" customHeight="1">
      <x:c r="A426" s="25" t="str">
        <x:v>JacksonDatabind</x:v>
      </x:c>
      <x:c r="B426" s="25" t="n">
        <x:v>27</x:v>
      </x:c>
      <x:c r="C426" s="25" t="str">
        <x:v>Round1</x:v>
      </x:c>
      <x:c r="D426" s="25" t="str">
        <x:v>NOT_AVAILABLE</x:v>
      </x:c>
      <x:c r="E426" s="25" t="str">
        <x:v>N/A</x:v>
      </x:c>
      <x:c r="F426" s="26" t="str">
        <x:v>Tests exist but current coverage did not complete</x:v>
      </x:c>
      <x:c r="G426" s="25" t="str">
        <x:v>true</x:v>
      </x:c>
      <x:c r="H426" s="25" t="str">
        <x:v>NOT_AVAILABLE</x:v>
      </x:c>
      <x:c r="I426" s="25" t="str">
        <x:v>NOT_RUN</x:v>
      </x:c>
      <x:c r="J426" s="25" t="str">
        <x:v>NOT_RUN</x:v>
      </x:c>
      <x:c r="K426" s="25" t="n">
        <x:v>1</x:v>
      </x:c>
      <x:c r="L426" s="27" t="b">
        <x:v>0</x:v>
      </x:c>
      <x:c r="M426" s="25" t="str">
        <x:v>Gemini-3.8-flash/generation_state.json</x:v>
      </x:c>
      <x:c r="N426" s="25" t="str">
        <x:v>Gemini-3.8-flash/Result/JacksonDatabind_27/result.json</x:v>
      </x:c>
      <x:c r="O426" s="25" t="str">
        <x:v>Gemini-3.8-flash/Result/JacksonDatabind_27/result.json</x:v>
      </x:c>
      <x:c r="P426" t="str">
        <x:v>BOTH_NOT_RUN</x:v>
      </x:c>
      <x:c r="Q426" s="21" t="str"/>
      <x:c r="R426" s="21" t="str"/>
      <x:c r="S426" s="21" t="str"/>
      <x:c r="T426" s="17" t="str">
        <x:v>false</x:v>
      </x:c>
      <x:c r="U426" s="17" t="str">
        <x:v>true</x:v>
      </x:c>
      <x:c r="V426" s="17" t="str">
        <x:v>false</x:v>
      </x:c>
    </x:row>
    <x:row r="427" ht="80" customHeight="1">
      <x:c r="A427" s="25" t="str">
        <x:v>JacksonDatabind</x:v>
      </x:c>
      <x:c r="B427" s="25" t="n">
        <x:v>28</x:v>
      </x:c>
      <x:c r="C427" s="25" t="str">
        <x:v>Round1</x:v>
      </x:c>
      <x:c r="D427" s="25" t="str">
        <x:v>INCONCLUSIVE</x:v>
      </x:c>
      <x:c r="E427" s="25" t="str">
        <x:v>N/A</x:v>
      </x:c>
      <x:c r="F427" s="26" t="str">
        <x:v>Fixed also failed; assertion failure cannot be attributed to this bug</x:v>
      </x:c>
      <x:c r="G427" s="25" t="str">
        <x:v>true</x:v>
      </x:c>
      <x:c r="H427" s="25" t="str">
        <x:v>INCONCLUSIVE</x:v>
      </x:c>
      <x:c r="I427" s="25" t="str">
        <x:v>FAIL</x:v>
      </x:c>
      <x:c r="J427" s="25" t="str">
        <x:v>FAIL</x:v>
      </x:c>
      <x:c r="K427" s="25" t="n">
        <x:v>1</x:v>
      </x:c>
      <x:c r="L427" s="27" t="b">
        <x:v>0</x:v>
      </x:c>
      <x:c r="M427" s="25" t="str">
        <x:v>Gemini-3.8-flash/generation_state.json</x:v>
      </x:c>
      <x:c r="N427" s="25" t="str">
        <x:v>Gemini-3.8-flash/Result/JacksonDatabind_28/result.json</x:v>
      </x:c>
      <x:c r="O427" s="25" t="str">
        <x:v>Gemini-3.8-flash/Result/JacksonDatabind_28/result.json</x:v>
      </x:c>
      <x:c r="P427"/>
      <x:c r="Q427" s="21" t="str"/>
      <x:c r="R427" s="21" t="str"/>
      <x:c r="S427" s="21" t="str"/>
      <x:c r="T427" s="17" t="str">
        <x:v>false</x:v>
      </x:c>
      <x:c r="U427" s="17" t="str">
        <x:v>true</x:v>
      </x:c>
      <x:c r="V427" s="17" t="str">
        <x:v>false</x:v>
      </x:c>
    </x:row>
    <x:row r="428" ht="80" customHeight="1">
      <x:c r="A428" s="25" t="str">
        <x:v>JacksonDatabind</x:v>
      </x:c>
      <x:c r="B428" s="25" t="n">
        <x:v>29</x:v>
      </x:c>
      <x:c r="C428" s="25" t="str">
        <x:v>Round1</x:v>
      </x:c>
      <x:c r="D428" s="25" t="str">
        <x:v>INCONCLUSIVE</x:v>
      </x:c>
      <x:c r="E428" s="25" t="str">
        <x:v>N/A</x:v>
      </x:c>
      <x:c r="F428" s="26" t="str">
        <x:v>Fixed also failed; assertion failure cannot be attributed to this bug</x:v>
      </x:c>
      <x:c r="G428" s="25" t="str">
        <x:v>true</x:v>
      </x:c>
      <x:c r="H428" s="25" t="str">
        <x:v>INCONCLUSIVE</x:v>
      </x:c>
      <x:c r="I428" s="25" t="str">
        <x:v>FAIL</x:v>
      </x:c>
      <x:c r="J428" s="25" t="str">
        <x:v>FAIL</x:v>
      </x:c>
      <x:c r="K428" s="25" t="n">
        <x:v>1</x:v>
      </x:c>
      <x:c r="L428" s="27" t="b">
        <x:v>0</x:v>
      </x:c>
      <x:c r="M428" s="25" t="str">
        <x:v>Gemini-3.8-flash/generation_state.json</x:v>
      </x:c>
      <x:c r="N428" s="25" t="str">
        <x:v>Gemini-3.8-flash/Result/JacksonDatabind_29/result.json</x:v>
      </x:c>
      <x:c r="O428" s="25" t="str">
        <x:v>Gemini-3.8-flash/Result/JacksonDatabind_29/result.json</x:v>
      </x:c>
      <x:c r="P428"/>
      <x:c r="Q428" s="21" t="str"/>
      <x:c r="R428" s="21" t="str"/>
      <x:c r="S428" s="21" t="str"/>
      <x:c r="T428" s="17" t="str">
        <x:v>false</x:v>
      </x:c>
      <x:c r="U428" s="17" t="str">
        <x:v>true</x:v>
      </x:c>
      <x:c r="V428" s="17" t="str">
        <x:v>false</x:v>
      </x:c>
    </x:row>
    <x:row r="429" ht="80" customHeight="1">
      <x:c r="A429" s="25" t="str">
        <x:v>JacksonDatabind</x:v>
      </x:c>
      <x:c r="B429" s="25" t="n">
        <x:v>3</x:v>
      </x:c>
      <x:c r="C429" s="25" t="str">
        <x:v>Round1</x:v>
      </x:c>
      <x:c r="D429" s="25" t="str">
        <x:v>NOT_REVEALING</x:v>
      </x:c>
      <x:c r="E429" s="25" t="str">
        <x:v>N/A</x:v>
      </x:c>
      <x:c r="F429" s="26" t="str">
        <x:v>Same saved validation suite passed on buggy and fixed</x:v>
      </x:c>
      <x:c r="G429" s="25" t="str">
        <x:v>true</x:v>
      </x:c>
      <x:c r="H429" s="25" t="str">
        <x:v>NOT_REVEALING</x:v>
      </x:c>
      <x:c r="I429" s="25" t="str">
        <x:v>PASS</x:v>
      </x:c>
      <x:c r="J429" s="25" t="str">
        <x:v>PASS</x:v>
      </x:c>
      <x:c r="K429" s="25" t="n">
        <x:v>1</x:v>
      </x:c>
      <x:c r="L429" s="27" t="b">
        <x:v>0</x:v>
      </x:c>
      <x:c r="M429" s="25" t="str">
        <x:v>Gemini-3.8-flash/generation_state.json</x:v>
      </x:c>
      <x:c r="N429" s="25" t="str">
        <x:v>Gemini-3.8-flash/Result/JacksonDatabind_3/result.json</x:v>
      </x:c>
      <x:c r="O429" s="25" t="str">
        <x:v>Gemini-3.8-flash/Result/JacksonDatabind_3/result.json</x:v>
      </x:c>
      <x:c r="P429"/>
      <x:c r="Q429" s="21" t="str"/>
      <x:c r="R429" s="21" t="str"/>
      <x:c r="S429" s="21" t="str"/>
      <x:c r="T429" s="17" t="str">
        <x:v>false</x:v>
      </x:c>
      <x:c r="U429" s="17" t="str">
        <x:v>true</x:v>
      </x:c>
      <x:c r="V429" s="17" t="str">
        <x:v>false</x:v>
      </x:c>
    </x:row>
    <x:row r="430" ht="80" customHeight="1">
      <x:c r="A430" s="25" t="str">
        <x:v>JacksonDatabind</x:v>
      </x:c>
      <x:c r="B430" s="25" t="n">
        <x:v>30</x:v>
      </x:c>
      <x:c r="C430" s="25" t="str">
        <x:v>Round1</x:v>
      </x:c>
      <x:c r="D430" s="25" t="str">
        <x:v>INCONCLUSIVE</x:v>
      </x:c>
      <x:c r="E430" s="25" t="str">
        <x:v>N/A</x:v>
      </x:c>
      <x:c r="F430" s="26" t="str">
        <x:v>Fixed also failed; assertion failure cannot be attributed to this bug</x:v>
      </x:c>
      <x:c r="G430" s="25" t="str">
        <x:v>true</x:v>
      </x:c>
      <x:c r="H430" s="25" t="str">
        <x:v>INCONCLUSIVE</x:v>
      </x:c>
      <x:c r="I430" s="25" t="str">
        <x:v>FAIL</x:v>
      </x:c>
      <x:c r="J430" s="25" t="str">
        <x:v>FAIL</x:v>
      </x:c>
      <x:c r="K430" s="25" t="n">
        <x:v>2</x:v>
      </x:c>
      <x:c r="L430" s="27" t="b">
        <x:v>0</x:v>
      </x:c>
      <x:c r="M430" s="25" t="str">
        <x:v>Gemini-3.8-flash/generation_state.json</x:v>
      </x:c>
      <x:c r="N430" s="25" t="str">
        <x:v>Gemini-3.8-flash/Result/JacksonDatabind_30/result.json</x:v>
      </x:c>
      <x:c r="O430" s="25" t="str">
        <x:v>Gemini-3.8-flash/Result/JacksonDatabind_30/result.json</x:v>
      </x:c>
      <x:c r="P430"/>
      <x:c r="Q430" s="21" t="str"/>
      <x:c r="R430" s="21" t="str"/>
      <x:c r="S430" s="21" t="str"/>
      <x:c r="T430" s="17" t="str">
        <x:v>false</x:v>
      </x:c>
      <x:c r="U430" s="17" t="str">
        <x:v>true</x:v>
      </x:c>
      <x:c r="V430" s="17" t="str">
        <x:v>false</x:v>
      </x:c>
    </x:row>
    <x:row r="431" ht="80" customHeight="1">
      <x:c r="A431" s="25" t="str">
        <x:v>JacksonDatabind</x:v>
      </x:c>
      <x:c r="B431" s="25" t="n">
        <x:v>31</x:v>
      </x:c>
      <x:c r="C431" s="25" t="str">
        <x:v>Round1</x:v>
      </x:c>
      <x:c r="D431" s="25" t="str">
        <x:v>NOT_REVEALING</x:v>
      </x:c>
      <x:c r="E431" s="25" t="str">
        <x:v>N/A</x:v>
      </x:c>
      <x:c r="F431" s="26" t="str">
        <x:v>Same saved validation suite passed on buggy and fixed</x:v>
      </x:c>
      <x:c r="G431" s="25" t="str">
        <x:v>true</x:v>
      </x:c>
      <x:c r="H431" s="25" t="str">
        <x:v>NOT_REVEALING</x:v>
      </x:c>
      <x:c r="I431" s="25" t="str">
        <x:v>PASS</x:v>
      </x:c>
      <x:c r="J431" s="25" t="str">
        <x:v>PASS</x:v>
      </x:c>
      <x:c r="K431" s="25" t="n">
        <x:v>1</x:v>
      </x:c>
      <x:c r="L431" s="27" t="b">
        <x:v>0</x:v>
      </x:c>
      <x:c r="M431" s="25" t="str">
        <x:v>Gemini-3.8-flash/generation_state.json</x:v>
      </x:c>
      <x:c r="N431" s="25" t="str">
        <x:v>Gemini-3.8-flash/Result/JacksonDatabind_31/result.json</x:v>
      </x:c>
      <x:c r="O431" s="25" t="str">
        <x:v>Gemini-3.8-flash/Result/JacksonDatabind_31/result.json</x:v>
      </x:c>
      <x:c r="P431"/>
      <x:c r="Q431" s="21" t="str"/>
      <x:c r="R431" s="21" t="str"/>
      <x:c r="S431" s="21" t="str"/>
      <x:c r="T431" s="17" t="str">
        <x:v>false</x:v>
      </x:c>
      <x:c r="U431" s="17" t="str">
        <x:v>true</x:v>
      </x:c>
      <x:c r="V431" s="17" t="str">
        <x:v>false</x:v>
      </x:c>
    </x:row>
    <x:row r="432" ht="80" customHeight="1">
      <x:c r="A432" s="25" t="str">
        <x:v>JacksonDatabind</x:v>
      </x:c>
      <x:c r="B432" s="25" t="n">
        <x:v>32</x:v>
      </x:c>
      <x:c r="C432" s="25" t="str">
        <x:v>Round1</x:v>
      </x:c>
      <x:c r="D432" s="25" t="str">
        <x:v>NOT_REVEALING</x:v>
      </x:c>
      <x:c r="E432" s="25" t="str">
        <x:v>N/A</x:v>
      </x:c>
      <x:c r="F432" s="26" t="str">
        <x:v>Same saved validation suite passed on buggy and fixed</x:v>
      </x:c>
      <x:c r="G432" s="25" t="str">
        <x:v>true</x:v>
      </x:c>
      <x:c r="H432" s="25" t="str">
        <x:v>NOT_REVEALING</x:v>
      </x:c>
      <x:c r="I432" s="25" t="str">
        <x:v>PASS</x:v>
      </x:c>
      <x:c r="J432" s="25" t="str">
        <x:v>PASS</x:v>
      </x:c>
      <x:c r="K432" s="25" t="n">
        <x:v>1</x:v>
      </x:c>
      <x:c r="L432" s="27" t="b">
        <x:v>0</x:v>
      </x:c>
      <x:c r="M432" s="25" t="str">
        <x:v>Gemini-3.8-flash/generation_state.json</x:v>
      </x:c>
      <x:c r="N432" s="25" t="str">
        <x:v>Gemini-3.8-flash/Result/JacksonDatabind_32/result.json</x:v>
      </x:c>
      <x:c r="O432" s="25" t="str">
        <x:v>Gemini-3.8-flash/Result/JacksonDatabind_32/result.json</x:v>
      </x:c>
      <x:c r="P432"/>
      <x:c r="Q432" s="21" t="str"/>
      <x:c r="R432" s="21" t="str"/>
      <x:c r="S432" s="21" t="str"/>
      <x:c r="T432" s="17" t="str">
        <x:v>false</x:v>
      </x:c>
      <x:c r="U432" s="17" t="str">
        <x:v>true</x:v>
      </x:c>
      <x:c r="V432" s="17" t="str">
        <x:v>false</x:v>
      </x:c>
    </x:row>
    <x:row r="433" ht="80" customHeight="1">
      <x:c r="A433" s="25" t="str">
        <x:v>JacksonDatabind</x:v>
      </x:c>
      <x:c r="B433" s="25" t="n">
        <x:v>33</x:v>
      </x:c>
      <x:c r="C433" s="25" t="str">
        <x:v>Round1</x:v>
      </x:c>
      <x:c r="D433" s="25" t="str">
        <x:v>NOT_REVEALING</x:v>
      </x:c>
      <x:c r="E433" s="25" t="str">
        <x:v>N/A</x:v>
      </x:c>
      <x:c r="F433" s="26" t="str">
        <x:v>Same saved validation suite passed on buggy and fixed</x:v>
      </x:c>
      <x:c r="G433" s="25" t="str">
        <x:v>true</x:v>
      </x:c>
      <x:c r="H433" s="25" t="str">
        <x:v>NOT_REVEALING</x:v>
      </x:c>
      <x:c r="I433" s="25" t="str">
        <x:v>PASS</x:v>
      </x:c>
      <x:c r="J433" s="25" t="str">
        <x:v>PASS</x:v>
      </x:c>
      <x:c r="K433" s="25" t="n">
        <x:v>1</x:v>
      </x:c>
      <x:c r="L433" s="27" t="b">
        <x:v>0</x:v>
      </x:c>
      <x:c r="M433" s="25" t="str">
        <x:v>Gemini-3.8-flash/generation_state.json</x:v>
      </x:c>
      <x:c r="N433" s="25" t="str">
        <x:v>Gemini-3.8-flash/Result/JacksonDatabind_33/result.json</x:v>
      </x:c>
      <x:c r="O433" s="25" t="str">
        <x:v>Gemini-3.8-flash/Result/JacksonDatabind_33/result.json</x:v>
      </x:c>
      <x:c r="P433"/>
      <x:c r="Q433" s="21" t="str"/>
      <x:c r="R433" s="21" t="str"/>
      <x:c r="S433" s="21" t="str"/>
      <x:c r="T433" s="17" t="str">
        <x:v>false</x:v>
      </x:c>
      <x:c r="U433" s="17" t="str">
        <x:v>true</x:v>
      </x:c>
      <x:c r="V433" s="17" t="str">
        <x:v>false</x:v>
      </x:c>
    </x:row>
    <x:row r="434" ht="80" customHeight="1">
      <x:c r="A434" s="25" t="str">
        <x:v>JacksonDatabind</x:v>
      </x:c>
      <x:c r="B434" s="25" t="n">
        <x:v>34</x:v>
      </x:c>
      <x:c r="C434" s="25" t="str">
        <x:v>Round1</x:v>
      </x:c>
      <x:c r="D434" s="25" t="str">
        <x:v>INCONCLUSIVE</x:v>
      </x:c>
      <x:c r="E434" s="25" t="str">
        <x:v>N/A</x:v>
      </x:c>
      <x:c r="F434" s="26" t="str">
        <x:v>Fixed also failed; assertion failure cannot be attributed to this bug</x:v>
      </x:c>
      <x:c r="G434" s="25" t="str">
        <x:v>true</x:v>
      </x:c>
      <x:c r="H434" s="25" t="str">
        <x:v>INCONCLUSIVE</x:v>
      </x:c>
      <x:c r="I434" s="25" t="str">
        <x:v>PASS</x:v>
      </x:c>
      <x:c r="J434" s="25" t="str">
        <x:v>FAIL</x:v>
      </x:c>
      <x:c r="K434" s="25" t="n">
        <x:v>1</x:v>
      </x:c>
      <x:c r="L434" s="27" t="b">
        <x:v>0</x:v>
      </x:c>
      <x:c r="M434" s="25" t="str">
        <x:v>Gemini-3.8-flash/generation_state.json</x:v>
      </x:c>
      <x:c r="N434" s="25" t="str">
        <x:v>Gemini-3.8-flash/Result/JacksonDatabind_34/result.json</x:v>
      </x:c>
      <x:c r="O434" s="25" t="str">
        <x:v>Gemini-3.8-flash/Result/JacksonDatabind_34/result.json</x:v>
      </x:c>
      <x:c r="P434"/>
      <x:c r="Q434" s="21" t="str"/>
      <x:c r="R434" s="21" t="str"/>
      <x:c r="S434" s="21" t="str"/>
      <x:c r="T434" s="17" t="str">
        <x:v>false</x:v>
      </x:c>
      <x:c r="U434" s="17" t="str">
        <x:v>true</x:v>
      </x:c>
      <x:c r="V434" s="17" t="str">
        <x:v>false</x:v>
      </x:c>
    </x:row>
    <x:row r="435" ht="80" customHeight="1">
      <x:c r="A435" s="25" t="str">
        <x:v>JacksonDatabind</x:v>
      </x:c>
      <x:c r="B435" s="25" t="n">
        <x:v>35</x:v>
      </x:c>
      <x:c r="C435" s="25" t="str">
        <x:v>Round1</x:v>
      </x:c>
      <x:c r="D435" s="25" t="str">
        <x:v>NOT_AVAILABLE</x:v>
      </x:c>
      <x:c r="E435" s="25" t="str">
        <x:v>N/A</x:v>
      </x:c>
      <x:c r="F435" s="26" t="str">
        <x:v>Tests exist but current coverage did not complete</x:v>
      </x:c>
      <x:c r="G435" s="25" t="str">
        <x:v>true</x:v>
      </x:c>
      <x:c r="H435" s="25" t="str">
        <x:v>NOT_AVAILABLE</x:v>
      </x:c>
      <x:c r="I435" s="25" t="str">
        <x:v>NOT_RUN</x:v>
      </x:c>
      <x:c r="J435" s="25" t="str">
        <x:v>NOT_RUN</x:v>
      </x:c>
      <x:c r="K435" s="25" t="n">
        <x:v>1</x:v>
      </x:c>
      <x:c r="L435" s="27" t="b">
        <x:v>0</x:v>
      </x:c>
      <x:c r="M435" s="25" t="str">
        <x:v>Gemini-3.8-flash/generation_state.json</x:v>
      </x:c>
      <x:c r="N435" s="25" t="str">
        <x:v>Gemini-3.8-flash/Result/JacksonDatabind_35/result.json</x:v>
      </x:c>
      <x:c r="O435" s="25" t="str">
        <x:v>Gemini-3.8-flash/Result/JacksonDatabind_35/result.json</x:v>
      </x:c>
      <x:c r="P435" t="str">
        <x:v>BOTH_NOT_RUN</x:v>
      </x:c>
      <x:c r="Q435" s="21" t="str"/>
      <x:c r="R435" s="21" t="str"/>
      <x:c r="S435" s="21" t="str"/>
      <x:c r="T435" s="17" t="str">
        <x:v>false</x:v>
      </x:c>
      <x:c r="U435" s="17" t="str">
        <x:v>true</x:v>
      </x:c>
      <x:c r="V435" s="17" t="str">
        <x:v>false</x:v>
      </x:c>
    </x:row>
    <x:row r="436" ht="80" customHeight="1">
      <x:c r="A436" s="25" t="str">
        <x:v>JacksonDatabind</x:v>
      </x:c>
      <x:c r="B436" s="25" t="n">
        <x:v>36</x:v>
      </x:c>
      <x:c r="C436" s="25" t="str">
        <x:v>Round1</x:v>
      </x:c>
      <x:c r="D436" s="25" t="str">
        <x:v>NOT_REVEALING</x:v>
      </x:c>
      <x:c r="E436" s="25" t="str">
        <x:v>N/A</x:v>
      </x:c>
      <x:c r="F436" s="26" t="str">
        <x:v>Same saved validation suite passed on buggy and fixed</x:v>
      </x:c>
      <x:c r="G436" s="25" t="str">
        <x:v>true</x:v>
      </x:c>
      <x:c r="H436" s="25" t="str">
        <x:v>NOT_REVEALING</x:v>
      </x:c>
      <x:c r="I436" s="25" t="str">
        <x:v>PASS</x:v>
      </x:c>
      <x:c r="J436" s="25" t="str">
        <x:v>PASS</x:v>
      </x:c>
      <x:c r="K436" s="25" t="n">
        <x:v>1</x:v>
      </x:c>
      <x:c r="L436" s="27" t="b">
        <x:v>0</x:v>
      </x:c>
      <x:c r="M436" s="25" t="str">
        <x:v>Gemini-3.8-flash/generation_state.json</x:v>
      </x:c>
      <x:c r="N436" s="25" t="str">
        <x:v>Gemini-3.8-flash/Result/JacksonDatabind_36/result.json</x:v>
      </x:c>
      <x:c r="O436" s="25" t="str">
        <x:v>Gemini-3.8-flash/Result/JacksonDatabind_36/result.json</x:v>
      </x:c>
      <x:c r="P436"/>
      <x:c r="Q436" s="21" t="str"/>
      <x:c r="R436" s="21" t="str"/>
      <x:c r="S436" s="21" t="str"/>
      <x:c r="T436" s="17" t="str">
        <x:v>false</x:v>
      </x:c>
      <x:c r="U436" s="17" t="str">
        <x:v>true</x:v>
      </x:c>
      <x:c r="V436" s="17" t="str">
        <x:v>false</x:v>
      </x:c>
    </x:row>
    <x:row r="437" ht="80" customHeight="1">
      <x:c r="A437" s="25" t="str">
        <x:v>JacksonDatabind</x:v>
      </x:c>
      <x:c r="B437" s="25" t="n">
        <x:v>37</x:v>
      </x:c>
      <x:c r="C437" s="25" t="str">
        <x:v>Round1</x:v>
      </x:c>
      <x:c r="D437" s="25" t="str">
        <x:v>NOT_REVEALING</x:v>
      </x:c>
      <x:c r="E437" s="25" t="str">
        <x:v>N/A</x:v>
      </x:c>
      <x:c r="F437" s="26" t="str">
        <x:v>Same saved validation suite passed on buggy and fixed</x:v>
      </x:c>
      <x:c r="G437" s="25" t="str">
        <x:v>true</x:v>
      </x:c>
      <x:c r="H437" s="25" t="str">
        <x:v>NOT_REVEALING</x:v>
      </x:c>
      <x:c r="I437" s="25" t="str">
        <x:v>PASS</x:v>
      </x:c>
      <x:c r="J437" s="25" t="str">
        <x:v>PASS</x:v>
      </x:c>
      <x:c r="K437" s="25" t="n">
        <x:v>1</x:v>
      </x:c>
      <x:c r="L437" s="27" t="b">
        <x:v>0</x:v>
      </x:c>
      <x:c r="M437" s="25" t="str">
        <x:v>Gemini-3.8-flash/generation_state.json</x:v>
      </x:c>
      <x:c r="N437" s="25" t="str">
        <x:v>Gemini-3.8-flash/Result/JacksonDatabind_37/result.json</x:v>
      </x:c>
      <x:c r="O437" s="25" t="str">
        <x:v>Gemini-3.8-flash/Result/JacksonDatabind_37/result.json</x:v>
      </x:c>
      <x:c r="P437"/>
      <x:c r="Q437" s="21" t="str"/>
      <x:c r="R437" s="21" t="str"/>
      <x:c r="S437" s="21" t="str"/>
      <x:c r="T437" s="17" t="str">
        <x:v>false</x:v>
      </x:c>
      <x:c r="U437" s="17" t="str">
        <x:v>true</x:v>
      </x:c>
      <x:c r="V437" s="17" t="str">
        <x:v>false</x:v>
      </x:c>
    </x:row>
    <x:row r="438" ht="80" customHeight="1">
      <x:c r="A438" s="25" t="str">
        <x:v>JacksonDatabind</x:v>
      </x:c>
      <x:c r="B438" s="25" t="n">
        <x:v>38</x:v>
      </x:c>
      <x:c r="C438" s="25" t="str">
        <x:v>Round1</x:v>
      </x:c>
      <x:c r="D438" s="25" t="str">
        <x:v>NOT_AVAILABLE</x:v>
      </x:c>
      <x:c r="E438" s="25" t="str">
        <x:v>N/A</x:v>
      </x:c>
      <x:c r="F438" s="26" t="str">
        <x:v>Tests exist but current coverage did not complete</x:v>
      </x:c>
      <x:c r="G438" s="25" t="str">
        <x:v>true</x:v>
      </x:c>
      <x:c r="H438" s="25" t="str">
        <x:v>NOT_AVAILABLE</x:v>
      </x:c>
      <x:c r="I438" s="25" t="str">
        <x:v>NOT_RUN</x:v>
      </x:c>
      <x:c r="J438" s="25" t="str">
        <x:v>NOT_RUN</x:v>
      </x:c>
      <x:c r="K438" s="25" t="n">
        <x:v>2</x:v>
      </x:c>
      <x:c r="L438" s="27" t="b">
        <x:v>0</x:v>
      </x:c>
      <x:c r="M438" s="25" t="str">
        <x:v>Gemini-3.8-flash/generation_state.json</x:v>
      </x:c>
      <x:c r="N438" s="25" t="str">
        <x:v>Gemini-3.8-flash/Result/JacksonDatabind_38/result.json</x:v>
      </x:c>
      <x:c r="O438" s="25" t="str">
        <x:v>Gemini-3.8-flash/Result/JacksonDatabind_38/result.json</x:v>
      </x:c>
      <x:c r="P438" t="str">
        <x:v>BOTH_NOT_RUN</x:v>
      </x:c>
      <x:c r="Q438" s="21" t="str"/>
      <x:c r="R438" s="21" t="str"/>
      <x:c r="S438" s="21" t="str"/>
      <x:c r="T438" s="17" t="str">
        <x:v>false</x:v>
      </x:c>
      <x:c r="U438" s="17" t="str">
        <x:v>true</x:v>
      </x:c>
      <x:c r="V438" s="17" t="str">
        <x:v>false</x:v>
      </x:c>
    </x:row>
    <x:row r="439" ht="80" customHeight="1">
      <x:c r="A439" s="25" t="str">
        <x:v>JacksonDatabind</x:v>
      </x:c>
      <x:c r="B439" s="25" t="n">
        <x:v>39</x:v>
      </x:c>
      <x:c r="C439" s="25" t="str">
        <x:v>Round1</x:v>
      </x:c>
      <x:c r="D439" s="25" t="str">
        <x:v>INCONCLUSIVE</x:v>
      </x:c>
      <x:c r="E439" s="25" t="str">
        <x:v>N/A</x:v>
      </x:c>
      <x:c r="F439" s="26" t="str">
        <x:v>Fixed also failed; assertion failure cannot be attributed to this bug</x:v>
      </x:c>
      <x:c r="G439" s="25" t="str">
        <x:v>true</x:v>
      </x:c>
      <x:c r="H439" s="25" t="str">
        <x:v>INCONCLUSIVE</x:v>
      </x:c>
      <x:c r="I439" s="25" t="str">
        <x:v>PASS</x:v>
      </x:c>
      <x:c r="J439" s="25" t="str">
        <x:v>FAIL</x:v>
      </x:c>
      <x:c r="K439" s="25" t="n">
        <x:v>1</x:v>
      </x:c>
      <x:c r="L439" s="27" t="b">
        <x:v>0</x:v>
      </x:c>
      <x:c r="M439" s="25" t="str">
        <x:v>Gemini-3.8-flash/generation_state.json</x:v>
      </x:c>
      <x:c r="N439" s="25" t="str">
        <x:v>Gemini-3.8-flash/Result/JacksonDatabind_39/result.json</x:v>
      </x:c>
      <x:c r="O439" s="25" t="str">
        <x:v>Gemini-3.8-flash/Result/JacksonDatabind_39/result.json</x:v>
      </x:c>
      <x:c r="P439"/>
      <x:c r="Q439" s="21" t="str"/>
      <x:c r="R439" s="21" t="str"/>
      <x:c r="S439" s="21" t="str"/>
      <x:c r="T439" s="17" t="str">
        <x:v>false</x:v>
      </x:c>
      <x:c r="U439" s="17" t="str">
        <x:v>true</x:v>
      </x:c>
      <x:c r="V439" s="17" t="str">
        <x:v>false</x:v>
      </x:c>
    </x:row>
    <x:row r="440" ht="80" customHeight="1">
      <x:c r="A440" s="25" t="str">
        <x:v>JacksonDatabind</x:v>
      </x:c>
      <x:c r="B440" s="25" t="n">
        <x:v>4</x:v>
      </x:c>
      <x:c r="C440" s="25" t="str">
        <x:v>Round1</x:v>
      </x:c>
      <x:c r="D440" s="25" t="str">
        <x:v>NOT_AVAILABLE</x:v>
      </x:c>
      <x:c r="E440" s="25" t="str">
        <x:v>N/A</x:v>
      </x:c>
      <x:c r="F440" s="26" t="str">
        <x:v>Tests exist but current coverage did not complete</x:v>
      </x:c>
      <x:c r="G440" s="25" t="str">
        <x:v>true</x:v>
      </x:c>
      <x:c r="H440" s="25" t="str">
        <x:v>NOT_AVAILABLE</x:v>
      </x:c>
      <x:c r="I440" s="25" t="str">
        <x:v>NOT_RUN</x:v>
      </x:c>
      <x:c r="J440" s="25" t="str">
        <x:v>NOT_RUN</x:v>
      </x:c>
      <x:c r="K440" s="25" t="n">
        <x:v>1</x:v>
      </x:c>
      <x:c r="L440" s="27" t="b">
        <x:v>0</x:v>
      </x:c>
      <x:c r="M440" s="25" t="str">
        <x:v>Gemini-3.8-flash/generation_state.json</x:v>
      </x:c>
      <x:c r="N440" s="25" t="str">
        <x:v>Gemini-3.8-flash/Result/JacksonDatabind_4/result.json</x:v>
      </x:c>
      <x:c r="O440" s="25" t="str">
        <x:v>Gemini-3.8-flash/Result/JacksonDatabind_4/result.json</x:v>
      </x:c>
      <x:c r="P440" t="str">
        <x:v>BOTH_NOT_RUN</x:v>
      </x:c>
      <x:c r="Q440" s="21" t="str"/>
      <x:c r="R440" s="21" t="str"/>
      <x:c r="S440" s="21" t="str"/>
      <x:c r="T440" s="17" t="str">
        <x:v>false</x:v>
      </x:c>
      <x:c r="U440" s="17" t="str">
        <x:v>true</x:v>
      </x:c>
      <x:c r="V440" s="17" t="str">
        <x:v>false</x:v>
      </x:c>
    </x:row>
    <x:row r="441" ht="80" customHeight="1">
      <x:c r="A441" s="25" t="str">
        <x:v>JacksonDatabind</x:v>
      </x:c>
      <x:c r="B441" s="25" t="n">
        <x:v>40</x:v>
      </x:c>
      <x:c r="C441" s="25" t="str">
        <x:v>Round1</x:v>
      </x:c>
      <x:c r="D441" s="25" t="str">
        <x:v>INCONCLUSIVE</x:v>
      </x:c>
      <x:c r="E441" s="25" t="str">
        <x:v>N/A</x:v>
      </x:c>
      <x:c r="F441" s="26" t="str">
        <x:v>Fixed also failed; assertion failure cannot be attributed to this bug</x:v>
      </x:c>
      <x:c r="G441" s="25" t="str">
        <x:v>true</x:v>
      </x:c>
      <x:c r="H441" s="25" t="str">
        <x:v>INCONCLUSIVE</x:v>
      </x:c>
      <x:c r="I441" s="25" t="str">
        <x:v>FAIL</x:v>
      </x:c>
      <x:c r="J441" s="25" t="str">
        <x:v>FAIL</x:v>
      </x:c>
      <x:c r="K441" s="25" t="n">
        <x:v>1</x:v>
      </x:c>
      <x:c r="L441" s="27" t="b">
        <x:v>0</x:v>
      </x:c>
      <x:c r="M441" s="25" t="str">
        <x:v>Gemini-3.8-flash/generation_state.json</x:v>
      </x:c>
      <x:c r="N441" s="25" t="str">
        <x:v>Gemini-3.8-flash/Result/JacksonDatabind_40/result.json</x:v>
      </x:c>
      <x:c r="O441" s="25" t="str">
        <x:v>Gemini-3.8-flash/Result/JacksonDatabind_40/result.json</x:v>
      </x:c>
      <x:c r="P441"/>
      <x:c r="Q441" s="21" t="str"/>
      <x:c r="R441" s="21" t="str"/>
      <x:c r="S441" s="21" t="str"/>
      <x:c r="T441" s="17" t="str">
        <x:v>false</x:v>
      </x:c>
      <x:c r="U441" s="17" t="str">
        <x:v>true</x:v>
      </x:c>
      <x:c r="V441" s="17" t="str">
        <x:v>false</x:v>
      </x:c>
    </x:row>
    <x:row r="442" ht="80" customHeight="1">
      <x:c r="A442" s="25" t="str">
        <x:v>JacksonDatabind</x:v>
      </x:c>
      <x:c r="B442" s="25" t="n">
        <x:v>41</x:v>
      </x:c>
      <x:c r="C442" s="25" t="str">
        <x:v>Round1</x:v>
      </x:c>
      <x:c r="D442" s="25" t="str">
        <x:v>NOT_REVEALING</x:v>
      </x:c>
      <x:c r="E442" s="25" t="str">
        <x:v>N/A</x:v>
      </x:c>
      <x:c r="F442" s="26" t="str">
        <x:v>Same saved validation suite passed on buggy and fixed</x:v>
      </x:c>
      <x:c r="G442" s="25" t="str">
        <x:v>true</x:v>
      </x:c>
      <x:c r="H442" s="25" t="str">
        <x:v>NOT_REVEALING</x:v>
      </x:c>
      <x:c r="I442" s="25" t="str">
        <x:v>PASS</x:v>
      </x:c>
      <x:c r="J442" s="25" t="str">
        <x:v>PASS</x:v>
      </x:c>
      <x:c r="K442" s="25" t="n">
        <x:v>1</x:v>
      </x:c>
      <x:c r="L442" s="27" t="b">
        <x:v>0</x:v>
      </x:c>
      <x:c r="M442" s="25" t="str">
        <x:v>Gemini-3.8-flash/generation_state.json</x:v>
      </x:c>
      <x:c r="N442" s="25" t="str">
        <x:v>Gemini-3.8-flash/Result/JacksonDatabind_41/result.json</x:v>
      </x:c>
      <x:c r="O442" s="25" t="str">
        <x:v>Gemini-3.8-flash/Result/JacksonDatabind_41/result.json</x:v>
      </x:c>
      <x:c r="P442"/>
      <x:c r="Q442" s="21" t="str"/>
      <x:c r="R442" s="21" t="str"/>
      <x:c r="S442" s="21" t="str"/>
      <x:c r="T442" s="17" t="str">
        <x:v>false</x:v>
      </x:c>
      <x:c r="U442" s="17" t="str">
        <x:v>true</x:v>
      </x:c>
      <x:c r="V442" s="17" t="str">
        <x:v>false</x:v>
      </x:c>
    </x:row>
    <x:row r="443" ht="80" customHeight="1">
      <x:c r="A443" s="25" t="str">
        <x:v>JacksonDatabind</x:v>
      </x:c>
      <x:c r="B443" s="25" t="n">
        <x:v>42</x:v>
      </x:c>
      <x:c r="C443" s="25" t="str">
        <x:v>Round1</x:v>
      </x:c>
      <x:c r="D443" s="25" t="str">
        <x:v>NOT_AVAILABLE</x:v>
      </x:c>
      <x:c r="E443" s="25" t="str">
        <x:v>N/A</x:v>
      </x:c>
      <x:c r="F443" s="26" t="str">
        <x:v>fixed compile=FAIL</x:v>
      </x:c>
      <x:c r="G443" s="25" t="str">
        <x:v>true</x:v>
      </x:c>
      <x:c r="H443" s="25" t="str">
        <x:v>NOT_AVAILABLE</x:v>
      </x:c>
      <x:c r="I443" s="25" t="str">
        <x:v>PASS</x:v>
      </x:c>
      <x:c r="J443" s="25" t="str">
        <x:v>NOT_RUN</x:v>
      </x:c>
      <x:c r="K443" s="25" t="n">
        <x:v>1</x:v>
      </x:c>
      <x:c r="L443" s="27" t="b">
        <x:v>0</x:v>
      </x:c>
      <x:c r="M443" s="25" t="str">
        <x:v>Gemini-3.8-flash/generation_state.json</x:v>
      </x:c>
      <x:c r="N443" s="25" t="str">
        <x:v>Gemini-3.8-flash/Result/JacksonDatabind_42/result.json</x:v>
      </x:c>
      <x:c r="O443" s="25" t="str">
        <x:v>Gemini-3.8-flash/Result/JacksonDatabind_42/result.json</x:v>
      </x:c>
      <x:c r="P443" t="str">
        <x:v>FIXED_NOT_RUN</x:v>
      </x:c>
      <x:c r="Q443" s="21" t="str"/>
      <x:c r="R443" s="21" t="str"/>
      <x:c r="S443" s="21" t="str"/>
      <x:c r="T443" s="17" t="str">
        <x:v>false</x:v>
      </x:c>
      <x:c r="U443" s="17" t="str">
        <x:v>true</x:v>
      </x:c>
      <x:c r="V443" s="17" t="str">
        <x:v>false</x:v>
      </x:c>
    </x:row>
    <x:row r="444" ht="80" customHeight="1">
      <x:c r="A444" s="25" t="str">
        <x:v>JacksonDatabind</x:v>
      </x:c>
      <x:c r="B444" s="25" t="n">
        <x:v>43</x:v>
      </x:c>
      <x:c r="C444" s="25" t="str">
        <x:v>Round1</x:v>
      </x:c>
      <x:c r="D444" s="25" t="str">
        <x:v>NOT_AVAILABLE</x:v>
      </x:c>
      <x:c r="E444" s="25" t="str">
        <x:v>N/A</x:v>
      </x:c>
      <x:c r="F444" s="26" t="str">
        <x:v>Tests exist but current coverage did not complete</x:v>
      </x:c>
      <x:c r="G444" s="25" t="str">
        <x:v>true</x:v>
      </x:c>
      <x:c r="H444" s="25" t="str">
        <x:v>NOT_AVAILABLE</x:v>
      </x:c>
      <x:c r="I444" s="25" t="str">
        <x:v>NOT_RUN</x:v>
      </x:c>
      <x:c r="J444" s="25" t="str">
        <x:v>NOT_RUN</x:v>
      </x:c>
      <x:c r="K444" s="25" t="n">
        <x:v>1</x:v>
      </x:c>
      <x:c r="L444" s="27" t="b">
        <x:v>0</x:v>
      </x:c>
      <x:c r="M444" s="25" t="str">
        <x:v>Gemini-3.8-flash/generation_state.json</x:v>
      </x:c>
      <x:c r="N444" s="25" t="str">
        <x:v>Gemini-3.8-flash/Result/JacksonDatabind_43/result.json</x:v>
      </x:c>
      <x:c r="O444" s="25" t="str">
        <x:v>Gemini-3.8-flash/Result/JacksonDatabind_43/result.json</x:v>
      </x:c>
      <x:c r="P444" t="str">
        <x:v>BOTH_NOT_RUN</x:v>
      </x:c>
      <x:c r="Q444" s="21" t="str"/>
      <x:c r="R444" s="21" t="str"/>
      <x:c r="S444" s="21" t="str"/>
      <x:c r="T444" s="17" t="str">
        <x:v>false</x:v>
      </x:c>
      <x:c r="U444" s="17" t="str">
        <x:v>true</x:v>
      </x:c>
      <x:c r="V444" s="17" t="str">
        <x:v>false</x:v>
      </x:c>
    </x:row>
    <x:row r="445" ht="80" customHeight="1">
      <x:c r="A445" s="25" t="str">
        <x:v>JacksonDatabind</x:v>
      </x:c>
      <x:c r="B445" s="25" t="n">
        <x:v>44</x:v>
      </x:c>
      <x:c r="C445" s="25" t="str">
        <x:v>Round1</x:v>
      </x:c>
      <x:c r="D445" s="25" t="str">
        <x:v>NOT_REVEALING</x:v>
      </x:c>
      <x:c r="E445" s="25" t="str">
        <x:v>N/A</x:v>
      </x:c>
      <x:c r="F445" s="26" t="str">
        <x:v>Same saved validation suite passed on buggy and fixed</x:v>
      </x:c>
      <x:c r="G445" s="25" t="str">
        <x:v>true</x:v>
      </x:c>
      <x:c r="H445" s="25" t="str">
        <x:v>NOT_REVEALING</x:v>
      </x:c>
      <x:c r="I445" s="25" t="str">
        <x:v>PASS</x:v>
      </x:c>
      <x:c r="J445" s="25" t="str">
        <x:v>PASS</x:v>
      </x:c>
      <x:c r="K445" s="25" t="n">
        <x:v>1</x:v>
      </x:c>
      <x:c r="L445" s="27" t="b">
        <x:v>0</x:v>
      </x:c>
      <x:c r="M445" s="25" t="str">
        <x:v>Gemini-3.8-flash/generation_state.json</x:v>
      </x:c>
      <x:c r="N445" s="25" t="str">
        <x:v>Gemini-3.8-flash/Result/JacksonDatabind_44/result.json</x:v>
      </x:c>
      <x:c r="O445" s="25" t="str">
        <x:v>Gemini-3.8-flash/Result/JacksonDatabind_44/result.json</x:v>
      </x:c>
      <x:c r="P445"/>
      <x:c r="Q445" s="21" t="str"/>
      <x:c r="R445" s="21" t="str"/>
      <x:c r="S445" s="21" t="str"/>
      <x:c r="T445" s="17" t="str">
        <x:v>false</x:v>
      </x:c>
      <x:c r="U445" s="17" t="str">
        <x:v>true</x:v>
      </x:c>
      <x:c r="V445" s="17" t="str">
        <x:v>false</x:v>
      </x:c>
    </x:row>
    <x:row r="446" ht="80" customHeight="1">
      <x:c r="A446" s="25" t="str">
        <x:v>JacksonDatabind</x:v>
      </x:c>
      <x:c r="B446" s="25" t="n">
        <x:v>45</x:v>
      </x:c>
      <x:c r="C446" s="25" t="str">
        <x:v>Round1</x:v>
      </x:c>
      <x:c r="D446" s="25" t="str">
        <x:v>NOT_AVAILABLE</x:v>
      </x:c>
      <x:c r="E446" s="25" t="str">
        <x:v>N/A</x:v>
      </x:c>
      <x:c r="F446" s="26" t="str">
        <x:v>Tests exist but current coverage did not complete</x:v>
      </x:c>
      <x:c r="G446" s="25" t="str">
        <x:v>true</x:v>
      </x:c>
      <x:c r="H446" s="25" t="str">
        <x:v>NOT_AVAILABLE</x:v>
      </x:c>
      <x:c r="I446" s="25" t="str">
        <x:v>NOT_RUN</x:v>
      </x:c>
      <x:c r="J446" s="25" t="str">
        <x:v>NOT_RUN</x:v>
      </x:c>
      <x:c r="K446" s="25" t="n">
        <x:v>1</x:v>
      </x:c>
      <x:c r="L446" s="27" t="b">
        <x:v>0</x:v>
      </x:c>
      <x:c r="M446" s="25" t="str">
        <x:v>Gemini-3.8-flash/generation_state.json</x:v>
      </x:c>
      <x:c r="N446" s="25" t="str">
        <x:v>Gemini-3.8-flash/Result/JacksonDatabind_45/result.json</x:v>
      </x:c>
      <x:c r="O446" s="25" t="str">
        <x:v>Gemini-3.8-flash/Result/JacksonDatabind_45/result.json</x:v>
      </x:c>
      <x:c r="P446" t="str">
        <x:v>BOTH_NOT_RUN</x:v>
      </x:c>
      <x:c r="Q446" s="21" t="str"/>
      <x:c r="R446" s="21" t="str"/>
      <x:c r="S446" s="21" t="str"/>
      <x:c r="T446" s="17" t="str">
        <x:v>false</x:v>
      </x:c>
      <x:c r="U446" s="17" t="str">
        <x:v>true</x:v>
      </x:c>
      <x:c r="V446" s="17" t="str">
        <x:v>false</x:v>
      </x:c>
    </x:row>
    <x:row r="447" ht="80" customHeight="1">
      <x:c r="A447" s="25" t="str">
        <x:v>JacksonDatabind</x:v>
      </x:c>
      <x:c r="B447" s="25" t="n">
        <x:v>46</x:v>
      </x:c>
      <x:c r="C447" s="25" t="str">
        <x:v>Round1</x:v>
      </x:c>
      <x:c r="D447" s="25" t="str">
        <x:v>NOT_AVAILABLE</x:v>
      </x:c>
      <x:c r="E447" s="25" t="str">
        <x:v>N/A</x:v>
      </x:c>
      <x:c r="F447" s="26" t="str">
        <x:v>Tests exist but current coverage did not complete</x:v>
      </x:c>
      <x:c r="G447" s="25" t="str">
        <x:v>true</x:v>
      </x:c>
      <x:c r="H447" s="25" t="str">
        <x:v>NOT_AVAILABLE</x:v>
      </x:c>
      <x:c r="I447" s="25" t="str">
        <x:v>NOT_RUN</x:v>
      </x:c>
      <x:c r="J447" s="25" t="str">
        <x:v>NOT_RUN</x:v>
      </x:c>
      <x:c r="K447" s="25" t="n">
        <x:v>1</x:v>
      </x:c>
      <x:c r="L447" s="27" t="b">
        <x:v>0</x:v>
      </x:c>
      <x:c r="M447" s="25" t="str">
        <x:v>Gemini-3.8-flash/generation_state.json</x:v>
      </x:c>
      <x:c r="N447" s="25" t="str">
        <x:v>Gemini-3.8-flash/Result/JacksonDatabind_46/result.json</x:v>
      </x:c>
      <x:c r="O447" s="25" t="str">
        <x:v>Gemini-3.8-flash/Result/JacksonDatabind_46/result.json</x:v>
      </x:c>
      <x:c r="P447" t="str">
        <x:v>BOTH_NOT_RUN</x:v>
      </x:c>
      <x:c r="Q447" s="21" t="str"/>
      <x:c r="R447" s="21" t="str"/>
      <x:c r="S447" s="21" t="str"/>
      <x:c r="T447" s="17" t="str">
        <x:v>false</x:v>
      </x:c>
      <x:c r="U447" s="17" t="str">
        <x:v>true</x:v>
      </x:c>
      <x:c r="V447" s="17" t="str">
        <x:v>false</x:v>
      </x:c>
    </x:row>
    <x:row r="448" ht="80" customHeight="1">
      <x:c r="A448" s="25" t="str">
        <x:v>JacksonDatabind</x:v>
      </x:c>
      <x:c r="B448" s="25" t="n">
        <x:v>47</x:v>
      </x:c>
      <x:c r="C448" s="25" t="str">
        <x:v>Round1</x:v>
      </x:c>
      <x:c r="D448" s="25" t="str">
        <x:v>INCONCLUSIVE</x:v>
      </x:c>
      <x:c r="E448" s="25" t="str">
        <x:v>N/A</x:v>
      </x:c>
      <x:c r="F448" s="26" t="str">
        <x:v>Fixed also failed; assertion failure cannot be attributed to this bug</x:v>
      </x:c>
      <x:c r="G448" s="25" t="str">
        <x:v>true</x:v>
      </x:c>
      <x:c r="H448" s="25" t="str">
        <x:v>INCONCLUSIVE</x:v>
      </x:c>
      <x:c r="I448" s="25" t="str">
        <x:v>FAIL</x:v>
      </x:c>
      <x:c r="J448" s="25" t="str">
        <x:v>FAIL</x:v>
      </x:c>
      <x:c r="K448" s="25" t="n">
        <x:v>1</x:v>
      </x:c>
      <x:c r="L448" s="27" t="b">
        <x:v>0</x:v>
      </x:c>
      <x:c r="M448" s="25" t="str">
        <x:v>Gemini-3.8-flash/generation_state.json</x:v>
      </x:c>
      <x:c r="N448" s="25" t="str">
        <x:v>Gemini-3.8-flash/Result/JacksonDatabind_47/result.json</x:v>
      </x:c>
      <x:c r="O448" s="25" t="str">
        <x:v>Gemini-3.8-flash/Result/JacksonDatabind_47/result.json</x:v>
      </x:c>
      <x:c r="P448"/>
      <x:c r="Q448" s="21" t="str"/>
      <x:c r="R448" s="21" t="str"/>
      <x:c r="S448" s="21" t="str"/>
      <x:c r="T448" s="17" t="str">
        <x:v>false</x:v>
      </x:c>
      <x:c r="U448" s="17" t="str">
        <x:v>true</x:v>
      </x:c>
      <x:c r="V448" s="17" t="str">
        <x:v>false</x:v>
      </x:c>
    </x:row>
    <x:row r="449" ht="80" customHeight="1">
      <x:c r="A449" s="25" t="str">
        <x:v>JacksonDatabind</x:v>
      </x:c>
      <x:c r="B449" s="25" t="n">
        <x:v>48</x:v>
      </x:c>
      <x:c r="C449" s="25" t="str">
        <x:v>Round1</x:v>
      </x:c>
      <x:c r="D449" s="25" t="str">
        <x:v>NOT_REVEALING</x:v>
      </x:c>
      <x:c r="E449" s="25" t="str">
        <x:v>N/A</x:v>
      </x:c>
      <x:c r="F449" s="26" t="str">
        <x:v>Same saved validation suite passed on buggy and fixed</x:v>
      </x:c>
      <x:c r="G449" s="25" t="str">
        <x:v>true</x:v>
      </x:c>
      <x:c r="H449" s="25" t="str">
        <x:v>NOT_REVEALING</x:v>
      </x:c>
      <x:c r="I449" s="25" t="str">
        <x:v>PASS</x:v>
      </x:c>
      <x:c r="J449" s="25" t="str">
        <x:v>PASS</x:v>
      </x:c>
      <x:c r="K449" s="25" t="n">
        <x:v>2</x:v>
      </x:c>
      <x:c r="L449" s="27" t="b">
        <x:v>0</x:v>
      </x:c>
      <x:c r="M449" s="25" t="str">
        <x:v>Gemini-3.8-flash/generation_state.json</x:v>
      </x:c>
      <x:c r="N449" s="25" t="str">
        <x:v>Gemini-3.8-flash/Result/JacksonDatabind_48/result.json</x:v>
      </x:c>
      <x:c r="O449" s="25" t="str">
        <x:v>Gemini-3.8-flash/Result/JacksonDatabind_48/result.json</x:v>
      </x:c>
      <x:c r="P449"/>
      <x:c r="Q449" s="21" t="str"/>
      <x:c r="R449" s="21" t="str"/>
      <x:c r="S449" s="21" t="str"/>
      <x:c r="T449" s="17" t="str">
        <x:v>false</x:v>
      </x:c>
      <x:c r="U449" s="17" t="str">
        <x:v>true</x:v>
      </x:c>
      <x:c r="V449" s="17" t="str">
        <x:v>false</x:v>
      </x:c>
    </x:row>
    <x:row r="450" ht="80" customHeight="1">
      <x:c r="A450" s="25" t="str">
        <x:v>JacksonDatabind</x:v>
      </x:c>
      <x:c r="B450" s="25" t="n">
        <x:v>49</x:v>
      </x:c>
      <x:c r="C450" s="25" t="str">
        <x:v>Round1</x:v>
      </x:c>
      <x:c r="D450" s="25" t="str">
        <x:v>NOT_REVEALING</x:v>
      </x:c>
      <x:c r="E450" s="25" t="str">
        <x:v>N/A</x:v>
      </x:c>
      <x:c r="F450" s="26" t="str">
        <x:v>Same saved validation suite passed on buggy and fixed</x:v>
      </x:c>
      <x:c r="G450" s="25" t="str">
        <x:v>true</x:v>
      </x:c>
      <x:c r="H450" s="25" t="str">
        <x:v>NOT_REVEALING</x:v>
      </x:c>
      <x:c r="I450" s="25" t="str">
        <x:v>PASS</x:v>
      </x:c>
      <x:c r="J450" s="25" t="str">
        <x:v>PASS</x:v>
      </x:c>
      <x:c r="K450" s="25" t="n">
        <x:v>1</x:v>
      </x:c>
      <x:c r="L450" s="27" t="b">
        <x:v>0</x:v>
      </x:c>
      <x:c r="M450" s="25" t="str">
        <x:v>Gemini-3.8-flash/generation_state.json</x:v>
      </x:c>
      <x:c r="N450" s="25" t="str">
        <x:v>Gemini-3.8-flash/Result/JacksonDatabind_49/result.json</x:v>
      </x:c>
      <x:c r="O450" s="25" t="str">
        <x:v>Gemini-3.8-flash/Result/JacksonDatabind_49/result.json</x:v>
      </x:c>
      <x:c r="P450"/>
      <x:c r="Q450" s="21" t="str"/>
      <x:c r="R450" s="21" t="str"/>
      <x:c r="S450" s="21" t="str"/>
      <x:c r="T450" s="17" t="str">
        <x:v>false</x:v>
      </x:c>
      <x:c r="U450" s="17" t="str">
        <x:v>true</x:v>
      </x:c>
      <x:c r="V450" s="17" t="str">
        <x:v>false</x:v>
      </x:c>
    </x:row>
    <x:row r="451" ht="80" customHeight="1">
      <x:c r="A451" s="25" t="str">
        <x:v>JacksonDatabind</x:v>
      </x:c>
      <x:c r="B451" s="25" t="n">
        <x:v>5</x:v>
      </x:c>
      <x:c r="C451" s="25" t="str">
        <x:v>Round1</x:v>
      </x:c>
      <x:c r="D451" s="25" t="str">
        <x:v>NOT_REVEALING</x:v>
      </x:c>
      <x:c r="E451" s="25" t="str">
        <x:v>N/A</x:v>
      </x:c>
      <x:c r="F451" s="26" t="str">
        <x:v>Same saved validation suite passed on buggy and fixed</x:v>
      </x:c>
      <x:c r="G451" s="25" t="str">
        <x:v>true</x:v>
      </x:c>
      <x:c r="H451" s="25" t="str">
        <x:v>NOT_REVEALING</x:v>
      </x:c>
      <x:c r="I451" s="25" t="str">
        <x:v>PASS</x:v>
      </x:c>
      <x:c r="J451" s="25" t="str">
        <x:v>PASS</x:v>
      </x:c>
      <x:c r="K451" s="25" t="n">
        <x:v>1</x:v>
      </x:c>
      <x:c r="L451" s="27" t="b">
        <x:v>0</x:v>
      </x:c>
      <x:c r="M451" s="25" t="str">
        <x:v>Gemini-3.8-flash/generation_state.json</x:v>
      </x:c>
      <x:c r="N451" s="25" t="str">
        <x:v>Gemini-3.8-flash/Result/JacksonDatabind_5/result.json</x:v>
      </x:c>
      <x:c r="O451" s="25" t="str">
        <x:v>Gemini-3.8-flash/Result/JacksonDatabind_5/result.json</x:v>
      </x:c>
      <x:c r="P451"/>
      <x:c r="Q451" s="21" t="str"/>
      <x:c r="R451" s="21" t="str"/>
      <x:c r="S451" s="21" t="str"/>
      <x:c r="T451" s="17" t="str">
        <x:v>false</x:v>
      </x:c>
      <x:c r="U451" s="17" t="str">
        <x:v>true</x:v>
      </x:c>
      <x:c r="V451" s="17" t="str">
        <x:v>false</x:v>
      </x:c>
    </x:row>
    <x:row r="452" ht="80" customHeight="1">
      <x:c r="A452" s="25" t="str">
        <x:v>JacksonDatabind</x:v>
      </x:c>
      <x:c r="B452" s="25" t="n">
        <x:v>50</x:v>
      </x:c>
      <x:c r="C452" s="25" t="str">
        <x:v>Round1</x:v>
      </x:c>
      <x:c r="D452" s="25" t="str">
        <x:v>NOT_AVAILABLE</x:v>
      </x:c>
      <x:c r="E452" s="25" t="str">
        <x:v>N/A</x:v>
      </x:c>
      <x:c r="F452" s="26" t="str">
        <x:v>Tests exist but current coverage did not complete</x:v>
      </x:c>
      <x:c r="G452" s="25" t="str">
        <x:v>true</x:v>
      </x:c>
      <x:c r="H452" s="25" t="str">
        <x:v>NOT_AVAILABLE</x:v>
      </x:c>
      <x:c r="I452" s="25" t="str">
        <x:v>NOT_RUN</x:v>
      </x:c>
      <x:c r="J452" s="25" t="str">
        <x:v>NOT_RUN</x:v>
      </x:c>
      <x:c r="K452" s="25" t="n">
        <x:v>1</x:v>
      </x:c>
      <x:c r="L452" s="27" t="b">
        <x:v>0</x:v>
      </x:c>
      <x:c r="M452" s="25" t="str">
        <x:v>Gemini-3.8-flash/generation_state.json</x:v>
      </x:c>
      <x:c r="N452" s="25" t="str">
        <x:v>Gemini-3.8-flash/Result/JacksonDatabind_50/result.json</x:v>
      </x:c>
      <x:c r="O452" s="25" t="str">
        <x:v>Gemini-3.8-flash/Result/JacksonDatabind_50/result.json</x:v>
      </x:c>
      <x:c r="P452" t="str">
        <x:v>BOTH_NOT_RUN</x:v>
      </x:c>
      <x:c r="Q452" s="21" t="str"/>
      <x:c r="R452" s="21" t="str"/>
      <x:c r="S452" s="21" t="str"/>
      <x:c r="T452" s="17" t="str">
        <x:v>false</x:v>
      </x:c>
      <x:c r="U452" s="17" t="str">
        <x:v>true</x:v>
      </x:c>
      <x:c r="V452" s="17" t="str">
        <x:v>false</x:v>
      </x:c>
    </x:row>
    <x:row r="453" ht="80" customHeight="1">
      <x:c r="A453" s="25" t="str">
        <x:v>JacksonDatabind</x:v>
      </x:c>
      <x:c r="B453" s="25" t="n">
        <x:v>51</x:v>
      </x:c>
      <x:c r="C453" s="25" t="str">
        <x:v>Round1</x:v>
      </x:c>
      <x:c r="D453" s="25" t="str">
        <x:v>NOT_REVEALING</x:v>
      </x:c>
      <x:c r="E453" s="25" t="str">
        <x:v>N/A</x:v>
      </x:c>
      <x:c r="F453" s="26" t="str">
        <x:v>Same saved validation suite passed on buggy and fixed</x:v>
      </x:c>
      <x:c r="G453" s="25" t="str">
        <x:v>true</x:v>
      </x:c>
      <x:c r="H453" s="25" t="str">
        <x:v>NOT_REVEALING</x:v>
      </x:c>
      <x:c r="I453" s="25" t="str">
        <x:v>PASS</x:v>
      </x:c>
      <x:c r="J453" s="25" t="str">
        <x:v>PASS</x:v>
      </x:c>
      <x:c r="K453" s="25" t="n">
        <x:v>1</x:v>
      </x:c>
      <x:c r="L453" s="27" t="b">
        <x:v>0</x:v>
      </x:c>
      <x:c r="M453" s="25" t="str">
        <x:v>Gemini-3.8-flash/generation_state.json</x:v>
      </x:c>
      <x:c r="N453" s="25" t="str">
        <x:v>Gemini-3.8-flash/Result/JacksonDatabind_51/result.json</x:v>
      </x:c>
      <x:c r="O453" s="25" t="str">
        <x:v>Gemini-3.8-flash/Result/JacksonDatabind_51/result.json</x:v>
      </x:c>
      <x:c r="P453"/>
      <x:c r="Q453" s="21" t="str"/>
      <x:c r="R453" s="21" t="str"/>
      <x:c r="S453" s="21" t="str"/>
      <x:c r="T453" s="17" t="str">
        <x:v>false</x:v>
      </x:c>
      <x:c r="U453" s="17" t="str">
        <x:v>true</x:v>
      </x:c>
      <x:c r="V453" s="17" t="str">
        <x:v>false</x:v>
      </x:c>
    </x:row>
    <x:row r="454" ht="80" customHeight="1">
      <x:c r="A454" s="25" t="str">
        <x:v>JacksonDatabind</x:v>
      </x:c>
      <x:c r="B454" s="25" t="n">
        <x:v>52</x:v>
      </x:c>
      <x:c r="C454" s="25" t="str">
        <x:v>Round1</x:v>
      </x:c>
      <x:c r="D454" s="25" t="str">
        <x:v>INCONCLUSIVE</x:v>
      </x:c>
      <x:c r="E454" s="25" t="str">
        <x:v>N/A</x:v>
      </x:c>
      <x:c r="F454" s="26" t="str">
        <x:v>Fixed also failed; assertion failure cannot be attributed to this bug</x:v>
      </x:c>
      <x:c r="G454" s="25" t="str">
        <x:v>true</x:v>
      </x:c>
      <x:c r="H454" s="25" t="str">
        <x:v>INCONCLUSIVE</x:v>
      </x:c>
      <x:c r="I454" s="25" t="str">
        <x:v>FAIL</x:v>
      </x:c>
      <x:c r="J454" s="25" t="str">
        <x:v>FAIL</x:v>
      </x:c>
      <x:c r="K454" s="25" t="n">
        <x:v>2</x:v>
      </x:c>
      <x:c r="L454" s="27" t="b">
        <x:v>0</x:v>
      </x:c>
      <x:c r="M454" s="25" t="str">
        <x:v>Gemini-3.8-flash/generation_state.json</x:v>
      </x:c>
      <x:c r="N454" s="25" t="str">
        <x:v>Gemini-3.8-flash/Result/JacksonDatabind_52/result.json</x:v>
      </x:c>
      <x:c r="O454" s="25" t="str">
        <x:v>Gemini-3.8-flash/Result/JacksonDatabind_52/result.json</x:v>
      </x:c>
      <x:c r="P454"/>
      <x:c r="Q454" s="21" t="str"/>
      <x:c r="R454" s="21" t="str"/>
      <x:c r="S454" s="21" t="str"/>
      <x:c r="T454" s="17" t="str">
        <x:v>false</x:v>
      </x:c>
      <x:c r="U454" s="17" t="str">
        <x:v>true</x:v>
      </x:c>
      <x:c r="V454" s="17" t="str">
        <x:v>false</x:v>
      </x:c>
    </x:row>
    <x:row r="455" ht="80" customHeight="1">
      <x:c r="A455" s="25" t="str">
        <x:v>JacksonDatabind</x:v>
      </x:c>
      <x:c r="B455" s="25" t="n">
        <x:v>53</x:v>
      </x:c>
      <x:c r="C455" s="25" t="str">
        <x:v>Round1</x:v>
      </x:c>
      <x:c r="D455" s="25" t="str">
        <x:v>NOT_REVEALING</x:v>
      </x:c>
      <x:c r="E455" s="25" t="str">
        <x:v>N/A</x:v>
      </x:c>
      <x:c r="F455" s="26" t="str">
        <x:v>Same saved validation suite passed on buggy and fixed</x:v>
      </x:c>
      <x:c r="G455" s="25" t="str">
        <x:v>true</x:v>
      </x:c>
      <x:c r="H455" s="25" t="str">
        <x:v>NOT_REVEALING</x:v>
      </x:c>
      <x:c r="I455" s="25" t="str">
        <x:v>PASS</x:v>
      </x:c>
      <x:c r="J455" s="25" t="str">
        <x:v>PASS</x:v>
      </x:c>
      <x:c r="K455" s="25" t="n">
        <x:v>2</x:v>
      </x:c>
      <x:c r="L455" s="27" t="b">
        <x:v>0</x:v>
      </x:c>
      <x:c r="M455" s="25" t="str">
        <x:v>Gemini-3.8-flash/generation_state.json</x:v>
      </x:c>
      <x:c r="N455" s="25" t="str">
        <x:v>Gemini-3.8-flash/Result/JacksonDatabind_53/result.json</x:v>
      </x:c>
      <x:c r="O455" s="25" t="str">
        <x:v>Gemini-3.8-flash/Result/JacksonDatabind_53/result.json</x:v>
      </x:c>
      <x:c r="P455"/>
      <x:c r="Q455" s="21" t="str"/>
      <x:c r="R455" s="21" t="str"/>
      <x:c r="S455" s="21" t="str"/>
      <x:c r="T455" s="17" t="str">
        <x:v>false</x:v>
      </x:c>
      <x:c r="U455" s="17" t="str">
        <x:v>true</x:v>
      </x:c>
      <x:c r="V455" s="17" t="str">
        <x:v>false</x:v>
      </x:c>
    </x:row>
    <x:row r="456" ht="80" customHeight="1">
      <x:c r="A456" s="25" t="str">
        <x:v>JacksonDatabind</x:v>
      </x:c>
      <x:c r="B456" s="25" t="n">
        <x:v>54</x:v>
      </x:c>
      <x:c r="C456" s="25" t="str">
        <x:v>Round1</x:v>
      </x:c>
      <x:c r="D456" s="25" t="str">
        <x:v>NOT_REVEALING</x:v>
      </x:c>
      <x:c r="E456" s="25" t="str">
        <x:v>N/A</x:v>
      </x:c>
      <x:c r="F456" s="26" t="str">
        <x:v>Same saved validation suite passed on buggy and fixed</x:v>
      </x:c>
      <x:c r="G456" s="25" t="str">
        <x:v>true</x:v>
      </x:c>
      <x:c r="H456" s="25" t="str">
        <x:v>NOT_REVEALING</x:v>
      </x:c>
      <x:c r="I456" s="25" t="str">
        <x:v>PASS</x:v>
      </x:c>
      <x:c r="J456" s="25" t="str">
        <x:v>PASS</x:v>
      </x:c>
      <x:c r="K456" s="25" t="n">
        <x:v>1</x:v>
      </x:c>
      <x:c r="L456" s="27" t="b">
        <x:v>0</x:v>
      </x:c>
      <x:c r="M456" s="25" t="str">
        <x:v>Gemini-3.8-flash/generation_state.json</x:v>
      </x:c>
      <x:c r="N456" s="25" t="str">
        <x:v>Gemini-3.8-flash/Result/JacksonDatabind_54/result.json</x:v>
      </x:c>
      <x:c r="O456" s="25" t="str">
        <x:v>Gemini-3.8-flash/Result/JacksonDatabind_54/result.json</x:v>
      </x:c>
      <x:c r="P456"/>
      <x:c r="Q456" s="21" t="str"/>
      <x:c r="R456" s="21" t="str"/>
      <x:c r="S456" s="21" t="str"/>
      <x:c r="T456" s="17" t="str">
        <x:v>false</x:v>
      </x:c>
      <x:c r="U456" s="17" t="str">
        <x:v>true</x:v>
      </x:c>
      <x:c r="V456" s="17" t="str">
        <x:v>false</x:v>
      </x:c>
    </x:row>
    <x:row r="457" ht="80" customHeight="1">
      <x:c r="A457" s="25" t="str">
        <x:v>JacksonDatabind</x:v>
      </x:c>
      <x:c r="B457" s="25" t="n">
        <x:v>55</x:v>
      </x:c>
      <x:c r="C457" s="25" t="str">
        <x:v>Round1</x:v>
      </x:c>
      <x:c r="D457" s="25" t="str">
        <x:v>INCONCLUSIVE</x:v>
      </x:c>
      <x:c r="E457" s="25" t="str">
        <x:v>N/A</x:v>
      </x:c>
      <x:c r="F457" s="26" t="str">
        <x:v>Fixed also failed; assertion failure cannot be attributed to this bug</x:v>
      </x:c>
      <x:c r="G457" s="25" t="str">
        <x:v>true</x:v>
      </x:c>
      <x:c r="H457" s="25" t="str">
        <x:v>INCONCLUSIVE</x:v>
      </x:c>
      <x:c r="I457" s="25" t="str">
        <x:v>FAIL</x:v>
      </x:c>
      <x:c r="J457" s="25" t="str">
        <x:v>FAIL</x:v>
      </x:c>
      <x:c r="K457" s="25" t="n">
        <x:v>1</x:v>
      </x:c>
      <x:c r="L457" s="27" t="b">
        <x:v>0</x:v>
      </x:c>
      <x:c r="M457" s="25" t="str">
        <x:v>Gemini-3.8-flash/generation_state.json</x:v>
      </x:c>
      <x:c r="N457" s="25" t="str">
        <x:v>Gemini-3.8-flash/Result/JacksonDatabind_55/result.json</x:v>
      </x:c>
      <x:c r="O457" s="25" t="str">
        <x:v>Gemini-3.8-flash/Result/JacksonDatabind_55/result.json</x:v>
      </x:c>
      <x:c r="P457"/>
      <x:c r="Q457" s="21" t="str"/>
      <x:c r="R457" s="21" t="str"/>
      <x:c r="S457" s="21" t="str"/>
      <x:c r="T457" s="17" t="str">
        <x:v>false</x:v>
      </x:c>
      <x:c r="U457" s="17" t="str">
        <x:v>true</x:v>
      </x:c>
      <x:c r="V457" s="17" t="str">
        <x:v>false</x:v>
      </x:c>
    </x:row>
    <x:row r="458" ht="80" customHeight="1">
      <x:c r="A458" s="25" t="str">
        <x:v>JacksonDatabind</x:v>
      </x:c>
      <x:c r="B458" s="25" t="n">
        <x:v>56</x:v>
      </x:c>
      <x:c r="C458" s="25" t="str">
        <x:v>Round1</x:v>
      </x:c>
      <x:c r="D458" s="25" t="str">
        <x:v>NOT_REVEALING</x:v>
      </x:c>
      <x:c r="E458" s="25" t="str">
        <x:v>N/A</x:v>
      </x:c>
      <x:c r="F458" s="26" t="str">
        <x:v>Same saved validation suite passed on buggy and fixed</x:v>
      </x:c>
      <x:c r="G458" s="25" t="str">
        <x:v>true</x:v>
      </x:c>
      <x:c r="H458" s="25" t="str">
        <x:v>NOT_REVEALING</x:v>
      </x:c>
      <x:c r="I458" s="25" t="str">
        <x:v>PASS</x:v>
      </x:c>
      <x:c r="J458" s="25" t="str">
        <x:v>PASS</x:v>
      </x:c>
      <x:c r="K458" s="25" t="n">
        <x:v>1</x:v>
      </x:c>
      <x:c r="L458" s="27" t="b">
        <x:v>0</x:v>
      </x:c>
      <x:c r="M458" s="25" t="str">
        <x:v>Gemini-3.8-flash/generation_state.json</x:v>
      </x:c>
      <x:c r="N458" s="25" t="str">
        <x:v>Gemini-3.8-flash/Result/JacksonDatabind_56/result.json</x:v>
      </x:c>
      <x:c r="O458" s="25" t="str">
        <x:v>Gemini-3.8-flash/Result/JacksonDatabind_56/result.json</x:v>
      </x:c>
      <x:c r="P458"/>
      <x:c r="Q458" s="21" t="str"/>
      <x:c r="R458" s="21" t="str"/>
      <x:c r="S458" s="21" t="str"/>
      <x:c r="T458" s="17" t="str">
        <x:v>false</x:v>
      </x:c>
      <x:c r="U458" s="17" t="str">
        <x:v>true</x:v>
      </x:c>
      <x:c r="V458" s="17" t="str">
        <x:v>false</x:v>
      </x:c>
    </x:row>
    <x:row r="459" ht="80" customHeight="1">
      <x:c r="A459" s="25" t="str">
        <x:v>JacksonDatabind</x:v>
      </x:c>
      <x:c r="B459" s="25" t="n">
        <x:v>57</x:v>
      </x:c>
      <x:c r="C459" s="25" t="str">
        <x:v>Round1</x:v>
      </x:c>
      <x:c r="D459" s="25" t="str">
        <x:v>NOT_REVEALING</x:v>
      </x:c>
      <x:c r="E459" s="25" t="str">
        <x:v>N/A</x:v>
      </x:c>
      <x:c r="F459" s="26" t="str">
        <x:v>Same saved validation suite passed on buggy and fixed</x:v>
      </x:c>
      <x:c r="G459" s="25" t="str">
        <x:v>true</x:v>
      </x:c>
      <x:c r="H459" s="25" t="str">
        <x:v>NOT_REVEALING</x:v>
      </x:c>
      <x:c r="I459" s="25" t="str">
        <x:v>PASS</x:v>
      </x:c>
      <x:c r="J459" s="25" t="str">
        <x:v>PASS</x:v>
      </x:c>
      <x:c r="K459" s="25" t="n">
        <x:v>1</x:v>
      </x:c>
      <x:c r="L459" s="27" t="b">
        <x:v>0</x:v>
      </x:c>
      <x:c r="M459" s="25" t="str">
        <x:v>Gemini-3.8-flash/generation_state.json</x:v>
      </x:c>
      <x:c r="N459" s="25" t="str">
        <x:v>Gemini-3.8-flash/Result/JacksonDatabind_57/result.json</x:v>
      </x:c>
      <x:c r="O459" s="25" t="str">
        <x:v>Gemini-3.8-flash/Result/JacksonDatabind_57/result.json</x:v>
      </x:c>
      <x:c r="P459"/>
      <x:c r="Q459" s="21" t="str"/>
      <x:c r="R459" s="21" t="str"/>
      <x:c r="S459" s="21" t="str"/>
      <x:c r="T459" s="17" t="str">
        <x:v>false</x:v>
      </x:c>
      <x:c r="U459" s="17" t="str">
        <x:v>true</x:v>
      </x:c>
      <x:c r="V459" s="17" t="str">
        <x:v>false</x:v>
      </x:c>
    </x:row>
    <x:row r="460" ht="80" customHeight="1">
      <x:c r="A460" s="25" t="str">
        <x:v>JacksonDatabind</x:v>
      </x:c>
      <x:c r="B460" s="25" t="n">
        <x:v>58</x:v>
      </x:c>
      <x:c r="C460" s="25" t="str">
        <x:v>Round1</x:v>
      </x:c>
      <x:c r="D460" s="25" t="str">
        <x:v>NOT_AVAILABLE</x:v>
      </x:c>
      <x:c r="E460" s="25" t="str">
        <x:v>N/A</x:v>
      </x:c>
      <x:c r="F460" s="26" t="str">
        <x:v>Tests exist but current coverage did not complete</x:v>
      </x:c>
      <x:c r="G460" s="25" t="str">
        <x:v>true</x:v>
      </x:c>
      <x:c r="H460" s="25" t="str">
        <x:v>NOT_AVAILABLE</x:v>
      </x:c>
      <x:c r="I460" s="25" t="str">
        <x:v>NOT_RUN</x:v>
      </x:c>
      <x:c r="J460" s="25" t="str">
        <x:v>NOT_RUN</x:v>
      </x:c>
      <x:c r="K460" s="25" t="n">
        <x:v>1</x:v>
      </x:c>
      <x:c r="L460" s="27" t="b">
        <x:v>0</x:v>
      </x:c>
      <x:c r="M460" s="25" t="str">
        <x:v>Gemini-3.8-flash/generation_state.json</x:v>
      </x:c>
      <x:c r="N460" s="25" t="str">
        <x:v>Gemini-3.8-flash/Result/JacksonDatabind_58/result.json</x:v>
      </x:c>
      <x:c r="O460" s="25" t="str">
        <x:v>Gemini-3.8-flash/Result/JacksonDatabind_58/result.json</x:v>
      </x:c>
      <x:c r="P460" t="str">
        <x:v>BOTH_NOT_RUN</x:v>
      </x:c>
      <x:c r="Q460" s="21" t="str"/>
      <x:c r="R460" s="21" t="str"/>
      <x:c r="S460" s="21" t="str"/>
      <x:c r="T460" s="17" t="str">
        <x:v>false</x:v>
      </x:c>
      <x:c r="U460" s="17" t="str">
        <x:v>true</x:v>
      </x:c>
      <x:c r="V460" s="17" t="str">
        <x:v>false</x:v>
      </x:c>
    </x:row>
    <x:row r="461" ht="80" customHeight="1">
      <x:c r="A461" s="25" t="str">
        <x:v>JacksonDatabind</x:v>
      </x:c>
      <x:c r="B461" s="25" t="n">
        <x:v>59</x:v>
      </x:c>
      <x:c r="C461" s="25" t="str">
        <x:v>Round1</x:v>
      </x:c>
      <x:c r="D461" s="25" t="str">
        <x:v>NOT_REVEALING</x:v>
      </x:c>
      <x:c r="E461" s="25" t="str">
        <x:v>N/A</x:v>
      </x:c>
      <x:c r="F461" s="26" t="str">
        <x:v>Same saved validation suite passed on buggy and fixed</x:v>
      </x:c>
      <x:c r="G461" s="25" t="str">
        <x:v>true</x:v>
      </x:c>
      <x:c r="H461" s="25" t="str">
        <x:v>NOT_REVEALING</x:v>
      </x:c>
      <x:c r="I461" s="25" t="str">
        <x:v>PASS</x:v>
      </x:c>
      <x:c r="J461" s="25" t="str">
        <x:v>PASS</x:v>
      </x:c>
      <x:c r="K461" s="25" t="n">
        <x:v>4</x:v>
      </x:c>
      <x:c r="L461" s="27" t="b">
        <x:v>0</x:v>
      </x:c>
      <x:c r="M461" s="25" t="str">
        <x:v>Gemini-3.8-flash/generation_state.json</x:v>
      </x:c>
      <x:c r="N461" s="25" t="str">
        <x:v>Gemini-3.8-flash/Result/JacksonDatabind_59/result.json</x:v>
      </x:c>
      <x:c r="O461" s="25" t="str">
        <x:v>Gemini-3.8-flash/Result/JacksonDatabind_59/result.json</x:v>
      </x:c>
      <x:c r="P461"/>
      <x:c r="Q461" s="21" t="str"/>
      <x:c r="R461" s="21" t="str"/>
      <x:c r="S461" s="21" t="str"/>
      <x:c r="T461" s="17" t="str">
        <x:v>false</x:v>
      </x:c>
      <x:c r="U461" s="17" t="str">
        <x:v>true</x:v>
      </x:c>
      <x:c r="V461" s="17" t="str">
        <x:v>false</x:v>
      </x:c>
    </x:row>
    <x:row r="462" ht="80" customHeight="1">
      <x:c r="A462" s="25" t="str">
        <x:v>JacksonDatabind</x:v>
      </x:c>
      <x:c r="B462" s="25" t="n">
        <x:v>6</x:v>
      </x:c>
      <x:c r="C462" s="25" t="str">
        <x:v>Round1</x:v>
      </x:c>
      <x:c r="D462" s="25" t="str">
        <x:v>NOT_REVEALING</x:v>
      </x:c>
      <x:c r="E462" s="25" t="str">
        <x:v>N/A</x:v>
      </x:c>
      <x:c r="F462" s="26" t="str">
        <x:v>Same saved validation suite passed on buggy and fixed</x:v>
      </x:c>
      <x:c r="G462" s="25" t="str">
        <x:v>true</x:v>
      </x:c>
      <x:c r="H462" s="25" t="str">
        <x:v>NOT_REVEALING</x:v>
      </x:c>
      <x:c r="I462" s="25" t="str">
        <x:v>PASS</x:v>
      </x:c>
      <x:c r="J462" s="25" t="str">
        <x:v>PASS</x:v>
      </x:c>
      <x:c r="K462" s="25" t="n">
        <x:v>1</x:v>
      </x:c>
      <x:c r="L462" s="27" t="b">
        <x:v>0</x:v>
      </x:c>
      <x:c r="M462" s="25" t="str">
        <x:v>Gemini-3.8-flash/generation_state.json</x:v>
      </x:c>
      <x:c r="N462" s="25" t="str">
        <x:v>Gemini-3.8-flash/Result/JacksonDatabind_6/result.json</x:v>
      </x:c>
      <x:c r="O462" s="25" t="str">
        <x:v>Gemini-3.8-flash/Result/JacksonDatabind_6/result.json</x:v>
      </x:c>
      <x:c r="P462"/>
      <x:c r="Q462" s="21" t="str"/>
      <x:c r="R462" s="21" t="str"/>
      <x:c r="S462" s="21" t="str"/>
      <x:c r="T462" s="17" t="str">
        <x:v>false</x:v>
      </x:c>
      <x:c r="U462" s="17" t="str">
        <x:v>true</x:v>
      </x:c>
      <x:c r="V462" s="17" t="str">
        <x:v>false</x:v>
      </x:c>
    </x:row>
    <x:row r="463" ht="80" customHeight="1">
      <x:c r="A463" s="25" t="str">
        <x:v>JacksonDatabind</x:v>
      </x:c>
      <x:c r="B463" s="25" t="n">
        <x:v>60</x:v>
      </x:c>
      <x:c r="C463" s="25" t="str">
        <x:v>Round1</x:v>
      </x:c>
      <x:c r="D463" s="25" t="str">
        <x:v>NOT_REVEALING</x:v>
      </x:c>
      <x:c r="E463" s="25" t="str">
        <x:v>N/A</x:v>
      </x:c>
      <x:c r="F463" s="26" t="str">
        <x:v>Same saved validation suite passed on buggy and fixed</x:v>
      </x:c>
      <x:c r="G463" s="25" t="str">
        <x:v>true</x:v>
      </x:c>
      <x:c r="H463" s="25" t="str">
        <x:v>NOT_REVEALING</x:v>
      </x:c>
      <x:c r="I463" s="25" t="str">
        <x:v>PASS</x:v>
      </x:c>
      <x:c r="J463" s="25" t="str">
        <x:v>PASS</x:v>
      </x:c>
      <x:c r="K463" s="25" t="n">
        <x:v>1</x:v>
      </x:c>
      <x:c r="L463" s="27" t="b">
        <x:v>0</x:v>
      </x:c>
      <x:c r="M463" s="25" t="str">
        <x:v>Gemini-3.8-flash/generation_state.json</x:v>
      </x:c>
      <x:c r="N463" s="25" t="str">
        <x:v>Gemini-3.8-flash/Result/JacksonDatabind_60/result.json</x:v>
      </x:c>
      <x:c r="O463" s="25" t="str">
        <x:v>Gemini-3.8-flash/Result/JacksonDatabind_60/result.json</x:v>
      </x:c>
      <x:c r="P463"/>
      <x:c r="Q463" s="21" t="str"/>
      <x:c r="R463" s="21" t="str"/>
      <x:c r="S463" s="21" t="str"/>
      <x:c r="T463" s="17" t="str">
        <x:v>false</x:v>
      </x:c>
      <x:c r="U463" s="17" t="str">
        <x:v>true</x:v>
      </x:c>
      <x:c r="V463" s="17" t="str">
        <x:v>false</x:v>
      </x:c>
    </x:row>
    <x:row r="464" ht="80" customHeight="1">
      <x:c r="A464" s="25" t="str">
        <x:v>JacksonDatabind</x:v>
      </x:c>
      <x:c r="B464" s="25" t="n">
        <x:v>61</x:v>
      </x:c>
      <x:c r="C464" s="25" t="str">
        <x:v>Round1</x:v>
      </x:c>
      <x:c r="D464" s="25" t="str">
        <x:v>INCONCLUSIVE</x:v>
      </x:c>
      <x:c r="E464" s="25" t="str">
        <x:v>N/A</x:v>
      </x:c>
      <x:c r="F464" s="26" t="str">
        <x:v>Fixed also failed; assertion failure cannot be attributed to this bug</x:v>
      </x:c>
      <x:c r="G464" s="25" t="str">
        <x:v>true</x:v>
      </x:c>
      <x:c r="H464" s="25" t="str">
        <x:v>INCONCLUSIVE</x:v>
      </x:c>
      <x:c r="I464" s="25" t="str">
        <x:v>FAIL</x:v>
      </x:c>
      <x:c r="J464" s="25" t="str">
        <x:v>FAIL</x:v>
      </x:c>
      <x:c r="K464" s="25" t="n">
        <x:v>2</x:v>
      </x:c>
      <x:c r="L464" s="27" t="b">
        <x:v>0</x:v>
      </x:c>
      <x:c r="M464" s="25" t="str">
        <x:v>Gemini-3.8-flash/generation_state.json</x:v>
      </x:c>
      <x:c r="N464" s="25" t="str">
        <x:v>Gemini-3.8-flash/Result/JacksonDatabind_61/result.json</x:v>
      </x:c>
      <x:c r="O464" s="25" t="str">
        <x:v>Gemini-3.8-flash/Result/JacksonDatabind_61/result.json</x:v>
      </x:c>
      <x:c r="P464"/>
      <x:c r="Q464" s="21" t="str"/>
      <x:c r="R464" s="21" t="str"/>
      <x:c r="S464" s="21" t="str"/>
      <x:c r="T464" s="17" t="str">
        <x:v>false</x:v>
      </x:c>
      <x:c r="U464" s="17" t="str">
        <x:v>true</x:v>
      </x:c>
      <x:c r="V464" s="17" t="str">
        <x:v>false</x:v>
      </x:c>
    </x:row>
    <x:row r="465" ht="80" customHeight="1">
      <x:c r="A465" s="25" t="str">
        <x:v>JacksonDatabind</x:v>
      </x:c>
      <x:c r="B465" s="25" t="n">
        <x:v>62</x:v>
      </x:c>
      <x:c r="C465" s="25" t="str">
        <x:v>Round1</x:v>
      </x:c>
      <x:c r="D465" s="25" t="str">
        <x:v>INCONCLUSIVE</x:v>
      </x:c>
      <x:c r="E465" s="25" t="str">
        <x:v>N/A</x:v>
      </x:c>
      <x:c r="F465" s="26" t="str">
        <x:v>Fixed also failed; assertion failure cannot be attributed to this bug</x:v>
      </x:c>
      <x:c r="G465" s="25" t="str">
        <x:v>true</x:v>
      </x:c>
      <x:c r="H465" s="25" t="str">
        <x:v>INCONCLUSIVE</x:v>
      </x:c>
      <x:c r="I465" s="25" t="str">
        <x:v>FAIL</x:v>
      </x:c>
      <x:c r="J465" s="25" t="str">
        <x:v>FAIL</x:v>
      </x:c>
      <x:c r="K465" s="25" t="n">
        <x:v>1</x:v>
      </x:c>
      <x:c r="L465" s="27" t="b">
        <x:v>0</x:v>
      </x:c>
      <x:c r="M465" s="25" t="str">
        <x:v>Gemini-3.8-flash/generation_state.json</x:v>
      </x:c>
      <x:c r="N465" s="25" t="str">
        <x:v>Gemini-3.8-flash/Result/JacksonDatabind_62/result.json</x:v>
      </x:c>
      <x:c r="O465" s="25" t="str">
        <x:v>Gemini-3.8-flash/Result/JacksonDatabind_62/result.json</x:v>
      </x:c>
      <x:c r="P465"/>
      <x:c r="Q465" s="21" t="str"/>
      <x:c r="R465" s="21" t="str"/>
      <x:c r="S465" s="21" t="str"/>
      <x:c r="T465" s="17" t="str">
        <x:v>false</x:v>
      </x:c>
      <x:c r="U465" s="17" t="str">
        <x:v>true</x:v>
      </x:c>
      <x:c r="V465" s="17" t="str">
        <x:v>false</x:v>
      </x:c>
    </x:row>
    <x:row r="466" ht="80" customHeight="1">
      <x:c r="A466" s="25" t="str">
        <x:v>JacksonDatabind</x:v>
      </x:c>
      <x:c r="B466" s="25" t="n">
        <x:v>63</x:v>
      </x:c>
      <x:c r="C466" s="25" t="str">
        <x:v>Round1</x:v>
      </x:c>
      <x:c r="D466" s="25" t="str">
        <x:v>NOT_AVAILABLE</x:v>
      </x:c>
      <x:c r="E466" s="25" t="str">
        <x:v>N/A</x:v>
      </x:c>
      <x:c r="F466" s="26" t="str">
        <x:v>Tests exist but current coverage did not complete</x:v>
      </x:c>
      <x:c r="G466" s="25" t="str">
        <x:v>true</x:v>
      </x:c>
      <x:c r="H466" s="25" t="str">
        <x:v>NOT_AVAILABLE</x:v>
      </x:c>
      <x:c r="I466" s="25" t="str">
        <x:v>NOT_RUN</x:v>
      </x:c>
      <x:c r="J466" s="25" t="str">
        <x:v>NOT_RUN</x:v>
      </x:c>
      <x:c r="K466" s="25" t="n">
        <x:v>1</x:v>
      </x:c>
      <x:c r="L466" s="27" t="b">
        <x:v>0</x:v>
      </x:c>
      <x:c r="M466" s="25" t="str">
        <x:v>Gemini-3.8-flash/generation_state.json</x:v>
      </x:c>
      <x:c r="N466" s="25" t="str">
        <x:v>Gemini-3.8-flash/Result/JacksonDatabind_63/result.json</x:v>
      </x:c>
      <x:c r="O466" s="25" t="str">
        <x:v>Gemini-3.8-flash/Result/JacksonDatabind_63/result.json</x:v>
      </x:c>
      <x:c r="P466" t="str">
        <x:v>BOTH_NOT_RUN</x:v>
      </x:c>
      <x:c r="Q466" s="21" t="str"/>
      <x:c r="R466" s="21" t="str"/>
      <x:c r="S466" s="21" t="str"/>
      <x:c r="T466" s="17" t="str">
        <x:v>false</x:v>
      </x:c>
      <x:c r="U466" s="17" t="str">
        <x:v>true</x:v>
      </x:c>
      <x:c r="V466" s="17" t="str">
        <x:v>false</x:v>
      </x:c>
    </x:row>
    <x:row r="467" ht="80" customHeight="1">
      <x:c r="A467" s="25" t="str">
        <x:v>JacksonDatabind</x:v>
      </x:c>
      <x:c r="B467" s="25" t="n">
        <x:v>64</x:v>
      </x:c>
      <x:c r="C467" s="25" t="str">
        <x:v>Round1</x:v>
      </x:c>
      <x:c r="D467" s="25" t="str">
        <x:v>NOT_REVEALING</x:v>
      </x:c>
      <x:c r="E467" s="25" t="str">
        <x:v>N/A</x:v>
      </x:c>
      <x:c r="F467" s="26" t="str">
        <x:v>Same saved validation suite passed on buggy and fixed</x:v>
      </x:c>
      <x:c r="G467" s="25" t="str">
        <x:v>true</x:v>
      </x:c>
      <x:c r="H467" s="25" t="str">
        <x:v>NOT_REVEALING</x:v>
      </x:c>
      <x:c r="I467" s="25" t="str">
        <x:v>PASS</x:v>
      </x:c>
      <x:c r="J467" s="25" t="str">
        <x:v>PASS</x:v>
      </x:c>
      <x:c r="K467" s="25" t="n">
        <x:v>1</x:v>
      </x:c>
      <x:c r="L467" s="27" t="b">
        <x:v>0</x:v>
      </x:c>
      <x:c r="M467" s="25" t="str">
        <x:v>Gemini-3.8-flash/generation_state.json</x:v>
      </x:c>
      <x:c r="N467" s="25" t="str">
        <x:v>Gemini-3.8-flash/Result/JacksonDatabind_64/result.json</x:v>
      </x:c>
      <x:c r="O467" s="25" t="str">
        <x:v>Gemini-3.8-flash/Result/JacksonDatabind_64/result.json</x:v>
      </x:c>
      <x:c r="P467"/>
      <x:c r="Q467" s="21" t="str"/>
      <x:c r="R467" s="21" t="str"/>
      <x:c r="S467" s="21" t="str"/>
      <x:c r="T467" s="17" t="str">
        <x:v>false</x:v>
      </x:c>
      <x:c r="U467" s="17" t="str">
        <x:v>true</x:v>
      </x:c>
      <x:c r="V467" s="17" t="str">
        <x:v>false</x:v>
      </x:c>
    </x:row>
    <x:row r="468" ht="80" customHeight="1">
      <x:c r="A468" s="25" t="str">
        <x:v>JacksonDatabind</x:v>
      </x:c>
      <x:c r="B468" s="25" t="n">
        <x:v>66</x:v>
      </x:c>
      <x:c r="C468" s="25" t="str">
        <x:v>Round1</x:v>
      </x:c>
      <x:c r="D468" s="25" t="str">
        <x:v>NOT_AVAILABLE</x:v>
      </x:c>
      <x:c r="E468" s="25" t="str">
        <x:v>N/A</x:v>
      </x:c>
      <x:c r="F468" s="26" t="str">
        <x:v>Tests exist but current coverage did not complete</x:v>
      </x:c>
      <x:c r="G468" s="25" t="str">
        <x:v>true</x:v>
      </x:c>
      <x:c r="H468" s="25" t="str">
        <x:v>NOT_AVAILABLE</x:v>
      </x:c>
      <x:c r="I468" s="25" t="str">
        <x:v>NOT_RUN</x:v>
      </x:c>
      <x:c r="J468" s="25" t="str">
        <x:v>NOT_RUN</x:v>
      </x:c>
      <x:c r="K468" s="25" t="n">
        <x:v>1</x:v>
      </x:c>
      <x:c r="L468" s="27" t="b">
        <x:v>0</x:v>
      </x:c>
      <x:c r="M468" s="25" t="str">
        <x:v>Gemini-3.8-flash/generation_state.json</x:v>
      </x:c>
      <x:c r="N468" s="25" t="str">
        <x:v>Gemini-3.8-flash/Result/JacksonDatabind_66/result.json</x:v>
      </x:c>
      <x:c r="O468" s="25" t="str">
        <x:v>Gemini-3.8-flash/Result/JacksonDatabind_66/result.json</x:v>
      </x:c>
      <x:c r="P468" t="str">
        <x:v>BOTH_NOT_RUN</x:v>
      </x:c>
      <x:c r="Q468" s="21" t="str"/>
      <x:c r="R468" s="21" t="str"/>
      <x:c r="S468" s="21" t="str"/>
      <x:c r="T468" s="17" t="str">
        <x:v>false</x:v>
      </x:c>
      <x:c r="U468" s="17" t="str">
        <x:v>true</x:v>
      </x:c>
      <x:c r="V468" s="17" t="str">
        <x:v>false</x:v>
      </x:c>
    </x:row>
    <x:row r="469" ht="80" customHeight="1">
      <x:c r="A469" s="25" t="str">
        <x:v>JacksonDatabind</x:v>
      </x:c>
      <x:c r="B469" s="25" t="n">
        <x:v>67</x:v>
      </x:c>
      <x:c r="C469" s="25" t="str">
        <x:v>Round1</x:v>
      </x:c>
      <x:c r="D469" s="25" t="str">
        <x:v>NOT_AVAILABLE</x:v>
      </x:c>
      <x:c r="E469" s="25" t="str">
        <x:v>N/A</x:v>
      </x:c>
      <x:c r="F469" s="26" t="str">
        <x:v>Tests exist but current coverage did not complete</x:v>
      </x:c>
      <x:c r="G469" s="25" t="str">
        <x:v>true</x:v>
      </x:c>
      <x:c r="H469" s="25" t="str">
        <x:v>NOT_AVAILABLE</x:v>
      </x:c>
      <x:c r="I469" s="25" t="str">
        <x:v>NOT_RUN</x:v>
      </x:c>
      <x:c r="J469" s="25" t="str">
        <x:v>NOT_RUN</x:v>
      </x:c>
      <x:c r="K469" s="25" t="n">
        <x:v>1</x:v>
      </x:c>
      <x:c r="L469" s="27" t="b">
        <x:v>0</x:v>
      </x:c>
      <x:c r="M469" s="25" t="str">
        <x:v>Gemini-3.8-flash/generation_state.json</x:v>
      </x:c>
      <x:c r="N469" s="25" t="str">
        <x:v>Gemini-3.8-flash/Result/JacksonDatabind_67/result.json</x:v>
      </x:c>
      <x:c r="O469" s="25" t="str">
        <x:v>Gemini-3.8-flash/Result/JacksonDatabind_67/result.json</x:v>
      </x:c>
      <x:c r="P469" t="str">
        <x:v>BOTH_NOT_RUN</x:v>
      </x:c>
      <x:c r="Q469" s="21" t="str"/>
      <x:c r="R469" s="21" t="str"/>
      <x:c r="S469" s="21" t="str"/>
      <x:c r="T469" s="17" t="str">
        <x:v>false</x:v>
      </x:c>
      <x:c r="U469" s="17" t="str">
        <x:v>true</x:v>
      </x:c>
      <x:c r="V469" s="17" t="str">
        <x:v>false</x:v>
      </x:c>
    </x:row>
    <x:row r="470" ht="80" customHeight="1">
      <x:c r="A470" s="25" t="str">
        <x:v>JacksonDatabind</x:v>
      </x:c>
      <x:c r="B470" s="25" t="n">
        <x:v>68</x:v>
      </x:c>
      <x:c r="C470" s="25" t="str">
        <x:v>Round1</x:v>
      </x:c>
      <x:c r="D470" s="25" t="str">
        <x:v>NOT_REVEALING</x:v>
      </x:c>
      <x:c r="E470" s="25" t="str">
        <x:v>N/A</x:v>
      </x:c>
      <x:c r="F470" s="26" t="str">
        <x:v>Same saved validation suite passed on buggy and fixed</x:v>
      </x:c>
      <x:c r="G470" s="25" t="str">
        <x:v>true</x:v>
      </x:c>
      <x:c r="H470" s="25" t="str">
        <x:v>NOT_REVEALING</x:v>
      </x:c>
      <x:c r="I470" s="25" t="str">
        <x:v>PASS</x:v>
      </x:c>
      <x:c r="J470" s="25" t="str">
        <x:v>PASS</x:v>
      </x:c>
      <x:c r="K470" s="25" t="n">
        <x:v>1</x:v>
      </x:c>
      <x:c r="L470" s="27" t="b">
        <x:v>0</x:v>
      </x:c>
      <x:c r="M470" s="25" t="str">
        <x:v>Gemini-3.8-flash/generation_state.json</x:v>
      </x:c>
      <x:c r="N470" s="25" t="str">
        <x:v>Gemini-3.8-flash/Result/JacksonDatabind_68/result.json</x:v>
      </x:c>
      <x:c r="O470" s="25" t="str">
        <x:v>Gemini-3.8-flash/Result/JacksonDatabind_68/result.json</x:v>
      </x:c>
      <x:c r="P470"/>
      <x:c r="Q470" s="21" t="str"/>
      <x:c r="R470" s="21" t="str"/>
      <x:c r="S470" s="21" t="str"/>
      <x:c r="T470" s="17" t="str">
        <x:v>false</x:v>
      </x:c>
      <x:c r="U470" s="17" t="str">
        <x:v>true</x:v>
      </x:c>
      <x:c r="V470" s="17" t="str">
        <x:v>false</x:v>
      </x:c>
    </x:row>
    <x:row r="471" ht="80" customHeight="1">
      <x:c r="A471" s="25" t="str">
        <x:v>JacksonDatabind</x:v>
      </x:c>
      <x:c r="B471" s="25" t="n">
        <x:v>69</x:v>
      </x:c>
      <x:c r="C471" s="25" t="str">
        <x:v>Round1</x:v>
      </x:c>
      <x:c r="D471" s="25" t="str">
        <x:v>NOT_REVEALING</x:v>
      </x:c>
      <x:c r="E471" s="25" t="str">
        <x:v>N/A</x:v>
      </x:c>
      <x:c r="F471" s="26" t="str">
        <x:v>Same saved validation suite passed on buggy and fixed</x:v>
      </x:c>
      <x:c r="G471" s="25" t="str">
        <x:v>true</x:v>
      </x:c>
      <x:c r="H471" s="25" t="str">
        <x:v>NOT_REVEALING</x:v>
      </x:c>
      <x:c r="I471" s="25" t="str">
        <x:v>PASS</x:v>
      </x:c>
      <x:c r="J471" s="25" t="str">
        <x:v>PASS</x:v>
      </x:c>
      <x:c r="K471" s="25" t="n">
        <x:v>1</x:v>
      </x:c>
      <x:c r="L471" s="27" t="b">
        <x:v>0</x:v>
      </x:c>
      <x:c r="M471" s="25" t="str">
        <x:v>Gemini-3.8-flash/generation_state.json</x:v>
      </x:c>
      <x:c r="N471" s="25" t="str">
        <x:v>Gemini-3.8-flash/Result/JacksonDatabind_69/result.json</x:v>
      </x:c>
      <x:c r="O471" s="25" t="str">
        <x:v>Gemini-3.8-flash/Result/JacksonDatabind_69/result.json</x:v>
      </x:c>
      <x:c r="P471"/>
      <x:c r="Q471" s="21" t="str"/>
      <x:c r="R471" s="21" t="str"/>
      <x:c r="S471" s="21" t="str"/>
      <x:c r="T471" s="17" t="str">
        <x:v>false</x:v>
      </x:c>
      <x:c r="U471" s="17" t="str">
        <x:v>true</x:v>
      </x:c>
      <x:c r="V471" s="17" t="str">
        <x:v>false</x:v>
      </x:c>
    </x:row>
    <x:row r="472" ht="80" customHeight="1">
      <x:c r="A472" s="25" t="str">
        <x:v>JacksonDatabind</x:v>
      </x:c>
      <x:c r="B472" s="25" t="n">
        <x:v>7</x:v>
      </x:c>
      <x:c r="C472" s="25" t="str">
        <x:v>Round1</x:v>
      </x:c>
      <x:c r="D472" s="25" t="str">
        <x:v>NOT_REVEALING</x:v>
      </x:c>
      <x:c r="E472" s="25" t="str">
        <x:v>N/A</x:v>
      </x:c>
      <x:c r="F472" s="26" t="str">
        <x:v>Same saved validation suite passed on buggy and fixed</x:v>
      </x:c>
      <x:c r="G472" s="25" t="str">
        <x:v>true</x:v>
      </x:c>
      <x:c r="H472" s="25" t="str">
        <x:v>NOT_REVEALING</x:v>
      </x:c>
      <x:c r="I472" s="25" t="str">
        <x:v>PASS</x:v>
      </x:c>
      <x:c r="J472" s="25" t="str">
        <x:v>PASS</x:v>
      </x:c>
      <x:c r="K472" s="25" t="n">
        <x:v>1</x:v>
      </x:c>
      <x:c r="L472" s="27" t="b">
        <x:v>0</x:v>
      </x:c>
      <x:c r="M472" s="25" t="str">
        <x:v>Gemini-3.8-flash/generation_state.json</x:v>
      </x:c>
      <x:c r="N472" s="25" t="str">
        <x:v>Gemini-3.8-flash/Result/JacksonDatabind_7/result.json</x:v>
      </x:c>
      <x:c r="O472" s="25" t="str">
        <x:v>Gemini-3.8-flash/Result/JacksonDatabind_7/result.json</x:v>
      </x:c>
      <x:c r="P472"/>
      <x:c r="Q472" s="21" t="str"/>
      <x:c r="R472" s="21" t="str"/>
      <x:c r="S472" s="21" t="str"/>
      <x:c r="T472" s="17" t="str">
        <x:v>false</x:v>
      </x:c>
      <x:c r="U472" s="17" t="str">
        <x:v>true</x:v>
      </x:c>
      <x:c r="V472" s="17" t="str">
        <x:v>false</x:v>
      </x:c>
    </x:row>
    <x:row r="473" ht="80" customHeight="1">
      <x:c r="A473" s="25" t="str">
        <x:v>JacksonDatabind</x:v>
      </x:c>
      <x:c r="B473" s="25" t="n">
        <x:v>70</x:v>
      </x:c>
      <x:c r="C473" s="25" t="str">
        <x:v>Round1</x:v>
      </x:c>
      <x:c r="D473" s="25" t="str">
        <x:v>NOT_REVEALING</x:v>
      </x:c>
      <x:c r="E473" s="25" t="str">
        <x:v>N/A</x:v>
      </x:c>
      <x:c r="F473" s="26" t="str">
        <x:v>Same saved validation suite passed on buggy and fixed</x:v>
      </x:c>
      <x:c r="G473" s="25" t="str">
        <x:v>true</x:v>
      </x:c>
      <x:c r="H473" s="25" t="str">
        <x:v>NOT_REVEALING</x:v>
      </x:c>
      <x:c r="I473" s="25" t="str">
        <x:v>PASS</x:v>
      </x:c>
      <x:c r="J473" s="25" t="str">
        <x:v>PASS</x:v>
      </x:c>
      <x:c r="K473" s="25" t="n">
        <x:v>1</x:v>
      </x:c>
      <x:c r="L473" s="27" t="b">
        <x:v>0</x:v>
      </x:c>
      <x:c r="M473" s="25" t="str">
        <x:v>Gemini-3.8-flash/generation_state.json</x:v>
      </x:c>
      <x:c r="N473" s="25" t="str">
        <x:v>Gemini-3.8-flash/Result/JacksonDatabind_70/result.json</x:v>
      </x:c>
      <x:c r="O473" s="25" t="str">
        <x:v>Gemini-3.8-flash/Result/JacksonDatabind_70/result.json</x:v>
      </x:c>
      <x:c r="P473"/>
      <x:c r="Q473" s="21" t="str"/>
      <x:c r="R473" s="21" t="str"/>
      <x:c r="S473" s="21" t="str"/>
      <x:c r="T473" s="17" t="str">
        <x:v>false</x:v>
      </x:c>
      <x:c r="U473" s="17" t="str">
        <x:v>true</x:v>
      </x:c>
      <x:c r="V473" s="17" t="str">
        <x:v>false</x:v>
      </x:c>
    </x:row>
    <x:row r="474" ht="80" customHeight="1">
      <x:c r="A474" s="25" t="str">
        <x:v>JacksonDatabind</x:v>
      </x:c>
      <x:c r="B474" s="25" t="n">
        <x:v>71</x:v>
      </x:c>
      <x:c r="C474" s="25" t="str">
        <x:v>Round1</x:v>
      </x:c>
      <x:c r="D474" s="25" t="str">
        <x:v>NOT_AVAILABLE</x:v>
      </x:c>
      <x:c r="E474" s="25" t="str">
        <x:v>N/A</x:v>
      </x:c>
      <x:c r="F474" s="26" t="str">
        <x:v>Tests exist but current coverage did not complete</x:v>
      </x:c>
      <x:c r="G474" s="25" t="str">
        <x:v>true</x:v>
      </x:c>
      <x:c r="H474" s="25" t="str">
        <x:v>NOT_AVAILABLE</x:v>
      </x:c>
      <x:c r="I474" s="25" t="str">
        <x:v>NOT_RUN</x:v>
      </x:c>
      <x:c r="J474" s="25" t="str">
        <x:v>NOT_RUN</x:v>
      </x:c>
      <x:c r="K474" s="25" t="n">
        <x:v>1</x:v>
      </x:c>
      <x:c r="L474" s="27" t="b">
        <x:v>0</x:v>
      </x:c>
      <x:c r="M474" s="25" t="str">
        <x:v>Gemini-3.8-flash/generation_state.json</x:v>
      </x:c>
      <x:c r="N474" s="25" t="str">
        <x:v>Gemini-3.8-flash/Result/JacksonDatabind_71/result.json</x:v>
      </x:c>
      <x:c r="O474" s="25" t="str">
        <x:v>Gemini-3.8-flash/Result/JacksonDatabind_71/result.json</x:v>
      </x:c>
      <x:c r="P474" t="str">
        <x:v>BOTH_NOT_RUN</x:v>
      </x:c>
      <x:c r="Q474" s="21" t="str"/>
      <x:c r="R474" s="21" t="str"/>
      <x:c r="S474" s="21" t="str"/>
      <x:c r="T474" s="17" t="str">
        <x:v>false</x:v>
      </x:c>
      <x:c r="U474" s="17" t="str">
        <x:v>true</x:v>
      </x:c>
      <x:c r="V474" s="17" t="str">
        <x:v>false</x:v>
      </x:c>
    </x:row>
    <x:row r="475" ht="80" customHeight="1">
      <x:c r="A475" s="25" t="str">
        <x:v>JacksonDatabind</x:v>
      </x:c>
      <x:c r="B475" s="25" t="n">
        <x:v>72</x:v>
      </x:c>
      <x:c r="C475" s="25" t="str">
        <x:v>Round1</x:v>
      </x:c>
      <x:c r="D475" s="25" t="str">
        <x:v>NOT_AVAILABLE</x:v>
      </x:c>
      <x:c r="E475" s="25" t="str">
        <x:v>N/A</x:v>
      </x:c>
      <x:c r="F475" s="26" t="str">
        <x:v>Tests exist but current coverage did not complete</x:v>
      </x:c>
      <x:c r="G475" s="25" t="str">
        <x:v>true</x:v>
      </x:c>
      <x:c r="H475" s="25" t="str">
        <x:v>NOT_AVAILABLE</x:v>
      </x:c>
      <x:c r="I475" s="25" t="str">
        <x:v>NOT_RUN</x:v>
      </x:c>
      <x:c r="J475" s="25" t="str">
        <x:v>NOT_RUN</x:v>
      </x:c>
      <x:c r="K475" s="25" t="n">
        <x:v>1</x:v>
      </x:c>
      <x:c r="L475" s="27" t="b">
        <x:v>0</x:v>
      </x:c>
      <x:c r="M475" s="25" t="str">
        <x:v>Gemini-3.8-flash/generation_state.json</x:v>
      </x:c>
      <x:c r="N475" s="25" t="str">
        <x:v>Gemini-3.8-flash/Result/JacksonDatabind_72/result.json</x:v>
      </x:c>
      <x:c r="O475" s="25" t="str">
        <x:v>Gemini-3.8-flash/Result/JacksonDatabind_72/result.json</x:v>
      </x:c>
      <x:c r="P475" t="str">
        <x:v>BOTH_NOT_RUN</x:v>
      </x:c>
      <x:c r="Q475" s="21" t="str"/>
      <x:c r="R475" s="21" t="str"/>
      <x:c r="S475" s="21" t="str"/>
      <x:c r="T475" s="17" t="str">
        <x:v>false</x:v>
      </x:c>
      <x:c r="U475" s="17" t="str">
        <x:v>true</x:v>
      </x:c>
      <x:c r="V475" s="17" t="str">
        <x:v>false</x:v>
      </x:c>
    </x:row>
    <x:row r="476" ht="80" customHeight="1">
      <x:c r="A476" s="25" t="str">
        <x:v>JacksonDatabind</x:v>
      </x:c>
      <x:c r="B476" s="25" t="n">
        <x:v>73</x:v>
      </x:c>
      <x:c r="C476" s="25" t="str">
        <x:v>Round1</x:v>
      </x:c>
      <x:c r="D476" s="25" t="str">
        <x:v>INCONCLUSIVE</x:v>
      </x:c>
      <x:c r="E476" s="25" t="str">
        <x:v>N/A</x:v>
      </x:c>
      <x:c r="F476" s="26" t="str">
        <x:v>Fixed also failed; assertion failure cannot be attributed to this bug</x:v>
      </x:c>
      <x:c r="G476" s="25" t="str">
        <x:v>true</x:v>
      </x:c>
      <x:c r="H476" s="25" t="str">
        <x:v>INCONCLUSIVE</x:v>
      </x:c>
      <x:c r="I476" s="25" t="str">
        <x:v>FAIL</x:v>
      </x:c>
      <x:c r="J476" s="25" t="str">
        <x:v>FAIL</x:v>
      </x:c>
      <x:c r="K476" s="25" t="n">
        <x:v>2</x:v>
      </x:c>
      <x:c r="L476" s="27" t="b">
        <x:v>0</x:v>
      </x:c>
      <x:c r="M476" s="25" t="str">
        <x:v>Gemini-3.8-flash/generation_state.json</x:v>
      </x:c>
      <x:c r="N476" s="25" t="str">
        <x:v>Gemini-3.8-flash/Result/JacksonDatabind_73/result.json</x:v>
      </x:c>
      <x:c r="O476" s="25" t="str">
        <x:v>Gemini-3.8-flash/Result/JacksonDatabind_73/result.json</x:v>
      </x:c>
      <x:c r="P476"/>
      <x:c r="Q476" s="21" t="str"/>
      <x:c r="R476" s="21" t="str"/>
      <x:c r="S476" s="21" t="str"/>
      <x:c r="T476" s="17" t="str">
        <x:v>false</x:v>
      </x:c>
      <x:c r="U476" s="17" t="str">
        <x:v>true</x:v>
      </x:c>
      <x:c r="V476" s="17" t="str">
        <x:v>false</x:v>
      </x:c>
    </x:row>
    <x:row r="477" ht="80" customHeight="1">
      <x:c r="A477" s="25" t="str">
        <x:v>JacksonDatabind</x:v>
      </x:c>
      <x:c r="B477" s="25" t="n">
        <x:v>74</x:v>
      </x:c>
      <x:c r="C477" s="25" t="str">
        <x:v>Round1</x:v>
      </x:c>
      <x:c r="D477" s="25" t="str">
        <x:v>NOT_REVEALING</x:v>
      </x:c>
      <x:c r="E477" s="25" t="str">
        <x:v>N/A</x:v>
      </x:c>
      <x:c r="F477" s="26" t="str">
        <x:v>Same saved validation suite passed on buggy and fixed</x:v>
      </x:c>
      <x:c r="G477" s="25" t="str">
        <x:v>true</x:v>
      </x:c>
      <x:c r="H477" s="25" t="str">
        <x:v>NOT_REVEALING</x:v>
      </x:c>
      <x:c r="I477" s="25" t="str">
        <x:v>PASS</x:v>
      </x:c>
      <x:c r="J477" s="25" t="str">
        <x:v>PASS</x:v>
      </x:c>
      <x:c r="K477" s="25" t="n">
        <x:v>1</x:v>
      </x:c>
      <x:c r="L477" s="27" t="b">
        <x:v>0</x:v>
      </x:c>
      <x:c r="M477" s="25" t="str">
        <x:v>Gemini-3.8-flash/generation_state.json</x:v>
      </x:c>
      <x:c r="N477" s="25" t="str">
        <x:v>Gemini-3.8-flash/Result/JacksonDatabind_74/result.json</x:v>
      </x:c>
      <x:c r="O477" s="25" t="str">
        <x:v>Gemini-3.8-flash/Result/JacksonDatabind_74/result.json</x:v>
      </x:c>
      <x:c r="P477"/>
      <x:c r="Q477" s="21" t="str"/>
      <x:c r="R477" s="21" t="str"/>
      <x:c r="S477" s="21" t="str"/>
      <x:c r="T477" s="17" t="str">
        <x:v>false</x:v>
      </x:c>
      <x:c r="U477" s="17" t="str">
        <x:v>true</x:v>
      </x:c>
      <x:c r="V477" s="17" t="str">
        <x:v>false</x:v>
      </x:c>
    </x:row>
    <x:row r="478" ht="80" customHeight="1">
      <x:c r="A478" s="25" t="str">
        <x:v>JacksonDatabind</x:v>
      </x:c>
      <x:c r="B478" s="25" t="n">
        <x:v>75</x:v>
      </x:c>
      <x:c r="C478" s="25" t="str">
        <x:v>Round1</x:v>
      </x:c>
      <x:c r="D478" s="25" t="str">
        <x:v>NOT_REVEALING</x:v>
      </x:c>
      <x:c r="E478" s="25" t="str">
        <x:v>N/A</x:v>
      </x:c>
      <x:c r="F478" s="26" t="str">
        <x:v>Same saved validation suite passed on buggy and fixed</x:v>
      </x:c>
      <x:c r="G478" s="25" t="str">
        <x:v>true</x:v>
      </x:c>
      <x:c r="H478" s="25" t="str">
        <x:v>NOT_REVEALING</x:v>
      </x:c>
      <x:c r="I478" s="25" t="str">
        <x:v>PASS</x:v>
      </x:c>
      <x:c r="J478" s="25" t="str">
        <x:v>PASS</x:v>
      </x:c>
      <x:c r="K478" s="25" t="n">
        <x:v>1</x:v>
      </x:c>
      <x:c r="L478" s="27" t="b">
        <x:v>0</x:v>
      </x:c>
      <x:c r="M478" s="25" t="str">
        <x:v>Gemini-3.8-flash/generation_state.json</x:v>
      </x:c>
      <x:c r="N478" s="25" t="str">
        <x:v>Gemini-3.8-flash/Result/JacksonDatabind_75/result.json</x:v>
      </x:c>
      <x:c r="O478" s="25" t="str">
        <x:v>Gemini-3.8-flash/Result/JacksonDatabind_75/result.json</x:v>
      </x:c>
      <x:c r="P478"/>
      <x:c r="Q478" s="21" t="str"/>
      <x:c r="R478" s="21" t="str"/>
      <x:c r="S478" s="21" t="str"/>
      <x:c r="T478" s="17" t="str">
        <x:v>false</x:v>
      </x:c>
      <x:c r="U478" s="17" t="str">
        <x:v>true</x:v>
      </x:c>
      <x:c r="V478" s="17" t="str">
        <x:v>false</x:v>
      </x:c>
    </x:row>
    <x:row r="479" ht="80" customHeight="1">
      <x:c r="A479" s="25" t="str">
        <x:v>JacksonDatabind</x:v>
      </x:c>
      <x:c r="B479" s="25" t="n">
        <x:v>76</x:v>
      </x:c>
      <x:c r="C479" s="25" t="str">
        <x:v>Round1</x:v>
      </x:c>
      <x:c r="D479" s="25" t="str">
        <x:v>NOT_REVEALING</x:v>
      </x:c>
      <x:c r="E479" s="25" t="str">
        <x:v>N/A</x:v>
      </x:c>
      <x:c r="F479" s="26" t="str">
        <x:v>Same saved validation suite passed on buggy and fixed</x:v>
      </x:c>
      <x:c r="G479" s="25" t="str">
        <x:v>true</x:v>
      </x:c>
      <x:c r="H479" s="25" t="str">
        <x:v>NOT_REVEALING</x:v>
      </x:c>
      <x:c r="I479" s="25" t="str">
        <x:v>PASS</x:v>
      </x:c>
      <x:c r="J479" s="25" t="str">
        <x:v>PASS</x:v>
      </x:c>
      <x:c r="K479" s="25" t="n">
        <x:v>1</x:v>
      </x:c>
      <x:c r="L479" s="27" t="b">
        <x:v>0</x:v>
      </x:c>
      <x:c r="M479" s="25" t="str">
        <x:v>Gemini-3.8-flash/generation_state.json</x:v>
      </x:c>
      <x:c r="N479" s="25" t="str">
        <x:v>Gemini-3.8-flash/Result/JacksonDatabind_76/result.json</x:v>
      </x:c>
      <x:c r="O479" s="25" t="str">
        <x:v>Gemini-3.8-flash/Result/JacksonDatabind_76/result.json</x:v>
      </x:c>
      <x:c r="P479"/>
      <x:c r="Q479" s="21" t="str"/>
      <x:c r="R479" s="21" t="str"/>
      <x:c r="S479" s="21" t="str"/>
      <x:c r="T479" s="17" t="str">
        <x:v>false</x:v>
      </x:c>
      <x:c r="U479" s="17" t="str">
        <x:v>true</x:v>
      </x:c>
      <x:c r="V479" s="17" t="str">
        <x:v>false</x:v>
      </x:c>
    </x:row>
    <x:row r="480" ht="80" customHeight="1">
      <x:c r="A480" s="25" t="str">
        <x:v>JacksonDatabind</x:v>
      </x:c>
      <x:c r="B480" s="25" t="n">
        <x:v>77</x:v>
      </x:c>
      <x:c r="C480" s="25" t="str">
        <x:v>Round1</x:v>
      </x:c>
      <x:c r="D480" s="25" t="str">
        <x:v>NOT_AVAILABLE</x:v>
      </x:c>
      <x:c r="E480" s="25" t="str">
        <x:v>N/A</x:v>
      </x:c>
      <x:c r="F480" s="26" t="str">
        <x:v>Tests exist but current coverage did not complete</x:v>
      </x:c>
      <x:c r="G480" s="25" t="str">
        <x:v>true</x:v>
      </x:c>
      <x:c r="H480" s="25" t="str">
        <x:v>NOT_AVAILABLE</x:v>
      </x:c>
      <x:c r="I480" s="25" t="str">
        <x:v>NOT_RUN</x:v>
      </x:c>
      <x:c r="J480" s="25" t="str">
        <x:v>NOT_RUN</x:v>
      </x:c>
      <x:c r="K480" s="25" t="n">
        <x:v>1</x:v>
      </x:c>
      <x:c r="L480" s="27" t="b">
        <x:v>0</x:v>
      </x:c>
      <x:c r="M480" s="25" t="str">
        <x:v>Gemini-3.8-flash/generation_state.json</x:v>
      </x:c>
      <x:c r="N480" s="25" t="str">
        <x:v>Gemini-3.8-flash/Result/JacksonDatabind_77/result.json</x:v>
      </x:c>
      <x:c r="O480" s="25" t="str">
        <x:v>Gemini-3.8-flash/Result/JacksonDatabind_77/result.json</x:v>
      </x:c>
      <x:c r="P480" t="str">
        <x:v>BOTH_NOT_RUN</x:v>
      </x:c>
      <x:c r="Q480" s="21" t="str"/>
      <x:c r="R480" s="21" t="str"/>
      <x:c r="S480" s="21" t="str"/>
      <x:c r="T480" s="17" t="str">
        <x:v>false</x:v>
      </x:c>
      <x:c r="U480" s="17" t="str">
        <x:v>true</x:v>
      </x:c>
      <x:c r="V480" s="17" t="str">
        <x:v>false</x:v>
      </x:c>
    </x:row>
    <x:row r="481" ht="80" customHeight="1">
      <x:c r="A481" s="25" t="str">
        <x:v>JacksonDatabind</x:v>
      </x:c>
      <x:c r="B481" s="25" t="n">
        <x:v>78</x:v>
      </x:c>
      <x:c r="C481" s="25" t="str">
        <x:v>Round1</x:v>
      </x:c>
      <x:c r="D481" s="25" t="str">
        <x:v>NOT_AVAILABLE</x:v>
      </x:c>
      <x:c r="E481" s="25" t="str">
        <x:v>N/A</x:v>
      </x:c>
      <x:c r="F481" s="26" t="str">
        <x:v>Tests exist but current coverage did not complete</x:v>
      </x:c>
      <x:c r="G481" s="25" t="str">
        <x:v>true</x:v>
      </x:c>
      <x:c r="H481" s="25" t="str">
        <x:v>NOT_AVAILABLE</x:v>
      </x:c>
      <x:c r="I481" s="25" t="str">
        <x:v>NOT_RUN</x:v>
      </x:c>
      <x:c r="J481" s="25" t="str">
        <x:v>NOT_RUN</x:v>
      </x:c>
      <x:c r="K481" s="25" t="n">
        <x:v>1</x:v>
      </x:c>
      <x:c r="L481" s="27" t="b">
        <x:v>0</x:v>
      </x:c>
      <x:c r="M481" s="25" t="str">
        <x:v>Gemini-3.8-flash/generation_state.json</x:v>
      </x:c>
      <x:c r="N481" s="25" t="str">
        <x:v>Gemini-3.8-flash/Result/JacksonDatabind_78/result.json</x:v>
      </x:c>
      <x:c r="O481" s="25" t="str">
        <x:v>Gemini-3.8-flash/Result/JacksonDatabind_78/result.json</x:v>
      </x:c>
      <x:c r="P481" t="str">
        <x:v>BOTH_NOT_RUN</x:v>
      </x:c>
      <x:c r="Q481" s="21" t="str"/>
      <x:c r="R481" s="21" t="str"/>
      <x:c r="S481" s="21" t="str"/>
      <x:c r="T481" s="17" t="str">
        <x:v>false</x:v>
      </x:c>
      <x:c r="U481" s="17" t="str">
        <x:v>true</x:v>
      </x:c>
      <x:c r="V481" s="17" t="str">
        <x:v>false</x:v>
      </x:c>
    </x:row>
    <x:row r="482" ht="80" customHeight="1">
      <x:c r="A482" s="25" t="str">
        <x:v>JacksonDatabind</x:v>
      </x:c>
      <x:c r="B482" s="25" t="n">
        <x:v>79</x:v>
      </x:c>
      <x:c r="C482" s="25" t="str">
        <x:v>Round1</x:v>
      </x:c>
      <x:c r="D482" s="25" t="str">
        <x:v>NOT_REVEALING</x:v>
      </x:c>
      <x:c r="E482" s="25" t="str">
        <x:v>N/A</x:v>
      </x:c>
      <x:c r="F482" s="26" t="str">
        <x:v>Same saved validation suite passed on buggy and fixed</x:v>
      </x:c>
      <x:c r="G482" s="25" t="str">
        <x:v>true</x:v>
      </x:c>
      <x:c r="H482" s="25" t="str">
        <x:v>NOT_REVEALING</x:v>
      </x:c>
      <x:c r="I482" s="25" t="str">
        <x:v>PASS</x:v>
      </x:c>
      <x:c r="J482" s="25" t="str">
        <x:v>PASS</x:v>
      </x:c>
      <x:c r="K482" s="25" t="n">
        <x:v>1</x:v>
      </x:c>
      <x:c r="L482" s="27" t="b">
        <x:v>0</x:v>
      </x:c>
      <x:c r="M482" s="25" t="str">
        <x:v>Gemini-3.8-flash/generation_state.json</x:v>
      </x:c>
      <x:c r="N482" s="25" t="str">
        <x:v>Gemini-3.8-flash/Result/JacksonDatabind_79/result.json</x:v>
      </x:c>
      <x:c r="O482" s="25" t="str">
        <x:v>Gemini-3.8-flash/Result/JacksonDatabind_79/result.json</x:v>
      </x:c>
      <x:c r="P482"/>
      <x:c r="Q482" s="21" t="str"/>
      <x:c r="R482" s="21" t="str"/>
      <x:c r="S482" s="21" t="str"/>
      <x:c r="T482" s="17" t="str">
        <x:v>false</x:v>
      </x:c>
      <x:c r="U482" s="17" t="str">
        <x:v>true</x:v>
      </x:c>
      <x:c r="V482" s="17" t="str">
        <x:v>false</x:v>
      </x:c>
    </x:row>
    <x:row r="483" ht="80" customHeight="1">
      <x:c r="A483" s="25" t="str">
        <x:v>JacksonDatabind</x:v>
      </x:c>
      <x:c r="B483" s="25" t="n">
        <x:v>8</x:v>
      </x:c>
      <x:c r="C483" s="25" t="str">
        <x:v>Round1</x:v>
      </x:c>
      <x:c r="D483" s="25" t="str">
        <x:v>NOT_REVEALING</x:v>
      </x:c>
      <x:c r="E483" s="25" t="str">
        <x:v>N/A</x:v>
      </x:c>
      <x:c r="F483" s="26" t="str">
        <x:v>Same saved validation suite passed on buggy and fixed</x:v>
      </x:c>
      <x:c r="G483" s="25" t="str">
        <x:v>true</x:v>
      </x:c>
      <x:c r="H483" s="25" t="str">
        <x:v>NOT_REVEALING</x:v>
      </x:c>
      <x:c r="I483" s="25" t="str">
        <x:v>PASS</x:v>
      </x:c>
      <x:c r="J483" s="25" t="str">
        <x:v>PASS</x:v>
      </x:c>
      <x:c r="K483" s="25" t="n">
        <x:v>1</x:v>
      </x:c>
      <x:c r="L483" s="27" t="b">
        <x:v>0</x:v>
      </x:c>
      <x:c r="M483" s="25" t="str">
        <x:v>Gemini-3.8-flash/generation_state.json</x:v>
      </x:c>
      <x:c r="N483" s="25" t="str">
        <x:v>Gemini-3.8-flash/Result/JacksonDatabind_8/result.json</x:v>
      </x:c>
      <x:c r="O483" s="25" t="str">
        <x:v>Gemini-3.8-flash/Result/JacksonDatabind_8/result.json</x:v>
      </x:c>
      <x:c r="P483"/>
      <x:c r="Q483" s="21" t="str"/>
      <x:c r="R483" s="21" t="str"/>
      <x:c r="S483" s="21" t="str"/>
      <x:c r="T483" s="17" t="str">
        <x:v>false</x:v>
      </x:c>
      <x:c r="U483" s="17" t="str">
        <x:v>true</x:v>
      </x:c>
      <x:c r="V483" s="17" t="str">
        <x:v>false</x:v>
      </x:c>
    </x:row>
    <x:row r="484" ht="80" customHeight="1">
      <x:c r="A484" s="25" t="str">
        <x:v>JacksonDatabind</x:v>
      </x:c>
      <x:c r="B484" s="25" t="n">
        <x:v>80</x:v>
      </x:c>
      <x:c r="C484" s="25" t="str">
        <x:v>Round1</x:v>
      </x:c>
      <x:c r="D484" s="25" t="str">
        <x:v>NOT_REVEALING</x:v>
      </x:c>
      <x:c r="E484" s="25" t="str">
        <x:v>N/A</x:v>
      </x:c>
      <x:c r="F484" s="26" t="str">
        <x:v>Same saved validation suite passed on buggy and fixed</x:v>
      </x:c>
      <x:c r="G484" s="25" t="str">
        <x:v>true</x:v>
      </x:c>
      <x:c r="H484" s="25" t="str">
        <x:v>NOT_REVEALING</x:v>
      </x:c>
      <x:c r="I484" s="25" t="str">
        <x:v>PASS</x:v>
      </x:c>
      <x:c r="J484" s="25" t="str">
        <x:v>PASS</x:v>
      </x:c>
      <x:c r="K484" s="25" t="n">
        <x:v>1</x:v>
      </x:c>
      <x:c r="L484" s="27" t="b">
        <x:v>0</x:v>
      </x:c>
      <x:c r="M484" s="25" t="str">
        <x:v>Gemini-3.8-flash/generation_state.json</x:v>
      </x:c>
      <x:c r="N484" s="25" t="str">
        <x:v>Gemini-3.8-flash/Result/JacksonDatabind_80/result.json</x:v>
      </x:c>
      <x:c r="O484" s="25" t="str">
        <x:v>Gemini-3.8-flash/Result/JacksonDatabind_80/result.json</x:v>
      </x:c>
      <x:c r="P484"/>
      <x:c r="Q484" s="21" t="str"/>
      <x:c r="R484" s="21" t="str"/>
      <x:c r="S484" s="21" t="str"/>
      <x:c r="T484" s="17" t="str">
        <x:v>false</x:v>
      </x:c>
      <x:c r="U484" s="17" t="str">
        <x:v>true</x:v>
      </x:c>
      <x:c r="V484" s="17" t="str">
        <x:v>false</x:v>
      </x:c>
    </x:row>
    <x:row r="485" ht="80" customHeight="1">
      <x:c r="A485" s="25" t="str">
        <x:v>JacksonDatabind</x:v>
      </x:c>
      <x:c r="B485" s="25" t="n">
        <x:v>81</x:v>
      </x:c>
      <x:c r="C485" s="25" t="str">
        <x:v>Round1</x:v>
      </x:c>
      <x:c r="D485" s="25" t="str">
        <x:v>NOT_REVEALING</x:v>
      </x:c>
      <x:c r="E485" s="25" t="str">
        <x:v>N/A</x:v>
      </x:c>
      <x:c r="F485" s="26" t="str">
        <x:v>Same saved validation suite passed on buggy and fixed</x:v>
      </x:c>
      <x:c r="G485" s="25" t="str">
        <x:v>true</x:v>
      </x:c>
      <x:c r="H485" s="25" t="str">
        <x:v>NOT_REVEALING</x:v>
      </x:c>
      <x:c r="I485" s="25" t="str">
        <x:v>PASS</x:v>
      </x:c>
      <x:c r="J485" s="25" t="str">
        <x:v>PASS</x:v>
      </x:c>
      <x:c r="K485" s="25" t="n">
        <x:v>1</x:v>
      </x:c>
      <x:c r="L485" s="27" t="b">
        <x:v>0</x:v>
      </x:c>
      <x:c r="M485" s="25" t="str">
        <x:v>Gemini-3.8-flash/generation_state.json</x:v>
      </x:c>
      <x:c r="N485" s="25" t="str">
        <x:v>Gemini-3.8-flash/Result/JacksonDatabind_81/result.json</x:v>
      </x:c>
      <x:c r="O485" s="25" t="str">
        <x:v>Gemini-3.8-flash/Result/JacksonDatabind_81/result.json</x:v>
      </x:c>
      <x:c r="P485"/>
      <x:c r="Q485" s="21" t="str"/>
      <x:c r="R485" s="21" t="str"/>
      <x:c r="S485" s="21" t="str"/>
      <x:c r="T485" s="17" t="str">
        <x:v>false</x:v>
      </x:c>
      <x:c r="U485" s="17" t="str">
        <x:v>true</x:v>
      </x:c>
      <x:c r="V485" s="17" t="str">
        <x:v>false</x:v>
      </x:c>
    </x:row>
    <x:row r="486" ht="80" customHeight="1">
      <x:c r="A486" s="25" t="str">
        <x:v>JacksonDatabind</x:v>
      </x:c>
      <x:c r="B486" s="25" t="n">
        <x:v>82</x:v>
      </x:c>
      <x:c r="C486" s="25" t="str">
        <x:v>Round1</x:v>
      </x:c>
      <x:c r="D486" s="25" t="str">
        <x:v>NOT_AVAILABLE</x:v>
      </x:c>
      <x:c r="E486" s="25" t="str">
        <x:v>N/A</x:v>
      </x:c>
      <x:c r="F486" s="26" t="str">
        <x:v>Tests exist but current coverage did not complete</x:v>
      </x:c>
      <x:c r="G486" s="25" t="str">
        <x:v>true</x:v>
      </x:c>
      <x:c r="H486" s="25" t="str">
        <x:v>NOT_AVAILABLE</x:v>
      </x:c>
      <x:c r="I486" s="25" t="str">
        <x:v>NOT_RUN</x:v>
      </x:c>
      <x:c r="J486" s="25" t="str">
        <x:v>NOT_RUN</x:v>
      </x:c>
      <x:c r="K486" s="25" t="n">
        <x:v>1</x:v>
      </x:c>
      <x:c r="L486" s="27" t="b">
        <x:v>0</x:v>
      </x:c>
      <x:c r="M486" s="25" t="str">
        <x:v>Gemini-3.8-flash/generation_state.json</x:v>
      </x:c>
      <x:c r="N486" s="25" t="str">
        <x:v>Gemini-3.8-flash/Result/JacksonDatabind_82/result.json</x:v>
      </x:c>
      <x:c r="O486" s="25" t="str">
        <x:v>Gemini-3.8-flash/Result/JacksonDatabind_82/result.json</x:v>
      </x:c>
      <x:c r="P486" t="str">
        <x:v>BOTH_NOT_RUN</x:v>
      </x:c>
      <x:c r="Q486" s="21" t="str"/>
      <x:c r="R486" s="21" t="str"/>
      <x:c r="S486" s="21" t="str"/>
      <x:c r="T486" s="17" t="str">
        <x:v>false</x:v>
      </x:c>
      <x:c r="U486" s="17" t="str">
        <x:v>true</x:v>
      </x:c>
      <x:c r="V486" s="17" t="str">
        <x:v>false</x:v>
      </x:c>
    </x:row>
    <x:row r="487" ht="80" customHeight="1">
      <x:c r="A487" s="25" t="str">
        <x:v>JacksonDatabind</x:v>
      </x:c>
      <x:c r="B487" s="25" t="n">
        <x:v>83</x:v>
      </x:c>
      <x:c r="C487" s="25" t="str">
        <x:v>Round1</x:v>
      </x:c>
      <x:c r="D487" s="25" t="str">
        <x:v>INCONCLUSIVE</x:v>
      </x:c>
      <x:c r="E487" s="25" t="str">
        <x:v>N/A</x:v>
      </x:c>
      <x:c r="F487" s="26" t="str">
        <x:v>Fixed also failed; assertion failure cannot be attributed to this bug</x:v>
      </x:c>
      <x:c r="G487" s="25" t="str">
        <x:v>true</x:v>
      </x:c>
      <x:c r="H487" s="25" t="str">
        <x:v>INCONCLUSIVE</x:v>
      </x:c>
      <x:c r="I487" s="25" t="str">
        <x:v>FAIL</x:v>
      </x:c>
      <x:c r="J487" s="25" t="str">
        <x:v>FAIL</x:v>
      </x:c>
      <x:c r="K487" s="25" t="n">
        <x:v>1</x:v>
      </x:c>
      <x:c r="L487" s="27" t="b">
        <x:v>0</x:v>
      </x:c>
      <x:c r="M487" s="25" t="str">
        <x:v>Gemini-3.8-flash/generation_state.json</x:v>
      </x:c>
      <x:c r="N487" s="25" t="str">
        <x:v>Gemini-3.8-flash/Result/JacksonDatabind_83/result.json</x:v>
      </x:c>
      <x:c r="O487" s="25" t="str">
        <x:v>Gemini-3.8-flash/Result/JacksonDatabind_83/result.json</x:v>
      </x:c>
      <x:c r="P487"/>
      <x:c r="Q487" s="21" t="str"/>
      <x:c r="R487" s="21" t="str"/>
      <x:c r="S487" s="21" t="str"/>
      <x:c r="T487" s="17" t="str">
        <x:v>false</x:v>
      </x:c>
      <x:c r="U487" s="17" t="str">
        <x:v>true</x:v>
      </x:c>
      <x:c r="V487" s="17" t="str">
        <x:v>false</x:v>
      </x:c>
    </x:row>
    <x:row r="488" ht="80" customHeight="1">
      <x:c r="A488" s="25" t="str">
        <x:v>JacksonDatabind</x:v>
      </x:c>
      <x:c r="B488" s="25" t="n">
        <x:v>84</x:v>
      </x:c>
      <x:c r="C488" s="25" t="str">
        <x:v>Round1</x:v>
      </x:c>
      <x:c r="D488" s="25" t="str">
        <x:v>NOT_REVEALING</x:v>
      </x:c>
      <x:c r="E488" s="25" t="str">
        <x:v>N/A</x:v>
      </x:c>
      <x:c r="F488" s="26" t="str">
        <x:v>Same saved validation suite passed on buggy and fixed</x:v>
      </x:c>
      <x:c r="G488" s="25" t="str">
        <x:v>true</x:v>
      </x:c>
      <x:c r="H488" s="25" t="str">
        <x:v>NOT_REVEALING</x:v>
      </x:c>
      <x:c r="I488" s="25" t="str">
        <x:v>PASS</x:v>
      </x:c>
      <x:c r="J488" s="25" t="str">
        <x:v>PASS</x:v>
      </x:c>
      <x:c r="K488" s="25" t="n">
        <x:v>1</x:v>
      </x:c>
      <x:c r="L488" s="27" t="b">
        <x:v>0</x:v>
      </x:c>
      <x:c r="M488" s="25" t="str">
        <x:v>Gemini-3.8-flash/generation_state.json</x:v>
      </x:c>
      <x:c r="N488" s="25" t="str">
        <x:v>Gemini-3.8-flash/Result/JacksonDatabind_84/result.json</x:v>
      </x:c>
      <x:c r="O488" s="25" t="str">
        <x:v>Gemini-3.8-flash/Result/JacksonDatabind_84/result.json</x:v>
      </x:c>
      <x:c r="P488"/>
      <x:c r="Q488" s="21" t="str"/>
      <x:c r="R488" s="21" t="str"/>
      <x:c r="S488" s="21" t="str"/>
      <x:c r="T488" s="17" t="str">
        <x:v>false</x:v>
      </x:c>
      <x:c r="U488" s="17" t="str">
        <x:v>true</x:v>
      </x:c>
      <x:c r="V488" s="17" t="str">
        <x:v>false</x:v>
      </x:c>
    </x:row>
    <x:row r="489" ht="80" customHeight="1">
      <x:c r="A489" s="25" t="str">
        <x:v>JacksonDatabind</x:v>
      </x:c>
      <x:c r="B489" s="25" t="n">
        <x:v>85</x:v>
      </x:c>
      <x:c r="C489" s="25" t="str">
        <x:v>Round1</x:v>
      </x:c>
      <x:c r="D489" s="25" t="str">
        <x:v>NOT_AVAILABLE</x:v>
      </x:c>
      <x:c r="E489" s="25" t="str">
        <x:v>N/A</x:v>
      </x:c>
      <x:c r="F489" s="26" t="str">
        <x:v>Tests exist but current coverage did not complete</x:v>
      </x:c>
      <x:c r="G489" s="25" t="str">
        <x:v>true</x:v>
      </x:c>
      <x:c r="H489" s="25" t="str">
        <x:v>NOT_AVAILABLE</x:v>
      </x:c>
      <x:c r="I489" s="25" t="str">
        <x:v>NOT_RUN</x:v>
      </x:c>
      <x:c r="J489" s="25" t="str">
        <x:v>NOT_RUN</x:v>
      </x:c>
      <x:c r="K489" s="25" t="n">
        <x:v>1</x:v>
      </x:c>
      <x:c r="L489" s="27" t="b">
        <x:v>0</x:v>
      </x:c>
      <x:c r="M489" s="25" t="str">
        <x:v>Gemini-3.8-flash/generation_state.json</x:v>
      </x:c>
      <x:c r="N489" s="25" t="str">
        <x:v>Gemini-3.8-flash/Result/JacksonDatabind_85/result.json</x:v>
      </x:c>
      <x:c r="O489" s="25" t="str">
        <x:v>Gemini-3.8-flash/Result/JacksonDatabind_85/result.json</x:v>
      </x:c>
      <x:c r="P489" t="str">
        <x:v>BOTH_NOT_RUN</x:v>
      </x:c>
      <x:c r="Q489" s="21" t="str"/>
      <x:c r="R489" s="21" t="str"/>
      <x:c r="S489" s="21" t="str"/>
      <x:c r="T489" s="17" t="str">
        <x:v>false</x:v>
      </x:c>
      <x:c r="U489" s="17" t="str">
        <x:v>true</x:v>
      </x:c>
      <x:c r="V489" s="17" t="str">
        <x:v>false</x:v>
      </x:c>
    </x:row>
    <x:row r="490" ht="80" customHeight="1">
      <x:c r="A490" s="25" t="str">
        <x:v>JacksonDatabind</x:v>
      </x:c>
      <x:c r="B490" s="25" t="n">
        <x:v>86</x:v>
      </x:c>
      <x:c r="C490" s="25" t="str">
        <x:v>Round1</x:v>
      </x:c>
      <x:c r="D490" s="25" t="str">
        <x:v>NOT_REVEALING</x:v>
      </x:c>
      <x:c r="E490" s="25" t="str">
        <x:v>N/A</x:v>
      </x:c>
      <x:c r="F490" s="26" t="str">
        <x:v>Same saved validation suite passed on buggy and fixed</x:v>
      </x:c>
      <x:c r="G490" s="25" t="str">
        <x:v>true</x:v>
      </x:c>
      <x:c r="H490" s="25" t="str">
        <x:v>NOT_REVEALING</x:v>
      </x:c>
      <x:c r="I490" s="25" t="str">
        <x:v>PASS</x:v>
      </x:c>
      <x:c r="J490" s="25" t="str">
        <x:v>PASS</x:v>
      </x:c>
      <x:c r="K490" s="25" t="n">
        <x:v>1</x:v>
      </x:c>
      <x:c r="L490" s="27" t="b">
        <x:v>0</x:v>
      </x:c>
      <x:c r="M490" s="25" t="str">
        <x:v>Gemini-3.8-flash/generation_state.json</x:v>
      </x:c>
      <x:c r="N490" s="25" t="str">
        <x:v>Gemini-3.8-flash/Result/JacksonDatabind_86/result.json</x:v>
      </x:c>
      <x:c r="O490" s="25" t="str">
        <x:v>Gemini-3.8-flash/Result/JacksonDatabind_86/result.json</x:v>
      </x:c>
      <x:c r="P490"/>
      <x:c r="Q490" s="21" t="str"/>
      <x:c r="R490" s="21" t="str"/>
      <x:c r="S490" s="21" t="str"/>
      <x:c r="T490" s="17" t="str">
        <x:v>false</x:v>
      </x:c>
      <x:c r="U490" s="17" t="str">
        <x:v>true</x:v>
      </x:c>
      <x:c r="V490" s="17" t="str">
        <x:v>false</x:v>
      </x:c>
    </x:row>
    <x:row r="491" ht="80" customHeight="1">
      <x:c r="A491" s="25" t="str">
        <x:v>JacksonDatabind</x:v>
      </x:c>
      <x:c r="B491" s="25" t="n">
        <x:v>87</x:v>
      </x:c>
      <x:c r="C491" s="25" t="str">
        <x:v>Round1</x:v>
      </x:c>
      <x:c r="D491" s="25" t="str">
        <x:v>NOT_REVEALING</x:v>
      </x:c>
      <x:c r="E491" s="25" t="str">
        <x:v>N/A</x:v>
      </x:c>
      <x:c r="F491" s="26" t="str">
        <x:v>Same saved validation suite passed on buggy and fixed</x:v>
      </x:c>
      <x:c r="G491" s="25" t="str">
        <x:v>true</x:v>
      </x:c>
      <x:c r="H491" s="25" t="str">
        <x:v>NOT_REVEALING</x:v>
      </x:c>
      <x:c r="I491" s="25" t="str">
        <x:v>PASS</x:v>
      </x:c>
      <x:c r="J491" s="25" t="str">
        <x:v>PASS</x:v>
      </x:c>
      <x:c r="K491" s="25" t="n">
        <x:v>1</x:v>
      </x:c>
      <x:c r="L491" s="27" t="b">
        <x:v>0</x:v>
      </x:c>
      <x:c r="M491" s="25" t="str">
        <x:v>Gemini-3.8-flash/generation_state.json</x:v>
      </x:c>
      <x:c r="N491" s="25" t="str">
        <x:v>Gemini-3.8-flash/Result/JacksonDatabind_87/result.json</x:v>
      </x:c>
      <x:c r="O491" s="25" t="str">
        <x:v>Gemini-3.8-flash/Result/JacksonDatabind_87/result.json</x:v>
      </x:c>
      <x:c r="P491"/>
      <x:c r="Q491" s="21" t="str"/>
      <x:c r="R491" s="21" t="str"/>
      <x:c r="S491" s="21" t="str"/>
      <x:c r="T491" s="17" t="str">
        <x:v>false</x:v>
      </x:c>
      <x:c r="U491" s="17" t="str">
        <x:v>true</x:v>
      </x:c>
      <x:c r="V491" s="17" t="str">
        <x:v>false</x:v>
      </x:c>
    </x:row>
    <x:row r="492" ht="80" customHeight="1">
      <x:c r="A492" s="25" t="str">
        <x:v>JacksonDatabind</x:v>
      </x:c>
      <x:c r="B492" s="25" t="n">
        <x:v>88</x:v>
      </x:c>
      <x:c r="C492" s="25" t="str">
        <x:v>Round1</x:v>
      </x:c>
      <x:c r="D492" s="25" t="str">
        <x:v>INCONCLUSIVE</x:v>
      </x:c>
      <x:c r="E492" s="25" t="str">
        <x:v>N/A</x:v>
      </x:c>
      <x:c r="F492" s="26" t="str">
        <x:v>Fixed also failed; assertion failure cannot be attributed to this bug</x:v>
      </x:c>
      <x:c r="G492" s="25" t="str">
        <x:v>true</x:v>
      </x:c>
      <x:c r="H492" s="25" t="str">
        <x:v>INCONCLUSIVE</x:v>
      </x:c>
      <x:c r="I492" s="25" t="str">
        <x:v>FAIL</x:v>
      </x:c>
      <x:c r="J492" s="25" t="str">
        <x:v>FAIL</x:v>
      </x:c>
      <x:c r="K492" s="25" t="n">
        <x:v>1</x:v>
      </x:c>
      <x:c r="L492" s="27" t="b">
        <x:v>0</x:v>
      </x:c>
      <x:c r="M492" s="25" t="str">
        <x:v>Gemini-3.8-flash/generation_state.json</x:v>
      </x:c>
      <x:c r="N492" s="25" t="str">
        <x:v>Gemini-3.8-flash/Result/JacksonDatabind_88/result.json</x:v>
      </x:c>
      <x:c r="O492" s="25" t="str">
        <x:v>Gemini-3.8-flash/Result/JacksonDatabind_88/result.json</x:v>
      </x:c>
      <x:c r="P492"/>
      <x:c r="Q492" s="21" t="str"/>
      <x:c r="R492" s="21" t="str"/>
      <x:c r="S492" s="21" t="str"/>
      <x:c r="T492" s="17" t="str">
        <x:v>false</x:v>
      </x:c>
      <x:c r="U492" s="17" t="str">
        <x:v>true</x:v>
      </x:c>
      <x:c r="V492" s="17" t="str">
        <x:v>false</x:v>
      </x:c>
    </x:row>
    <x:row r="493" ht="80" customHeight="1">
      <x:c r="A493" s="25" t="str">
        <x:v>JacksonDatabind</x:v>
      </x:c>
      <x:c r="B493" s="25" t="n">
        <x:v>9</x:v>
      </x:c>
      <x:c r="C493" s="25" t="str">
        <x:v>Round1</x:v>
      </x:c>
      <x:c r="D493" s="25" t="str">
        <x:v>NOT_AVAILABLE</x:v>
      </x:c>
      <x:c r="E493" s="25" t="str">
        <x:v>N/A</x:v>
      </x:c>
      <x:c r="F493" s="26" t="str">
        <x:v>Tests exist but current coverage did not complete</x:v>
      </x:c>
      <x:c r="G493" s="25" t="str">
        <x:v>true</x:v>
      </x:c>
      <x:c r="H493" s="25" t="str">
        <x:v>NOT_AVAILABLE</x:v>
      </x:c>
      <x:c r="I493" s="25" t="str">
        <x:v>NOT_RUN</x:v>
      </x:c>
      <x:c r="J493" s="25" t="str">
        <x:v>NOT_RUN</x:v>
      </x:c>
      <x:c r="K493" s="25" t="n">
        <x:v>1</x:v>
      </x:c>
      <x:c r="L493" s="27" t="b">
        <x:v>0</x:v>
      </x:c>
      <x:c r="M493" s="25" t="str">
        <x:v>Gemini-3.8-flash/generation_state.json</x:v>
      </x:c>
      <x:c r="N493" s="25" t="str">
        <x:v>Gemini-3.8-flash/Result/JacksonDatabind_9/result.json</x:v>
      </x:c>
      <x:c r="O493" s="25" t="str">
        <x:v>Gemini-3.8-flash/Result/JacksonDatabind_9/result.json</x:v>
      </x:c>
      <x:c r="P493" t="str">
        <x:v>BOTH_NOT_RUN</x:v>
      </x:c>
      <x:c r="Q493" s="21" t="str"/>
      <x:c r="R493" s="21" t="str"/>
      <x:c r="S493" s="21" t="str"/>
      <x:c r="T493" s="17" t="str">
        <x:v>false</x:v>
      </x:c>
      <x:c r="U493" s="17" t="str">
        <x:v>true</x:v>
      </x:c>
      <x:c r="V493" s="17" t="str">
        <x:v>false</x:v>
      </x:c>
    </x:row>
    <x:row r="494" ht="80" customHeight="1">
      <x:c r="A494" s="25" t="str">
        <x:v>JacksonDatabind</x:v>
      </x:c>
      <x:c r="B494" s="25" t="n">
        <x:v>90</x:v>
      </x:c>
      <x:c r="C494" s="25" t="str">
        <x:v>Round1</x:v>
      </x:c>
      <x:c r="D494" s="25" t="str">
        <x:v>NOT_AVAILABLE</x:v>
      </x:c>
      <x:c r="E494" s="25" t="str">
        <x:v>N/A</x:v>
      </x:c>
      <x:c r="F494" s="26" t="str">
        <x:v>Tests exist but current coverage did not complete</x:v>
      </x:c>
      <x:c r="G494" s="25" t="str">
        <x:v>true</x:v>
      </x:c>
      <x:c r="H494" s="25" t="str">
        <x:v>NOT_AVAILABLE</x:v>
      </x:c>
      <x:c r="I494" s="25" t="str">
        <x:v>NOT_RUN</x:v>
      </x:c>
      <x:c r="J494" s="25" t="str">
        <x:v>NOT_RUN</x:v>
      </x:c>
      <x:c r="K494" s="25" t="n">
        <x:v>2</x:v>
      </x:c>
      <x:c r="L494" s="27" t="b">
        <x:v>0</x:v>
      </x:c>
      <x:c r="M494" s="25" t="str">
        <x:v>Gemini-3.8-flash/generation_state.json</x:v>
      </x:c>
      <x:c r="N494" s="25" t="str">
        <x:v>Gemini-3.8-flash/Result/JacksonDatabind_90/result.json</x:v>
      </x:c>
      <x:c r="O494" s="25" t="str">
        <x:v>Gemini-3.8-flash/Result/JacksonDatabind_90/result.json</x:v>
      </x:c>
      <x:c r="P494" t="str">
        <x:v>BOTH_NOT_RUN</x:v>
      </x:c>
      <x:c r="Q494" s="21" t="str"/>
      <x:c r="R494" s="21" t="str"/>
      <x:c r="S494" s="21" t="str"/>
      <x:c r="T494" s="17" t="str">
        <x:v>false</x:v>
      </x:c>
      <x:c r="U494" s="17" t="str">
        <x:v>true</x:v>
      </x:c>
      <x:c r="V494" s="17" t="str">
        <x:v>false</x:v>
      </x:c>
    </x:row>
    <x:row r="495" ht="80" customHeight="1">
      <x:c r="A495" s="25" t="str">
        <x:v>JacksonDatabind</x:v>
      </x:c>
      <x:c r="B495" s="25" t="n">
        <x:v>91</x:v>
      </x:c>
      <x:c r="C495" s="25" t="str">
        <x:v>Round1</x:v>
      </x:c>
      <x:c r="D495" s="25" t="str">
        <x:v>NOT_AVAILABLE</x:v>
      </x:c>
      <x:c r="E495" s="25" t="str">
        <x:v>N/A</x:v>
      </x:c>
      <x:c r="F495" s="26" t="str">
        <x:v>Tests exist but current coverage did not complete</x:v>
      </x:c>
      <x:c r="G495" s="25" t="str">
        <x:v>true</x:v>
      </x:c>
      <x:c r="H495" s="25" t="str">
        <x:v>NOT_AVAILABLE</x:v>
      </x:c>
      <x:c r="I495" s="25" t="str">
        <x:v>NOT_RUN</x:v>
      </x:c>
      <x:c r="J495" s="25" t="str">
        <x:v>NOT_RUN</x:v>
      </x:c>
      <x:c r="K495" s="25" t="n">
        <x:v>1</x:v>
      </x:c>
      <x:c r="L495" s="27" t="b">
        <x:v>0</x:v>
      </x:c>
      <x:c r="M495" s="25" t="str">
        <x:v>Gemini-3.8-flash/generation_state.json</x:v>
      </x:c>
      <x:c r="N495" s="25" t="str">
        <x:v>Gemini-3.8-flash/Result/JacksonDatabind_91/result.json</x:v>
      </x:c>
      <x:c r="O495" s="25" t="str">
        <x:v>Gemini-3.8-flash/Result/JacksonDatabind_91/result.json</x:v>
      </x:c>
      <x:c r="P495" t="str">
        <x:v>BOTH_NOT_RUN</x:v>
      </x:c>
      <x:c r="Q495" s="21" t="str"/>
      <x:c r="R495" s="21" t="str"/>
      <x:c r="S495" s="21" t="str"/>
      <x:c r="T495" s="17" t="str">
        <x:v>false</x:v>
      </x:c>
      <x:c r="U495" s="17" t="str">
        <x:v>true</x:v>
      </x:c>
      <x:c r="V495" s="17" t="str">
        <x:v>false</x:v>
      </x:c>
    </x:row>
    <x:row r="496" ht="80" customHeight="1">
      <x:c r="A496" s="25" t="str">
        <x:v>JacksonDatabind</x:v>
      </x:c>
      <x:c r="B496" s="25" t="n">
        <x:v>92</x:v>
      </x:c>
      <x:c r="C496" s="25" t="str">
        <x:v>Round1</x:v>
      </x:c>
      <x:c r="D496" s="25" t="str">
        <x:v>NOT_AVAILABLE</x:v>
      </x:c>
      <x:c r="E496" s="25" t="str">
        <x:v>N/A</x:v>
      </x:c>
      <x:c r="F496" s="26" t="str">
        <x:v>Tests exist but current coverage did not complete</x:v>
      </x:c>
      <x:c r="G496" s="25" t="str">
        <x:v>true</x:v>
      </x:c>
      <x:c r="H496" s="25" t="str">
        <x:v>NOT_AVAILABLE</x:v>
      </x:c>
      <x:c r="I496" s="25" t="str">
        <x:v>NOT_RUN</x:v>
      </x:c>
      <x:c r="J496" s="25" t="str">
        <x:v>NOT_RUN</x:v>
      </x:c>
      <x:c r="K496" s="25" t="n">
        <x:v>1</x:v>
      </x:c>
      <x:c r="L496" s="27" t="b">
        <x:v>0</x:v>
      </x:c>
      <x:c r="M496" s="25" t="str">
        <x:v>Gemini-3.8-flash/generation_state.json</x:v>
      </x:c>
      <x:c r="N496" s="25" t="str">
        <x:v>Gemini-3.8-flash/Result/JacksonDatabind_92/result.json</x:v>
      </x:c>
      <x:c r="O496" s="25" t="str">
        <x:v>Gemini-3.8-flash/Result/JacksonDatabind_92/result.json</x:v>
      </x:c>
      <x:c r="P496" t="str">
        <x:v>BOTH_NOT_RUN</x:v>
      </x:c>
      <x:c r="Q496" s="21" t="str"/>
      <x:c r="R496" s="21" t="str"/>
      <x:c r="S496" s="21" t="str"/>
      <x:c r="T496" s="17" t="str">
        <x:v>false</x:v>
      </x:c>
      <x:c r="U496" s="17" t="str">
        <x:v>true</x:v>
      </x:c>
      <x:c r="V496" s="17" t="str">
        <x:v>false</x:v>
      </x:c>
    </x:row>
    <x:row r="497" ht="80" customHeight="1">
      <x:c r="A497" s="25" t="str">
        <x:v>JacksonDatabind</x:v>
      </x:c>
      <x:c r="B497" s="25" t="n">
        <x:v>93</x:v>
      </x:c>
      <x:c r="C497" s="25" t="str">
        <x:v>Round1</x:v>
      </x:c>
      <x:c r="D497" s="25" t="str">
        <x:v>INCONCLUSIVE</x:v>
      </x:c>
      <x:c r="E497" s="25" t="str">
        <x:v>N/A</x:v>
      </x:c>
      <x:c r="F497" s="26" t="str">
        <x:v>Fixed also failed; assertion failure cannot be attributed to this bug</x:v>
      </x:c>
      <x:c r="G497" s="25" t="str">
        <x:v>true</x:v>
      </x:c>
      <x:c r="H497" s="25" t="str">
        <x:v>INCONCLUSIVE</x:v>
      </x:c>
      <x:c r="I497" s="25" t="str">
        <x:v>FAIL</x:v>
      </x:c>
      <x:c r="J497" s="25" t="str">
        <x:v>FAIL</x:v>
      </x:c>
      <x:c r="K497" s="25" t="n">
        <x:v>1</x:v>
      </x:c>
      <x:c r="L497" s="27" t="b">
        <x:v>0</x:v>
      </x:c>
      <x:c r="M497" s="25" t="str">
        <x:v>Gemini-3.8-flash/generation_state.json</x:v>
      </x:c>
      <x:c r="N497" s="25" t="str">
        <x:v>Gemini-3.8-flash/Result/JacksonDatabind_93/result.json</x:v>
      </x:c>
      <x:c r="O497" s="25" t="str">
        <x:v>Gemini-3.8-flash/Result/JacksonDatabind_93/result.json</x:v>
      </x:c>
      <x:c r="P497"/>
      <x:c r="Q497" s="21" t="str"/>
      <x:c r="R497" s="21" t="str"/>
      <x:c r="S497" s="21" t="str"/>
      <x:c r="T497" s="17" t="str">
        <x:v>false</x:v>
      </x:c>
      <x:c r="U497" s="17" t="str">
        <x:v>true</x:v>
      </x:c>
      <x:c r="V497" s="17" t="str">
        <x:v>false</x:v>
      </x:c>
    </x:row>
    <x:row r="498" ht="80" customHeight="1">
      <x:c r="A498" s="25" t="str">
        <x:v>JacksonDatabind</x:v>
      </x:c>
      <x:c r="B498" s="25" t="n">
        <x:v>94</x:v>
      </x:c>
      <x:c r="C498" s="25" t="str">
        <x:v>Round1</x:v>
      </x:c>
      <x:c r="D498" s="25" t="str">
        <x:v>INCONCLUSIVE</x:v>
      </x:c>
      <x:c r="E498" s="25" t="str">
        <x:v>N/A</x:v>
      </x:c>
      <x:c r="F498" s="26" t="str">
        <x:v>Fixed also failed; assertion failure cannot be attributed to this bug</x:v>
      </x:c>
      <x:c r="G498" s="25" t="str">
        <x:v>true</x:v>
      </x:c>
      <x:c r="H498" s="25" t="str">
        <x:v>INCONCLUSIVE</x:v>
      </x:c>
      <x:c r="I498" s="25" t="str">
        <x:v>FAIL</x:v>
      </x:c>
      <x:c r="J498" s="25" t="str">
        <x:v>FAIL</x:v>
      </x:c>
      <x:c r="K498" s="25" t="n">
        <x:v>1</x:v>
      </x:c>
      <x:c r="L498" s="27" t="b">
        <x:v>0</x:v>
      </x:c>
      <x:c r="M498" s="25" t="str">
        <x:v>Gemini-3.8-flash/generation_state.json</x:v>
      </x:c>
      <x:c r="N498" s="25" t="str">
        <x:v>Gemini-3.8-flash/Result/JacksonDatabind_94/result.json</x:v>
      </x:c>
      <x:c r="O498" s="25" t="str">
        <x:v>Gemini-3.8-flash/Result/JacksonDatabind_94/result.json</x:v>
      </x:c>
      <x:c r="P498"/>
      <x:c r="Q498" s="21" t="str"/>
      <x:c r="R498" s="21" t="str"/>
      <x:c r="S498" s="21" t="str"/>
      <x:c r="T498" s="17" t="str">
        <x:v>false</x:v>
      </x:c>
      <x:c r="U498" s="17" t="str">
        <x:v>true</x:v>
      </x:c>
      <x:c r="V498" s="17" t="str">
        <x:v>false</x:v>
      </x:c>
    </x:row>
    <x:row r="499" ht="80" customHeight="1">
      <x:c r="A499" s="25" t="str">
        <x:v>JacksonDatabind</x:v>
      </x:c>
      <x:c r="B499" s="25" t="n">
        <x:v>95</x:v>
      </x:c>
      <x:c r="C499" s="25" t="str">
        <x:v>Round1</x:v>
      </x:c>
      <x:c r="D499" s="25" t="str">
        <x:v>INCONCLUSIVE</x:v>
      </x:c>
      <x:c r="E499" s="25" t="str">
        <x:v>N/A</x:v>
      </x:c>
      <x:c r="F499" s="26" t="str">
        <x:v>Fixed also failed; assertion failure cannot be attributed to this bug</x:v>
      </x:c>
      <x:c r="G499" s="25" t="str">
        <x:v>true</x:v>
      </x:c>
      <x:c r="H499" s="25" t="str">
        <x:v>INCONCLUSIVE</x:v>
      </x:c>
      <x:c r="I499" s="25" t="str">
        <x:v>FAIL</x:v>
      </x:c>
      <x:c r="J499" s="25" t="str">
        <x:v>FAIL</x:v>
      </x:c>
      <x:c r="K499" s="25" t="n">
        <x:v>1</x:v>
      </x:c>
      <x:c r="L499" s="27" t="b">
        <x:v>0</x:v>
      </x:c>
      <x:c r="M499" s="25" t="str">
        <x:v>Gemini-3.8-flash/generation_state.json</x:v>
      </x:c>
      <x:c r="N499" s="25" t="str">
        <x:v>Gemini-3.8-flash/Result/JacksonDatabind_95/result.json</x:v>
      </x:c>
      <x:c r="O499" s="25" t="str">
        <x:v>Gemini-3.8-flash/Result/JacksonDatabind_95/result.json</x:v>
      </x:c>
      <x:c r="P499"/>
      <x:c r="Q499" s="21" t="str"/>
      <x:c r="R499" s="21" t="str"/>
      <x:c r="S499" s="21" t="str"/>
      <x:c r="T499" s="17" t="str">
        <x:v>false</x:v>
      </x:c>
      <x:c r="U499" s="17" t="str">
        <x:v>true</x:v>
      </x:c>
      <x:c r="V499" s="17" t="str">
        <x:v>false</x:v>
      </x:c>
    </x:row>
    <x:row r="500" ht="80" customHeight="1">
      <x:c r="A500" s="25" t="str">
        <x:v>JacksonDatabind</x:v>
      </x:c>
      <x:c r="B500" s="25" t="n">
        <x:v>96</x:v>
      </x:c>
      <x:c r="C500" s="25" t="str">
        <x:v>Round1</x:v>
      </x:c>
      <x:c r="D500" s="25" t="str">
        <x:v>NOT_AVAILABLE</x:v>
      </x:c>
      <x:c r="E500" s="25" t="str">
        <x:v>N/A</x:v>
      </x:c>
      <x:c r="F500" s="26" t="str">
        <x:v>Tests exist but current coverage did not complete</x:v>
      </x:c>
      <x:c r="G500" s="25" t="str">
        <x:v>true</x:v>
      </x:c>
      <x:c r="H500" s="25" t="str">
        <x:v>NOT_AVAILABLE</x:v>
      </x:c>
      <x:c r="I500" s="25" t="str">
        <x:v>NOT_RUN</x:v>
      </x:c>
      <x:c r="J500" s="25" t="str">
        <x:v>NOT_RUN</x:v>
      </x:c>
      <x:c r="K500" s="25" t="n">
        <x:v>1</x:v>
      </x:c>
      <x:c r="L500" s="27" t="b">
        <x:v>0</x:v>
      </x:c>
      <x:c r="M500" s="25" t="str">
        <x:v>Gemini-3.8-flash/generation_state.json</x:v>
      </x:c>
      <x:c r="N500" s="25" t="str">
        <x:v>Gemini-3.8-flash/Result/JacksonDatabind_96/result.json</x:v>
      </x:c>
      <x:c r="O500" s="25" t="str">
        <x:v>Gemini-3.8-flash/Result/JacksonDatabind_96/result.json</x:v>
      </x:c>
      <x:c r="P500" t="str">
        <x:v>BOTH_NOT_RUN</x:v>
      </x:c>
      <x:c r="Q500" s="21" t="str"/>
      <x:c r="R500" s="21" t="str"/>
      <x:c r="S500" s="21" t="str"/>
      <x:c r="T500" s="17" t="str">
        <x:v>false</x:v>
      </x:c>
      <x:c r="U500" s="17" t="str">
        <x:v>true</x:v>
      </x:c>
      <x:c r="V500" s="17" t="str">
        <x:v>false</x:v>
      </x:c>
    </x:row>
    <x:row r="501" ht="80" customHeight="1">
      <x:c r="A501" s="25" t="str">
        <x:v>JacksonDatabind</x:v>
      </x:c>
      <x:c r="B501" s="25" t="n">
        <x:v>97</x:v>
      </x:c>
      <x:c r="C501" s="25" t="str">
        <x:v>Round1</x:v>
      </x:c>
      <x:c r="D501" s="25" t="str">
        <x:v>NOT_AVAILABLE</x:v>
      </x:c>
      <x:c r="E501" s="25" t="str">
        <x:v>N/A</x:v>
      </x:c>
      <x:c r="F501" s="26" t="str">
        <x:v>Tests exist but current coverage did not complete</x:v>
      </x:c>
      <x:c r="G501" s="25" t="str">
        <x:v>true</x:v>
      </x:c>
      <x:c r="H501" s="25" t="str">
        <x:v>NOT_AVAILABLE</x:v>
      </x:c>
      <x:c r="I501" s="25" t="str">
        <x:v>NOT_RUN</x:v>
      </x:c>
      <x:c r="J501" s="25" t="str">
        <x:v>NOT_RUN</x:v>
      </x:c>
      <x:c r="K501" s="25" t="n">
        <x:v>1</x:v>
      </x:c>
      <x:c r="L501" s="27" t="b">
        <x:v>0</x:v>
      </x:c>
      <x:c r="M501" s="25" t="str">
        <x:v>Gemini-3.8-flash/generation_state.json</x:v>
      </x:c>
      <x:c r="N501" s="25" t="str">
        <x:v>Gemini-3.8-flash/Result/JacksonDatabind_97/result.json</x:v>
      </x:c>
      <x:c r="O501" s="25" t="str">
        <x:v>Gemini-3.8-flash/Result/JacksonDatabind_97/result.json</x:v>
      </x:c>
      <x:c r="P501" t="str">
        <x:v>BOTH_NOT_RUN</x:v>
      </x:c>
      <x:c r="Q501" s="21" t="str"/>
      <x:c r="R501" s="21" t="str"/>
      <x:c r="S501" s="21" t="str"/>
      <x:c r="T501" s="17" t="str">
        <x:v>false</x:v>
      </x:c>
      <x:c r="U501" s="17" t="str">
        <x:v>true</x:v>
      </x:c>
      <x:c r="V501" s="17" t="str">
        <x:v>false</x:v>
      </x:c>
    </x:row>
    <x:row r="502" ht="80" customHeight="1">
      <x:c r="A502" s="25" t="str">
        <x:v>JacksonDatabind</x:v>
      </x:c>
      <x:c r="B502" s="25" t="n">
        <x:v>98</x:v>
      </x:c>
      <x:c r="C502" s="25" t="str">
        <x:v>Round1</x:v>
      </x:c>
      <x:c r="D502" s="25" t="str">
        <x:v>INCONCLUSIVE</x:v>
      </x:c>
      <x:c r="E502" s="25" t="str">
        <x:v>N/A</x:v>
      </x:c>
      <x:c r="F502" s="26" t="str">
        <x:v>Fixed also failed; assertion failure cannot be attributed to this bug</x:v>
      </x:c>
      <x:c r="G502" s="25" t="str">
        <x:v>true</x:v>
      </x:c>
      <x:c r="H502" s="25" t="str">
        <x:v>INCONCLUSIVE</x:v>
      </x:c>
      <x:c r="I502" s="25" t="str">
        <x:v>FAIL</x:v>
      </x:c>
      <x:c r="J502" s="25" t="str">
        <x:v>FAIL</x:v>
      </x:c>
      <x:c r="K502" s="25" t="n">
        <x:v>1</x:v>
      </x:c>
      <x:c r="L502" s="27" t="b">
        <x:v>0</x:v>
      </x:c>
      <x:c r="M502" s="25" t="str">
        <x:v>Gemini-3.8-flash/generation_state.json</x:v>
      </x:c>
      <x:c r="N502" s="25" t="str">
        <x:v>Gemini-3.8-flash/Result/JacksonDatabind_98/result.json</x:v>
      </x:c>
      <x:c r="O502" s="25" t="str">
        <x:v>Gemini-3.8-flash/Result/JacksonDatabind_98/result.json</x:v>
      </x:c>
      <x:c r="P502"/>
      <x:c r="Q502" s="21" t="str"/>
      <x:c r="R502" s="21" t="str"/>
      <x:c r="S502" s="21" t="str"/>
      <x:c r="T502" s="17" t="str">
        <x:v>false</x:v>
      </x:c>
      <x:c r="U502" s="17" t="str">
        <x:v>true</x:v>
      </x:c>
      <x:c r="V502" s="17" t="str">
        <x:v>false</x:v>
      </x:c>
    </x:row>
    <x:row r="503" ht="80" customHeight="1">
      <x:c r="A503" s="25" t="str">
        <x:v>JacksonDatabind</x:v>
      </x:c>
      <x:c r="B503" s="25" t="n">
        <x:v>99</x:v>
      </x:c>
      <x:c r="C503" s="25" t="str">
        <x:v>Round1</x:v>
      </x:c>
      <x:c r="D503" s="25" t="str">
        <x:v>NOT_AVAILABLE</x:v>
      </x:c>
      <x:c r="E503" s="25" t="str">
        <x:v>N/A</x:v>
      </x:c>
      <x:c r="F503" s="26" t="str">
        <x:v>Tests exist but current coverage did not complete</x:v>
      </x:c>
      <x:c r="G503" s="25" t="str">
        <x:v>true</x:v>
      </x:c>
      <x:c r="H503" s="25" t="str">
        <x:v>NOT_AVAILABLE</x:v>
      </x:c>
      <x:c r="I503" s="25" t="str">
        <x:v>NOT_RUN</x:v>
      </x:c>
      <x:c r="J503" s="25" t="str">
        <x:v>NOT_RUN</x:v>
      </x:c>
      <x:c r="K503" s="25" t="n">
        <x:v>1</x:v>
      </x:c>
      <x:c r="L503" s="27" t="b">
        <x:v>0</x:v>
      </x:c>
      <x:c r="M503" s="25" t="str">
        <x:v>Gemini-3.8-flash/generation_state.json</x:v>
      </x:c>
      <x:c r="N503" s="25" t="str">
        <x:v>Gemini-3.8-flash/Result/JacksonDatabind_99/result.json</x:v>
      </x:c>
      <x:c r="O503" s="25" t="str">
        <x:v>Gemini-3.8-flash/Result/JacksonDatabind_99/result.json</x:v>
      </x:c>
      <x:c r="P503" t="str">
        <x:v>BOTH_NOT_RUN</x:v>
      </x:c>
      <x:c r="Q503" s="21" t="str"/>
      <x:c r="R503" s="21" t="str"/>
      <x:c r="S503" s="21" t="str"/>
      <x:c r="T503" s="17" t="str">
        <x:v>false</x:v>
      </x:c>
      <x:c r="U503" s="17" t="str">
        <x:v>true</x:v>
      </x:c>
      <x:c r="V503" s="17" t="str">
        <x:v>false</x:v>
      </x:c>
    </x:row>
    <x:row r="504" ht="80" customHeight="1">
      <x:c r="A504" s="25" t="str">
        <x:v>JacksonXml</x:v>
      </x:c>
      <x:c r="B504" s="25" t="n">
        <x:v>1</x:v>
      </x:c>
      <x:c r="C504" s="25" t="str">
        <x:v>Round1</x:v>
      </x:c>
      <x:c r="D504" s="25" t="str">
        <x:v>NOT_REVEALING</x:v>
      </x:c>
      <x:c r="E504" s="25" t="str">
        <x:v>N/A</x:v>
      </x:c>
      <x:c r="F504" s="26" t="str">
        <x:v>Same saved validation suite passed on buggy and fixed</x:v>
      </x:c>
      <x:c r="G504" s="25" t="str">
        <x:v>true</x:v>
      </x:c>
      <x:c r="H504" s="25" t="str">
        <x:v>NOT_REVEALING</x:v>
      </x:c>
      <x:c r="I504" s="25" t="str">
        <x:v>PASS</x:v>
      </x:c>
      <x:c r="J504" s="25" t="str">
        <x:v>PASS</x:v>
      </x:c>
      <x:c r="K504" s="25" t="n">
        <x:v>1</x:v>
      </x:c>
      <x:c r="L504" s="27" t="b">
        <x:v>0</x:v>
      </x:c>
      <x:c r="M504" s="25" t="str">
        <x:v>Gemini-3.8-flash/generation_state.json</x:v>
      </x:c>
      <x:c r="N504" s="25" t="str">
        <x:v>Gemini-3.8-flash/Result/JacksonXml_1/result.json</x:v>
      </x:c>
      <x:c r="O504" s="25" t="str">
        <x:v>Gemini-3.8-flash/Result/JacksonXml_1/result.json</x:v>
      </x:c>
      <x:c r="P504"/>
      <x:c r="Q504" s="21" t="str"/>
      <x:c r="R504" s="21" t="str"/>
      <x:c r="S504" s="21" t="str"/>
      <x:c r="T504" s="17" t="str">
        <x:v>false</x:v>
      </x:c>
      <x:c r="U504" s="17" t="str">
        <x:v>true</x:v>
      </x:c>
      <x:c r="V504" s="17" t="str">
        <x:v>false</x:v>
      </x:c>
    </x:row>
    <x:row r="505" ht="80" customHeight="1">
      <x:c r="A505" s="25" t="str">
        <x:v>JacksonXml</x:v>
      </x:c>
      <x:c r="B505" s="25" t="n">
        <x:v>2</x:v>
      </x:c>
      <x:c r="C505" s="25" t="str">
        <x:v>Round1</x:v>
      </x:c>
      <x:c r="D505" s="25" t="str">
        <x:v>NOT_AVAILABLE</x:v>
      </x:c>
      <x:c r="E505" s="25" t="str">
        <x:v>N/A</x:v>
      </x:c>
      <x:c r="F505" s="26" t="str">
        <x:v>Tests exist but current coverage did not complete</x:v>
      </x:c>
      <x:c r="G505" s="25" t="str">
        <x:v>true</x:v>
      </x:c>
      <x:c r="H505" s="25" t="str">
        <x:v>NOT_AVAILABLE</x:v>
      </x:c>
      <x:c r="I505" s="25" t="str">
        <x:v>NOT_RUN</x:v>
      </x:c>
      <x:c r="J505" s="25" t="str">
        <x:v>NOT_RUN</x:v>
      </x:c>
      <x:c r="K505" s="25" t="n">
        <x:v>1</x:v>
      </x:c>
      <x:c r="L505" s="27" t="b">
        <x:v>0</x:v>
      </x:c>
      <x:c r="M505" s="25" t="str">
        <x:v>Gemini-3.8-flash/generation_state.json</x:v>
      </x:c>
      <x:c r="N505" s="25" t="str">
        <x:v>Gemini-3.8-flash/Result/JacksonXml_2/result.json</x:v>
      </x:c>
      <x:c r="O505" s="25" t="str">
        <x:v>Gemini-3.8-flash/Result/JacksonXml_2/result.json</x:v>
      </x:c>
      <x:c r="P505" t="str">
        <x:v>BOTH_NOT_RUN</x:v>
      </x:c>
      <x:c r="Q505" s="21" t="str"/>
      <x:c r="R505" s="21" t="str"/>
      <x:c r="S505" s="21" t="str"/>
      <x:c r="T505" s="17" t="str">
        <x:v>false</x:v>
      </x:c>
      <x:c r="U505" s="17" t="str">
        <x:v>true</x:v>
      </x:c>
      <x:c r="V505" s="17" t="str">
        <x:v>false</x:v>
      </x:c>
    </x:row>
    <x:row r="506" ht="80" customHeight="1">
      <x:c r="A506" s="25" t="str">
        <x:v>JacksonXml</x:v>
      </x:c>
      <x:c r="B506" s="25" t="n">
        <x:v>3</x:v>
      </x:c>
      <x:c r="C506" s="25" t="str">
        <x:v>Round1</x:v>
      </x:c>
      <x:c r="D506" s="25" t="str">
        <x:v>NOT_REVEALING</x:v>
      </x:c>
      <x:c r="E506" s="25" t="str">
        <x:v>N/A</x:v>
      </x:c>
      <x:c r="F506" s="26" t="str">
        <x:v>Same saved validation suite passed on buggy and fixed</x:v>
      </x:c>
      <x:c r="G506" s="25" t="str">
        <x:v>true</x:v>
      </x:c>
      <x:c r="H506" s="25" t="str">
        <x:v>NOT_REVEALING</x:v>
      </x:c>
      <x:c r="I506" s="25" t="str">
        <x:v>PASS</x:v>
      </x:c>
      <x:c r="J506" s="25" t="str">
        <x:v>PASS</x:v>
      </x:c>
      <x:c r="K506" s="25" t="n">
        <x:v>1</x:v>
      </x:c>
      <x:c r="L506" s="27" t="b">
        <x:v>0</x:v>
      </x:c>
      <x:c r="M506" s="25" t="str">
        <x:v>Gemini-3.8-flash/generation_state.json</x:v>
      </x:c>
      <x:c r="N506" s="25" t="str">
        <x:v>Gemini-3.8-flash/Result/JacksonXml_3/result.json</x:v>
      </x:c>
      <x:c r="O506" s="25" t="str">
        <x:v>Gemini-3.8-flash/Result/JacksonXml_3/result.json</x:v>
      </x:c>
      <x:c r="P506"/>
      <x:c r="Q506" s="21" t="str"/>
      <x:c r="R506" s="21" t="str"/>
      <x:c r="S506" s="21" t="str"/>
      <x:c r="T506" s="17" t="str">
        <x:v>false</x:v>
      </x:c>
      <x:c r="U506" s="17" t="str">
        <x:v>true</x:v>
      </x:c>
      <x:c r="V506" s="17" t="str">
        <x:v>false</x:v>
      </x:c>
    </x:row>
    <x:row r="507" ht="80" customHeight="1">
      <x:c r="A507" s="25" t="str">
        <x:v>JacksonXml</x:v>
      </x:c>
      <x:c r="B507" s="25" t="n">
        <x:v>4</x:v>
      </x:c>
      <x:c r="C507" s="25" t="str">
        <x:v>Round1</x:v>
      </x:c>
      <x:c r="D507" s="25" t="str">
        <x:v>NOT_REVEALING</x:v>
      </x:c>
      <x:c r="E507" s="25" t="str">
        <x:v>N/A</x:v>
      </x:c>
      <x:c r="F507" s="26" t="str">
        <x:v>Same saved validation suite passed on buggy and fixed</x:v>
      </x:c>
      <x:c r="G507" s="25" t="str">
        <x:v>true</x:v>
      </x:c>
      <x:c r="H507" s="25" t="str">
        <x:v>NOT_REVEALING</x:v>
      </x:c>
      <x:c r="I507" s="25" t="str">
        <x:v>PASS</x:v>
      </x:c>
      <x:c r="J507" s="25" t="str">
        <x:v>PASS</x:v>
      </x:c>
      <x:c r="K507" s="25" t="n">
        <x:v>1</x:v>
      </x:c>
      <x:c r="L507" s="27" t="b">
        <x:v>0</x:v>
      </x:c>
      <x:c r="M507" s="25" t="str">
        <x:v>Gemini-3.8-flash/generation_state.json</x:v>
      </x:c>
      <x:c r="N507" s="25" t="str">
        <x:v>Gemini-3.8-flash/Result/JacksonXml_4/result.json</x:v>
      </x:c>
      <x:c r="O507" s="25" t="str">
        <x:v>Gemini-3.8-flash/Result/JacksonXml_4/result.json</x:v>
      </x:c>
      <x:c r="P507"/>
      <x:c r="Q507" s="21" t="str"/>
      <x:c r="R507" s="21" t="str"/>
      <x:c r="S507" s="21" t="str"/>
      <x:c r="T507" s="17" t="str">
        <x:v>false</x:v>
      </x:c>
      <x:c r="U507" s="17" t="str">
        <x:v>true</x:v>
      </x:c>
      <x:c r="V507" s="17" t="str">
        <x:v>false</x:v>
      </x:c>
    </x:row>
    <x:row r="508" ht="80" customHeight="1">
      <x:c r="A508" s="25" t="str">
        <x:v>JacksonXml</x:v>
      </x:c>
      <x:c r="B508" s="25" t="n">
        <x:v>5</x:v>
      </x:c>
      <x:c r="C508" s="25" t="str">
        <x:v>Round1</x:v>
      </x:c>
      <x:c r="D508" s="25" t="str">
        <x:v>NOT_REVEALING</x:v>
      </x:c>
      <x:c r="E508" s="25" t="str">
        <x:v>N/A</x:v>
      </x:c>
      <x:c r="F508" s="26" t="str">
        <x:v>Same saved validation suite passed on buggy and fixed</x:v>
      </x:c>
      <x:c r="G508" s="25" t="str">
        <x:v>true</x:v>
      </x:c>
      <x:c r="H508" s="25" t="str">
        <x:v>NOT_REVEALING</x:v>
      </x:c>
      <x:c r="I508" s="25" t="str">
        <x:v>PASS</x:v>
      </x:c>
      <x:c r="J508" s="25" t="str">
        <x:v>PASS</x:v>
      </x:c>
      <x:c r="K508" s="25" t="n">
        <x:v>1</x:v>
      </x:c>
      <x:c r="L508" s="27" t="b">
        <x:v>0</x:v>
      </x:c>
      <x:c r="M508" s="25" t="str">
        <x:v>Gemini-3.8-flash/generation_state.json</x:v>
      </x:c>
      <x:c r="N508" s="25" t="str">
        <x:v>Gemini-3.8-flash/Result/JacksonXml_5/result.json</x:v>
      </x:c>
      <x:c r="O508" s="25" t="str">
        <x:v>Gemini-3.8-flash/Result/JacksonXml_5/result.json</x:v>
      </x:c>
      <x:c r="P508"/>
      <x:c r="Q508" s="21" t="str"/>
      <x:c r="R508" s="21" t="str"/>
      <x:c r="S508" s="21" t="str"/>
      <x:c r="T508" s="17" t="str">
        <x:v>false</x:v>
      </x:c>
      <x:c r="U508" s="17" t="str">
        <x:v>true</x:v>
      </x:c>
      <x:c r="V508" s="17" t="str">
        <x:v>false</x:v>
      </x:c>
    </x:row>
    <x:row r="509" ht="80" customHeight="1">
      <x:c r="A509" s="25" t="str">
        <x:v>JacksonXml</x:v>
      </x:c>
      <x:c r="B509" s="25" t="n">
        <x:v>6</x:v>
      </x:c>
      <x:c r="C509" s="25" t="str">
        <x:v>Round1</x:v>
      </x:c>
      <x:c r="D509" s="25" t="str">
        <x:v>INCONCLUSIVE</x:v>
      </x:c>
      <x:c r="E509" s="25" t="str">
        <x:v>N/A</x:v>
      </x:c>
      <x:c r="F509" s="26" t="str">
        <x:v>Fixed also failed; assertion failure cannot be attributed to this bug</x:v>
      </x:c>
      <x:c r="G509" s="25" t="str">
        <x:v>true</x:v>
      </x:c>
      <x:c r="H509" s="25" t="str">
        <x:v>INCONCLUSIVE</x:v>
      </x:c>
      <x:c r="I509" s="25" t="str">
        <x:v>FAIL</x:v>
      </x:c>
      <x:c r="J509" s="25" t="str">
        <x:v>FAIL</x:v>
      </x:c>
      <x:c r="K509" s="25" t="n">
        <x:v>1</x:v>
      </x:c>
      <x:c r="L509" s="27" t="b">
        <x:v>0</x:v>
      </x:c>
      <x:c r="M509" s="25" t="str">
        <x:v>Gemini-3.8-flash/generation_state.json</x:v>
      </x:c>
      <x:c r="N509" s="25" t="str">
        <x:v>Gemini-3.8-flash/Result/JacksonXml_6/result.json</x:v>
      </x:c>
      <x:c r="O509" s="25" t="str">
        <x:v>Gemini-3.8-flash/Result/JacksonXml_6/result.json</x:v>
      </x:c>
      <x:c r="P509"/>
      <x:c r="Q509" s="21" t="str"/>
      <x:c r="R509" s="21" t="str"/>
      <x:c r="S509" s="21" t="str"/>
      <x:c r="T509" s="17" t="str">
        <x:v>false</x:v>
      </x:c>
      <x:c r="U509" s="17" t="str">
        <x:v>true</x:v>
      </x:c>
      <x:c r="V509" s="17" t="str">
        <x:v>false</x:v>
      </x:c>
    </x:row>
    <x:row r="510" ht="80" customHeight="1">
      <x:c r="A510" s="25" t="str">
        <x:v>Jsoup</x:v>
      </x:c>
      <x:c r="B510" s="25" t="n">
        <x:v>1</x:v>
      </x:c>
      <x:c r="C510" s="25" t="str">
        <x:v>Round1</x:v>
      </x:c>
      <x:c r="D510" s="25" t="str">
        <x:v>NOT_REVEALING</x:v>
      </x:c>
      <x:c r="E510" s="25" t="str">
        <x:v>N/A</x:v>
      </x:c>
      <x:c r="F510" s="26" t="str">
        <x:v>Same saved validation suite passed on buggy and fixed</x:v>
      </x:c>
      <x:c r="G510" s="25" t="str">
        <x:v>true</x:v>
      </x:c>
      <x:c r="H510" s="25" t="str">
        <x:v>NOT_REVEALING</x:v>
      </x:c>
      <x:c r="I510" s="25" t="str">
        <x:v>PASS</x:v>
      </x:c>
      <x:c r="J510" s="25" t="str">
        <x:v>PASS</x:v>
      </x:c>
      <x:c r="K510" s="25" t="n">
        <x:v>1</x:v>
      </x:c>
      <x:c r="L510" s="27" t="b">
        <x:v>0</x:v>
      </x:c>
      <x:c r="M510" s="25" t="str">
        <x:v>Gemini-3.8-flash/generation_state.json</x:v>
      </x:c>
      <x:c r="N510" s="25" t="str">
        <x:v>Gemini-3.8-flash/Result/Jsoup_1/result.json</x:v>
      </x:c>
      <x:c r="O510" s="25" t="str">
        <x:v>Gemini-3.8-flash/Result/Jsoup_1/result.json</x:v>
      </x:c>
      <x:c r="P510"/>
      <x:c r="Q510" s="21" t="str"/>
      <x:c r="R510" s="21" t="str"/>
      <x:c r="S510" s="21" t="str"/>
      <x:c r="T510" s="17" t="str">
        <x:v>false</x:v>
      </x:c>
      <x:c r="U510" s="17" t="str">
        <x:v>true</x:v>
      </x:c>
      <x:c r="V510" s="17" t="str">
        <x:v>false</x:v>
      </x:c>
    </x:row>
    <x:row r="511" ht="80" customHeight="1">
      <x:c r="A511" s="25" t="str">
        <x:v>Jsoup</x:v>
      </x:c>
      <x:c r="B511" s="25" t="n">
        <x:v>10</x:v>
      </x:c>
      <x:c r="C511" s="25" t="str">
        <x:v>Round1</x:v>
      </x:c>
      <x:c r="D511" s="25" t="str">
        <x:v>INCONCLUSIVE</x:v>
      </x:c>
      <x:c r="E511" s="25" t="str">
        <x:v>N/A</x:v>
      </x:c>
      <x:c r="F511" s="26" t="str">
        <x:v>Fixed also failed; assertion failure cannot be attributed to this bug</x:v>
      </x:c>
      <x:c r="G511" s="25" t="str">
        <x:v>true</x:v>
      </x:c>
      <x:c r="H511" s="25" t="str">
        <x:v>INCONCLUSIVE</x:v>
      </x:c>
      <x:c r="I511" s="25" t="str">
        <x:v>FAIL</x:v>
      </x:c>
      <x:c r="J511" s="25" t="str">
        <x:v>FAIL</x:v>
      </x:c>
      <x:c r="K511" s="25" t="n">
        <x:v>1</x:v>
      </x:c>
      <x:c r="L511" s="27" t="b">
        <x:v>0</x:v>
      </x:c>
      <x:c r="M511" s="25" t="str">
        <x:v>Gemini-3.8-flash/generation_state.json</x:v>
      </x:c>
      <x:c r="N511" s="25" t="str">
        <x:v>Gemini-3.8-flash/Result/Jsoup_10/result.json</x:v>
      </x:c>
      <x:c r="O511" s="25" t="str">
        <x:v>Gemini-3.8-flash/Result/Jsoup_10/result.json</x:v>
      </x:c>
      <x:c r="P511"/>
      <x:c r="Q511" s="21" t="str"/>
      <x:c r="R511" s="21" t="str"/>
      <x:c r="S511" s="21" t="str"/>
      <x:c r="T511" s="17" t="str">
        <x:v>false</x:v>
      </x:c>
      <x:c r="U511" s="17" t="str">
        <x:v>true</x:v>
      </x:c>
      <x:c r="V511" s="17" t="str">
        <x:v>false</x:v>
      </x:c>
    </x:row>
    <x:row r="512" ht="80" customHeight="1">
      <x:c r="A512" s="25" t="str">
        <x:v>Jsoup</x:v>
      </x:c>
      <x:c r="B512" s="25" t="n">
        <x:v>11</x:v>
      </x:c>
      <x:c r="C512" s="25" t="str">
        <x:v>Round1</x:v>
      </x:c>
      <x:c r="D512" s="25" t="str">
        <x:v>INCONCLUSIVE</x:v>
      </x:c>
      <x:c r="E512" s="25" t="str">
        <x:v>N/A</x:v>
      </x:c>
      <x:c r="F512" s="26" t="str">
        <x:v>Fixed also failed; assertion failure cannot be attributed to this bug</x:v>
      </x:c>
      <x:c r="G512" s="25" t="str">
        <x:v>true</x:v>
      </x:c>
      <x:c r="H512" s="25" t="str">
        <x:v>INCONCLUSIVE</x:v>
      </x:c>
      <x:c r="I512" s="25" t="str">
        <x:v>FAIL</x:v>
      </x:c>
      <x:c r="J512" s="25" t="str">
        <x:v>FAIL</x:v>
      </x:c>
      <x:c r="K512" s="25" t="n">
        <x:v>1</x:v>
      </x:c>
      <x:c r="L512" s="27" t="b">
        <x:v>0</x:v>
      </x:c>
      <x:c r="M512" s="25" t="str">
        <x:v>Gemini-3.8-flash/generation_state.json</x:v>
      </x:c>
      <x:c r="N512" s="25" t="str">
        <x:v>Gemini-3.8-flash/Result/Jsoup_11/result.json</x:v>
      </x:c>
      <x:c r="O512" s="25" t="str">
        <x:v>Gemini-3.8-flash/Result/Jsoup_11/result.json</x:v>
      </x:c>
      <x:c r="P512"/>
      <x:c r="Q512" s="21" t="str"/>
      <x:c r="R512" s="21" t="str"/>
      <x:c r="S512" s="21" t="str"/>
      <x:c r="T512" s="17" t="str">
        <x:v>false</x:v>
      </x:c>
      <x:c r="U512" s="17" t="str">
        <x:v>true</x:v>
      </x:c>
      <x:c r="V512" s="17" t="str">
        <x:v>false</x:v>
      </x:c>
    </x:row>
    <x:row r="513" ht="80" customHeight="1">
      <x:c r="A513" s="25" t="str">
        <x:v>Jsoup</x:v>
      </x:c>
      <x:c r="B513" s="25" t="n">
        <x:v>12</x:v>
      </x:c>
      <x:c r="C513" s="25" t="str">
        <x:v>Round1</x:v>
      </x:c>
      <x:c r="D513" s="25" t="str">
        <x:v>INCONCLUSIVE</x:v>
      </x:c>
      <x:c r="E513" s="25" t="str">
        <x:v>N/A</x:v>
      </x:c>
      <x:c r="F513" s="26" t="str">
        <x:v>Fixed also failed; assertion failure cannot be attributed to this bug</x:v>
      </x:c>
      <x:c r="G513" s="25" t="str">
        <x:v>true</x:v>
      </x:c>
      <x:c r="H513" s="25" t="str">
        <x:v>INCONCLUSIVE</x:v>
      </x:c>
      <x:c r="I513" s="25" t="str">
        <x:v>FAIL</x:v>
      </x:c>
      <x:c r="J513" s="25" t="str">
        <x:v>FAIL</x:v>
      </x:c>
      <x:c r="K513" s="25" t="n">
        <x:v>1</x:v>
      </x:c>
      <x:c r="L513" s="27" t="b">
        <x:v>0</x:v>
      </x:c>
      <x:c r="M513" s="25" t="str">
        <x:v>Gemini-3.8-flash/generation_state.json</x:v>
      </x:c>
      <x:c r="N513" s="25" t="str">
        <x:v>Gemini-3.8-flash/Result/Jsoup_12/result.json</x:v>
      </x:c>
      <x:c r="O513" s="25" t="str">
        <x:v>Gemini-3.8-flash/Result/Jsoup_12/result.json</x:v>
      </x:c>
      <x:c r="P513"/>
      <x:c r="Q513" s="21" t="str"/>
      <x:c r="R513" s="21" t="str"/>
      <x:c r="S513" s="21" t="str"/>
      <x:c r="T513" s="17" t="str">
        <x:v>false</x:v>
      </x:c>
      <x:c r="U513" s="17" t="str">
        <x:v>true</x:v>
      </x:c>
      <x:c r="V513" s="17" t="str">
        <x:v>false</x:v>
      </x:c>
    </x:row>
    <x:row r="514" ht="80" customHeight="1">
      <x:c r="A514" s="25" t="str">
        <x:v>Jsoup</x:v>
      </x:c>
      <x:c r="B514" s="25" t="n">
        <x:v>13</x:v>
      </x:c>
      <x:c r="C514" s="25" t="str">
        <x:v>Round1</x:v>
      </x:c>
      <x:c r="D514" s="25" t="str">
        <x:v>NOT_AVAILABLE</x:v>
      </x:c>
      <x:c r="E514" s="25" t="str">
        <x:v>N/A</x:v>
      </x:c>
      <x:c r="F514" s="26" t="str">
        <x:v>Tests exist but current coverage did not complete</x:v>
      </x:c>
      <x:c r="G514" s="25" t="str">
        <x:v>true</x:v>
      </x:c>
      <x:c r="H514" s="25" t="str">
        <x:v>NOT_AVAILABLE</x:v>
      </x:c>
      <x:c r="I514" s="25" t="str">
        <x:v>NOT_RUN</x:v>
      </x:c>
      <x:c r="J514" s="25" t="str">
        <x:v>NOT_RUN</x:v>
      </x:c>
      <x:c r="K514" s="25" t="n">
        <x:v>1</x:v>
      </x:c>
      <x:c r="L514" s="27" t="b">
        <x:v>0</x:v>
      </x:c>
      <x:c r="M514" s="25" t="str">
        <x:v>Gemini-3.8-flash/generation_state.json</x:v>
      </x:c>
      <x:c r="N514" s="25" t="str">
        <x:v>Gemini-3.8-flash/Result/Jsoup_13/result.json</x:v>
      </x:c>
      <x:c r="O514" s="25" t="str">
        <x:v>Gemini-3.8-flash/Result/Jsoup_13/result.json</x:v>
      </x:c>
      <x:c r="P514" t="str">
        <x:v>BOTH_NOT_RUN</x:v>
      </x:c>
      <x:c r="Q514" s="21" t="str"/>
      <x:c r="R514" s="21" t="str"/>
      <x:c r="S514" s="21" t="str"/>
      <x:c r="T514" s="17" t="str">
        <x:v>false</x:v>
      </x:c>
      <x:c r="U514" s="17" t="str">
        <x:v>true</x:v>
      </x:c>
      <x:c r="V514" s="17" t="str">
        <x:v>false</x:v>
      </x:c>
    </x:row>
    <x:row r="515" ht="80" customHeight="1">
      <x:c r="A515" s="25" t="str">
        <x:v>Jsoup</x:v>
      </x:c>
      <x:c r="B515" s="25" t="n">
        <x:v>14</x:v>
      </x:c>
      <x:c r="C515" s="25" t="str">
        <x:v>Round1</x:v>
      </x:c>
      <x:c r="D515" s="25" t="str">
        <x:v>NOT_AVAILABLE</x:v>
      </x:c>
      <x:c r="E515" s="25" t="str">
        <x:v>N/A</x:v>
      </x:c>
      <x:c r="F515" s="26" t="str">
        <x:v>Tests exist but current coverage did not complete</x:v>
      </x:c>
      <x:c r="G515" s="25" t="str">
        <x:v>true</x:v>
      </x:c>
      <x:c r="H515" s="25" t="str">
        <x:v>NOT_AVAILABLE</x:v>
      </x:c>
      <x:c r="I515" s="25" t="str">
        <x:v>NOT_RUN</x:v>
      </x:c>
      <x:c r="J515" s="25" t="str">
        <x:v>NOT_RUN</x:v>
      </x:c>
      <x:c r="K515" s="25" t="n">
        <x:v>2</x:v>
      </x:c>
      <x:c r="L515" s="27" t="b">
        <x:v>0</x:v>
      </x:c>
      <x:c r="M515" s="25" t="str">
        <x:v>Gemini-3.8-flash/generation_state.json</x:v>
      </x:c>
      <x:c r="N515" s="25" t="str">
        <x:v>Gemini-3.8-flash/Result/Jsoup_14/result.json</x:v>
      </x:c>
      <x:c r="O515" s="25" t="str">
        <x:v>Gemini-3.8-flash/Result/Jsoup_14/result.json</x:v>
      </x:c>
      <x:c r="P515" t="str">
        <x:v>BOTH_NOT_RUN</x:v>
      </x:c>
      <x:c r="Q515" s="21" t="str"/>
      <x:c r="R515" s="21" t="str"/>
      <x:c r="S515" s="21" t="str"/>
      <x:c r="T515" s="17" t="str">
        <x:v>false</x:v>
      </x:c>
      <x:c r="U515" s="17" t="str">
        <x:v>true</x:v>
      </x:c>
      <x:c r="V515" s="17" t="str">
        <x:v>false</x:v>
      </x:c>
    </x:row>
    <x:row r="516" ht="80" customHeight="1">
      <x:c r="A516" s="25" t="str">
        <x:v>Jsoup</x:v>
      </x:c>
      <x:c r="B516" s="25" t="n">
        <x:v>15</x:v>
      </x:c>
      <x:c r="C516" s="25" t="str">
        <x:v>Round1</x:v>
      </x:c>
      <x:c r="D516" s="25" t="str">
        <x:v>NOT_AVAILABLE</x:v>
      </x:c>
      <x:c r="E516" s="25" t="str">
        <x:v>N/A</x:v>
      </x:c>
      <x:c r="F516" s="26" t="str">
        <x:v>Tests exist but current coverage did not complete</x:v>
      </x:c>
      <x:c r="G516" s="25" t="str">
        <x:v>true</x:v>
      </x:c>
      <x:c r="H516" s="25" t="str">
        <x:v>NOT_AVAILABLE</x:v>
      </x:c>
      <x:c r="I516" s="25" t="str">
        <x:v>NOT_RUN</x:v>
      </x:c>
      <x:c r="J516" s="25" t="str">
        <x:v>NOT_RUN</x:v>
      </x:c>
      <x:c r="K516" s="25" t="n">
        <x:v>1</x:v>
      </x:c>
      <x:c r="L516" s="27" t="b">
        <x:v>0</x:v>
      </x:c>
      <x:c r="M516" s="25" t="str">
        <x:v>Gemini-3.8-flash/generation_state.json</x:v>
      </x:c>
      <x:c r="N516" s="25" t="str">
        <x:v>Gemini-3.8-flash/Result/Jsoup_15/result.json</x:v>
      </x:c>
      <x:c r="O516" s="25" t="str">
        <x:v>Gemini-3.8-flash/Result/Jsoup_15/result.json</x:v>
      </x:c>
      <x:c r="P516" t="str">
        <x:v>BOTH_NOT_RUN</x:v>
      </x:c>
      <x:c r="Q516" s="21" t="str"/>
      <x:c r="R516" s="21" t="str"/>
      <x:c r="S516" s="21" t="str"/>
      <x:c r="T516" s="17" t="str">
        <x:v>false</x:v>
      </x:c>
      <x:c r="U516" s="17" t="str">
        <x:v>true</x:v>
      </x:c>
      <x:c r="V516" s="17" t="str">
        <x:v>false</x:v>
      </x:c>
    </x:row>
    <x:row r="517" ht="80" customHeight="1">
      <x:c r="A517" s="25" t="str">
        <x:v>Jsoup</x:v>
      </x:c>
      <x:c r="B517" s="25" t="n">
        <x:v>16</x:v>
      </x:c>
      <x:c r="C517" s="25" t="str">
        <x:v>Round1</x:v>
      </x:c>
      <x:c r="D517" s="25" t="str">
        <x:v>INCONCLUSIVE</x:v>
      </x:c>
      <x:c r="E517" s="25" t="str">
        <x:v>N/A</x:v>
      </x:c>
      <x:c r="F517" s="26" t="str">
        <x:v>Fixed also failed; assertion failure cannot be attributed to this bug</x:v>
      </x:c>
      <x:c r="G517" s="25" t="str">
        <x:v>true</x:v>
      </x:c>
      <x:c r="H517" s="25" t="str">
        <x:v>INCONCLUSIVE</x:v>
      </x:c>
      <x:c r="I517" s="25" t="str">
        <x:v>PASS</x:v>
      </x:c>
      <x:c r="J517" s="25" t="str">
        <x:v>FAIL</x:v>
      </x:c>
      <x:c r="K517" s="25" t="n">
        <x:v>1</x:v>
      </x:c>
      <x:c r="L517" s="27" t="b">
        <x:v>0</x:v>
      </x:c>
      <x:c r="M517" s="25" t="str">
        <x:v>Gemini-3.8-flash/generation_state.json</x:v>
      </x:c>
      <x:c r="N517" s="25" t="str">
        <x:v>Gemini-3.8-flash/Result/Jsoup_16/result.json</x:v>
      </x:c>
      <x:c r="O517" s="25" t="str">
        <x:v>Gemini-3.8-flash/Result/Jsoup_16/result.json</x:v>
      </x:c>
      <x:c r="P517"/>
      <x:c r="Q517" s="21" t="str"/>
      <x:c r="R517" s="21" t="str"/>
      <x:c r="S517" s="21" t="str"/>
      <x:c r="T517" s="17" t="str">
        <x:v>false</x:v>
      </x:c>
      <x:c r="U517" s="17" t="str">
        <x:v>true</x:v>
      </x:c>
      <x:c r="V517" s="17" t="str">
        <x:v>false</x:v>
      </x:c>
    </x:row>
    <x:row r="518" ht="80" customHeight="1">
      <x:c r="A518" s="25" t="str">
        <x:v>Jsoup</x:v>
      </x:c>
      <x:c r="B518" s="25" t="n">
        <x:v>17</x:v>
      </x:c>
      <x:c r="C518" s="25" t="str">
        <x:v>Round1</x:v>
      </x:c>
      <x:c r="D518" s="25" t="str">
        <x:v>NOT_AVAILABLE</x:v>
      </x:c>
      <x:c r="E518" s="25" t="str">
        <x:v>N/A</x:v>
      </x:c>
      <x:c r="F518" s="26" t="str">
        <x:v>Tests exist but current coverage did not complete</x:v>
      </x:c>
      <x:c r="G518" s="25" t="str">
        <x:v>true</x:v>
      </x:c>
      <x:c r="H518" s="25" t="str">
        <x:v>NOT_AVAILABLE</x:v>
      </x:c>
      <x:c r="I518" s="25" t="str">
        <x:v>NOT_RUN</x:v>
      </x:c>
      <x:c r="J518" s="25" t="str">
        <x:v>NOT_RUN</x:v>
      </x:c>
      <x:c r="K518" s="25" t="n">
        <x:v>1</x:v>
      </x:c>
      <x:c r="L518" s="27" t="b">
        <x:v>0</x:v>
      </x:c>
      <x:c r="M518" s="25" t="str">
        <x:v>Gemini-3.8-flash/generation_state.json</x:v>
      </x:c>
      <x:c r="N518" s="25" t="str">
        <x:v>Gemini-3.8-flash/Result/Jsoup_17/result.json</x:v>
      </x:c>
      <x:c r="O518" s="25" t="str">
        <x:v>Gemini-3.8-flash/Result/Jsoup_17/result.json</x:v>
      </x:c>
      <x:c r="P518" t="str">
        <x:v>BOTH_NOT_RUN</x:v>
      </x:c>
      <x:c r="Q518" s="21" t="str"/>
      <x:c r="R518" s="21" t="str"/>
      <x:c r="S518" s="21" t="str"/>
      <x:c r="T518" s="17" t="str">
        <x:v>false</x:v>
      </x:c>
      <x:c r="U518" s="17" t="str">
        <x:v>true</x:v>
      </x:c>
      <x:c r="V518" s="17" t="str">
        <x:v>false</x:v>
      </x:c>
    </x:row>
    <x:row r="519" ht="80" customHeight="1">
      <x:c r="A519" s="25" t="str">
        <x:v>Jsoup</x:v>
      </x:c>
      <x:c r="B519" s="25" t="n">
        <x:v>18</x:v>
      </x:c>
      <x:c r="C519" s="25" t="str">
        <x:v>Round1</x:v>
      </x:c>
      <x:c r="D519" s="25" t="str">
        <x:v>INCONCLUSIVE</x:v>
      </x:c>
      <x:c r="E519" s="25" t="str">
        <x:v>N/A</x:v>
      </x:c>
      <x:c r="F519" s="26" t="str">
        <x:v>Fixed also failed; assertion failure cannot be attributed to this bug</x:v>
      </x:c>
      <x:c r="G519" s="25" t="str">
        <x:v>true</x:v>
      </x:c>
      <x:c r="H519" s="25" t="str">
        <x:v>INCONCLUSIVE</x:v>
      </x:c>
      <x:c r="I519" s="25" t="str">
        <x:v>PASS</x:v>
      </x:c>
      <x:c r="J519" s="25" t="str">
        <x:v>FAIL</x:v>
      </x:c>
      <x:c r="K519" s="25" t="n">
        <x:v>1</x:v>
      </x:c>
      <x:c r="L519" s="27" t="b">
        <x:v>0</x:v>
      </x:c>
      <x:c r="M519" s="25" t="str">
        <x:v>Gemini-3.8-flash/generation_state.json</x:v>
      </x:c>
      <x:c r="N519" s="25" t="str">
        <x:v>Gemini-3.8-flash/Result/Jsoup_18/result.json</x:v>
      </x:c>
      <x:c r="O519" s="25" t="str">
        <x:v>Gemini-3.8-flash/Result/Jsoup_18/result.json</x:v>
      </x:c>
      <x:c r="P519"/>
      <x:c r="Q519" s="21" t="str"/>
      <x:c r="R519" s="21" t="str"/>
      <x:c r="S519" s="21" t="str"/>
      <x:c r="T519" s="17" t="str">
        <x:v>false</x:v>
      </x:c>
      <x:c r="U519" s="17" t="str">
        <x:v>true</x:v>
      </x:c>
      <x:c r="V519" s="17" t="str">
        <x:v>false</x:v>
      </x:c>
    </x:row>
    <x:row r="520" ht="80" customHeight="1">
      <x:c r="A520" s="25" t="str">
        <x:v>Jsoup</x:v>
      </x:c>
      <x:c r="B520" s="25" t="n">
        <x:v>19</x:v>
      </x:c>
      <x:c r="C520" s="25" t="str">
        <x:v>Round1</x:v>
      </x:c>
      <x:c r="D520" s="25" t="str">
        <x:v>INCONCLUSIVE</x:v>
      </x:c>
      <x:c r="E520" s="25" t="str">
        <x:v>N/A</x:v>
      </x:c>
      <x:c r="F520" s="26" t="str">
        <x:v>Fixed also failed; assertion failure cannot be attributed to this bug</x:v>
      </x:c>
      <x:c r="G520" s="25" t="str">
        <x:v>true</x:v>
      </x:c>
      <x:c r="H520" s="25" t="str">
        <x:v>INCONCLUSIVE</x:v>
      </x:c>
      <x:c r="I520" s="25" t="str">
        <x:v>FAIL</x:v>
      </x:c>
      <x:c r="J520" s="25" t="str">
        <x:v>FAIL</x:v>
      </x:c>
      <x:c r="K520" s="25" t="n">
        <x:v>1</x:v>
      </x:c>
      <x:c r="L520" s="27" t="b">
        <x:v>0</x:v>
      </x:c>
      <x:c r="M520" s="25" t="str">
        <x:v>Gemini-3.8-flash/generation_state.json</x:v>
      </x:c>
      <x:c r="N520" s="25" t="str">
        <x:v>Gemini-3.8-flash/Result/Jsoup_19/result.json</x:v>
      </x:c>
      <x:c r="O520" s="25" t="str">
        <x:v>Gemini-3.8-flash/Result/Jsoup_19/result.json</x:v>
      </x:c>
      <x:c r="P520"/>
      <x:c r="Q520" s="21" t="str"/>
      <x:c r="R520" s="21" t="str"/>
      <x:c r="S520" s="21" t="str"/>
      <x:c r="T520" s="17" t="str">
        <x:v>false</x:v>
      </x:c>
      <x:c r="U520" s="17" t="str">
        <x:v>true</x:v>
      </x:c>
      <x:c r="V520" s="17" t="str">
        <x:v>false</x:v>
      </x:c>
    </x:row>
    <x:row r="521" ht="80" customHeight="1">
      <x:c r="A521" s="25" t="str">
        <x:v>Jsoup</x:v>
      </x:c>
      <x:c r="B521" s="25" t="n">
        <x:v>2</x:v>
      </x:c>
      <x:c r="C521" s="25" t="str">
        <x:v>Round1</x:v>
      </x:c>
      <x:c r="D521" s="25" t="str">
        <x:v>INCONCLUSIVE</x:v>
      </x:c>
      <x:c r="E521" s="25" t="str">
        <x:v>N/A</x:v>
      </x:c>
      <x:c r="F521" s="26" t="str">
        <x:v>Fixed also failed; assertion failure cannot be attributed to this bug</x:v>
      </x:c>
      <x:c r="G521" s="25" t="str">
        <x:v>true</x:v>
      </x:c>
      <x:c r="H521" s="25" t="str">
        <x:v>INCONCLUSIVE</x:v>
      </x:c>
      <x:c r="I521" s="25" t="str">
        <x:v>FAIL</x:v>
      </x:c>
      <x:c r="J521" s="25" t="str">
        <x:v>FAIL</x:v>
      </x:c>
      <x:c r="K521" s="25" t="n">
        <x:v>1</x:v>
      </x:c>
      <x:c r="L521" s="27" t="b">
        <x:v>0</x:v>
      </x:c>
      <x:c r="M521" s="25" t="str">
        <x:v>Gemini-3.8-flash/generation_state.json</x:v>
      </x:c>
      <x:c r="N521" s="25" t="str">
        <x:v>Gemini-3.8-flash/Result/Jsoup_2/result.json</x:v>
      </x:c>
      <x:c r="O521" s="25" t="str">
        <x:v>Gemini-3.8-flash/Result/Jsoup_2/result.json</x:v>
      </x:c>
      <x:c r="P521"/>
      <x:c r="Q521" s="21" t="str"/>
      <x:c r="R521" s="21" t="str"/>
      <x:c r="S521" s="21" t="str"/>
      <x:c r="T521" s="17" t="str">
        <x:v>false</x:v>
      </x:c>
      <x:c r="U521" s="17" t="str">
        <x:v>true</x:v>
      </x:c>
      <x:c r="V521" s="17" t="str">
        <x:v>false</x:v>
      </x:c>
    </x:row>
    <x:row r="522" ht="80" customHeight="1">
      <x:c r="A522" s="25" t="str">
        <x:v>Jsoup</x:v>
      </x:c>
      <x:c r="B522" s="25" t="n">
        <x:v>20</x:v>
      </x:c>
      <x:c r="C522" s="25" t="str">
        <x:v>Round1</x:v>
      </x:c>
      <x:c r="D522" s="25" t="str">
        <x:v>INCONCLUSIVE</x:v>
      </x:c>
      <x:c r="E522" s="25" t="str">
        <x:v>N/A</x:v>
      </x:c>
      <x:c r="F522" s="26" t="str">
        <x:v>Fixed also failed; assertion failure cannot be attributed to this bug</x:v>
      </x:c>
      <x:c r="G522" s="25" t="str">
        <x:v>true</x:v>
      </x:c>
      <x:c r="H522" s="25" t="str">
        <x:v>INCONCLUSIVE</x:v>
      </x:c>
      <x:c r="I522" s="25" t="str">
        <x:v>FAIL</x:v>
      </x:c>
      <x:c r="J522" s="25" t="str">
        <x:v>FAIL</x:v>
      </x:c>
      <x:c r="K522" s="25" t="n">
        <x:v>1</x:v>
      </x:c>
      <x:c r="L522" s="27" t="b">
        <x:v>0</x:v>
      </x:c>
      <x:c r="M522" s="25" t="str">
        <x:v>Gemini-3.8-flash/generation_state.json</x:v>
      </x:c>
      <x:c r="N522" s="25" t="str">
        <x:v>Gemini-3.8-flash/Result/Jsoup_20/result.json</x:v>
      </x:c>
      <x:c r="O522" s="25" t="str">
        <x:v>Gemini-3.8-flash/Result/Jsoup_20/result.json</x:v>
      </x:c>
      <x:c r="P522"/>
      <x:c r="Q522" s="21" t="str"/>
      <x:c r="R522" s="21" t="str"/>
      <x:c r="S522" s="21" t="str"/>
      <x:c r="T522" s="17" t="str">
        <x:v>false</x:v>
      </x:c>
      <x:c r="U522" s="17" t="str">
        <x:v>true</x:v>
      </x:c>
      <x:c r="V522" s="17" t="str">
        <x:v>false</x:v>
      </x:c>
    </x:row>
    <x:row r="523" ht="80" customHeight="1">
      <x:c r="A523" s="25" t="str">
        <x:v>Jsoup</x:v>
      </x:c>
      <x:c r="B523" s="25" t="n">
        <x:v>21</x:v>
      </x:c>
      <x:c r="C523" s="25" t="str">
        <x:v>Round1</x:v>
      </x:c>
      <x:c r="D523" s="25" t="str">
        <x:v>INCONCLUSIVE</x:v>
      </x:c>
      <x:c r="E523" s="25" t="str">
        <x:v>N/A</x:v>
      </x:c>
      <x:c r="F523" s="26" t="str">
        <x:v>Fixed also failed; assertion failure cannot be attributed to this bug</x:v>
      </x:c>
      <x:c r="G523" s="25" t="str">
        <x:v>true</x:v>
      </x:c>
      <x:c r="H523" s="25" t="str">
        <x:v>INCONCLUSIVE</x:v>
      </x:c>
      <x:c r="I523" s="25" t="str">
        <x:v>FAIL</x:v>
      </x:c>
      <x:c r="J523" s="25" t="str">
        <x:v>FAIL</x:v>
      </x:c>
      <x:c r="K523" s="25" t="n">
        <x:v>2</x:v>
      </x:c>
      <x:c r="L523" s="27" t="b">
        <x:v>0</x:v>
      </x:c>
      <x:c r="M523" s="25" t="str">
        <x:v>Gemini-3.8-flash/generation_state.json</x:v>
      </x:c>
      <x:c r="N523" s="25" t="str">
        <x:v>Gemini-3.8-flash/Result/Jsoup_21/result.json</x:v>
      </x:c>
      <x:c r="O523" s="25" t="str">
        <x:v>Gemini-3.8-flash/Result/Jsoup_21/result.json</x:v>
      </x:c>
      <x:c r="P523"/>
      <x:c r="Q523" s="21" t="str"/>
      <x:c r="R523" s="21" t="str"/>
      <x:c r="S523" s="21" t="str"/>
      <x:c r="T523" s="17" t="str">
        <x:v>false</x:v>
      </x:c>
      <x:c r="U523" s="17" t="str">
        <x:v>true</x:v>
      </x:c>
      <x:c r="V523" s="17" t="str">
        <x:v>false</x:v>
      </x:c>
    </x:row>
    <x:row r="524" ht="80" customHeight="1">
      <x:c r="A524" s="25" t="str">
        <x:v>Jsoup</x:v>
      </x:c>
      <x:c r="B524" s="25" t="n">
        <x:v>22</x:v>
      </x:c>
      <x:c r="C524" s="25" t="str">
        <x:v>Round1</x:v>
      </x:c>
      <x:c r="D524" s="25" t="str">
        <x:v>NOT_AVAILABLE</x:v>
      </x:c>
      <x:c r="E524" s="25" t="str">
        <x:v>N/A</x:v>
      </x:c>
      <x:c r="F524" s="26" t="str">
        <x:v>Tests exist but current coverage did not complete</x:v>
      </x:c>
      <x:c r="G524" s="25" t="str">
        <x:v>true</x:v>
      </x:c>
      <x:c r="H524" s="25" t="str">
        <x:v>NOT_AVAILABLE</x:v>
      </x:c>
      <x:c r="I524" s="25" t="str">
        <x:v>NOT_RUN</x:v>
      </x:c>
      <x:c r="J524" s="25" t="str">
        <x:v>NOT_RUN</x:v>
      </x:c>
      <x:c r="K524" s="25" t="n">
        <x:v>3</x:v>
      </x:c>
      <x:c r="L524" s="27" t="b">
        <x:v>0</x:v>
      </x:c>
      <x:c r="M524" s="25" t="str">
        <x:v>Gemini-3.8-flash/generation_state.json</x:v>
      </x:c>
      <x:c r="N524" s="25" t="str">
        <x:v>Gemini-3.8-flash/Result/Jsoup_22/result.json</x:v>
      </x:c>
      <x:c r="O524" s="25" t="str">
        <x:v>Gemini-3.8-flash/Result/Jsoup_22/result.json</x:v>
      </x:c>
      <x:c r="P524" t="str">
        <x:v>BOTH_NOT_RUN</x:v>
      </x:c>
      <x:c r="Q524" s="21" t="str"/>
      <x:c r="R524" s="21" t="str"/>
      <x:c r="S524" s="21" t="str"/>
      <x:c r="T524" s="17" t="str">
        <x:v>false</x:v>
      </x:c>
      <x:c r="U524" s="17" t="str">
        <x:v>true</x:v>
      </x:c>
      <x:c r="V524" s="17" t="str">
        <x:v>false</x:v>
      </x:c>
    </x:row>
    <x:row r="525" ht="80" customHeight="1">
      <x:c r="A525" s="25" t="str">
        <x:v>Jsoup</x:v>
      </x:c>
      <x:c r="B525" s="25" t="n">
        <x:v>23</x:v>
      </x:c>
      <x:c r="C525" s="25" t="str">
        <x:v>Round1</x:v>
      </x:c>
      <x:c r="D525" s="25" t="str">
        <x:v>INCONCLUSIVE</x:v>
      </x:c>
      <x:c r="E525" s="25" t="str">
        <x:v>N/A</x:v>
      </x:c>
      <x:c r="F525" s="26" t="str">
        <x:v>Fixed also failed; assertion failure cannot be attributed to this bug</x:v>
      </x:c>
      <x:c r="G525" s="25" t="str">
        <x:v>true</x:v>
      </x:c>
      <x:c r="H525" s="25" t="str">
        <x:v>INCONCLUSIVE</x:v>
      </x:c>
      <x:c r="I525" s="25" t="str">
        <x:v>FAIL</x:v>
      </x:c>
      <x:c r="J525" s="25" t="str">
        <x:v>FAIL</x:v>
      </x:c>
      <x:c r="K525" s="25" t="n">
        <x:v>2</x:v>
      </x:c>
      <x:c r="L525" s="27" t="b">
        <x:v>0</x:v>
      </x:c>
      <x:c r="M525" s="25" t="str">
        <x:v>Gemini-3.8-flash/generation_state.json</x:v>
      </x:c>
      <x:c r="N525" s="25" t="str">
        <x:v>Gemini-3.8-flash/Result/Jsoup_23/result.json</x:v>
      </x:c>
      <x:c r="O525" s="25" t="str">
        <x:v>Gemini-3.8-flash/Result/Jsoup_23/result.json</x:v>
      </x:c>
      <x:c r="P525"/>
      <x:c r="Q525" s="21" t="str"/>
      <x:c r="R525" s="21" t="str"/>
      <x:c r="S525" s="21" t="str"/>
      <x:c r="T525" s="17" t="str">
        <x:v>false</x:v>
      </x:c>
      <x:c r="U525" s="17" t="str">
        <x:v>true</x:v>
      </x:c>
      <x:c r="V525" s="17" t="str">
        <x:v>false</x:v>
      </x:c>
    </x:row>
    <x:row r="526" ht="80" customHeight="1">
      <x:c r="A526" s="25" t="str">
        <x:v>Jsoup</x:v>
      </x:c>
      <x:c r="B526" s="25" t="n">
        <x:v>24</x:v>
      </x:c>
      <x:c r="C526" s="25" t="str">
        <x:v>Round1</x:v>
      </x:c>
      <x:c r="D526" s="25" t="str">
        <x:v>NOT_AVAILABLE</x:v>
      </x:c>
      <x:c r="E526" s="25" t="str">
        <x:v>N/A</x:v>
      </x:c>
      <x:c r="F526" s="26" t="str">
        <x:v>Tests exist but current coverage did not complete</x:v>
      </x:c>
      <x:c r="G526" s="25" t="str">
        <x:v>true</x:v>
      </x:c>
      <x:c r="H526" s="25" t="str">
        <x:v>NOT_AVAILABLE</x:v>
      </x:c>
      <x:c r="I526" s="25" t="str">
        <x:v>NOT_RUN</x:v>
      </x:c>
      <x:c r="J526" s="25" t="str">
        <x:v>NOT_RUN</x:v>
      </x:c>
      <x:c r="K526" s="25" t="n">
        <x:v>1</x:v>
      </x:c>
      <x:c r="L526" s="27" t="b">
        <x:v>0</x:v>
      </x:c>
      <x:c r="M526" s="25" t="str">
        <x:v>Gemini-3.8-flash/generation_state.json</x:v>
      </x:c>
      <x:c r="N526" s="25" t="str">
        <x:v>Gemini-3.8-flash/Result/Jsoup_24/result.json</x:v>
      </x:c>
      <x:c r="O526" s="25" t="str">
        <x:v>Gemini-3.8-flash/Result/Jsoup_24/result.json</x:v>
      </x:c>
      <x:c r="P526" t="str">
        <x:v>BOTH_NOT_RUN</x:v>
      </x:c>
      <x:c r="Q526" s="21" t="str"/>
      <x:c r="R526" s="21" t="str"/>
      <x:c r="S526" s="21" t="str"/>
      <x:c r="T526" s="17" t="str">
        <x:v>false</x:v>
      </x:c>
      <x:c r="U526" s="17" t="str">
        <x:v>true</x:v>
      </x:c>
      <x:c r="V526" s="17" t="str">
        <x:v>false</x:v>
      </x:c>
    </x:row>
    <x:row r="527" ht="80" customHeight="1">
      <x:c r="A527" s="25" t="str">
        <x:v>Jsoup</x:v>
      </x:c>
      <x:c r="B527" s="25" t="n">
        <x:v>25</x:v>
      </x:c>
      <x:c r="C527" s="25" t="str">
        <x:v>Round1</x:v>
      </x:c>
      <x:c r="D527" s="25" t="str">
        <x:v>NOT_AVAILABLE</x:v>
      </x:c>
      <x:c r="E527" s="25" t="str">
        <x:v>N/A</x:v>
      </x:c>
      <x:c r="F527" s="26" t="str">
        <x:v>Tests exist but current coverage did not complete</x:v>
      </x:c>
      <x:c r="G527" s="25" t="str">
        <x:v>true</x:v>
      </x:c>
      <x:c r="H527" s="25" t="str">
        <x:v>NOT_AVAILABLE</x:v>
      </x:c>
      <x:c r="I527" s="25" t="str">
        <x:v>NOT_RUN</x:v>
      </x:c>
      <x:c r="J527" s="25" t="str">
        <x:v>NOT_RUN</x:v>
      </x:c>
      <x:c r="K527" s="25" t="n">
        <x:v>1</x:v>
      </x:c>
      <x:c r="L527" s="27" t="b">
        <x:v>0</x:v>
      </x:c>
      <x:c r="M527" s="25" t="str">
        <x:v>Gemini-3.8-flash/generation_state.json</x:v>
      </x:c>
      <x:c r="N527" s="25" t="str">
        <x:v>Gemini-3.8-flash/Result/Jsoup_25/result.json</x:v>
      </x:c>
      <x:c r="O527" s="25" t="str">
        <x:v>Gemini-3.8-flash/Result/Jsoup_25/result.json</x:v>
      </x:c>
      <x:c r="P527" t="str">
        <x:v>BOTH_NOT_RUN</x:v>
      </x:c>
      <x:c r="Q527" s="21" t="str"/>
      <x:c r="R527" s="21" t="str"/>
      <x:c r="S527" s="21" t="str"/>
      <x:c r="T527" s="17" t="str">
        <x:v>false</x:v>
      </x:c>
      <x:c r="U527" s="17" t="str">
        <x:v>true</x:v>
      </x:c>
      <x:c r="V527" s="17" t="str">
        <x:v>false</x:v>
      </x:c>
    </x:row>
    <x:row r="528" ht="80" customHeight="1">
      <x:c r="A528" s="25" t="str">
        <x:v>Jsoup</x:v>
      </x:c>
      <x:c r="B528" s="25" t="n">
        <x:v>26</x:v>
      </x:c>
      <x:c r="C528" s="25" t="str">
        <x:v>Round1</x:v>
      </x:c>
      <x:c r="D528" s="25" t="str">
        <x:v>NOT_REVEALING</x:v>
      </x:c>
      <x:c r="E528" s="25" t="str">
        <x:v>N/A</x:v>
      </x:c>
      <x:c r="F528" s="26" t="str">
        <x:v>Same saved validation suite passed on buggy and fixed</x:v>
      </x:c>
      <x:c r="G528" s="25" t="str">
        <x:v>true</x:v>
      </x:c>
      <x:c r="H528" s="25" t="str">
        <x:v>NOT_REVEALING</x:v>
      </x:c>
      <x:c r="I528" s="25" t="str">
        <x:v>PASS</x:v>
      </x:c>
      <x:c r="J528" s="25" t="str">
        <x:v>PASS</x:v>
      </x:c>
      <x:c r="K528" s="25" t="n">
        <x:v>1</x:v>
      </x:c>
      <x:c r="L528" s="27" t="b">
        <x:v>0</x:v>
      </x:c>
      <x:c r="M528" s="25" t="str">
        <x:v>Gemini-3.8-flash/generation_state.json</x:v>
      </x:c>
      <x:c r="N528" s="25" t="str">
        <x:v>Gemini-3.8-flash/Result/Jsoup_26/result.json</x:v>
      </x:c>
      <x:c r="O528" s="25" t="str">
        <x:v>Gemini-3.8-flash/Result/Jsoup_26/result.json</x:v>
      </x:c>
      <x:c r="P528"/>
      <x:c r="Q528" s="21" t="str"/>
      <x:c r="R528" s="21" t="str"/>
      <x:c r="S528" s="21" t="str"/>
      <x:c r="T528" s="17" t="str">
        <x:v>false</x:v>
      </x:c>
      <x:c r="U528" s="17" t="str">
        <x:v>true</x:v>
      </x:c>
      <x:c r="V528" s="17" t="str">
        <x:v>false</x:v>
      </x:c>
    </x:row>
    <x:row r="529" ht="80" customHeight="1">
      <x:c r="A529" s="25" t="str">
        <x:v>Jsoup</x:v>
      </x:c>
      <x:c r="B529" s="25" t="n">
        <x:v>27</x:v>
      </x:c>
      <x:c r="C529" s="25" t="str">
        <x:v>Round1</x:v>
      </x:c>
      <x:c r="D529" s="25" t="str">
        <x:v>INCONCLUSIVE</x:v>
      </x:c>
      <x:c r="E529" s="25" t="str">
        <x:v>N/A</x:v>
      </x:c>
      <x:c r="F529" s="26" t="str">
        <x:v>Fixed also failed; assertion failure cannot be attributed to this bug</x:v>
      </x:c>
      <x:c r="G529" s="25" t="str">
        <x:v>true</x:v>
      </x:c>
      <x:c r="H529" s="25" t="str">
        <x:v>INCONCLUSIVE</x:v>
      </x:c>
      <x:c r="I529" s="25" t="str">
        <x:v>FAIL</x:v>
      </x:c>
      <x:c r="J529" s="25" t="str">
        <x:v>FAIL</x:v>
      </x:c>
      <x:c r="K529" s="25" t="n">
        <x:v>1</x:v>
      </x:c>
      <x:c r="L529" s="27" t="b">
        <x:v>0</x:v>
      </x:c>
      <x:c r="M529" s="25" t="str">
        <x:v>Gemini-3.8-flash/generation_state.json</x:v>
      </x:c>
      <x:c r="N529" s="25" t="str">
        <x:v>Gemini-3.8-flash/Result/Jsoup_27/result.json</x:v>
      </x:c>
      <x:c r="O529" s="25" t="str">
        <x:v>Gemini-3.8-flash/Result/Jsoup_27/result.json</x:v>
      </x:c>
      <x:c r="P529"/>
      <x:c r="Q529" s="21" t="str"/>
      <x:c r="R529" s="21" t="str"/>
      <x:c r="S529" s="21" t="str"/>
      <x:c r="T529" s="17" t="str">
        <x:v>false</x:v>
      </x:c>
      <x:c r="U529" s="17" t="str">
        <x:v>true</x:v>
      </x:c>
      <x:c r="V529" s="17" t="str">
        <x:v>false</x:v>
      </x:c>
    </x:row>
    <x:row r="530" ht="80" customHeight="1">
      <x:c r="A530" s="25" t="str">
        <x:v>Jsoup</x:v>
      </x:c>
      <x:c r="B530" s="25" t="n">
        <x:v>28</x:v>
      </x:c>
      <x:c r="C530" s="25" t="str">
        <x:v>Round1</x:v>
      </x:c>
      <x:c r="D530" s="25" t="str">
        <x:v>NOT_AVAILABLE</x:v>
      </x:c>
      <x:c r="E530" s="25" t="str">
        <x:v>N/A</x:v>
      </x:c>
      <x:c r="F530" s="26" t="str">
        <x:v>Tests exist but current coverage did not complete</x:v>
      </x:c>
      <x:c r="G530" s="25" t="str">
        <x:v>true</x:v>
      </x:c>
      <x:c r="H530" s="25" t="str">
        <x:v>NOT_AVAILABLE</x:v>
      </x:c>
      <x:c r="I530" s="25" t="str">
        <x:v>NOT_RUN</x:v>
      </x:c>
      <x:c r="J530" s="25" t="str">
        <x:v>NOT_RUN</x:v>
      </x:c>
      <x:c r="K530" s="25" t="n">
        <x:v>3</x:v>
      </x:c>
      <x:c r="L530" s="27" t="b">
        <x:v>0</x:v>
      </x:c>
      <x:c r="M530" s="25" t="str">
        <x:v>Gemini-3.8-flash/generation_state.json</x:v>
      </x:c>
      <x:c r="N530" s="25" t="str">
        <x:v>Gemini-3.8-flash/Result/Jsoup_28/result.json</x:v>
      </x:c>
      <x:c r="O530" s="25" t="str">
        <x:v>Gemini-3.8-flash/Result/Jsoup_28/result.json</x:v>
      </x:c>
      <x:c r="P530" t="str">
        <x:v>BOTH_NOT_RUN</x:v>
      </x:c>
      <x:c r="Q530" s="21" t="str"/>
      <x:c r="R530" s="21" t="str"/>
      <x:c r="S530" s="21" t="str"/>
      <x:c r="T530" s="17" t="str">
        <x:v>false</x:v>
      </x:c>
      <x:c r="U530" s="17" t="str">
        <x:v>true</x:v>
      </x:c>
      <x:c r="V530" s="17" t="str">
        <x:v>false</x:v>
      </x:c>
    </x:row>
    <x:row r="531" ht="80" customHeight="1">
      <x:c r="A531" s="25" t="str">
        <x:v>Jsoup</x:v>
      </x:c>
      <x:c r="B531" s="25" t="n">
        <x:v>29</x:v>
      </x:c>
      <x:c r="C531" s="25" t="str">
        <x:v>Round1</x:v>
      </x:c>
      <x:c r="D531" s="25" t="str">
        <x:v>NOT_REVEALING</x:v>
      </x:c>
      <x:c r="E531" s="25" t="str">
        <x:v>N/A</x:v>
      </x:c>
      <x:c r="F531" s="26" t="str">
        <x:v>Same saved validation suite passed on buggy and fixed</x:v>
      </x:c>
      <x:c r="G531" s="25" t="str">
        <x:v>true</x:v>
      </x:c>
      <x:c r="H531" s="25" t="str">
        <x:v>NOT_REVEALING</x:v>
      </x:c>
      <x:c r="I531" s="25" t="str">
        <x:v>PASS</x:v>
      </x:c>
      <x:c r="J531" s="25" t="str">
        <x:v>PASS</x:v>
      </x:c>
      <x:c r="K531" s="25" t="n">
        <x:v>1</x:v>
      </x:c>
      <x:c r="L531" s="27" t="b">
        <x:v>0</x:v>
      </x:c>
      <x:c r="M531" s="25" t="str">
        <x:v>Gemini-3.8-flash/generation_state.json</x:v>
      </x:c>
      <x:c r="N531" s="25" t="str">
        <x:v>Gemini-3.8-flash/Result/Jsoup_29/result.json</x:v>
      </x:c>
      <x:c r="O531" s="25" t="str">
        <x:v>Gemini-3.8-flash/Result/Jsoup_29/result.json</x:v>
      </x:c>
      <x:c r="P531"/>
      <x:c r="Q531" s="21" t="str"/>
      <x:c r="R531" s="21" t="str"/>
      <x:c r="S531" s="21" t="str"/>
      <x:c r="T531" s="17" t="str">
        <x:v>false</x:v>
      </x:c>
      <x:c r="U531" s="17" t="str">
        <x:v>true</x:v>
      </x:c>
      <x:c r="V531" s="17" t="str">
        <x:v>false</x:v>
      </x:c>
    </x:row>
    <x:row r="532" ht="80" customHeight="1">
      <x:c r="A532" s="25" t="str">
        <x:v>Jsoup</x:v>
      </x:c>
      <x:c r="B532" s="25" t="n">
        <x:v>3</x:v>
      </x:c>
      <x:c r="C532" s="25" t="str">
        <x:v>Round1</x:v>
      </x:c>
      <x:c r="D532" s="25" t="str">
        <x:v>INCONCLUSIVE</x:v>
      </x:c>
      <x:c r="E532" s="25" t="str">
        <x:v>N/A</x:v>
      </x:c>
      <x:c r="F532" s="26" t="str">
        <x:v>Fixed also failed; assertion failure cannot be attributed to this bug</x:v>
      </x:c>
      <x:c r="G532" s="25" t="str">
        <x:v>true</x:v>
      </x:c>
      <x:c r="H532" s="25" t="str">
        <x:v>INCONCLUSIVE</x:v>
      </x:c>
      <x:c r="I532" s="25" t="str">
        <x:v>FAIL</x:v>
      </x:c>
      <x:c r="J532" s="25" t="str">
        <x:v>FAIL</x:v>
      </x:c>
      <x:c r="K532" s="25" t="n">
        <x:v>3</x:v>
      </x:c>
      <x:c r="L532" s="27" t="b">
        <x:v>0</x:v>
      </x:c>
      <x:c r="M532" s="25" t="str">
        <x:v>Gemini-3.8-flash/generation_state.json</x:v>
      </x:c>
      <x:c r="N532" s="25" t="str">
        <x:v>Gemini-3.8-flash/Result/Jsoup_3/result.json</x:v>
      </x:c>
      <x:c r="O532" s="25" t="str">
        <x:v>Gemini-3.8-flash/Result/Jsoup_3/result.json</x:v>
      </x:c>
      <x:c r="P532"/>
      <x:c r="Q532" s="21" t="str"/>
      <x:c r="R532" s="21" t="str"/>
      <x:c r="S532" s="21" t="str"/>
      <x:c r="T532" s="17" t="str">
        <x:v>false</x:v>
      </x:c>
      <x:c r="U532" s="17" t="str">
        <x:v>true</x:v>
      </x:c>
      <x:c r="V532" s="17" t="str">
        <x:v>false</x:v>
      </x:c>
    </x:row>
    <x:row r="533" ht="80" customHeight="1">
      <x:c r="A533" s="25" t="str">
        <x:v>Jsoup</x:v>
      </x:c>
      <x:c r="B533" s="25" t="n">
        <x:v>30</x:v>
      </x:c>
      <x:c r="C533" s="25" t="str">
        <x:v>Round1</x:v>
      </x:c>
      <x:c r="D533" s="25" t="str">
        <x:v>INCONCLUSIVE</x:v>
      </x:c>
      <x:c r="E533" s="25" t="str">
        <x:v>N/A</x:v>
      </x:c>
      <x:c r="F533" s="26" t="str">
        <x:v>Fixed also failed; assertion failure cannot be attributed to this bug</x:v>
      </x:c>
      <x:c r="G533" s="25" t="str">
        <x:v>true</x:v>
      </x:c>
      <x:c r="H533" s="25" t="str">
        <x:v>INCONCLUSIVE</x:v>
      </x:c>
      <x:c r="I533" s="25" t="str">
        <x:v>FAIL</x:v>
      </x:c>
      <x:c r="J533" s="25" t="str">
        <x:v>FAIL</x:v>
      </x:c>
      <x:c r="K533" s="25" t="n">
        <x:v>1</x:v>
      </x:c>
      <x:c r="L533" s="27" t="b">
        <x:v>0</x:v>
      </x:c>
      <x:c r="M533" s="25" t="str">
        <x:v>Gemini-3.8-flash/generation_state.json</x:v>
      </x:c>
      <x:c r="N533" s="25" t="str">
        <x:v>Gemini-3.8-flash/Result/Jsoup_30/result.json</x:v>
      </x:c>
      <x:c r="O533" s="25" t="str">
        <x:v>Gemini-3.8-flash/Result/Jsoup_30/result.json</x:v>
      </x:c>
      <x:c r="P533"/>
      <x:c r="Q533" s="21" t="str"/>
      <x:c r="R533" s="21" t="str"/>
      <x:c r="S533" s="21" t="str"/>
      <x:c r="T533" s="17" t="str">
        <x:v>false</x:v>
      </x:c>
      <x:c r="U533" s="17" t="str">
        <x:v>true</x:v>
      </x:c>
      <x:c r="V533" s="17" t="str">
        <x:v>false</x:v>
      </x:c>
    </x:row>
    <x:row r="534" ht="80" customHeight="1">
      <x:c r="A534" s="25" t="str">
        <x:v>Jsoup</x:v>
      </x:c>
      <x:c r="B534" s="25" t="n">
        <x:v>31</x:v>
      </x:c>
      <x:c r="C534" s="25" t="str">
        <x:v>Round1</x:v>
      </x:c>
      <x:c r="D534" s="25" t="str">
        <x:v>NOT_AVAILABLE</x:v>
      </x:c>
      <x:c r="E534" s="25" t="str">
        <x:v>N/A</x:v>
      </x:c>
      <x:c r="F534" s="26" t="str">
        <x:v>Tests exist but current coverage did not complete</x:v>
      </x:c>
      <x:c r="G534" s="25" t="str">
        <x:v>true</x:v>
      </x:c>
      <x:c r="H534" s="25" t="str">
        <x:v>NOT_AVAILABLE</x:v>
      </x:c>
      <x:c r="I534" s="25" t="str">
        <x:v>NOT_RUN</x:v>
      </x:c>
      <x:c r="J534" s="25" t="str">
        <x:v>NOT_RUN</x:v>
      </x:c>
      <x:c r="K534" s="25" t="n">
        <x:v>3</x:v>
      </x:c>
      <x:c r="L534" s="27" t="b">
        <x:v>0</x:v>
      </x:c>
      <x:c r="M534" s="25" t="str">
        <x:v>Gemini-3.8-flash/generation_state.json</x:v>
      </x:c>
      <x:c r="N534" s="25" t="str">
        <x:v>Gemini-3.8-flash/Result/Jsoup_31/result.json</x:v>
      </x:c>
      <x:c r="O534" s="25" t="str">
        <x:v>Gemini-3.8-flash/Result/Jsoup_31/result.json</x:v>
      </x:c>
      <x:c r="P534" t="str">
        <x:v>BOTH_NOT_RUN</x:v>
      </x:c>
      <x:c r="Q534" s="21" t="str"/>
      <x:c r="R534" s="21" t="str"/>
      <x:c r="S534" s="21" t="str"/>
      <x:c r="T534" s="17" t="str">
        <x:v>false</x:v>
      </x:c>
      <x:c r="U534" s="17" t="str">
        <x:v>true</x:v>
      </x:c>
      <x:c r="V534" s="17" t="str">
        <x:v>false</x:v>
      </x:c>
    </x:row>
    <x:row r="535" ht="80" customHeight="1">
      <x:c r="A535" s="25" t="str">
        <x:v>Jsoup</x:v>
      </x:c>
      <x:c r="B535" s="25" t="n">
        <x:v>32</x:v>
      </x:c>
      <x:c r="C535" s="25" t="str">
        <x:v>Round1</x:v>
      </x:c>
      <x:c r="D535" s="25" t="str">
        <x:v>INCONCLUSIVE</x:v>
      </x:c>
      <x:c r="E535" s="25" t="str">
        <x:v>N/A</x:v>
      </x:c>
      <x:c r="F535" s="26" t="str">
        <x:v>Fixed also failed; assertion failure cannot be attributed to this bug</x:v>
      </x:c>
      <x:c r="G535" s="25" t="str">
        <x:v>true</x:v>
      </x:c>
      <x:c r="H535" s="25" t="str">
        <x:v>INCONCLUSIVE</x:v>
      </x:c>
      <x:c r="I535" s="25" t="str">
        <x:v>FAIL</x:v>
      </x:c>
      <x:c r="J535" s="25" t="str">
        <x:v>FAIL</x:v>
      </x:c>
      <x:c r="K535" s="25" t="n">
        <x:v>1</x:v>
      </x:c>
      <x:c r="L535" s="27" t="b">
        <x:v>0</x:v>
      </x:c>
      <x:c r="M535" s="25" t="str">
        <x:v>Gemini-3.8-flash/generation_state.json</x:v>
      </x:c>
      <x:c r="N535" s="25" t="str">
        <x:v>Gemini-3.8-flash/Result/Jsoup_32/result.json</x:v>
      </x:c>
      <x:c r="O535" s="25" t="str">
        <x:v>Gemini-3.8-flash/Result/Jsoup_32/result.json</x:v>
      </x:c>
      <x:c r="P535"/>
      <x:c r="Q535" s="21" t="str"/>
      <x:c r="R535" s="21" t="str"/>
      <x:c r="S535" s="21" t="str"/>
      <x:c r="T535" s="17" t="str">
        <x:v>false</x:v>
      </x:c>
      <x:c r="U535" s="17" t="str">
        <x:v>true</x:v>
      </x:c>
      <x:c r="V535" s="17" t="str">
        <x:v>false</x:v>
      </x:c>
    </x:row>
    <x:row r="536" ht="80" customHeight="1">
      <x:c r="A536" s="25" t="str">
        <x:v>Jsoup</x:v>
      </x:c>
      <x:c r="B536" s="25" t="n">
        <x:v>33</x:v>
      </x:c>
      <x:c r="C536" s="25" t="str">
        <x:v>Round1</x:v>
      </x:c>
      <x:c r="D536" s="25" t="str">
        <x:v>NOT_AVAILABLE</x:v>
      </x:c>
      <x:c r="E536" s="25" t="str">
        <x:v>N/A</x:v>
      </x:c>
      <x:c r="F536" s="26" t="str">
        <x:v>Tests exist but current coverage did not complete</x:v>
      </x:c>
      <x:c r="G536" s="25" t="str">
        <x:v>true</x:v>
      </x:c>
      <x:c r="H536" s="25" t="str">
        <x:v>NOT_AVAILABLE</x:v>
      </x:c>
      <x:c r="I536" s="25" t="str">
        <x:v>NOT_RUN</x:v>
      </x:c>
      <x:c r="J536" s="25" t="str">
        <x:v>NOT_RUN</x:v>
      </x:c>
      <x:c r="K536" s="25" t="n">
        <x:v>1</x:v>
      </x:c>
      <x:c r="L536" s="27" t="b">
        <x:v>0</x:v>
      </x:c>
      <x:c r="M536" s="25" t="str">
        <x:v>Gemini-3.8-flash/generation_state.json</x:v>
      </x:c>
      <x:c r="N536" s="25" t="str">
        <x:v>Gemini-3.8-flash/Result/Jsoup_33/result.json</x:v>
      </x:c>
      <x:c r="O536" s="25" t="str">
        <x:v>Gemini-3.8-flash/Result/Jsoup_33/result.json</x:v>
      </x:c>
      <x:c r="P536" t="str">
        <x:v>BOTH_NOT_RUN</x:v>
      </x:c>
      <x:c r="Q536" s="21" t="str"/>
      <x:c r="R536" s="21" t="str"/>
      <x:c r="S536" s="21" t="str"/>
      <x:c r="T536" s="17" t="str">
        <x:v>false</x:v>
      </x:c>
      <x:c r="U536" s="17" t="str">
        <x:v>true</x:v>
      </x:c>
      <x:c r="V536" s="17" t="str">
        <x:v>false</x:v>
      </x:c>
    </x:row>
    <x:row r="537" ht="80" customHeight="1">
      <x:c r="A537" s="25" t="str">
        <x:v>Jsoup</x:v>
      </x:c>
      <x:c r="B537" s="25" t="n">
        <x:v>34</x:v>
      </x:c>
      <x:c r="C537" s="25" t="str">
        <x:v>Round1</x:v>
      </x:c>
      <x:c r="D537" s="25" t="str">
        <x:v>NOT_AVAILABLE</x:v>
      </x:c>
      <x:c r="E537" s="25" t="str">
        <x:v>N/A</x:v>
      </x:c>
      <x:c r="F537" s="26" t="str">
        <x:v>Tests exist but current coverage did not complete</x:v>
      </x:c>
      <x:c r="G537" s="25" t="str">
        <x:v>true</x:v>
      </x:c>
      <x:c r="H537" s="25" t="str">
        <x:v>NOT_AVAILABLE</x:v>
      </x:c>
      <x:c r="I537" s="25" t="str">
        <x:v>NOT_RUN</x:v>
      </x:c>
      <x:c r="J537" s="25" t="str">
        <x:v>NOT_RUN</x:v>
      </x:c>
      <x:c r="K537" s="25" t="n">
        <x:v>1</x:v>
      </x:c>
      <x:c r="L537" s="27" t="b">
        <x:v>0</x:v>
      </x:c>
      <x:c r="M537" s="25" t="str">
        <x:v>Gemini-3.8-flash/generation_state.json</x:v>
      </x:c>
      <x:c r="N537" s="25" t="str">
        <x:v>Gemini-3.8-flash/Result/Jsoup_34/result.json</x:v>
      </x:c>
      <x:c r="O537" s="25" t="str">
        <x:v>Gemini-3.8-flash/Result/Jsoup_34/result.json</x:v>
      </x:c>
      <x:c r="P537" t="str">
        <x:v>BOTH_NOT_RUN</x:v>
      </x:c>
      <x:c r="Q537" s="21" t="str"/>
      <x:c r="R537" s="21" t="str"/>
      <x:c r="S537" s="21" t="str"/>
      <x:c r="T537" s="17" t="str">
        <x:v>false</x:v>
      </x:c>
      <x:c r="U537" s="17" t="str">
        <x:v>true</x:v>
      </x:c>
      <x:c r="V537" s="17" t="str">
        <x:v>false</x:v>
      </x:c>
    </x:row>
    <x:row r="538" ht="80" customHeight="1">
      <x:c r="A538" s="25" t="str">
        <x:v>Jsoup</x:v>
      </x:c>
      <x:c r="B538" s="25" t="n">
        <x:v>35</x:v>
      </x:c>
      <x:c r="C538" s="25" t="str">
        <x:v>Round1</x:v>
      </x:c>
      <x:c r="D538" s="25" t="str">
        <x:v>NOT_AVAILABLE</x:v>
      </x:c>
      <x:c r="E538" s="25" t="str">
        <x:v>N/A</x:v>
      </x:c>
      <x:c r="F538" s="26" t="str">
        <x:v>Tests exist but current coverage did not complete</x:v>
      </x:c>
      <x:c r="G538" s="25" t="str">
        <x:v>true</x:v>
      </x:c>
      <x:c r="H538" s="25" t="str">
        <x:v>NOT_AVAILABLE</x:v>
      </x:c>
      <x:c r="I538" s="25" t="str">
        <x:v>NOT_RUN</x:v>
      </x:c>
      <x:c r="J538" s="25" t="str">
        <x:v>NOT_RUN</x:v>
      </x:c>
      <x:c r="K538" s="25" t="n">
        <x:v>1</x:v>
      </x:c>
      <x:c r="L538" s="27" t="b">
        <x:v>0</x:v>
      </x:c>
      <x:c r="M538" s="25" t="str">
        <x:v>Gemini-3.8-flash/generation_state.json</x:v>
      </x:c>
      <x:c r="N538" s="25" t="str">
        <x:v>Gemini-3.8-flash/Result/Jsoup_35/result.json</x:v>
      </x:c>
      <x:c r="O538" s="25" t="str">
        <x:v>Gemini-3.8-flash/Result/Jsoup_35/result.json</x:v>
      </x:c>
      <x:c r="P538" t="str">
        <x:v>BOTH_NOT_RUN</x:v>
      </x:c>
      <x:c r="Q538" s="21" t="str"/>
      <x:c r="R538" s="21" t="str"/>
      <x:c r="S538" s="21" t="str"/>
      <x:c r="T538" s="17" t="str">
        <x:v>false</x:v>
      </x:c>
      <x:c r="U538" s="17" t="str">
        <x:v>true</x:v>
      </x:c>
      <x:c r="V538" s="17" t="str">
        <x:v>false</x:v>
      </x:c>
    </x:row>
    <x:row r="539" ht="80" customHeight="1">
      <x:c r="A539" s="25" t="str">
        <x:v>Jsoup</x:v>
      </x:c>
      <x:c r="B539" s="25" t="n">
        <x:v>36</x:v>
      </x:c>
      <x:c r="C539" s="25" t="str">
        <x:v>Round1</x:v>
      </x:c>
      <x:c r="D539" s="25" t="str">
        <x:v>NOT_AVAILABLE</x:v>
      </x:c>
      <x:c r="E539" s="25" t="str">
        <x:v>N/A</x:v>
      </x:c>
      <x:c r="F539" s="26" t="str">
        <x:v>Tests exist but current coverage did not complete</x:v>
      </x:c>
      <x:c r="G539" s="25" t="str">
        <x:v>true</x:v>
      </x:c>
      <x:c r="H539" s="25" t="str">
        <x:v>NOT_AVAILABLE</x:v>
      </x:c>
      <x:c r="I539" s="25" t="str">
        <x:v>NOT_RUN</x:v>
      </x:c>
      <x:c r="J539" s="25" t="str">
        <x:v>NOT_RUN</x:v>
      </x:c>
      <x:c r="K539" s="25" t="n">
        <x:v>1</x:v>
      </x:c>
      <x:c r="L539" s="27" t="b">
        <x:v>0</x:v>
      </x:c>
      <x:c r="M539" s="25" t="str">
        <x:v>Gemini-3.8-flash/generation_state.json</x:v>
      </x:c>
      <x:c r="N539" s="25" t="str">
        <x:v>Gemini-3.8-flash/Result/Jsoup_36/result.json</x:v>
      </x:c>
      <x:c r="O539" s="25" t="str">
        <x:v>Gemini-3.8-flash/Result/Jsoup_36/result.json</x:v>
      </x:c>
      <x:c r="P539" t="str">
        <x:v>BOTH_NOT_RUN</x:v>
      </x:c>
      <x:c r="Q539" s="21" t="str"/>
      <x:c r="R539" s="21" t="str"/>
      <x:c r="S539" s="21" t="str"/>
      <x:c r="T539" s="17" t="str">
        <x:v>false</x:v>
      </x:c>
      <x:c r="U539" s="17" t="str">
        <x:v>true</x:v>
      </x:c>
      <x:c r="V539" s="17" t="str">
        <x:v>false</x:v>
      </x:c>
    </x:row>
    <x:row r="540" ht="80" customHeight="1">
      <x:c r="A540" s="25" t="str">
        <x:v>Jsoup</x:v>
      </x:c>
      <x:c r="B540" s="25" t="n">
        <x:v>37</x:v>
      </x:c>
      <x:c r="C540" s="25" t="str">
        <x:v>Round1</x:v>
      </x:c>
      <x:c r="D540" s="25" t="str">
        <x:v>INCONCLUSIVE</x:v>
      </x:c>
      <x:c r="E540" s="25" t="str">
        <x:v>N/A</x:v>
      </x:c>
      <x:c r="F540" s="26" t="str">
        <x:v>Fixed also failed; assertion failure cannot be attributed to this bug</x:v>
      </x:c>
      <x:c r="G540" s="25" t="str">
        <x:v>true</x:v>
      </x:c>
      <x:c r="H540" s="25" t="str">
        <x:v>INCONCLUSIVE</x:v>
      </x:c>
      <x:c r="I540" s="25" t="str">
        <x:v>FAIL</x:v>
      </x:c>
      <x:c r="J540" s="25" t="str">
        <x:v>FAIL</x:v>
      </x:c>
      <x:c r="K540" s="25" t="n">
        <x:v>1</x:v>
      </x:c>
      <x:c r="L540" s="27" t="b">
        <x:v>0</x:v>
      </x:c>
      <x:c r="M540" s="25" t="str">
        <x:v>Gemini-3.8-flash/generation_state.json</x:v>
      </x:c>
      <x:c r="N540" s="25" t="str">
        <x:v>Gemini-3.8-flash/Result/Jsoup_37/result.json</x:v>
      </x:c>
      <x:c r="O540" s="25" t="str">
        <x:v>Gemini-3.8-flash/Result/Jsoup_37/result.json</x:v>
      </x:c>
      <x:c r="P540"/>
      <x:c r="Q540" s="21" t="str"/>
      <x:c r="R540" s="21" t="str"/>
      <x:c r="S540" s="21" t="str"/>
      <x:c r="T540" s="17" t="str">
        <x:v>false</x:v>
      </x:c>
      <x:c r="U540" s="17" t="str">
        <x:v>true</x:v>
      </x:c>
      <x:c r="V540" s="17" t="str">
        <x:v>false</x:v>
      </x:c>
    </x:row>
    <x:row r="541" ht="80" customHeight="1">
      <x:c r="A541" s="25" t="str">
        <x:v>Jsoup</x:v>
      </x:c>
      <x:c r="B541" s="25" t="n">
        <x:v>38</x:v>
      </x:c>
      <x:c r="C541" s="25" t="str">
        <x:v>Round1</x:v>
      </x:c>
      <x:c r="D541" s="25" t="str">
        <x:v>NOT_AVAILABLE</x:v>
      </x:c>
      <x:c r="E541" s="25" t="str">
        <x:v>N/A</x:v>
      </x:c>
      <x:c r="F541" s="26" t="str">
        <x:v>Tests exist but current coverage did not complete</x:v>
      </x:c>
      <x:c r="G541" s="25" t="str">
        <x:v>true</x:v>
      </x:c>
      <x:c r="H541" s="25" t="str">
        <x:v>NOT_AVAILABLE</x:v>
      </x:c>
      <x:c r="I541" s="25" t="str">
        <x:v>NOT_RUN</x:v>
      </x:c>
      <x:c r="J541" s="25" t="str">
        <x:v>NOT_RUN</x:v>
      </x:c>
      <x:c r="K541" s="25" t="n">
        <x:v>1</x:v>
      </x:c>
      <x:c r="L541" s="27" t="b">
        <x:v>0</x:v>
      </x:c>
      <x:c r="M541" s="25" t="str">
        <x:v>Gemini-3.8-flash/generation_state.json</x:v>
      </x:c>
      <x:c r="N541" s="25" t="str">
        <x:v>Gemini-3.8-flash/Result/Jsoup_38/result.json</x:v>
      </x:c>
      <x:c r="O541" s="25" t="str">
        <x:v>Gemini-3.8-flash/Result/Jsoup_38/result.json</x:v>
      </x:c>
      <x:c r="P541" t="str">
        <x:v>BOTH_NOT_RUN</x:v>
      </x:c>
      <x:c r="Q541" s="21" t="str"/>
      <x:c r="R541" s="21" t="str"/>
      <x:c r="S541" s="21" t="str"/>
      <x:c r="T541" s="17" t="str">
        <x:v>false</x:v>
      </x:c>
      <x:c r="U541" s="17" t="str">
        <x:v>true</x:v>
      </x:c>
      <x:c r="V541" s="17" t="str">
        <x:v>false</x:v>
      </x:c>
    </x:row>
    <x:row r="542" ht="80" customHeight="1">
      <x:c r="A542" s="25" t="str">
        <x:v>Jsoup</x:v>
      </x:c>
      <x:c r="B542" s="25" t="n">
        <x:v>39</x:v>
      </x:c>
      <x:c r="C542" s="25" t="str">
        <x:v>Round1</x:v>
      </x:c>
      <x:c r="D542" s="25" t="str">
        <x:v>NOT_REVEALING</x:v>
      </x:c>
      <x:c r="E542" s="25" t="str">
        <x:v>N/A</x:v>
      </x:c>
      <x:c r="F542" s="26" t="str">
        <x:v>Same saved validation suite passed on buggy and fixed</x:v>
      </x:c>
      <x:c r="G542" s="25" t="str">
        <x:v>true</x:v>
      </x:c>
      <x:c r="H542" s="25" t="str">
        <x:v>NOT_REVEALING</x:v>
      </x:c>
      <x:c r="I542" s="25" t="str">
        <x:v>PASS</x:v>
      </x:c>
      <x:c r="J542" s="25" t="str">
        <x:v>PASS</x:v>
      </x:c>
      <x:c r="K542" s="25" t="n">
        <x:v>1</x:v>
      </x:c>
      <x:c r="L542" s="27" t="b">
        <x:v>0</x:v>
      </x:c>
      <x:c r="M542" s="25" t="str">
        <x:v>Gemini-3.8-flash/generation_state.json</x:v>
      </x:c>
      <x:c r="N542" s="25" t="str">
        <x:v>Gemini-3.8-flash/Result/Jsoup_39/result.json</x:v>
      </x:c>
      <x:c r="O542" s="25" t="str">
        <x:v>Gemini-3.8-flash/Result/Jsoup_39/result.json</x:v>
      </x:c>
      <x:c r="P542"/>
      <x:c r="Q542" s="21" t="str"/>
      <x:c r="R542" s="21" t="str"/>
      <x:c r="S542" s="21" t="str"/>
      <x:c r="T542" s="17" t="str">
        <x:v>false</x:v>
      </x:c>
      <x:c r="U542" s="17" t="str">
        <x:v>true</x:v>
      </x:c>
      <x:c r="V542" s="17" t="str">
        <x:v>false</x:v>
      </x:c>
    </x:row>
    <x:row r="543" ht="80" customHeight="1">
      <x:c r="A543" s="25" t="str">
        <x:v>Jsoup</x:v>
      </x:c>
      <x:c r="B543" s="25" t="n">
        <x:v>4</x:v>
      </x:c>
      <x:c r="C543" s="25" t="str">
        <x:v>Round1</x:v>
      </x:c>
      <x:c r="D543" s="25" t="str">
        <x:v>NOT_AVAILABLE</x:v>
      </x:c>
      <x:c r="E543" s="25" t="str">
        <x:v>N/A</x:v>
      </x:c>
      <x:c r="F543" s="26" t="str">
        <x:v>Tests exist but current coverage did not complete</x:v>
      </x:c>
      <x:c r="G543" s="25" t="str">
        <x:v>true</x:v>
      </x:c>
      <x:c r="H543" s="25" t="str">
        <x:v>NOT_AVAILABLE</x:v>
      </x:c>
      <x:c r="I543" s="25" t="str">
        <x:v>NOT_RUN</x:v>
      </x:c>
      <x:c r="J543" s="25" t="str">
        <x:v>NOT_RUN</x:v>
      </x:c>
      <x:c r="K543" s="25" t="n">
        <x:v>1</x:v>
      </x:c>
      <x:c r="L543" s="27" t="b">
        <x:v>0</x:v>
      </x:c>
      <x:c r="M543" s="25" t="str">
        <x:v>Gemini-3.8-flash/generation_state.json</x:v>
      </x:c>
      <x:c r="N543" s="25" t="str">
        <x:v>Gemini-3.8-flash/Result/Jsoup_4/result.json</x:v>
      </x:c>
      <x:c r="O543" s="25" t="str">
        <x:v>Gemini-3.8-flash/Result/Jsoup_4/result.json</x:v>
      </x:c>
      <x:c r="P543" t="str">
        <x:v>BOTH_NOT_RUN</x:v>
      </x:c>
      <x:c r="Q543" s="21" t="str"/>
      <x:c r="R543" s="21" t="str"/>
      <x:c r="S543" s="21" t="str"/>
      <x:c r="T543" s="17" t="str">
        <x:v>false</x:v>
      </x:c>
      <x:c r="U543" s="17" t="str">
        <x:v>true</x:v>
      </x:c>
      <x:c r="V543" s="17" t="str">
        <x:v>false</x:v>
      </x:c>
    </x:row>
    <x:row r="544" ht="80" customHeight="1">
      <x:c r="A544" s="25" t="str">
        <x:v>Jsoup</x:v>
      </x:c>
      <x:c r="B544" s="25" t="n">
        <x:v>40</x:v>
      </x:c>
      <x:c r="C544" s="25" t="str">
        <x:v>Round1</x:v>
      </x:c>
      <x:c r="D544" s="25" t="str">
        <x:v>INCONCLUSIVE</x:v>
      </x:c>
      <x:c r="E544" s="25" t="str">
        <x:v>N/A</x:v>
      </x:c>
      <x:c r="F544" s="26" t="str">
        <x:v>Fixed also failed; assertion failure cannot be attributed to this bug</x:v>
      </x:c>
      <x:c r="G544" s="25" t="str">
        <x:v>true</x:v>
      </x:c>
      <x:c r="H544" s="25" t="str">
        <x:v>INCONCLUSIVE</x:v>
      </x:c>
      <x:c r="I544" s="25" t="str">
        <x:v>FAIL</x:v>
      </x:c>
      <x:c r="J544" s="25" t="str">
        <x:v>FAIL</x:v>
      </x:c>
      <x:c r="K544" s="25" t="n">
        <x:v>1</x:v>
      </x:c>
      <x:c r="L544" s="27" t="b">
        <x:v>0</x:v>
      </x:c>
      <x:c r="M544" s="25" t="str">
        <x:v>Gemini-3.8-flash/generation_state.json</x:v>
      </x:c>
      <x:c r="N544" s="25" t="str">
        <x:v>Gemini-3.8-flash/Result/Jsoup_40/result.json</x:v>
      </x:c>
      <x:c r="O544" s="25" t="str">
        <x:v>Gemini-3.8-flash/Result/Jsoup_40/result.json</x:v>
      </x:c>
      <x:c r="P544"/>
      <x:c r="Q544" s="21" t="str"/>
      <x:c r="R544" s="21" t="str"/>
      <x:c r="S544" s="21" t="str"/>
      <x:c r="T544" s="17" t="str">
        <x:v>false</x:v>
      </x:c>
      <x:c r="U544" s="17" t="str">
        <x:v>true</x:v>
      </x:c>
      <x:c r="V544" s="17" t="str">
        <x:v>false</x:v>
      </x:c>
    </x:row>
    <x:row r="545" ht="80" customHeight="1">
      <x:c r="A545" s="25" t="str">
        <x:v>Jsoup</x:v>
      </x:c>
      <x:c r="B545" s="25" t="n">
        <x:v>41</x:v>
      </x:c>
      <x:c r="C545" s="25" t="str">
        <x:v>Round1</x:v>
      </x:c>
      <x:c r="D545" s="25" t="str">
        <x:v>NOT_AVAILABLE</x:v>
      </x:c>
      <x:c r="E545" s="25" t="str">
        <x:v>N/A</x:v>
      </x:c>
      <x:c r="F545" s="26" t="str">
        <x:v>Tests exist but current coverage did not complete</x:v>
      </x:c>
      <x:c r="G545" s="25" t="str">
        <x:v>true</x:v>
      </x:c>
      <x:c r="H545" s="25" t="str">
        <x:v>NOT_AVAILABLE</x:v>
      </x:c>
      <x:c r="I545" s="25" t="str">
        <x:v>NOT_RUN</x:v>
      </x:c>
      <x:c r="J545" s="25" t="str">
        <x:v>NOT_RUN</x:v>
      </x:c>
      <x:c r="K545" s="25" t="n">
        <x:v>1</x:v>
      </x:c>
      <x:c r="L545" s="27" t="b">
        <x:v>0</x:v>
      </x:c>
      <x:c r="M545" s="25" t="str">
        <x:v>Gemini-3.8-flash/generation_state.json</x:v>
      </x:c>
      <x:c r="N545" s="25" t="str">
        <x:v>Gemini-3.8-flash/Result/Jsoup_41/result.json</x:v>
      </x:c>
      <x:c r="O545" s="25" t="str">
        <x:v>Gemini-3.8-flash/Result/Jsoup_41/result.json</x:v>
      </x:c>
      <x:c r="P545" t="str">
        <x:v>BOTH_NOT_RUN</x:v>
      </x:c>
      <x:c r="Q545" s="21" t="str"/>
      <x:c r="R545" s="21" t="str"/>
      <x:c r="S545" s="21" t="str"/>
      <x:c r="T545" s="17" t="str">
        <x:v>false</x:v>
      </x:c>
      <x:c r="U545" s="17" t="str">
        <x:v>true</x:v>
      </x:c>
      <x:c r="V545" s="17" t="str">
        <x:v>false</x:v>
      </x:c>
    </x:row>
    <x:row r="546" ht="80" customHeight="1">
      <x:c r="A546" s="25" t="str">
        <x:v>Jsoup</x:v>
      </x:c>
      <x:c r="B546" s="25" t="n">
        <x:v>42</x:v>
      </x:c>
      <x:c r="C546" s="25" t="str">
        <x:v>Round1</x:v>
      </x:c>
      <x:c r="D546" s="25" t="str">
        <x:v>NOT_REVEALING</x:v>
      </x:c>
      <x:c r="E546" s="25" t="str">
        <x:v>N/A</x:v>
      </x:c>
      <x:c r="F546" s="26" t="str">
        <x:v>Same saved validation suite passed on buggy and fixed</x:v>
      </x:c>
      <x:c r="G546" s="25" t="str">
        <x:v>true</x:v>
      </x:c>
      <x:c r="H546" s="25" t="str">
        <x:v>NOT_REVEALING</x:v>
      </x:c>
      <x:c r="I546" s="25" t="str">
        <x:v>PASS</x:v>
      </x:c>
      <x:c r="J546" s="25" t="str">
        <x:v>PASS</x:v>
      </x:c>
      <x:c r="K546" s="25" t="n">
        <x:v>1</x:v>
      </x:c>
      <x:c r="L546" s="27" t="b">
        <x:v>0</x:v>
      </x:c>
      <x:c r="M546" s="25" t="str">
        <x:v>Gemini-3.8-flash/generation_state.json</x:v>
      </x:c>
      <x:c r="N546" s="25" t="str">
        <x:v>Gemini-3.8-flash/Result/Jsoup_42/result.json</x:v>
      </x:c>
      <x:c r="O546" s="25" t="str">
        <x:v>Gemini-3.8-flash/Result/Jsoup_42/result.json</x:v>
      </x:c>
      <x:c r="P546"/>
      <x:c r="Q546" s="21" t="str"/>
      <x:c r="R546" s="21" t="str"/>
      <x:c r="S546" s="21" t="str"/>
      <x:c r="T546" s="17" t="str">
        <x:v>false</x:v>
      </x:c>
      <x:c r="U546" s="17" t="str">
        <x:v>true</x:v>
      </x:c>
      <x:c r="V546" s="17" t="str">
        <x:v>false</x:v>
      </x:c>
    </x:row>
    <x:row r="547" ht="80" customHeight="1">
      <x:c r="A547" s="25" t="str">
        <x:v>Jsoup</x:v>
      </x:c>
      <x:c r="B547" s="25" t="n">
        <x:v>43</x:v>
      </x:c>
      <x:c r="C547" s="25" t="str">
        <x:v>Round1</x:v>
      </x:c>
      <x:c r="D547" s="25" t="str">
        <x:v>NOT_AVAILABLE</x:v>
      </x:c>
      <x:c r="E547" s="25" t="str">
        <x:v>N/A</x:v>
      </x:c>
      <x:c r="F547" s="26" t="str">
        <x:v>Tests exist but current coverage did not complete</x:v>
      </x:c>
      <x:c r="G547" s="25" t="str">
        <x:v>true</x:v>
      </x:c>
      <x:c r="H547" s="25" t="str">
        <x:v>NOT_AVAILABLE</x:v>
      </x:c>
      <x:c r="I547" s="25" t="str">
        <x:v>NOT_RUN</x:v>
      </x:c>
      <x:c r="J547" s="25" t="str">
        <x:v>NOT_RUN</x:v>
      </x:c>
      <x:c r="K547" s="25" t="n">
        <x:v>1</x:v>
      </x:c>
      <x:c r="L547" s="27" t="b">
        <x:v>0</x:v>
      </x:c>
      <x:c r="M547" s="25" t="str">
        <x:v>Gemini-3.8-flash/generation_state.json</x:v>
      </x:c>
      <x:c r="N547" s="25" t="str">
        <x:v>Gemini-3.8-flash/Result/Jsoup_43/result.json</x:v>
      </x:c>
      <x:c r="O547" s="25" t="str">
        <x:v>Gemini-3.8-flash/Result/Jsoup_43/result.json</x:v>
      </x:c>
      <x:c r="P547" t="str">
        <x:v>BOTH_NOT_RUN</x:v>
      </x:c>
      <x:c r="Q547" s="21" t="str"/>
      <x:c r="R547" s="21" t="str"/>
      <x:c r="S547" s="21" t="str"/>
      <x:c r="T547" s="17" t="str">
        <x:v>false</x:v>
      </x:c>
      <x:c r="U547" s="17" t="str">
        <x:v>true</x:v>
      </x:c>
      <x:c r="V547" s="17" t="str">
        <x:v>false</x:v>
      </x:c>
    </x:row>
    <x:row r="548" ht="80" customHeight="1">
      <x:c r="A548" s="25" t="str">
        <x:v>Jsoup</x:v>
      </x:c>
      <x:c r="B548" s="25" t="n">
        <x:v>44</x:v>
      </x:c>
      <x:c r="C548" s="25" t="str">
        <x:v>Round1</x:v>
      </x:c>
      <x:c r="D548" s="25" t="str">
        <x:v>NOT_AVAILABLE</x:v>
      </x:c>
      <x:c r="E548" s="25" t="str">
        <x:v>N/A</x:v>
      </x:c>
      <x:c r="F548" s="26" t="str">
        <x:v>Tests exist but current coverage did not complete</x:v>
      </x:c>
      <x:c r="G548" s="25" t="str">
        <x:v>true</x:v>
      </x:c>
      <x:c r="H548" s="25" t="str">
        <x:v>NOT_AVAILABLE</x:v>
      </x:c>
      <x:c r="I548" s="25" t="str">
        <x:v>NOT_RUN</x:v>
      </x:c>
      <x:c r="J548" s="25" t="str">
        <x:v>NOT_RUN</x:v>
      </x:c>
      <x:c r="K548" s="25" t="n">
        <x:v>1</x:v>
      </x:c>
      <x:c r="L548" s="27" t="b">
        <x:v>0</x:v>
      </x:c>
      <x:c r="M548" s="25" t="str">
        <x:v>Gemini-3.8-flash/generation_state.json</x:v>
      </x:c>
      <x:c r="N548" s="25" t="str">
        <x:v>Gemini-3.8-flash/Result/Jsoup_44/result.json</x:v>
      </x:c>
      <x:c r="O548" s="25" t="str">
        <x:v>Gemini-3.8-flash/Result/Jsoup_44/result.json</x:v>
      </x:c>
      <x:c r="P548" t="str">
        <x:v>BOTH_NOT_RUN</x:v>
      </x:c>
      <x:c r="Q548" s="21" t="str"/>
      <x:c r="R548" s="21" t="str"/>
      <x:c r="S548" s="21" t="str"/>
      <x:c r="T548" s="17" t="str">
        <x:v>false</x:v>
      </x:c>
      <x:c r="U548" s="17" t="str">
        <x:v>true</x:v>
      </x:c>
      <x:c r="V548" s="17" t="str">
        <x:v>false</x:v>
      </x:c>
    </x:row>
    <x:row r="549" ht="80" customHeight="1">
      <x:c r="A549" s="25" t="str">
        <x:v>Jsoup</x:v>
      </x:c>
      <x:c r="B549" s="25" t="n">
        <x:v>45</x:v>
      </x:c>
      <x:c r="C549" s="25" t="str">
        <x:v>Round1</x:v>
      </x:c>
      <x:c r="D549" s="25" t="str">
        <x:v>NOT_AVAILABLE</x:v>
      </x:c>
      <x:c r="E549" s="25" t="str">
        <x:v>N/A</x:v>
      </x:c>
      <x:c r="F549" s="26" t="str">
        <x:v>Tests exist but current coverage did not complete</x:v>
      </x:c>
      <x:c r="G549" s="25" t="str">
        <x:v>true</x:v>
      </x:c>
      <x:c r="H549" s="25" t="str">
        <x:v>NOT_AVAILABLE</x:v>
      </x:c>
      <x:c r="I549" s="25" t="str">
        <x:v>NOT_RUN</x:v>
      </x:c>
      <x:c r="J549" s="25" t="str">
        <x:v>NOT_RUN</x:v>
      </x:c>
      <x:c r="K549" s="25" t="n">
        <x:v>1</x:v>
      </x:c>
      <x:c r="L549" s="27" t="b">
        <x:v>0</x:v>
      </x:c>
      <x:c r="M549" s="25" t="str">
        <x:v>Gemini-3.8-flash/generation_state.json</x:v>
      </x:c>
      <x:c r="N549" s="25" t="str">
        <x:v>Gemini-3.8-flash/Result/Jsoup_45/result.json</x:v>
      </x:c>
      <x:c r="O549" s="25" t="str">
        <x:v>Gemini-3.8-flash/Result/Jsoup_45/result.json</x:v>
      </x:c>
      <x:c r="P549" t="str">
        <x:v>BOTH_NOT_RUN</x:v>
      </x:c>
      <x:c r="Q549" s="21" t="str"/>
      <x:c r="R549" s="21" t="str"/>
      <x:c r="S549" s="21" t="str"/>
      <x:c r="T549" s="17" t="str">
        <x:v>false</x:v>
      </x:c>
      <x:c r="U549" s="17" t="str">
        <x:v>true</x:v>
      </x:c>
      <x:c r="V549" s="17" t="str">
        <x:v>false</x:v>
      </x:c>
    </x:row>
    <x:row r="550" ht="80" customHeight="1">
      <x:c r="A550" s="25" t="str">
        <x:v>Jsoup</x:v>
      </x:c>
      <x:c r="B550" s="25" t="n">
        <x:v>46</x:v>
      </x:c>
      <x:c r="C550" s="25" t="str">
        <x:v>Round1</x:v>
      </x:c>
      <x:c r="D550" s="25" t="str">
        <x:v>INCONCLUSIVE</x:v>
      </x:c>
      <x:c r="E550" s="25" t="str">
        <x:v>N/A</x:v>
      </x:c>
      <x:c r="F550" s="26" t="str">
        <x:v>Fixed also failed; assertion failure cannot be attributed to this bug</x:v>
      </x:c>
      <x:c r="G550" s="25" t="str">
        <x:v>true</x:v>
      </x:c>
      <x:c r="H550" s="25" t="str">
        <x:v>INCONCLUSIVE</x:v>
      </x:c>
      <x:c r="I550" s="25" t="str">
        <x:v>PASS</x:v>
      </x:c>
      <x:c r="J550" s="25" t="str">
        <x:v>FAIL</x:v>
      </x:c>
      <x:c r="K550" s="25" t="n">
        <x:v>1</x:v>
      </x:c>
      <x:c r="L550" s="27" t="b">
        <x:v>0</x:v>
      </x:c>
      <x:c r="M550" s="25" t="str">
        <x:v>Gemini-3.8-flash/generation_state.json</x:v>
      </x:c>
      <x:c r="N550" s="25" t="str">
        <x:v>Gemini-3.8-flash/Result/Jsoup_46/result.json</x:v>
      </x:c>
      <x:c r="O550" s="25" t="str">
        <x:v>Gemini-3.8-flash/Result/Jsoup_46/result.json</x:v>
      </x:c>
      <x:c r="P550"/>
      <x:c r="Q550" s="21" t="str"/>
      <x:c r="R550" s="21" t="str"/>
      <x:c r="S550" s="21" t="str"/>
      <x:c r="T550" s="17" t="str">
        <x:v>false</x:v>
      </x:c>
      <x:c r="U550" s="17" t="str">
        <x:v>true</x:v>
      </x:c>
      <x:c r="V550" s="17" t="str">
        <x:v>false</x:v>
      </x:c>
    </x:row>
    <x:row r="551" ht="80" customHeight="1">
      <x:c r="A551" s="25" t="str">
        <x:v>Jsoup</x:v>
      </x:c>
      <x:c r="B551" s="25" t="n">
        <x:v>47</x:v>
      </x:c>
      <x:c r="C551" s="25" t="str">
        <x:v>Round1</x:v>
      </x:c>
      <x:c r="D551" s="25" t="str">
        <x:v>NOT_REVEALING</x:v>
      </x:c>
      <x:c r="E551" s="25" t="str">
        <x:v>N/A</x:v>
      </x:c>
      <x:c r="F551" s="26" t="str">
        <x:v>Same saved validation suite passed on buggy and fixed</x:v>
      </x:c>
      <x:c r="G551" s="25" t="str">
        <x:v>true</x:v>
      </x:c>
      <x:c r="H551" s="25" t="str">
        <x:v>NOT_REVEALING</x:v>
      </x:c>
      <x:c r="I551" s="25" t="str">
        <x:v>PASS</x:v>
      </x:c>
      <x:c r="J551" s="25" t="str">
        <x:v>PASS</x:v>
      </x:c>
      <x:c r="K551" s="25" t="n">
        <x:v>1</x:v>
      </x:c>
      <x:c r="L551" s="27" t="b">
        <x:v>0</x:v>
      </x:c>
      <x:c r="M551" s="25" t="str">
        <x:v>Gemini-3.8-flash/generation_state.json</x:v>
      </x:c>
      <x:c r="N551" s="25" t="str">
        <x:v>Gemini-3.8-flash/Result/Jsoup_47/result.json</x:v>
      </x:c>
      <x:c r="O551" s="25" t="str">
        <x:v>Gemini-3.8-flash/Result/Jsoup_47/result.json</x:v>
      </x:c>
      <x:c r="P551"/>
      <x:c r="Q551" s="21" t="str"/>
      <x:c r="R551" s="21" t="str"/>
      <x:c r="S551" s="21" t="str"/>
      <x:c r="T551" s="17" t="str">
        <x:v>false</x:v>
      </x:c>
      <x:c r="U551" s="17" t="str">
        <x:v>true</x:v>
      </x:c>
      <x:c r="V551" s="17" t="str">
        <x:v>false</x:v>
      </x:c>
    </x:row>
    <x:row r="552" ht="80" customHeight="1">
      <x:c r="A552" s="25" t="str">
        <x:v>Jsoup</x:v>
      </x:c>
      <x:c r="B552" s="25" t="n">
        <x:v>48</x:v>
      </x:c>
      <x:c r="C552" s="25" t="str">
        <x:v>Round1</x:v>
      </x:c>
      <x:c r="D552" s="25" t="str">
        <x:v>INCONCLUSIVE</x:v>
      </x:c>
      <x:c r="E552" s="25" t="str">
        <x:v>N/A</x:v>
      </x:c>
      <x:c r="F552" s="26" t="str">
        <x:v>Fixed also failed; assertion failure cannot be attributed to this bug</x:v>
      </x:c>
      <x:c r="G552" s="25" t="str">
        <x:v>true</x:v>
      </x:c>
      <x:c r="H552" s="25" t="str">
        <x:v>INCONCLUSIVE</x:v>
      </x:c>
      <x:c r="I552" s="25" t="str">
        <x:v>FAIL</x:v>
      </x:c>
      <x:c r="J552" s="25" t="str">
        <x:v>FAIL</x:v>
      </x:c>
      <x:c r="K552" s="25" t="n">
        <x:v>1</x:v>
      </x:c>
      <x:c r="L552" s="27" t="b">
        <x:v>0</x:v>
      </x:c>
      <x:c r="M552" s="25" t="str">
        <x:v>Gemini-3.8-flash/generation_state.json</x:v>
      </x:c>
      <x:c r="N552" s="25" t="str">
        <x:v>Gemini-3.8-flash/Result/Jsoup_48/result.json</x:v>
      </x:c>
      <x:c r="O552" s="25" t="str">
        <x:v>Gemini-3.8-flash/Result/Jsoup_48/result.json</x:v>
      </x:c>
      <x:c r="P552"/>
      <x:c r="Q552" s="21" t="str"/>
      <x:c r="R552" s="21" t="str"/>
      <x:c r="S552" s="21" t="str"/>
      <x:c r="T552" s="17" t="str">
        <x:v>false</x:v>
      </x:c>
      <x:c r="U552" s="17" t="str">
        <x:v>true</x:v>
      </x:c>
      <x:c r="V552" s="17" t="str">
        <x:v>false</x:v>
      </x:c>
    </x:row>
    <x:row r="553" ht="80" customHeight="1">
      <x:c r="A553" s="25" t="str">
        <x:v>Jsoup</x:v>
      </x:c>
      <x:c r="B553" s="25" t="n">
        <x:v>49</x:v>
      </x:c>
      <x:c r="C553" s="25" t="str">
        <x:v>Round1</x:v>
      </x:c>
      <x:c r="D553" s="25" t="str">
        <x:v>NOT_AVAILABLE</x:v>
      </x:c>
      <x:c r="E553" s="25" t="str">
        <x:v>N/A</x:v>
      </x:c>
      <x:c r="F553" s="26" t="str">
        <x:v>Tests exist but current coverage did not complete</x:v>
      </x:c>
      <x:c r="G553" s="25" t="str">
        <x:v>true</x:v>
      </x:c>
      <x:c r="H553" s="25" t="str">
        <x:v>NOT_AVAILABLE</x:v>
      </x:c>
      <x:c r="I553" s="25" t="str">
        <x:v>NOT_RUN</x:v>
      </x:c>
      <x:c r="J553" s="25" t="str">
        <x:v>NOT_RUN</x:v>
      </x:c>
      <x:c r="K553" s="25" t="n">
        <x:v>1</x:v>
      </x:c>
      <x:c r="L553" s="27" t="b">
        <x:v>0</x:v>
      </x:c>
      <x:c r="M553" s="25" t="str">
        <x:v>Gemini-3.8-flash/generation_state.json</x:v>
      </x:c>
      <x:c r="N553" s="25" t="str">
        <x:v>Gemini-3.8-flash/Result/Jsoup_49/result.json</x:v>
      </x:c>
      <x:c r="O553" s="25" t="str">
        <x:v>Gemini-3.8-flash/Result/Jsoup_49/result.json</x:v>
      </x:c>
      <x:c r="P553" t="str">
        <x:v>BOTH_NOT_RUN</x:v>
      </x:c>
      <x:c r="Q553" s="21" t="str"/>
      <x:c r="R553" s="21" t="str"/>
      <x:c r="S553" s="21" t="str"/>
      <x:c r="T553" s="17" t="str">
        <x:v>false</x:v>
      </x:c>
      <x:c r="U553" s="17" t="str">
        <x:v>true</x:v>
      </x:c>
      <x:c r="V553" s="17" t="str">
        <x:v>false</x:v>
      </x:c>
    </x:row>
    <x:row r="554" ht="80" customHeight="1">
      <x:c r="A554" s="25" t="str">
        <x:v>Jsoup</x:v>
      </x:c>
      <x:c r="B554" s="25" t="n">
        <x:v>5</x:v>
      </x:c>
      <x:c r="C554" s="25" t="str">
        <x:v>Round1</x:v>
      </x:c>
      <x:c r="D554" s="25" t="str">
        <x:v>INCONCLUSIVE</x:v>
      </x:c>
      <x:c r="E554" s="25" t="str">
        <x:v>N/A</x:v>
      </x:c>
      <x:c r="F554" s="26" t="str">
        <x:v>Fixed also failed; assertion failure cannot be attributed to this bug</x:v>
      </x:c>
      <x:c r="G554" s="25" t="str">
        <x:v>true</x:v>
      </x:c>
      <x:c r="H554" s="25" t="str">
        <x:v>INCONCLUSIVE</x:v>
      </x:c>
      <x:c r="I554" s="25" t="str">
        <x:v>FAIL</x:v>
      </x:c>
      <x:c r="J554" s="25" t="str">
        <x:v>FAIL</x:v>
      </x:c>
      <x:c r="K554" s="25" t="n">
        <x:v>1</x:v>
      </x:c>
      <x:c r="L554" s="27" t="b">
        <x:v>0</x:v>
      </x:c>
      <x:c r="M554" s="25" t="str">
        <x:v>Gemini-3.8-flash/generation_state.json</x:v>
      </x:c>
      <x:c r="N554" s="25" t="str">
        <x:v>Gemini-3.8-flash/Result/Jsoup_5/result.json</x:v>
      </x:c>
      <x:c r="O554" s="25" t="str">
        <x:v>Gemini-3.8-flash/Result/Jsoup_5/result.json</x:v>
      </x:c>
      <x:c r="P554"/>
      <x:c r="Q554" s="21" t="str"/>
      <x:c r="R554" s="21" t="str"/>
      <x:c r="S554" s="21" t="str"/>
      <x:c r="T554" s="17" t="str">
        <x:v>false</x:v>
      </x:c>
      <x:c r="U554" s="17" t="str">
        <x:v>true</x:v>
      </x:c>
      <x:c r="V554" s="17" t="str">
        <x:v>false</x:v>
      </x:c>
    </x:row>
    <x:row r="555" ht="80" customHeight="1">
      <x:c r="A555" s="25" t="str">
        <x:v>Jsoup</x:v>
      </x:c>
      <x:c r="B555" s="25" t="n">
        <x:v>50</x:v>
      </x:c>
      <x:c r="C555" s="25" t="str">
        <x:v>Round1</x:v>
      </x:c>
      <x:c r="D555" s="25" t="str">
        <x:v>NOT_AVAILABLE</x:v>
      </x:c>
      <x:c r="E555" s="25" t="str">
        <x:v>N/A</x:v>
      </x:c>
      <x:c r="F555" s="26" t="str">
        <x:v>Tests exist but current coverage did not complete</x:v>
      </x:c>
      <x:c r="G555" s="25" t="str">
        <x:v>true</x:v>
      </x:c>
      <x:c r="H555" s="25" t="str">
        <x:v>NOT_AVAILABLE</x:v>
      </x:c>
      <x:c r="I555" s="25" t="str">
        <x:v>NOT_RUN</x:v>
      </x:c>
      <x:c r="J555" s="25" t="str">
        <x:v>NOT_RUN</x:v>
      </x:c>
      <x:c r="K555" s="25" t="n">
        <x:v>1</x:v>
      </x:c>
      <x:c r="L555" s="27" t="b">
        <x:v>0</x:v>
      </x:c>
      <x:c r="M555" s="25" t="str">
        <x:v>Gemini-3.8-flash/generation_state.json</x:v>
      </x:c>
      <x:c r="N555" s="25" t="str">
        <x:v>Gemini-3.8-flash/Result/Jsoup_50/result.json</x:v>
      </x:c>
      <x:c r="O555" s="25" t="str">
        <x:v>Gemini-3.8-flash/Result/Jsoup_50/result.json</x:v>
      </x:c>
      <x:c r="P555" t="str">
        <x:v>BOTH_NOT_RUN</x:v>
      </x:c>
      <x:c r="Q555" s="21" t="str"/>
      <x:c r="R555" s="21" t="str"/>
      <x:c r="S555" s="21" t="str"/>
      <x:c r="T555" s="17" t="str">
        <x:v>false</x:v>
      </x:c>
      <x:c r="U555" s="17" t="str">
        <x:v>true</x:v>
      </x:c>
      <x:c r="V555" s="17" t="str">
        <x:v>false</x:v>
      </x:c>
    </x:row>
    <x:row r="556" ht="80" customHeight="1">
      <x:c r="A556" s="25" t="str">
        <x:v>Jsoup</x:v>
      </x:c>
      <x:c r="B556" s="25" t="n">
        <x:v>51</x:v>
      </x:c>
      <x:c r="C556" s="25" t="str">
        <x:v>Round1</x:v>
      </x:c>
      <x:c r="D556" s="25" t="str">
        <x:v>INCONCLUSIVE</x:v>
      </x:c>
      <x:c r="E556" s="25" t="str">
        <x:v>N/A</x:v>
      </x:c>
      <x:c r="F556" s="26" t="str">
        <x:v>Fixed also failed; assertion failure cannot be attributed to this bug</x:v>
      </x:c>
      <x:c r="G556" s="25" t="str">
        <x:v>true</x:v>
      </x:c>
      <x:c r="H556" s="25" t="str">
        <x:v>INCONCLUSIVE</x:v>
      </x:c>
      <x:c r="I556" s="25" t="str">
        <x:v>FAIL</x:v>
      </x:c>
      <x:c r="J556" s="25" t="str">
        <x:v>FAIL</x:v>
      </x:c>
      <x:c r="K556" s="25" t="n">
        <x:v>1</x:v>
      </x:c>
      <x:c r="L556" s="27" t="b">
        <x:v>0</x:v>
      </x:c>
      <x:c r="M556" s="25" t="str">
        <x:v>Gemini-3.8-flash/generation_state.json</x:v>
      </x:c>
      <x:c r="N556" s="25" t="str">
        <x:v>Gemini-3.8-flash/Result/Jsoup_51/result.json</x:v>
      </x:c>
      <x:c r="O556" s="25" t="str">
        <x:v>Gemini-3.8-flash/Result/Jsoup_51/result.json</x:v>
      </x:c>
      <x:c r="P556"/>
      <x:c r="Q556" s="21" t="str"/>
      <x:c r="R556" s="21" t="str"/>
      <x:c r="S556" s="21" t="str"/>
      <x:c r="T556" s="17" t="str">
        <x:v>false</x:v>
      </x:c>
      <x:c r="U556" s="17" t="str">
        <x:v>true</x:v>
      </x:c>
      <x:c r="V556" s="17" t="str">
        <x:v>false</x:v>
      </x:c>
    </x:row>
    <x:row r="557" ht="80" customHeight="1">
      <x:c r="A557" s="25" t="str">
        <x:v>Jsoup</x:v>
      </x:c>
      <x:c r="B557" s="25" t="n">
        <x:v>52</x:v>
      </x:c>
      <x:c r="C557" s="25" t="str">
        <x:v>Round1</x:v>
      </x:c>
      <x:c r="D557" s="25" t="str">
        <x:v>NOT_AVAILABLE</x:v>
      </x:c>
      <x:c r="E557" s="25" t="str">
        <x:v>N/A</x:v>
      </x:c>
      <x:c r="F557" s="26" t="str">
        <x:v>Tests exist but current coverage did not complete</x:v>
      </x:c>
      <x:c r="G557" s="25" t="str">
        <x:v>true</x:v>
      </x:c>
      <x:c r="H557" s="25" t="str">
        <x:v>NOT_AVAILABLE</x:v>
      </x:c>
      <x:c r="I557" s="25" t="str">
        <x:v>NOT_RUN</x:v>
      </x:c>
      <x:c r="J557" s="25" t="str">
        <x:v>NOT_RUN</x:v>
      </x:c>
      <x:c r="K557" s="25" t="n">
        <x:v>3</x:v>
      </x:c>
      <x:c r="L557" s="27" t="b">
        <x:v>0</x:v>
      </x:c>
      <x:c r="M557" s="25" t="str">
        <x:v>Gemini-3.8-flash/generation_state.json</x:v>
      </x:c>
      <x:c r="N557" s="25" t="str">
        <x:v>Gemini-3.8-flash/Result/Jsoup_52/result.json</x:v>
      </x:c>
      <x:c r="O557" s="25" t="str">
        <x:v>Gemini-3.8-flash/Result/Jsoup_52/result.json</x:v>
      </x:c>
      <x:c r="P557" t="str">
        <x:v>BOTH_NOT_RUN</x:v>
      </x:c>
      <x:c r="Q557" s="21" t="str"/>
      <x:c r="R557" s="21" t="str"/>
      <x:c r="S557" s="21" t="str"/>
      <x:c r="T557" s="17" t="str">
        <x:v>false</x:v>
      </x:c>
      <x:c r="U557" s="17" t="str">
        <x:v>true</x:v>
      </x:c>
      <x:c r="V557" s="17" t="str">
        <x:v>false</x:v>
      </x:c>
    </x:row>
    <x:row r="558" ht="80" customHeight="1">
      <x:c r="A558" s="25" t="str">
        <x:v>Jsoup</x:v>
      </x:c>
      <x:c r="B558" s="25" t="n">
        <x:v>53</x:v>
      </x:c>
      <x:c r="C558" s="25" t="str">
        <x:v>Round1</x:v>
      </x:c>
      <x:c r="D558" s="25" t="str">
        <x:v>INCONCLUSIVE</x:v>
      </x:c>
      <x:c r="E558" s="25" t="str">
        <x:v>N/A</x:v>
      </x:c>
      <x:c r="F558" s="26" t="str">
        <x:v>Fixed also failed; assertion failure cannot be attributed to this bug</x:v>
      </x:c>
      <x:c r="G558" s="25" t="str">
        <x:v>true</x:v>
      </x:c>
      <x:c r="H558" s="25" t="str">
        <x:v>INCONCLUSIVE</x:v>
      </x:c>
      <x:c r="I558" s="25" t="str">
        <x:v>FAIL</x:v>
      </x:c>
      <x:c r="J558" s="25" t="str">
        <x:v>FAIL</x:v>
      </x:c>
      <x:c r="K558" s="25" t="n">
        <x:v>1</x:v>
      </x:c>
      <x:c r="L558" s="27" t="b">
        <x:v>0</x:v>
      </x:c>
      <x:c r="M558" s="25" t="str">
        <x:v>Gemini-3.8-flash/generation_state.json</x:v>
      </x:c>
      <x:c r="N558" s="25" t="str">
        <x:v>Gemini-3.8-flash/Result/Jsoup_53/result.json</x:v>
      </x:c>
      <x:c r="O558" s="25" t="str">
        <x:v>Gemini-3.8-flash/Result/Jsoup_53/result.json</x:v>
      </x:c>
      <x:c r="P558"/>
      <x:c r="Q558" s="21" t="str"/>
      <x:c r="R558" s="21" t="str"/>
      <x:c r="S558" s="21" t="str"/>
      <x:c r="T558" s="17" t="str">
        <x:v>false</x:v>
      </x:c>
      <x:c r="U558" s="17" t="str">
        <x:v>true</x:v>
      </x:c>
      <x:c r="V558" s="17" t="str">
        <x:v>false</x:v>
      </x:c>
    </x:row>
    <x:row r="559" ht="80" customHeight="1">
      <x:c r="A559" s="25" t="str">
        <x:v>Jsoup</x:v>
      </x:c>
      <x:c r="B559" s="25" t="n">
        <x:v>54</x:v>
      </x:c>
      <x:c r="C559" s="25" t="str">
        <x:v>Round1</x:v>
      </x:c>
      <x:c r="D559" s="25" t="str">
        <x:v>INCONCLUSIVE</x:v>
      </x:c>
      <x:c r="E559" s="25" t="str">
        <x:v>N/A</x:v>
      </x:c>
      <x:c r="F559" s="26" t="str">
        <x:v>Fixed also failed; assertion failure cannot be attributed to this bug</x:v>
      </x:c>
      <x:c r="G559" s="25" t="str">
        <x:v>true</x:v>
      </x:c>
      <x:c r="H559" s="25" t="str">
        <x:v>INCONCLUSIVE</x:v>
      </x:c>
      <x:c r="I559" s="25" t="str">
        <x:v>FAIL</x:v>
      </x:c>
      <x:c r="J559" s="25" t="str">
        <x:v>FAIL</x:v>
      </x:c>
      <x:c r="K559" s="25" t="n">
        <x:v>1</x:v>
      </x:c>
      <x:c r="L559" s="27" t="b">
        <x:v>0</x:v>
      </x:c>
      <x:c r="M559" s="25" t="str">
        <x:v>Gemini-3.8-flash/generation_state.json</x:v>
      </x:c>
      <x:c r="N559" s="25" t="str">
        <x:v>Gemini-3.8-flash/Result/Jsoup_54/result.json</x:v>
      </x:c>
      <x:c r="O559" s="25" t="str">
        <x:v>Gemini-3.8-flash/Result/Jsoup_54/result.json</x:v>
      </x:c>
      <x:c r="P559"/>
      <x:c r="Q559" s="21" t="str"/>
      <x:c r="R559" s="21" t="str"/>
      <x:c r="S559" s="21" t="str"/>
      <x:c r="T559" s="17" t="str">
        <x:v>false</x:v>
      </x:c>
      <x:c r="U559" s="17" t="str">
        <x:v>true</x:v>
      </x:c>
      <x:c r="V559" s="17" t="str">
        <x:v>false</x:v>
      </x:c>
    </x:row>
    <x:row r="560" ht="80" customHeight="1">
      <x:c r="A560" s="25" t="str">
        <x:v>Jsoup</x:v>
      </x:c>
      <x:c r="B560" s="25" t="n">
        <x:v>55</x:v>
      </x:c>
      <x:c r="C560" s="25" t="str">
        <x:v>Round1</x:v>
      </x:c>
      <x:c r="D560" s="25" t="str">
        <x:v>NOT_AVAILABLE</x:v>
      </x:c>
      <x:c r="E560" s="25" t="str">
        <x:v>N/A</x:v>
      </x:c>
      <x:c r="F560" s="26" t="str">
        <x:v>Tests exist but current coverage did not complete</x:v>
      </x:c>
      <x:c r="G560" s="25" t="str">
        <x:v>true</x:v>
      </x:c>
      <x:c r="H560" s="25" t="str">
        <x:v>NOT_AVAILABLE</x:v>
      </x:c>
      <x:c r="I560" s="25" t="str">
        <x:v>NOT_RUN</x:v>
      </x:c>
      <x:c r="J560" s="25" t="str">
        <x:v>NOT_RUN</x:v>
      </x:c>
      <x:c r="K560" s="25" t="n">
        <x:v>1</x:v>
      </x:c>
      <x:c r="L560" s="27" t="b">
        <x:v>0</x:v>
      </x:c>
      <x:c r="M560" s="25" t="str">
        <x:v>Gemini-3.8-flash/generation_state.json</x:v>
      </x:c>
      <x:c r="N560" s="25" t="str">
        <x:v>Gemini-3.8-flash/Result/Jsoup_55/result.json</x:v>
      </x:c>
      <x:c r="O560" s="25" t="str">
        <x:v>Gemini-3.8-flash/Result/Jsoup_55/result.json</x:v>
      </x:c>
      <x:c r="P560" t="str">
        <x:v>BOTH_NOT_RUN</x:v>
      </x:c>
      <x:c r="Q560" s="21" t="str"/>
      <x:c r="R560" s="21" t="str"/>
      <x:c r="S560" s="21" t="str"/>
      <x:c r="T560" s="17" t="str">
        <x:v>false</x:v>
      </x:c>
      <x:c r="U560" s="17" t="str">
        <x:v>true</x:v>
      </x:c>
      <x:c r="V560" s="17" t="str">
        <x:v>false</x:v>
      </x:c>
    </x:row>
    <x:row r="561" ht="80" customHeight="1">
      <x:c r="A561" s="25" t="str">
        <x:v>Jsoup</x:v>
      </x:c>
      <x:c r="B561" s="25" t="n">
        <x:v>56</x:v>
      </x:c>
      <x:c r="C561" s="25" t="str">
        <x:v>Round1</x:v>
      </x:c>
      <x:c r="D561" s="25" t="str">
        <x:v>NOT_AVAILABLE</x:v>
      </x:c>
      <x:c r="E561" s="25" t="str">
        <x:v>N/A</x:v>
      </x:c>
      <x:c r="F561" s="26" t="str">
        <x:v>Tests exist but current coverage did not complete; Class generation unavailable: Jsoup_56/org/jsoup/parser/HtmlTreeBuilderState.java; status=FAILED; finish_reason=None; Gateway TTFT Timeout</x:v>
      </x:c>
      <x:c r="G561" s="25" t="str">
        <x:v>true</x:v>
      </x:c>
      <x:c r="H561" s="25" t="str">
        <x:v>NOT_AVAILABLE</x:v>
      </x:c>
      <x:c r="I561" s="25" t="str">
        <x:v>NOT_RUN</x:v>
      </x:c>
      <x:c r="J561" s="25" t="str">
        <x:v>NOT_RUN</x:v>
      </x:c>
      <x:c r="K561" s="25" t="n">
        <x:v>4</x:v>
      </x:c>
      <x:c r="L561" s="27" t="b">
        <x:v>0</x:v>
      </x:c>
      <x:c r="M561" s="25" t="str">
        <x:v>Gemini-3.8-flash/generation_state.json</x:v>
      </x:c>
      <x:c r="N561" s="25" t="str">
        <x:v>Gemini-3.8-flash/Result/Jsoup_56/result.json</x:v>
      </x:c>
      <x:c r="O561" s="25" t="str">
        <x:v>Gemini-3.8-flash/Result/Jsoup_56/result.json</x:v>
      </x:c>
      <x:c r="P561" t="str">
        <x:v>BOTH_NOT_RUN</x:v>
      </x:c>
      <x:c r="Q561" s="21" t="str">
        <x:v>Jsoup_56/org/jsoup/parser/HtmlTreeBuilderState.java</x:v>
      </x:c>
      <x:c r="R561" s="21" t="str"/>
      <x:c r="S561" s="21" t="str"/>
      <x:c r="T561" s="17" t="str">
        <x:v>false</x:v>
      </x:c>
      <x:c r="U561" s="17" t="str">
        <x:v>true</x:v>
      </x:c>
      <x:c r="V561" s="17" t="str">
        <x:v>false</x:v>
      </x:c>
    </x:row>
    <x:row r="562" ht="80" customHeight="1">
      <x:c r="A562" s="25" t="str">
        <x:v>Jsoup</x:v>
      </x:c>
      <x:c r="B562" s="25" t="n">
        <x:v>57</x:v>
      </x:c>
      <x:c r="C562" s="25" t="str">
        <x:v>Round1</x:v>
      </x:c>
      <x:c r="D562" s="25" t="str">
        <x:v>NOT_REVEALING</x:v>
      </x:c>
      <x:c r="E562" s="25" t="str">
        <x:v>N/A</x:v>
      </x:c>
      <x:c r="F562" s="26" t="str">
        <x:v>Same saved validation suite passed on buggy and fixed</x:v>
      </x:c>
      <x:c r="G562" s="25" t="str">
        <x:v>true</x:v>
      </x:c>
      <x:c r="H562" s="25" t="str">
        <x:v>NOT_REVEALING</x:v>
      </x:c>
      <x:c r="I562" s="25" t="str">
        <x:v>PASS</x:v>
      </x:c>
      <x:c r="J562" s="25" t="str">
        <x:v>PASS</x:v>
      </x:c>
      <x:c r="K562" s="25" t="n">
        <x:v>1</x:v>
      </x:c>
      <x:c r="L562" s="27" t="b">
        <x:v>0</x:v>
      </x:c>
      <x:c r="M562" s="25" t="str">
        <x:v>Gemini-3.8-flash/generation_state.json</x:v>
      </x:c>
      <x:c r="N562" s="25" t="str">
        <x:v>Gemini-3.8-flash/Result/Jsoup_57/result.json</x:v>
      </x:c>
      <x:c r="O562" s="25" t="str">
        <x:v>Gemini-3.8-flash/Result/Jsoup_57/result.json</x:v>
      </x:c>
      <x:c r="P562"/>
      <x:c r="Q562" s="21" t="str"/>
      <x:c r="R562" s="21" t="str"/>
      <x:c r="S562" s="21" t="str"/>
      <x:c r="T562" s="17" t="str">
        <x:v>false</x:v>
      </x:c>
      <x:c r="U562" s="17" t="str">
        <x:v>true</x:v>
      </x:c>
      <x:c r="V562" s="17" t="str">
        <x:v>false</x:v>
      </x:c>
    </x:row>
    <x:row r="563" ht="80" customHeight="1">
      <x:c r="A563" s="25" t="str">
        <x:v>Jsoup</x:v>
      </x:c>
      <x:c r="B563" s="25" t="n">
        <x:v>58</x:v>
      </x:c>
      <x:c r="C563" s="25" t="str">
        <x:v>Round1</x:v>
      </x:c>
      <x:c r="D563" s="25" t="str">
        <x:v>INCONCLUSIVE</x:v>
      </x:c>
      <x:c r="E563" s="25" t="str">
        <x:v>N/A</x:v>
      </x:c>
      <x:c r="F563" s="26" t="str">
        <x:v>Fixed also failed; assertion failure cannot be attributed to this bug</x:v>
      </x:c>
      <x:c r="G563" s="25" t="str">
        <x:v>true</x:v>
      </x:c>
      <x:c r="H563" s="25" t="str">
        <x:v>INCONCLUSIVE</x:v>
      </x:c>
      <x:c r="I563" s="25" t="str">
        <x:v>FAIL</x:v>
      </x:c>
      <x:c r="J563" s="25" t="str">
        <x:v>FAIL</x:v>
      </x:c>
      <x:c r="K563" s="25" t="n">
        <x:v>3</x:v>
      </x:c>
      <x:c r="L563" s="27" t="b">
        <x:v>0</x:v>
      </x:c>
      <x:c r="M563" s="25" t="str">
        <x:v>Gemini-3.8-flash/generation_state.json</x:v>
      </x:c>
      <x:c r="N563" s="25" t="str">
        <x:v>Gemini-3.8-flash/Result/Jsoup_58/result.json</x:v>
      </x:c>
      <x:c r="O563" s="25" t="str">
        <x:v>Gemini-3.8-flash/Result/Jsoup_58/result.json</x:v>
      </x:c>
      <x:c r="P563"/>
      <x:c r="Q563" s="21" t="str"/>
      <x:c r="R563" s="21" t="str"/>
      <x:c r="S563" s="21" t="str"/>
      <x:c r="T563" s="17" t="str">
        <x:v>false</x:v>
      </x:c>
      <x:c r="U563" s="17" t="str">
        <x:v>true</x:v>
      </x:c>
      <x:c r="V563" s="17" t="str">
        <x:v>false</x:v>
      </x:c>
    </x:row>
    <x:row r="564" ht="80" customHeight="1">
      <x:c r="A564" s="25" t="str">
        <x:v>Jsoup</x:v>
      </x:c>
      <x:c r="B564" s="25" t="n">
        <x:v>59</x:v>
      </x:c>
      <x:c r="C564" s="25" t="str">
        <x:v>Round1</x:v>
      </x:c>
      <x:c r="D564" s="25" t="str">
        <x:v>INCONCLUSIVE</x:v>
      </x:c>
      <x:c r="E564" s="25" t="str">
        <x:v>N/A</x:v>
      </x:c>
      <x:c r="F564" s="26" t="str">
        <x:v>Fixed also failed; assertion failure cannot be attributed to this bug</x:v>
      </x:c>
      <x:c r="G564" s="25" t="str">
        <x:v>true</x:v>
      </x:c>
      <x:c r="H564" s="25" t="str">
        <x:v>INCONCLUSIVE</x:v>
      </x:c>
      <x:c r="I564" s="25" t="str">
        <x:v>FAIL</x:v>
      </x:c>
      <x:c r="J564" s="25" t="str">
        <x:v>FAIL</x:v>
      </x:c>
      <x:c r="K564" s="25" t="n">
        <x:v>1</x:v>
      </x:c>
      <x:c r="L564" s="27" t="b">
        <x:v>0</x:v>
      </x:c>
      <x:c r="M564" s="25" t="str">
        <x:v>Gemini-3.8-flash/generation_state.json</x:v>
      </x:c>
      <x:c r="N564" s="25" t="str">
        <x:v>Gemini-3.8-flash/Result/Jsoup_59/result.json</x:v>
      </x:c>
      <x:c r="O564" s="25" t="str">
        <x:v>Gemini-3.8-flash/Result/Jsoup_59/result.json</x:v>
      </x:c>
      <x:c r="P564"/>
      <x:c r="Q564" s="21" t="str"/>
      <x:c r="R564" s="21" t="str"/>
      <x:c r="S564" s="21" t="str"/>
      <x:c r="T564" s="17" t="str">
        <x:v>false</x:v>
      </x:c>
      <x:c r="U564" s="17" t="str">
        <x:v>true</x:v>
      </x:c>
      <x:c r="V564" s="17" t="str">
        <x:v>false</x:v>
      </x:c>
    </x:row>
    <x:row r="565" ht="80" customHeight="1">
      <x:c r="A565" s="25" t="str">
        <x:v>Jsoup</x:v>
      </x:c>
      <x:c r="B565" s="25" t="n">
        <x:v>6</x:v>
      </x:c>
      <x:c r="C565" s="25" t="str">
        <x:v>Round1</x:v>
      </x:c>
      <x:c r="D565" s="25" t="str">
        <x:v>NOT_AVAILABLE</x:v>
      </x:c>
      <x:c r="E565" s="25" t="str">
        <x:v>N/A</x:v>
      </x:c>
      <x:c r="F565" s="26" t="str">
        <x:v>Tests exist but current coverage did not complete</x:v>
      </x:c>
      <x:c r="G565" s="25" t="str">
        <x:v>true</x:v>
      </x:c>
      <x:c r="H565" s="25" t="str">
        <x:v>NOT_AVAILABLE</x:v>
      </x:c>
      <x:c r="I565" s="25" t="str">
        <x:v>NOT_RUN</x:v>
      </x:c>
      <x:c r="J565" s="25" t="str">
        <x:v>NOT_RUN</x:v>
      </x:c>
      <x:c r="K565" s="25" t="n">
        <x:v>1</x:v>
      </x:c>
      <x:c r="L565" s="27" t="b">
        <x:v>0</x:v>
      </x:c>
      <x:c r="M565" s="25" t="str">
        <x:v>Gemini-3.8-flash/generation_state.json</x:v>
      </x:c>
      <x:c r="N565" s="25" t="str">
        <x:v>Gemini-3.8-flash/Result/Jsoup_6/result.json</x:v>
      </x:c>
      <x:c r="O565" s="25" t="str">
        <x:v>Gemini-3.8-flash/Result/Jsoup_6/result.json</x:v>
      </x:c>
      <x:c r="P565" t="str">
        <x:v>BOTH_NOT_RUN</x:v>
      </x:c>
      <x:c r="Q565" s="21" t="str"/>
      <x:c r="R565" s="21" t="str"/>
      <x:c r="S565" s="21" t="str"/>
      <x:c r="T565" s="17" t="str">
        <x:v>false</x:v>
      </x:c>
      <x:c r="U565" s="17" t="str">
        <x:v>true</x:v>
      </x:c>
      <x:c r="V565" s="17" t="str">
        <x:v>false</x:v>
      </x:c>
    </x:row>
    <x:row r="566" ht="80" customHeight="1">
      <x:c r="A566" s="25" t="str">
        <x:v>Jsoup</x:v>
      </x:c>
      <x:c r="B566" s="25" t="n">
        <x:v>60</x:v>
      </x:c>
      <x:c r="C566" s="25" t="str">
        <x:v>Round1</x:v>
      </x:c>
      <x:c r="D566" s="25" t="str">
        <x:v>INCONCLUSIVE</x:v>
      </x:c>
      <x:c r="E566" s="25" t="str">
        <x:v>N/A</x:v>
      </x:c>
      <x:c r="F566" s="26" t="str">
        <x:v>Fixed also failed; assertion failure cannot be attributed to this bug</x:v>
      </x:c>
      <x:c r="G566" s="25" t="str">
        <x:v>true</x:v>
      </x:c>
      <x:c r="H566" s="25" t="str">
        <x:v>INCONCLUSIVE</x:v>
      </x:c>
      <x:c r="I566" s="25" t="str">
        <x:v>FAIL</x:v>
      </x:c>
      <x:c r="J566" s="25" t="str">
        <x:v>FAIL</x:v>
      </x:c>
      <x:c r="K566" s="25" t="n">
        <x:v>2</x:v>
      </x:c>
      <x:c r="L566" s="27" t="b">
        <x:v>0</x:v>
      </x:c>
      <x:c r="M566" s="25" t="str">
        <x:v>Gemini-3.8-flash/generation_state.json</x:v>
      </x:c>
      <x:c r="N566" s="25" t="str">
        <x:v>Gemini-3.8-flash/Result/Jsoup_60/result.json</x:v>
      </x:c>
      <x:c r="O566" s="25" t="str">
        <x:v>Gemini-3.8-flash/Result/Jsoup_60/result.json</x:v>
      </x:c>
      <x:c r="P566"/>
      <x:c r="Q566" s="21" t="str"/>
      <x:c r="R566" s="21" t="str"/>
      <x:c r="S566" s="21" t="str"/>
      <x:c r="T566" s="17" t="str">
        <x:v>false</x:v>
      </x:c>
      <x:c r="U566" s="17" t="str">
        <x:v>true</x:v>
      </x:c>
      <x:c r="V566" s="17" t="str">
        <x:v>false</x:v>
      </x:c>
    </x:row>
    <x:row r="567" ht="80" customHeight="1">
      <x:c r="A567" s="25" t="str">
        <x:v>Jsoup</x:v>
      </x:c>
      <x:c r="B567" s="25" t="n">
        <x:v>61</x:v>
      </x:c>
      <x:c r="C567" s="25" t="str">
        <x:v>Round1</x:v>
      </x:c>
      <x:c r="D567" s="25" t="str">
        <x:v>NOT_AVAILABLE</x:v>
      </x:c>
      <x:c r="E567" s="25" t="str">
        <x:v>N/A</x:v>
      </x:c>
      <x:c r="F567" s="26" t="str">
        <x:v>Tests exist but current coverage did not complete</x:v>
      </x:c>
      <x:c r="G567" s="25" t="str">
        <x:v>true</x:v>
      </x:c>
      <x:c r="H567" s="25" t="str">
        <x:v>NOT_AVAILABLE</x:v>
      </x:c>
      <x:c r="I567" s="25" t="str">
        <x:v>NOT_RUN</x:v>
      </x:c>
      <x:c r="J567" s="25" t="str">
        <x:v>NOT_RUN</x:v>
      </x:c>
      <x:c r="K567" s="25" t="n">
        <x:v>1</x:v>
      </x:c>
      <x:c r="L567" s="27" t="b">
        <x:v>0</x:v>
      </x:c>
      <x:c r="M567" s="25" t="str">
        <x:v>Gemini-3.8-flash/generation_state.json</x:v>
      </x:c>
      <x:c r="N567" s="25" t="str">
        <x:v>Gemini-3.8-flash/Result/Jsoup_61/result.json</x:v>
      </x:c>
      <x:c r="O567" s="25" t="str">
        <x:v>Gemini-3.8-flash/Result/Jsoup_61/result.json</x:v>
      </x:c>
      <x:c r="P567" t="str">
        <x:v>BOTH_NOT_RUN</x:v>
      </x:c>
      <x:c r="Q567" s="21" t="str"/>
      <x:c r="R567" s="21" t="str"/>
      <x:c r="S567" s="21" t="str"/>
      <x:c r="T567" s="17" t="str">
        <x:v>false</x:v>
      </x:c>
      <x:c r="U567" s="17" t="str">
        <x:v>true</x:v>
      </x:c>
      <x:c r="V567" s="17" t="str">
        <x:v>false</x:v>
      </x:c>
    </x:row>
    <x:row r="568" ht="80" customHeight="1">
      <x:c r="A568" s="25" t="str">
        <x:v>Jsoup</x:v>
      </x:c>
      <x:c r="B568" s="25" t="n">
        <x:v>62</x:v>
      </x:c>
      <x:c r="C568" s="25" t="str">
        <x:v>Round1</x:v>
      </x:c>
      <x:c r="D568" s="25" t="str">
        <x:v>NOT_AVAILABLE</x:v>
      </x:c>
      <x:c r="E568" s="25" t="str">
        <x:v>N/A</x:v>
      </x:c>
      <x:c r="F568" s="26" t="str">
        <x:v>Tests exist but current coverage did not complete</x:v>
      </x:c>
      <x:c r="G568" s="25" t="str">
        <x:v>true</x:v>
      </x:c>
      <x:c r="H568" s="25" t="str">
        <x:v>NOT_AVAILABLE</x:v>
      </x:c>
      <x:c r="I568" s="25" t="str">
        <x:v>NOT_RUN</x:v>
      </x:c>
      <x:c r="J568" s="25" t="str">
        <x:v>NOT_RUN</x:v>
      </x:c>
      <x:c r="K568" s="25" t="n">
        <x:v>1</x:v>
      </x:c>
      <x:c r="L568" s="27" t="b">
        <x:v>0</x:v>
      </x:c>
      <x:c r="M568" s="25" t="str">
        <x:v>Gemini-3.8-flash/generation_state.json</x:v>
      </x:c>
      <x:c r="N568" s="25" t="str">
        <x:v>Gemini-3.8-flash/Result/Jsoup_62/result.json</x:v>
      </x:c>
      <x:c r="O568" s="25" t="str">
        <x:v>Gemini-3.8-flash/Result/Jsoup_62/result.json</x:v>
      </x:c>
      <x:c r="P568" t="str">
        <x:v>BOTH_NOT_RUN</x:v>
      </x:c>
      <x:c r="Q568" s="21" t="str"/>
      <x:c r="R568" s="21" t="str"/>
      <x:c r="S568" s="21" t="str"/>
      <x:c r="T568" s="17" t="str">
        <x:v>false</x:v>
      </x:c>
      <x:c r="U568" s="17" t="str">
        <x:v>true</x:v>
      </x:c>
      <x:c r="V568" s="17" t="str">
        <x:v>false</x:v>
      </x:c>
    </x:row>
    <x:row r="569" ht="80" customHeight="1">
      <x:c r="A569" s="25" t="str">
        <x:v>Jsoup</x:v>
      </x:c>
      <x:c r="B569" s="25" t="n">
        <x:v>63</x:v>
      </x:c>
      <x:c r="C569" s="25" t="str">
        <x:v>Round1</x:v>
      </x:c>
      <x:c r="D569" s="25" t="str">
        <x:v>NOT_AVAILABLE</x:v>
      </x:c>
      <x:c r="E569" s="25" t="str">
        <x:v>N/A</x:v>
      </x:c>
      <x:c r="F569" s="26" t="str">
        <x:v>Tests exist but current coverage did not complete</x:v>
      </x:c>
      <x:c r="G569" s="25" t="str">
        <x:v>true</x:v>
      </x:c>
      <x:c r="H569" s="25" t="str">
        <x:v>NOT_AVAILABLE</x:v>
      </x:c>
      <x:c r="I569" s="25" t="str">
        <x:v>NOT_RUN</x:v>
      </x:c>
      <x:c r="J569" s="25" t="str">
        <x:v>NOT_RUN</x:v>
      </x:c>
      <x:c r="K569" s="25" t="n">
        <x:v>2</x:v>
      </x:c>
      <x:c r="L569" s="27" t="b">
        <x:v>0</x:v>
      </x:c>
      <x:c r="M569" s="25" t="str">
        <x:v>Gemini-3.8-flash/generation_state.json</x:v>
      </x:c>
      <x:c r="N569" s="25" t="str">
        <x:v>Gemini-3.8-flash/Result/Jsoup_63/result.json</x:v>
      </x:c>
      <x:c r="O569" s="25" t="str">
        <x:v>Gemini-3.8-flash/Result/Jsoup_63/result.json</x:v>
      </x:c>
      <x:c r="P569" t="str">
        <x:v>BOTH_NOT_RUN</x:v>
      </x:c>
      <x:c r="Q569" s="21" t="str"/>
      <x:c r="R569" s="21" t="str"/>
      <x:c r="S569" s="21" t="str"/>
      <x:c r="T569" s="17" t="str">
        <x:v>false</x:v>
      </x:c>
      <x:c r="U569" s="17" t="str">
        <x:v>true</x:v>
      </x:c>
      <x:c r="V569" s="17" t="str">
        <x:v>false</x:v>
      </x:c>
    </x:row>
    <x:row r="570" ht="80" customHeight="1">
      <x:c r="A570" s="25" t="str">
        <x:v>Jsoup</x:v>
      </x:c>
      <x:c r="B570" s="25" t="n">
        <x:v>64</x:v>
      </x:c>
      <x:c r="C570" s="25" t="str">
        <x:v>Round1</x:v>
      </x:c>
      <x:c r="D570" s="25" t="str">
        <x:v>NOT_AVAILABLE</x:v>
      </x:c>
      <x:c r="E570" s="25" t="str">
        <x:v>N/A</x:v>
      </x:c>
      <x:c r="F570" s="26" t="str">
        <x:v>Tests exist but current coverage did not complete</x:v>
      </x:c>
      <x:c r="G570" s="25" t="str">
        <x:v>true</x:v>
      </x:c>
      <x:c r="H570" s="25" t="str">
        <x:v>NOT_AVAILABLE</x:v>
      </x:c>
      <x:c r="I570" s="25" t="str">
        <x:v>NOT_RUN</x:v>
      </x:c>
      <x:c r="J570" s="25" t="str">
        <x:v>NOT_RUN</x:v>
      </x:c>
      <x:c r="K570" s="25" t="n">
        <x:v>1</x:v>
      </x:c>
      <x:c r="L570" s="27" t="b">
        <x:v>0</x:v>
      </x:c>
      <x:c r="M570" s="25" t="str">
        <x:v>Gemini-3.8-flash/generation_state.json</x:v>
      </x:c>
      <x:c r="N570" s="25" t="str">
        <x:v>Gemini-3.8-flash/Result/Jsoup_64/result.json</x:v>
      </x:c>
      <x:c r="O570" s="25" t="str">
        <x:v>Gemini-3.8-flash/Result/Jsoup_64/result.json</x:v>
      </x:c>
      <x:c r="P570" t="str">
        <x:v>BOTH_NOT_RUN</x:v>
      </x:c>
      <x:c r="Q570" s="21" t="str"/>
      <x:c r="R570" s="21" t="str"/>
      <x:c r="S570" s="21" t="str"/>
      <x:c r="T570" s="17" t="str">
        <x:v>false</x:v>
      </x:c>
      <x:c r="U570" s="17" t="str">
        <x:v>true</x:v>
      </x:c>
      <x:c r="V570" s="17" t="str">
        <x:v>false</x:v>
      </x:c>
    </x:row>
    <x:row r="571" ht="80" customHeight="1">
      <x:c r="A571" s="25" t="str">
        <x:v>Jsoup</x:v>
      </x:c>
      <x:c r="B571" s="25" t="n">
        <x:v>65</x:v>
      </x:c>
      <x:c r="C571" s="25" t="str">
        <x:v>Round1</x:v>
      </x:c>
      <x:c r="D571" s="25" t="str">
        <x:v>NOT_AVAILABLE</x:v>
      </x:c>
      <x:c r="E571" s="25" t="str">
        <x:v>N/A</x:v>
      </x:c>
      <x:c r="F571" s="26" t="str">
        <x:v>Tests exist but current coverage did not complete</x:v>
      </x:c>
      <x:c r="G571" s="25" t="str">
        <x:v>true</x:v>
      </x:c>
      <x:c r="H571" s="25" t="str">
        <x:v>NOT_AVAILABLE</x:v>
      </x:c>
      <x:c r="I571" s="25" t="str">
        <x:v>NOT_RUN</x:v>
      </x:c>
      <x:c r="J571" s="25" t="str">
        <x:v>NOT_RUN</x:v>
      </x:c>
      <x:c r="K571" s="25" t="n">
        <x:v>1</x:v>
      </x:c>
      <x:c r="L571" s="27" t="b">
        <x:v>0</x:v>
      </x:c>
      <x:c r="M571" s="25" t="str">
        <x:v>Gemini-3.8-flash/generation_state.json</x:v>
      </x:c>
      <x:c r="N571" s="25" t="str">
        <x:v>Gemini-3.8-flash/Result/Jsoup_65/result.json</x:v>
      </x:c>
      <x:c r="O571" s="25" t="str">
        <x:v>Gemini-3.8-flash/Result/Jsoup_65/result.json</x:v>
      </x:c>
      <x:c r="P571" t="str">
        <x:v>BOTH_NOT_RUN</x:v>
      </x:c>
      <x:c r="Q571" s="21" t="str"/>
      <x:c r="R571" s="21" t="str"/>
      <x:c r="S571" s="21" t="str"/>
      <x:c r="T571" s="17" t="str">
        <x:v>false</x:v>
      </x:c>
      <x:c r="U571" s="17" t="str">
        <x:v>true</x:v>
      </x:c>
      <x:c r="V571" s="17" t="str">
        <x:v>false</x:v>
      </x:c>
    </x:row>
    <x:row r="572" ht="80" customHeight="1">
      <x:c r="A572" s="25" t="str">
        <x:v>Jsoup</x:v>
      </x:c>
      <x:c r="B572" s="25" t="n">
        <x:v>66</x:v>
      </x:c>
      <x:c r="C572" s="25" t="str">
        <x:v>Round1</x:v>
      </x:c>
      <x:c r="D572" s="25" t="str">
        <x:v>INCONCLUSIVE</x:v>
      </x:c>
      <x:c r="E572" s="25" t="str">
        <x:v>N/A</x:v>
      </x:c>
      <x:c r="F572" s="26" t="str">
        <x:v>Fixed also failed; assertion failure cannot be attributed to this bug</x:v>
      </x:c>
      <x:c r="G572" s="25" t="str">
        <x:v>true</x:v>
      </x:c>
      <x:c r="H572" s="25" t="str">
        <x:v>INCONCLUSIVE</x:v>
      </x:c>
      <x:c r="I572" s="25" t="str">
        <x:v>FAIL</x:v>
      </x:c>
      <x:c r="J572" s="25" t="str">
        <x:v>FAIL</x:v>
      </x:c>
      <x:c r="K572" s="25" t="n">
        <x:v>1</x:v>
      </x:c>
      <x:c r="L572" s="27" t="b">
        <x:v>0</x:v>
      </x:c>
      <x:c r="M572" s="25" t="str">
        <x:v>Gemini-3.8-flash/generation_state.json</x:v>
      </x:c>
      <x:c r="N572" s="25" t="str">
        <x:v>Gemini-3.8-flash/Result/Jsoup_66/result.json</x:v>
      </x:c>
      <x:c r="O572" s="25" t="str">
        <x:v>Gemini-3.8-flash/Result/Jsoup_66/result.json</x:v>
      </x:c>
      <x:c r="P572"/>
      <x:c r="Q572" s="21" t="str"/>
      <x:c r="R572" s="21" t="str"/>
      <x:c r="S572" s="21" t="str"/>
      <x:c r="T572" s="17" t="str">
        <x:v>false</x:v>
      </x:c>
      <x:c r="U572" s="17" t="str">
        <x:v>true</x:v>
      </x:c>
      <x:c r="V572" s="17" t="str">
        <x:v>false</x:v>
      </x:c>
    </x:row>
    <x:row r="573" ht="80" customHeight="1">
      <x:c r="A573" s="25" t="str">
        <x:v>Jsoup</x:v>
      </x:c>
      <x:c r="B573" s="25" t="n">
        <x:v>67</x:v>
      </x:c>
      <x:c r="C573" s="25" t="str">
        <x:v>Round1</x:v>
      </x:c>
      <x:c r="D573" s="25" t="str">
        <x:v>FAIL</x:v>
      </x:c>
      <x:c r="E573" s="25" t="str">
        <x:v>N/A</x:v>
      </x:c>
      <x:c r="F573" s="26" t="str">
        <x:v>No saved Java source containing a JUnit test method</x:v>
      </x:c>
      <x:c r="G573" s="25" t="str">
        <x:v>true</x:v>
      </x:c>
      <x:c r="H573" s="25" t="str">
        <x:v>NOT_AVAILABLE</x:v>
      </x:c>
      <x:c r="I573" s="25" t="str">
        <x:v>NOT_RUN</x:v>
      </x:c>
      <x:c r="J573" s="25" t="str">
        <x:v>NOT_RUN</x:v>
      </x:c>
      <x:c r="K573" s="25" t="n">
        <x:v>1</x:v>
      </x:c>
      <x:c r="L573" s="27" t="b">
        <x:v>0</x:v>
      </x:c>
      <x:c r="M573" s="25" t="str">
        <x:v>Gemini-3.8-flash/generation_state.json</x:v>
      </x:c>
      <x:c r="N573" s="25" t="str">
        <x:v>Gemini-3.8-flash/Result/Jsoup_67/result.json</x:v>
      </x:c>
      <x:c r="O573" s="25" t="str">
        <x:v>Gemini-3.8-flash/Result/Jsoup_67/result.json</x:v>
      </x:c>
      <x:c r="P573"/>
      <x:c r="Q573" s="21" t="str"/>
      <x:c r="R573" s="21" t="str"/>
      <x:c r="S573" s="21" t="str"/>
      <x:c r="T573" s="17" t="str">
        <x:v>false</x:v>
      </x:c>
      <x:c r="U573" s="17" t="str">
        <x:v>false</x:v>
      </x:c>
      <x:c r="V573" s="17" t="str">
        <x:v>true</x:v>
      </x:c>
    </x:row>
    <x:row r="574" ht="80" customHeight="1">
      <x:c r="A574" s="25" t="str">
        <x:v>Jsoup</x:v>
      </x:c>
      <x:c r="B574" s="25" t="n">
        <x:v>68</x:v>
      </x:c>
      <x:c r="C574" s="25" t="str">
        <x:v>Round1</x:v>
      </x:c>
      <x:c r="D574" s="25" t="str">
        <x:v>NOT_AVAILABLE</x:v>
      </x:c>
      <x:c r="E574" s="25" t="str">
        <x:v>N/A</x:v>
      </x:c>
      <x:c r="F574" s="26" t="str">
        <x:v>Tests exist but current coverage did not complete</x:v>
      </x:c>
      <x:c r="G574" s="25" t="str">
        <x:v>true</x:v>
      </x:c>
      <x:c r="H574" s="25" t="str">
        <x:v>NOT_AVAILABLE</x:v>
      </x:c>
      <x:c r="I574" s="25" t="str">
        <x:v>NOT_RUN</x:v>
      </x:c>
      <x:c r="J574" s="25" t="str">
        <x:v>NOT_RUN</x:v>
      </x:c>
      <x:c r="K574" s="25" t="n">
        <x:v>1</x:v>
      </x:c>
      <x:c r="L574" s="27" t="b">
        <x:v>0</x:v>
      </x:c>
      <x:c r="M574" s="25" t="str">
        <x:v>Gemini-3.8-flash/generation_state.json</x:v>
      </x:c>
      <x:c r="N574" s="25" t="str">
        <x:v>Gemini-3.8-flash/Result/Jsoup_68/result.json</x:v>
      </x:c>
      <x:c r="O574" s="25" t="str">
        <x:v>Gemini-3.8-flash/Result/Jsoup_68/result.json</x:v>
      </x:c>
      <x:c r="P574" t="str">
        <x:v>BOTH_NOT_RUN</x:v>
      </x:c>
      <x:c r="Q574" s="21" t="str"/>
      <x:c r="R574" s="21" t="str"/>
      <x:c r="S574" s="21" t="str"/>
      <x:c r="T574" s="17" t="str">
        <x:v>false</x:v>
      </x:c>
      <x:c r="U574" s="17" t="str">
        <x:v>true</x:v>
      </x:c>
      <x:c r="V574" s="17" t="str">
        <x:v>false</x:v>
      </x:c>
    </x:row>
    <x:row r="575" ht="80" customHeight="1">
      <x:c r="A575" s="25" t="str">
        <x:v>Jsoup</x:v>
      </x:c>
      <x:c r="B575" s="25" t="n">
        <x:v>69</x:v>
      </x:c>
      <x:c r="C575" s="25" t="str">
        <x:v>Round1</x:v>
      </x:c>
      <x:c r="D575" s="25" t="str">
        <x:v>NOT_REVEALING</x:v>
      </x:c>
      <x:c r="E575" s="25" t="str">
        <x:v>N/A</x:v>
      </x:c>
      <x:c r="F575" s="26" t="str">
        <x:v>Same saved validation suite passed on buggy and fixed</x:v>
      </x:c>
      <x:c r="G575" s="25" t="str">
        <x:v>true</x:v>
      </x:c>
      <x:c r="H575" s="25" t="str">
        <x:v>NOT_REVEALING</x:v>
      </x:c>
      <x:c r="I575" s="25" t="str">
        <x:v>PASS</x:v>
      </x:c>
      <x:c r="J575" s="25" t="str">
        <x:v>PASS</x:v>
      </x:c>
      <x:c r="K575" s="25" t="n">
        <x:v>1</x:v>
      </x:c>
      <x:c r="L575" s="27" t="b">
        <x:v>0</x:v>
      </x:c>
      <x:c r="M575" s="25" t="str">
        <x:v>Gemini-3.8-flash/generation_state.json</x:v>
      </x:c>
      <x:c r="N575" s="25" t="str">
        <x:v>Gemini-3.8-flash/Result/Jsoup_69/result.json</x:v>
      </x:c>
      <x:c r="O575" s="25" t="str">
        <x:v>Gemini-3.8-flash/Result/Jsoup_69/result.json</x:v>
      </x:c>
      <x:c r="P575"/>
      <x:c r="Q575" s="21" t="str"/>
      <x:c r="R575" s="21" t="str"/>
      <x:c r="S575" s="21" t="str"/>
      <x:c r="T575" s="17" t="str">
        <x:v>false</x:v>
      </x:c>
      <x:c r="U575" s="17" t="str">
        <x:v>true</x:v>
      </x:c>
      <x:c r="V575" s="17" t="str">
        <x:v>false</x:v>
      </x:c>
    </x:row>
    <x:row r="576" ht="80" customHeight="1">
      <x:c r="A576" s="25" t="str">
        <x:v>Jsoup</x:v>
      </x:c>
      <x:c r="B576" s="25" t="n">
        <x:v>7</x:v>
      </x:c>
      <x:c r="C576" s="25" t="str">
        <x:v>Round1</x:v>
      </x:c>
      <x:c r="D576" s="25" t="str">
        <x:v>NOT_AVAILABLE</x:v>
      </x:c>
      <x:c r="E576" s="25" t="str">
        <x:v>N/A</x:v>
      </x:c>
      <x:c r="F576" s="26" t="str">
        <x:v>Tests exist but current coverage did not complete</x:v>
      </x:c>
      <x:c r="G576" s="25" t="str">
        <x:v>true</x:v>
      </x:c>
      <x:c r="H576" s="25" t="str">
        <x:v>NOT_AVAILABLE</x:v>
      </x:c>
      <x:c r="I576" s="25" t="str">
        <x:v>NOT_RUN</x:v>
      </x:c>
      <x:c r="J576" s="25" t="str">
        <x:v>NOT_RUN</x:v>
      </x:c>
      <x:c r="K576" s="25" t="n">
        <x:v>1</x:v>
      </x:c>
      <x:c r="L576" s="27" t="b">
        <x:v>0</x:v>
      </x:c>
      <x:c r="M576" s="25" t="str">
        <x:v>Gemini-3.8-flash/generation_state.json</x:v>
      </x:c>
      <x:c r="N576" s="25" t="str">
        <x:v>Gemini-3.8-flash/Result/Jsoup_7/result.json</x:v>
      </x:c>
      <x:c r="O576" s="25" t="str">
        <x:v>Gemini-3.8-flash/Result/Jsoup_7/result.json</x:v>
      </x:c>
      <x:c r="P576" t="str">
        <x:v>BOTH_NOT_RUN</x:v>
      </x:c>
      <x:c r="Q576" s="21" t="str"/>
      <x:c r="R576" s="21" t="str"/>
      <x:c r="S576" s="21" t="str"/>
      <x:c r="T576" s="17" t="str">
        <x:v>false</x:v>
      </x:c>
      <x:c r="U576" s="17" t="str">
        <x:v>true</x:v>
      </x:c>
      <x:c r="V576" s="17" t="str">
        <x:v>false</x:v>
      </x:c>
    </x:row>
    <x:row r="577" ht="80" customHeight="1">
      <x:c r="A577" s="25" t="str">
        <x:v>Jsoup</x:v>
      </x:c>
      <x:c r="B577" s="25" t="n">
        <x:v>70</x:v>
      </x:c>
      <x:c r="C577" s="25" t="str">
        <x:v>Round1</x:v>
      </x:c>
      <x:c r="D577" s="25" t="str">
        <x:v>INCONCLUSIVE</x:v>
      </x:c>
      <x:c r="E577" s="25" t="str">
        <x:v>N/A</x:v>
      </x:c>
      <x:c r="F577" s="26" t="str">
        <x:v>Fixed also failed; assertion failure cannot be attributed to this bug</x:v>
      </x:c>
      <x:c r="G577" s="25" t="str">
        <x:v>true</x:v>
      </x:c>
      <x:c r="H577" s="25" t="str">
        <x:v>INCONCLUSIVE</x:v>
      </x:c>
      <x:c r="I577" s="25" t="str">
        <x:v>FAIL</x:v>
      </x:c>
      <x:c r="J577" s="25" t="str">
        <x:v>FAIL</x:v>
      </x:c>
      <x:c r="K577" s="25" t="n">
        <x:v>1</x:v>
      </x:c>
      <x:c r="L577" s="27" t="b">
        <x:v>0</x:v>
      </x:c>
      <x:c r="M577" s="25" t="str">
        <x:v>Gemini-3.8-flash/generation_state.json</x:v>
      </x:c>
      <x:c r="N577" s="25" t="str">
        <x:v>Gemini-3.8-flash/Result/Jsoup_70/result.json</x:v>
      </x:c>
      <x:c r="O577" s="25" t="str">
        <x:v>Gemini-3.8-flash/Result/Jsoup_70/result.json</x:v>
      </x:c>
      <x:c r="P577"/>
      <x:c r="Q577" s="21" t="str"/>
      <x:c r="R577" s="21" t="str"/>
      <x:c r="S577" s="21" t="str"/>
      <x:c r="T577" s="17" t="str">
        <x:v>false</x:v>
      </x:c>
      <x:c r="U577" s="17" t="str">
        <x:v>true</x:v>
      </x:c>
      <x:c r="V577" s="17" t="str">
        <x:v>false</x:v>
      </x:c>
    </x:row>
    <x:row r="578" ht="80" customHeight="1">
      <x:c r="A578" s="25" t="str">
        <x:v>Jsoup</x:v>
      </x:c>
      <x:c r="B578" s="25" t="n">
        <x:v>71</x:v>
      </x:c>
      <x:c r="C578" s="25" t="str">
        <x:v>Round1</x:v>
      </x:c>
      <x:c r="D578" s="25" t="str">
        <x:v>NOT_AVAILABLE</x:v>
      </x:c>
      <x:c r="E578" s="25" t="str">
        <x:v>N/A</x:v>
      </x:c>
      <x:c r="F578" s="26" t="str">
        <x:v>Tests exist but current coverage did not complete</x:v>
      </x:c>
      <x:c r="G578" s="25" t="str">
        <x:v>true</x:v>
      </x:c>
      <x:c r="H578" s="25" t="str">
        <x:v>NOT_AVAILABLE</x:v>
      </x:c>
      <x:c r="I578" s="25" t="str">
        <x:v>NOT_RUN</x:v>
      </x:c>
      <x:c r="J578" s="25" t="str">
        <x:v>NOT_RUN</x:v>
      </x:c>
      <x:c r="K578" s="25" t="n">
        <x:v>2</x:v>
      </x:c>
      <x:c r="L578" s="27" t="b">
        <x:v>0</x:v>
      </x:c>
      <x:c r="M578" s="25" t="str">
        <x:v>Gemini-3.8-flash/generation_state.json</x:v>
      </x:c>
      <x:c r="N578" s="25" t="str">
        <x:v>Gemini-3.8-flash/Result/Jsoup_71/result.json</x:v>
      </x:c>
      <x:c r="O578" s="25" t="str">
        <x:v>Gemini-3.8-flash/Result/Jsoup_71/result.json</x:v>
      </x:c>
      <x:c r="P578" t="str">
        <x:v>BOTH_NOT_RUN</x:v>
      </x:c>
      <x:c r="Q578" s="21" t="str"/>
      <x:c r="R578" s="21" t="str"/>
      <x:c r="S578" s="21" t="str"/>
      <x:c r="T578" s="17" t="str">
        <x:v>false</x:v>
      </x:c>
      <x:c r="U578" s="17" t="str">
        <x:v>true</x:v>
      </x:c>
      <x:c r="V578" s="17" t="str">
        <x:v>false</x:v>
      </x:c>
    </x:row>
    <x:row r="579" ht="80" customHeight="1">
      <x:c r="A579" s="25" t="str">
        <x:v>Jsoup</x:v>
      </x:c>
      <x:c r="B579" s="25" t="n">
        <x:v>72</x:v>
      </x:c>
      <x:c r="C579" s="25" t="str">
        <x:v>Round1</x:v>
      </x:c>
      <x:c r="D579" s="25" t="str">
        <x:v>INCONCLUSIVE</x:v>
      </x:c>
      <x:c r="E579" s="25" t="str">
        <x:v>N/A</x:v>
      </x:c>
      <x:c r="F579" s="26" t="str">
        <x:v>Fixed also failed; assertion failure cannot be attributed to this bug</x:v>
      </x:c>
      <x:c r="G579" s="25" t="str">
        <x:v>true</x:v>
      </x:c>
      <x:c r="H579" s="25" t="str">
        <x:v>INCONCLUSIVE</x:v>
      </x:c>
      <x:c r="I579" s="25" t="str">
        <x:v>FAIL</x:v>
      </x:c>
      <x:c r="J579" s="25" t="str">
        <x:v>FAIL</x:v>
      </x:c>
      <x:c r="K579" s="25" t="n">
        <x:v>1</x:v>
      </x:c>
      <x:c r="L579" s="27" t="b">
        <x:v>0</x:v>
      </x:c>
      <x:c r="M579" s="25" t="str">
        <x:v>Gemini-3.8-flash/generation_state.json</x:v>
      </x:c>
      <x:c r="N579" s="25" t="str">
        <x:v>Gemini-3.8-flash/Result/Jsoup_72/result.json</x:v>
      </x:c>
      <x:c r="O579" s="25" t="str">
        <x:v>Gemini-3.8-flash/Result/Jsoup_72/result.json</x:v>
      </x:c>
      <x:c r="P579"/>
      <x:c r="Q579" s="21" t="str"/>
      <x:c r="R579" s="21" t="str"/>
      <x:c r="S579" s="21" t="str"/>
      <x:c r="T579" s="17" t="str">
        <x:v>false</x:v>
      </x:c>
      <x:c r="U579" s="17" t="str">
        <x:v>true</x:v>
      </x:c>
      <x:c r="V579" s="17" t="str">
        <x:v>false</x:v>
      </x:c>
    </x:row>
    <x:row r="580" ht="80" customHeight="1">
      <x:c r="A580" s="25" t="str">
        <x:v>Jsoup</x:v>
      </x:c>
      <x:c r="B580" s="25" t="n">
        <x:v>73</x:v>
      </x:c>
      <x:c r="C580" s="25" t="str">
        <x:v>Round1</x:v>
      </x:c>
      <x:c r="D580" s="25" t="str">
        <x:v>NOT_AVAILABLE</x:v>
      </x:c>
      <x:c r="E580" s="25" t="str">
        <x:v>N/A</x:v>
      </x:c>
      <x:c r="F580" s="26" t="str">
        <x:v>Tests exist but current coverage did not complete</x:v>
      </x:c>
      <x:c r="G580" s="25" t="str">
        <x:v>true</x:v>
      </x:c>
      <x:c r="H580" s="25" t="str">
        <x:v>NOT_AVAILABLE</x:v>
      </x:c>
      <x:c r="I580" s="25" t="str">
        <x:v>NOT_RUN</x:v>
      </x:c>
      <x:c r="J580" s="25" t="str">
        <x:v>NOT_RUN</x:v>
      </x:c>
      <x:c r="K580" s="25" t="n">
        <x:v>1</x:v>
      </x:c>
      <x:c r="L580" s="27" t="b">
        <x:v>0</x:v>
      </x:c>
      <x:c r="M580" s="25" t="str">
        <x:v>Gemini-3.8-flash/generation_state.json</x:v>
      </x:c>
      <x:c r="N580" s="25" t="str">
        <x:v>Gemini-3.8-flash/Result/Jsoup_73/result.json</x:v>
      </x:c>
      <x:c r="O580" s="25" t="str">
        <x:v>Gemini-3.8-flash/Result/Jsoup_73/result.json</x:v>
      </x:c>
      <x:c r="P580" t="str">
        <x:v>BOTH_NOT_RUN</x:v>
      </x:c>
      <x:c r="Q580" s="21" t="str"/>
      <x:c r="R580" s="21" t="str"/>
      <x:c r="S580" s="21" t="str"/>
      <x:c r="T580" s="17" t="str">
        <x:v>false</x:v>
      </x:c>
      <x:c r="U580" s="17" t="str">
        <x:v>true</x:v>
      </x:c>
      <x:c r="V580" s="17" t="str">
        <x:v>false</x:v>
      </x:c>
    </x:row>
    <x:row r="581" ht="80" customHeight="1">
      <x:c r="A581" s="25" t="str">
        <x:v>Jsoup</x:v>
      </x:c>
      <x:c r="B581" s="25" t="n">
        <x:v>74</x:v>
      </x:c>
      <x:c r="C581" s="25" t="str">
        <x:v>Round1</x:v>
      </x:c>
      <x:c r="D581" s="25" t="str">
        <x:v>INCONCLUSIVE</x:v>
      </x:c>
      <x:c r="E581" s="25" t="str">
        <x:v>N/A</x:v>
      </x:c>
      <x:c r="F581" s="26" t="str">
        <x:v>Fixed also failed; assertion failure cannot be attributed to this bug</x:v>
      </x:c>
      <x:c r="G581" s="25" t="str">
        <x:v>true</x:v>
      </x:c>
      <x:c r="H581" s="25" t="str">
        <x:v>INCONCLUSIVE</x:v>
      </x:c>
      <x:c r="I581" s="25" t="str">
        <x:v>FAIL</x:v>
      </x:c>
      <x:c r="J581" s="25" t="str">
        <x:v>FAIL</x:v>
      </x:c>
      <x:c r="K581" s="25" t="n">
        <x:v>1</x:v>
      </x:c>
      <x:c r="L581" s="27" t="b">
        <x:v>0</x:v>
      </x:c>
      <x:c r="M581" s="25" t="str">
        <x:v>Gemini-3.8-flash/generation_state.json</x:v>
      </x:c>
      <x:c r="N581" s="25" t="str">
        <x:v>Gemini-3.8-flash/Result/Jsoup_74/result.json</x:v>
      </x:c>
      <x:c r="O581" s="25" t="str">
        <x:v>Gemini-3.8-flash/Result/Jsoup_74/result.json</x:v>
      </x:c>
      <x:c r="P581"/>
      <x:c r="Q581" s="21" t="str"/>
      <x:c r="R581" s="21" t="str"/>
      <x:c r="S581" s="21" t="str"/>
      <x:c r="T581" s="17" t="str">
        <x:v>false</x:v>
      </x:c>
      <x:c r="U581" s="17" t="str">
        <x:v>true</x:v>
      </x:c>
      <x:c r="V581" s="17" t="str">
        <x:v>false</x:v>
      </x:c>
    </x:row>
    <x:row r="582" ht="80" customHeight="1">
      <x:c r="A582" s="25" t="str">
        <x:v>Jsoup</x:v>
      </x:c>
      <x:c r="B582" s="25" t="n">
        <x:v>75</x:v>
      </x:c>
      <x:c r="C582" s="25" t="str">
        <x:v>Round1</x:v>
      </x:c>
      <x:c r="D582" s="25" t="str">
        <x:v>INCONCLUSIVE</x:v>
      </x:c>
      <x:c r="E582" s="25" t="str">
        <x:v>N/A</x:v>
      </x:c>
      <x:c r="F582" s="26" t="str">
        <x:v>Fixed also failed; assertion failure cannot be attributed to this bug</x:v>
      </x:c>
      <x:c r="G582" s="25" t="str">
        <x:v>true</x:v>
      </x:c>
      <x:c r="H582" s="25" t="str">
        <x:v>INCONCLUSIVE</x:v>
      </x:c>
      <x:c r="I582" s="25" t="str">
        <x:v>FAIL</x:v>
      </x:c>
      <x:c r="J582" s="25" t="str">
        <x:v>FAIL</x:v>
      </x:c>
      <x:c r="K582" s="25" t="n">
        <x:v>1</x:v>
      </x:c>
      <x:c r="L582" s="27" t="b">
        <x:v>0</x:v>
      </x:c>
      <x:c r="M582" s="25" t="str">
        <x:v>Gemini-3.8-flash/generation_state.json</x:v>
      </x:c>
      <x:c r="N582" s="25" t="str">
        <x:v>Gemini-3.8-flash/Result/Jsoup_75/result.json</x:v>
      </x:c>
      <x:c r="O582" s="25" t="str">
        <x:v>Gemini-3.8-flash/Result/Jsoup_75/result.json</x:v>
      </x:c>
      <x:c r="P582"/>
      <x:c r="Q582" s="21" t="str"/>
      <x:c r="R582" s="21" t="str"/>
      <x:c r="S582" s="21" t="str"/>
      <x:c r="T582" s="17" t="str">
        <x:v>false</x:v>
      </x:c>
      <x:c r="U582" s="17" t="str">
        <x:v>true</x:v>
      </x:c>
      <x:c r="V582" s="17" t="str">
        <x:v>false</x:v>
      </x:c>
    </x:row>
    <x:row r="583" ht="80" customHeight="1">
      <x:c r="A583" s="25" t="str">
        <x:v>Jsoup</x:v>
      </x:c>
      <x:c r="B583" s="25" t="n">
        <x:v>76</x:v>
      </x:c>
      <x:c r="C583" s="25" t="str">
        <x:v>Round1</x:v>
      </x:c>
      <x:c r="D583" s="25" t="str">
        <x:v>NOT_AVAILABLE</x:v>
      </x:c>
      <x:c r="E583" s="25" t="str">
        <x:v>N/A</x:v>
      </x:c>
      <x:c r="F583" s="26" t="str">
        <x:v>Tests exist but current coverage did not complete</x:v>
      </x:c>
      <x:c r="G583" s="25" t="str">
        <x:v>true</x:v>
      </x:c>
      <x:c r="H583" s="25" t="str">
        <x:v>NOT_AVAILABLE</x:v>
      </x:c>
      <x:c r="I583" s="25" t="str">
        <x:v>NOT_RUN</x:v>
      </x:c>
      <x:c r="J583" s="25" t="str">
        <x:v>NOT_RUN</x:v>
      </x:c>
      <x:c r="K583" s="25" t="n">
        <x:v>1</x:v>
      </x:c>
      <x:c r="L583" s="27" t="b">
        <x:v>0</x:v>
      </x:c>
      <x:c r="M583" s="25" t="str">
        <x:v>Gemini-3.8-flash/generation_state.json</x:v>
      </x:c>
      <x:c r="N583" s="25" t="str">
        <x:v>Gemini-3.8-flash/Result/Jsoup_76/result.json</x:v>
      </x:c>
      <x:c r="O583" s="25" t="str">
        <x:v>Gemini-3.8-flash/Result/Jsoup_76/result.json</x:v>
      </x:c>
      <x:c r="P583" t="str">
        <x:v>BOTH_NOT_RUN</x:v>
      </x:c>
      <x:c r="Q583" s="21" t="str"/>
      <x:c r="R583" s="21" t="str"/>
      <x:c r="S583" s="21" t="str"/>
      <x:c r="T583" s="17" t="str">
        <x:v>false</x:v>
      </x:c>
      <x:c r="U583" s="17" t="str">
        <x:v>true</x:v>
      </x:c>
      <x:c r="V583" s="17" t="str">
        <x:v>false</x:v>
      </x:c>
    </x:row>
    <x:row r="584" ht="80" customHeight="1">
      <x:c r="A584" s="25" t="str">
        <x:v>Jsoup</x:v>
      </x:c>
      <x:c r="B584" s="25" t="n">
        <x:v>77</x:v>
      </x:c>
      <x:c r="C584" s="25" t="str">
        <x:v>Round1</x:v>
      </x:c>
      <x:c r="D584" s="25" t="str">
        <x:v>NOT_AVAILABLE</x:v>
      </x:c>
      <x:c r="E584" s="25" t="str">
        <x:v>N/A</x:v>
      </x:c>
      <x:c r="F584" s="26" t="str">
        <x:v>Tests exist but current coverage did not complete</x:v>
      </x:c>
      <x:c r="G584" s="25" t="str">
        <x:v>true</x:v>
      </x:c>
      <x:c r="H584" s="25" t="str">
        <x:v>NOT_AVAILABLE</x:v>
      </x:c>
      <x:c r="I584" s="25" t="str">
        <x:v>NOT_RUN</x:v>
      </x:c>
      <x:c r="J584" s="25" t="str">
        <x:v>NOT_RUN</x:v>
      </x:c>
      <x:c r="K584" s="25" t="n">
        <x:v>1</x:v>
      </x:c>
      <x:c r="L584" s="27" t="b">
        <x:v>0</x:v>
      </x:c>
      <x:c r="M584" s="25" t="str">
        <x:v>Gemini-3.8-flash/generation_state.json</x:v>
      </x:c>
      <x:c r="N584" s="25" t="str">
        <x:v>Gemini-3.8-flash/Result/Jsoup_77/result.json</x:v>
      </x:c>
      <x:c r="O584" s="25" t="str">
        <x:v>Gemini-3.8-flash/Result/Jsoup_77/result.json</x:v>
      </x:c>
      <x:c r="P584" t="str">
        <x:v>BOTH_NOT_RUN</x:v>
      </x:c>
      <x:c r="Q584" s="21" t="str"/>
      <x:c r="R584" s="21" t="str"/>
      <x:c r="S584" s="21" t="str"/>
      <x:c r="T584" s="17" t="str">
        <x:v>false</x:v>
      </x:c>
      <x:c r="U584" s="17" t="str">
        <x:v>true</x:v>
      </x:c>
      <x:c r="V584" s="17" t="str">
        <x:v>false</x:v>
      </x:c>
    </x:row>
    <x:row r="585" ht="80" customHeight="1">
      <x:c r="A585" s="25" t="str">
        <x:v>Jsoup</x:v>
      </x:c>
      <x:c r="B585" s="25" t="n">
        <x:v>78</x:v>
      </x:c>
      <x:c r="C585" s="25" t="str">
        <x:v>Round1</x:v>
      </x:c>
      <x:c r="D585" s="25" t="str">
        <x:v>NOT_REVEALING</x:v>
      </x:c>
      <x:c r="E585" s="25" t="str">
        <x:v>N/A</x:v>
      </x:c>
      <x:c r="F585" s="26" t="str">
        <x:v>Same saved validation suite passed on buggy and fixed</x:v>
      </x:c>
      <x:c r="G585" s="25" t="str">
        <x:v>true</x:v>
      </x:c>
      <x:c r="H585" s="25" t="str">
        <x:v>NOT_REVEALING</x:v>
      </x:c>
      <x:c r="I585" s="25" t="str">
        <x:v>PASS</x:v>
      </x:c>
      <x:c r="J585" s="25" t="str">
        <x:v>PASS</x:v>
      </x:c>
      <x:c r="K585" s="25" t="n">
        <x:v>1</x:v>
      </x:c>
      <x:c r="L585" s="27" t="b">
        <x:v>0</x:v>
      </x:c>
      <x:c r="M585" s="25" t="str">
        <x:v>Gemini-3.8-flash/generation_state.json</x:v>
      </x:c>
      <x:c r="N585" s="25" t="str">
        <x:v>Gemini-3.8-flash/Result/Jsoup_78/result.json</x:v>
      </x:c>
      <x:c r="O585" s="25" t="str">
        <x:v>Gemini-3.8-flash/Result/Jsoup_78/result.json</x:v>
      </x:c>
      <x:c r="P585"/>
      <x:c r="Q585" s="21" t="str"/>
      <x:c r="R585" s="21" t="str"/>
      <x:c r="S585" s="21" t="str"/>
      <x:c r="T585" s="17" t="str">
        <x:v>false</x:v>
      </x:c>
      <x:c r="U585" s="17" t="str">
        <x:v>true</x:v>
      </x:c>
      <x:c r="V585" s="17" t="str">
        <x:v>false</x:v>
      </x:c>
    </x:row>
    <x:row r="586" ht="80" customHeight="1">
      <x:c r="A586" s="25" t="str">
        <x:v>Jsoup</x:v>
      </x:c>
      <x:c r="B586" s="25" t="n">
        <x:v>79</x:v>
      </x:c>
      <x:c r="C586" s="25" t="str">
        <x:v>Round1</x:v>
      </x:c>
      <x:c r="D586" s="25" t="str">
        <x:v>INCONCLUSIVE</x:v>
      </x:c>
      <x:c r="E586" s="25" t="str">
        <x:v>N/A</x:v>
      </x:c>
      <x:c r="F586" s="26" t="str">
        <x:v>Fixed also failed; assertion failure cannot be attributed to this bug</x:v>
      </x:c>
      <x:c r="G586" s="25" t="str">
        <x:v>true</x:v>
      </x:c>
      <x:c r="H586" s="25" t="str">
        <x:v>INCONCLUSIVE</x:v>
      </x:c>
      <x:c r="I586" s="25" t="str">
        <x:v>PASS</x:v>
      </x:c>
      <x:c r="J586" s="25" t="str">
        <x:v>FAIL</x:v>
      </x:c>
      <x:c r="K586" s="25" t="n">
        <x:v>1</x:v>
      </x:c>
      <x:c r="L586" s="27" t="b">
        <x:v>0</x:v>
      </x:c>
      <x:c r="M586" s="25" t="str">
        <x:v>Gemini-3.8-flash/generation_state.json</x:v>
      </x:c>
      <x:c r="N586" s="25" t="str">
        <x:v>Gemini-3.8-flash/Result/Jsoup_79/result.json</x:v>
      </x:c>
      <x:c r="O586" s="25" t="str">
        <x:v>Gemini-3.8-flash/Result/Jsoup_79/result.json</x:v>
      </x:c>
      <x:c r="P586"/>
      <x:c r="Q586" s="21" t="str"/>
      <x:c r="R586" s="21" t="str"/>
      <x:c r="S586" s="21" t="str"/>
      <x:c r="T586" s="17" t="str">
        <x:v>false</x:v>
      </x:c>
      <x:c r="U586" s="17" t="str">
        <x:v>true</x:v>
      </x:c>
      <x:c r="V586" s="17" t="str">
        <x:v>false</x:v>
      </x:c>
    </x:row>
    <x:row r="587" ht="80" customHeight="1">
      <x:c r="A587" s="25" t="str">
        <x:v>Jsoup</x:v>
      </x:c>
      <x:c r="B587" s="25" t="n">
        <x:v>8</x:v>
      </x:c>
      <x:c r="C587" s="25" t="str">
        <x:v>Round1</x:v>
      </x:c>
      <x:c r="D587" s="25" t="str">
        <x:v>NOT_AVAILABLE</x:v>
      </x:c>
      <x:c r="E587" s="25" t="str">
        <x:v>N/A</x:v>
      </x:c>
      <x:c r="F587" s="26" t="str">
        <x:v>Tests exist but current coverage did not complete</x:v>
      </x:c>
      <x:c r="G587" s="25" t="str">
        <x:v>true</x:v>
      </x:c>
      <x:c r="H587" s="25" t="str">
        <x:v>NOT_AVAILABLE</x:v>
      </x:c>
      <x:c r="I587" s="25" t="str">
        <x:v>NOT_RUN</x:v>
      </x:c>
      <x:c r="J587" s="25" t="str">
        <x:v>NOT_RUN</x:v>
      </x:c>
      <x:c r="K587" s="25" t="n">
        <x:v>1</x:v>
      </x:c>
      <x:c r="L587" s="27" t="b">
        <x:v>0</x:v>
      </x:c>
      <x:c r="M587" s="25" t="str">
        <x:v>Gemini-3.8-flash/generation_state.json</x:v>
      </x:c>
      <x:c r="N587" s="25" t="str">
        <x:v>Gemini-3.8-flash/Result/Jsoup_8/result.json</x:v>
      </x:c>
      <x:c r="O587" s="25" t="str">
        <x:v>Gemini-3.8-flash/Result/Jsoup_8/result.json</x:v>
      </x:c>
      <x:c r="P587" t="str">
        <x:v>BOTH_NOT_RUN</x:v>
      </x:c>
      <x:c r="Q587" s="21" t="str"/>
      <x:c r="R587" s="21" t="str"/>
      <x:c r="S587" s="21" t="str"/>
      <x:c r="T587" s="17" t="str">
        <x:v>false</x:v>
      </x:c>
      <x:c r="U587" s="17" t="str">
        <x:v>true</x:v>
      </x:c>
      <x:c r="V587" s="17" t="str">
        <x:v>false</x:v>
      </x:c>
    </x:row>
    <x:row r="588" ht="80" customHeight="1">
      <x:c r="A588" s="25" t="str">
        <x:v>Jsoup</x:v>
      </x:c>
      <x:c r="B588" s="25" t="n">
        <x:v>80</x:v>
      </x:c>
      <x:c r="C588" s="25" t="str">
        <x:v>Round1</x:v>
      </x:c>
      <x:c r="D588" s="25" t="str">
        <x:v>NOT_AVAILABLE</x:v>
      </x:c>
      <x:c r="E588" s="25" t="str">
        <x:v>N/A</x:v>
      </x:c>
      <x:c r="F588" s="26" t="str">
        <x:v>Tests exist but current coverage did not complete</x:v>
      </x:c>
      <x:c r="G588" s="25" t="str">
        <x:v>true</x:v>
      </x:c>
      <x:c r="H588" s="25" t="str">
        <x:v>NOT_AVAILABLE</x:v>
      </x:c>
      <x:c r="I588" s="25" t="str">
        <x:v>NOT_RUN</x:v>
      </x:c>
      <x:c r="J588" s="25" t="str">
        <x:v>NOT_RUN</x:v>
      </x:c>
      <x:c r="K588" s="25" t="n">
        <x:v>1</x:v>
      </x:c>
      <x:c r="L588" s="27" t="b">
        <x:v>0</x:v>
      </x:c>
      <x:c r="M588" s="25" t="str">
        <x:v>Gemini-3.8-flash/generation_state.json</x:v>
      </x:c>
      <x:c r="N588" s="25" t="str">
        <x:v>Gemini-3.8-flash/Result/Jsoup_80/result.json</x:v>
      </x:c>
      <x:c r="O588" s="25" t="str">
        <x:v>Gemini-3.8-flash/Result/Jsoup_80/result.json</x:v>
      </x:c>
      <x:c r="P588" t="str">
        <x:v>BOTH_NOT_RUN</x:v>
      </x:c>
      <x:c r="Q588" s="21" t="str"/>
      <x:c r="R588" s="21" t="str"/>
      <x:c r="S588" s="21" t="str"/>
      <x:c r="T588" s="17" t="str">
        <x:v>false</x:v>
      </x:c>
      <x:c r="U588" s="17" t="str">
        <x:v>true</x:v>
      </x:c>
      <x:c r="V588" s="17" t="str">
        <x:v>false</x:v>
      </x:c>
    </x:row>
    <x:row r="589" ht="80" customHeight="1">
      <x:c r="A589" s="25" t="str">
        <x:v>Jsoup</x:v>
      </x:c>
      <x:c r="B589" s="25" t="n">
        <x:v>81</x:v>
      </x:c>
      <x:c r="C589" s="25" t="str">
        <x:v>Round1</x:v>
      </x:c>
      <x:c r="D589" s="25" t="str">
        <x:v>INCONCLUSIVE</x:v>
      </x:c>
      <x:c r="E589" s="25" t="str">
        <x:v>N/A</x:v>
      </x:c>
      <x:c r="F589" s="26" t="str">
        <x:v>Fixed also failed; assertion failure cannot be attributed to this bug</x:v>
      </x:c>
      <x:c r="G589" s="25" t="str">
        <x:v>true</x:v>
      </x:c>
      <x:c r="H589" s="25" t="str">
        <x:v>INCONCLUSIVE</x:v>
      </x:c>
      <x:c r="I589" s="25" t="str">
        <x:v>FAIL</x:v>
      </x:c>
      <x:c r="J589" s="25" t="str">
        <x:v>FAIL</x:v>
      </x:c>
      <x:c r="K589" s="25" t="n">
        <x:v>1</x:v>
      </x:c>
      <x:c r="L589" s="27" t="b">
        <x:v>0</x:v>
      </x:c>
      <x:c r="M589" s="25" t="str">
        <x:v>Gemini-3.8-flash/generation_state.json</x:v>
      </x:c>
      <x:c r="N589" s="25" t="str">
        <x:v>Gemini-3.8-flash/Result/Jsoup_81/result.json</x:v>
      </x:c>
      <x:c r="O589" s="25" t="str">
        <x:v>Gemini-3.8-flash/Result/Jsoup_81/result.json</x:v>
      </x:c>
      <x:c r="P589"/>
      <x:c r="Q589" s="21" t="str"/>
      <x:c r="R589" s="21" t="str"/>
      <x:c r="S589" s="21" t="str"/>
      <x:c r="T589" s="17" t="str">
        <x:v>false</x:v>
      </x:c>
      <x:c r="U589" s="17" t="str">
        <x:v>true</x:v>
      </x:c>
      <x:c r="V589" s="17" t="str">
        <x:v>false</x:v>
      </x:c>
    </x:row>
    <x:row r="590" ht="80" customHeight="1">
      <x:c r="A590" s="25" t="str">
        <x:v>Jsoup</x:v>
      </x:c>
      <x:c r="B590" s="25" t="n">
        <x:v>82</x:v>
      </x:c>
      <x:c r="C590" s="25" t="str">
        <x:v>Round1</x:v>
      </x:c>
      <x:c r="D590" s="25" t="str">
        <x:v>INCONCLUSIVE</x:v>
      </x:c>
      <x:c r="E590" s="25" t="str">
        <x:v>N/A</x:v>
      </x:c>
      <x:c r="F590" s="26" t="str">
        <x:v>Fixed also failed; assertion failure cannot be attributed to this bug</x:v>
      </x:c>
      <x:c r="G590" s="25" t="str">
        <x:v>true</x:v>
      </x:c>
      <x:c r="H590" s="25" t="str">
        <x:v>INCONCLUSIVE</x:v>
      </x:c>
      <x:c r="I590" s="25" t="str">
        <x:v>FAIL</x:v>
      </x:c>
      <x:c r="J590" s="25" t="str">
        <x:v>FAIL</x:v>
      </x:c>
      <x:c r="K590" s="25" t="n">
        <x:v>1</x:v>
      </x:c>
      <x:c r="L590" s="27" t="b">
        <x:v>0</x:v>
      </x:c>
      <x:c r="M590" s="25" t="str">
        <x:v>Gemini-3.8-flash/generation_state.json</x:v>
      </x:c>
      <x:c r="N590" s="25" t="str">
        <x:v>Gemini-3.8-flash/Result/Jsoup_82/result.json</x:v>
      </x:c>
      <x:c r="O590" s="25" t="str">
        <x:v>Gemini-3.8-flash/Result/Jsoup_82/result.json</x:v>
      </x:c>
      <x:c r="P590"/>
      <x:c r="Q590" s="21" t="str"/>
      <x:c r="R590" s="21" t="str"/>
      <x:c r="S590" s="21" t="str"/>
      <x:c r="T590" s="17" t="str">
        <x:v>false</x:v>
      </x:c>
      <x:c r="U590" s="17" t="str">
        <x:v>true</x:v>
      </x:c>
      <x:c r="V590" s="17" t="str">
        <x:v>false</x:v>
      </x:c>
    </x:row>
    <x:row r="591" ht="80" customHeight="1">
      <x:c r="A591" s="25" t="str">
        <x:v>Jsoup</x:v>
      </x:c>
      <x:c r="B591" s="25" t="n">
        <x:v>83</x:v>
      </x:c>
      <x:c r="C591" s="25" t="str">
        <x:v>Round1</x:v>
      </x:c>
      <x:c r="D591" s="25" t="str">
        <x:v>NOT_AVAILABLE</x:v>
      </x:c>
      <x:c r="E591" s="25" t="str">
        <x:v>N/A</x:v>
      </x:c>
      <x:c r="F591" s="26" t="str">
        <x:v>Tests exist but current coverage did not complete</x:v>
      </x:c>
      <x:c r="G591" s="25" t="str">
        <x:v>true</x:v>
      </x:c>
      <x:c r="H591" s="25" t="str">
        <x:v>NOT_AVAILABLE</x:v>
      </x:c>
      <x:c r="I591" s="25" t="str">
        <x:v>NOT_RUN</x:v>
      </x:c>
      <x:c r="J591" s="25" t="str">
        <x:v>NOT_RUN</x:v>
      </x:c>
      <x:c r="K591" s="25" t="n">
        <x:v>2</x:v>
      </x:c>
      <x:c r="L591" s="27" t="b">
        <x:v>0</x:v>
      </x:c>
      <x:c r="M591" s="25" t="str">
        <x:v>Gemini-3.8-flash/generation_state.json</x:v>
      </x:c>
      <x:c r="N591" s="25" t="str">
        <x:v>Gemini-3.8-flash/Result/Jsoup_83/result.json</x:v>
      </x:c>
      <x:c r="O591" s="25" t="str">
        <x:v>Gemini-3.8-flash/Result/Jsoup_83/result.json</x:v>
      </x:c>
      <x:c r="P591" t="str">
        <x:v>BOTH_NOT_RUN</x:v>
      </x:c>
      <x:c r="Q591" s="21" t="str"/>
      <x:c r="R591" s="21" t="str"/>
      <x:c r="S591" s="21" t="str"/>
      <x:c r="T591" s="17" t="str">
        <x:v>false</x:v>
      </x:c>
      <x:c r="U591" s="17" t="str">
        <x:v>true</x:v>
      </x:c>
      <x:c r="V591" s="17" t="str">
        <x:v>false</x:v>
      </x:c>
    </x:row>
    <x:row r="592" ht="80" customHeight="1">
      <x:c r="A592" s="25" t="str">
        <x:v>Jsoup</x:v>
      </x:c>
      <x:c r="B592" s="25" t="n">
        <x:v>84</x:v>
      </x:c>
      <x:c r="C592" s="25" t="str">
        <x:v>Round1</x:v>
      </x:c>
      <x:c r="D592" s="25" t="str">
        <x:v>INCONCLUSIVE</x:v>
      </x:c>
      <x:c r="E592" s="25" t="str">
        <x:v>N/A</x:v>
      </x:c>
      <x:c r="F592" s="26" t="str">
        <x:v>Fixed also failed; assertion failure cannot be attributed to this bug</x:v>
      </x:c>
      <x:c r="G592" s="25" t="str">
        <x:v>true</x:v>
      </x:c>
      <x:c r="H592" s="25" t="str">
        <x:v>INCONCLUSIVE</x:v>
      </x:c>
      <x:c r="I592" s="25" t="str">
        <x:v>FAIL</x:v>
      </x:c>
      <x:c r="J592" s="25" t="str">
        <x:v>FAIL</x:v>
      </x:c>
      <x:c r="K592" s="25" t="n">
        <x:v>1</x:v>
      </x:c>
      <x:c r="L592" s="27" t="b">
        <x:v>0</x:v>
      </x:c>
      <x:c r="M592" s="25" t="str">
        <x:v>Gemini-3.8-flash/generation_state.json</x:v>
      </x:c>
      <x:c r="N592" s="25" t="str">
        <x:v>Gemini-3.8-flash/Result/Jsoup_84/result.json</x:v>
      </x:c>
      <x:c r="O592" s="25" t="str">
        <x:v>Gemini-3.8-flash/Result/Jsoup_84/result.json</x:v>
      </x:c>
      <x:c r="P592"/>
      <x:c r="Q592" s="21" t="str"/>
      <x:c r="R592" s="21" t="str"/>
      <x:c r="S592" s="21" t="str"/>
      <x:c r="T592" s="17" t="str">
        <x:v>false</x:v>
      </x:c>
      <x:c r="U592" s="17" t="str">
        <x:v>true</x:v>
      </x:c>
      <x:c r="V592" s="17" t="str">
        <x:v>false</x:v>
      </x:c>
    </x:row>
    <x:row r="593" ht="80" customHeight="1">
      <x:c r="A593" s="25" t="str">
        <x:v>Jsoup</x:v>
      </x:c>
      <x:c r="B593" s="25" t="n">
        <x:v>85</x:v>
      </x:c>
      <x:c r="C593" s="25" t="str">
        <x:v>Round1</x:v>
      </x:c>
      <x:c r="D593" s="25" t="str">
        <x:v>NOT_REVEALING</x:v>
      </x:c>
      <x:c r="E593" s="25" t="str">
        <x:v>N/A</x:v>
      </x:c>
      <x:c r="F593" s="26" t="str">
        <x:v>Same saved validation suite passed on buggy and fixed</x:v>
      </x:c>
      <x:c r="G593" s="25" t="str">
        <x:v>true</x:v>
      </x:c>
      <x:c r="H593" s="25" t="str">
        <x:v>NOT_REVEALING</x:v>
      </x:c>
      <x:c r="I593" s="25" t="str">
        <x:v>PASS</x:v>
      </x:c>
      <x:c r="J593" s="25" t="str">
        <x:v>PASS</x:v>
      </x:c>
      <x:c r="K593" s="25" t="n">
        <x:v>1</x:v>
      </x:c>
      <x:c r="L593" s="27" t="b">
        <x:v>0</x:v>
      </x:c>
      <x:c r="M593" s="25" t="str">
        <x:v>Gemini-3.8-flash/generation_state.json</x:v>
      </x:c>
      <x:c r="N593" s="25" t="str">
        <x:v>Gemini-3.8-flash/Result/Jsoup_85/result.json</x:v>
      </x:c>
      <x:c r="O593" s="25" t="str">
        <x:v>Gemini-3.8-flash/Result/Jsoup_85/result.json</x:v>
      </x:c>
      <x:c r="P593"/>
      <x:c r="Q593" s="21" t="str"/>
      <x:c r="R593" s="21" t="str"/>
      <x:c r="S593" s="21" t="str"/>
      <x:c r="T593" s="17" t="str">
        <x:v>false</x:v>
      </x:c>
      <x:c r="U593" s="17" t="str">
        <x:v>true</x:v>
      </x:c>
      <x:c r="V593" s="17" t="str">
        <x:v>false</x:v>
      </x:c>
    </x:row>
    <x:row r="594" ht="80" customHeight="1">
      <x:c r="A594" s="25" t="str">
        <x:v>Jsoup</x:v>
      </x:c>
      <x:c r="B594" s="25" t="n">
        <x:v>86</x:v>
      </x:c>
      <x:c r="C594" s="25" t="str">
        <x:v>Round1</x:v>
      </x:c>
      <x:c r="D594" s="25" t="str">
        <x:v>NOT_AVAILABLE</x:v>
      </x:c>
      <x:c r="E594" s="25" t="str">
        <x:v>N/A</x:v>
      </x:c>
      <x:c r="F594" s="26" t="str">
        <x:v>Tests exist but current coverage did not complete</x:v>
      </x:c>
      <x:c r="G594" s="25" t="str">
        <x:v>true</x:v>
      </x:c>
      <x:c r="H594" s="25" t="str">
        <x:v>NOT_AVAILABLE</x:v>
      </x:c>
      <x:c r="I594" s="25" t="str">
        <x:v>NOT_RUN</x:v>
      </x:c>
      <x:c r="J594" s="25" t="str">
        <x:v>NOT_RUN</x:v>
      </x:c>
      <x:c r="K594" s="25" t="n">
        <x:v>1</x:v>
      </x:c>
      <x:c r="L594" s="27" t="b">
        <x:v>0</x:v>
      </x:c>
      <x:c r="M594" s="25" t="str">
        <x:v>Gemini-3.8-flash/generation_state.json</x:v>
      </x:c>
      <x:c r="N594" s="25" t="str">
        <x:v>Gemini-3.8-flash/Result/Jsoup_86/result.json</x:v>
      </x:c>
      <x:c r="O594" s="25" t="str">
        <x:v>Gemini-3.8-flash/Result/Jsoup_86/result.json</x:v>
      </x:c>
      <x:c r="P594" t="str">
        <x:v>BOTH_NOT_RUN</x:v>
      </x:c>
      <x:c r="Q594" s="21" t="str"/>
      <x:c r="R594" s="21" t="str"/>
      <x:c r="S594" s="21" t="str"/>
      <x:c r="T594" s="17" t="str">
        <x:v>false</x:v>
      </x:c>
      <x:c r="U594" s="17" t="str">
        <x:v>true</x:v>
      </x:c>
      <x:c r="V594" s="17" t="str">
        <x:v>false</x:v>
      </x:c>
    </x:row>
    <x:row r="595" ht="80" customHeight="1">
      <x:c r="A595" s="25" t="str">
        <x:v>Jsoup</x:v>
      </x:c>
      <x:c r="B595" s="25" t="n">
        <x:v>87</x:v>
      </x:c>
      <x:c r="C595" s="25" t="str">
        <x:v>Round1</x:v>
      </x:c>
      <x:c r="D595" s="25" t="str">
        <x:v>NOT_AVAILABLE</x:v>
      </x:c>
      <x:c r="E595" s="25" t="str">
        <x:v>N/A</x:v>
      </x:c>
      <x:c r="F595" s="26" t="str">
        <x:v>Tests exist but current coverage did not complete</x:v>
      </x:c>
      <x:c r="G595" s="25" t="str">
        <x:v>true</x:v>
      </x:c>
      <x:c r="H595" s="25" t="str">
        <x:v>NOT_AVAILABLE</x:v>
      </x:c>
      <x:c r="I595" s="25" t="str">
        <x:v>NOT_RUN</x:v>
      </x:c>
      <x:c r="J595" s="25" t="str">
        <x:v>NOT_RUN</x:v>
      </x:c>
      <x:c r="K595" s="25" t="n">
        <x:v>3</x:v>
      </x:c>
      <x:c r="L595" s="27" t="b">
        <x:v>0</x:v>
      </x:c>
      <x:c r="M595" s="25" t="str">
        <x:v>Gemini-3.8-flash/generation_state.json</x:v>
      </x:c>
      <x:c r="N595" s="25" t="str">
        <x:v>Gemini-3.8-flash/Result/Jsoup_87/result.json</x:v>
      </x:c>
      <x:c r="O595" s="25" t="str">
        <x:v>Gemini-3.8-flash/Result/Jsoup_87/result.json</x:v>
      </x:c>
      <x:c r="P595" t="str">
        <x:v>BOTH_NOT_RUN</x:v>
      </x:c>
      <x:c r="Q595" s="21" t="str"/>
      <x:c r="R595" s="21" t="str"/>
      <x:c r="S595" s="21" t="str"/>
      <x:c r="T595" s="17" t="str">
        <x:v>false</x:v>
      </x:c>
      <x:c r="U595" s="17" t="str">
        <x:v>true</x:v>
      </x:c>
      <x:c r="V595" s="17" t="str">
        <x:v>false</x:v>
      </x:c>
    </x:row>
    <x:row r="596" ht="80" customHeight="1">
      <x:c r="A596" s="25" t="str">
        <x:v>Jsoup</x:v>
      </x:c>
      <x:c r="B596" s="25" t="n">
        <x:v>88</x:v>
      </x:c>
      <x:c r="C596" s="25" t="str">
        <x:v>Round1</x:v>
      </x:c>
      <x:c r="D596" s="25" t="str">
        <x:v>NOT_REVEALING</x:v>
      </x:c>
      <x:c r="E596" s="25" t="str">
        <x:v>N/A</x:v>
      </x:c>
      <x:c r="F596" s="26" t="str">
        <x:v>Same saved validation suite passed on buggy and fixed</x:v>
      </x:c>
      <x:c r="G596" s="25" t="str">
        <x:v>true</x:v>
      </x:c>
      <x:c r="H596" s="25" t="str">
        <x:v>NOT_REVEALING</x:v>
      </x:c>
      <x:c r="I596" s="25" t="str">
        <x:v>PASS</x:v>
      </x:c>
      <x:c r="J596" s="25" t="str">
        <x:v>PASS</x:v>
      </x:c>
      <x:c r="K596" s="25" t="n">
        <x:v>1</x:v>
      </x:c>
      <x:c r="L596" s="27" t="b">
        <x:v>0</x:v>
      </x:c>
      <x:c r="M596" s="25" t="str">
        <x:v>Gemini-3.8-flash/generation_state.json</x:v>
      </x:c>
      <x:c r="N596" s="25" t="str">
        <x:v>Gemini-3.8-flash/Result/Jsoup_88/result.json</x:v>
      </x:c>
      <x:c r="O596" s="25" t="str">
        <x:v>Gemini-3.8-flash/Result/Jsoup_88/result.json</x:v>
      </x:c>
      <x:c r="P596"/>
      <x:c r="Q596" s="21" t="str"/>
      <x:c r="R596" s="21" t="str"/>
      <x:c r="S596" s="21" t="str"/>
      <x:c r="T596" s="17" t="str">
        <x:v>false</x:v>
      </x:c>
      <x:c r="U596" s="17" t="str">
        <x:v>true</x:v>
      </x:c>
      <x:c r="V596" s="17" t="str">
        <x:v>false</x:v>
      </x:c>
    </x:row>
    <x:row r="597" ht="80" customHeight="1">
      <x:c r="A597" s="25" t="str">
        <x:v>Jsoup</x:v>
      </x:c>
      <x:c r="B597" s="25" t="n">
        <x:v>89</x:v>
      </x:c>
      <x:c r="C597" s="25" t="str">
        <x:v>Round1</x:v>
      </x:c>
      <x:c r="D597" s="25" t="str">
        <x:v>NOT_REVEALING</x:v>
      </x:c>
      <x:c r="E597" s="25" t="str">
        <x:v>N/A</x:v>
      </x:c>
      <x:c r="F597" s="26" t="str">
        <x:v>Same saved validation suite passed on buggy and fixed</x:v>
      </x:c>
      <x:c r="G597" s="25" t="str">
        <x:v>true</x:v>
      </x:c>
      <x:c r="H597" s="25" t="str">
        <x:v>NOT_REVEALING</x:v>
      </x:c>
      <x:c r="I597" s="25" t="str">
        <x:v>PASS</x:v>
      </x:c>
      <x:c r="J597" s="25" t="str">
        <x:v>PASS</x:v>
      </x:c>
      <x:c r="K597" s="25" t="n">
        <x:v>1</x:v>
      </x:c>
      <x:c r="L597" s="27" t="b">
        <x:v>0</x:v>
      </x:c>
      <x:c r="M597" s="25" t="str">
        <x:v>Gemini-3.8-flash/generation_state.json</x:v>
      </x:c>
      <x:c r="N597" s="25" t="str">
        <x:v>Gemini-3.8-flash/Result/Jsoup_89/result.json</x:v>
      </x:c>
      <x:c r="O597" s="25" t="str">
        <x:v>Gemini-3.8-flash/Result/Jsoup_89/result.json</x:v>
      </x:c>
      <x:c r="P597"/>
      <x:c r="Q597" s="21" t="str"/>
      <x:c r="R597" s="21" t="str"/>
      <x:c r="S597" s="21" t="str"/>
      <x:c r="T597" s="17" t="str">
        <x:v>false</x:v>
      </x:c>
      <x:c r="U597" s="17" t="str">
        <x:v>true</x:v>
      </x:c>
      <x:c r="V597" s="17" t="str">
        <x:v>false</x:v>
      </x:c>
    </x:row>
    <x:row r="598" ht="80" customHeight="1">
      <x:c r="A598" s="25" t="str">
        <x:v>Jsoup</x:v>
      </x:c>
      <x:c r="B598" s="25" t="n">
        <x:v>9</x:v>
      </x:c>
      <x:c r="C598" s="25" t="str">
        <x:v>Round1</x:v>
      </x:c>
      <x:c r="D598" s="25" t="str">
        <x:v>NOT_AVAILABLE</x:v>
      </x:c>
      <x:c r="E598" s="25" t="str">
        <x:v>N/A</x:v>
      </x:c>
      <x:c r="F598" s="26" t="str">
        <x:v>Tests exist but current coverage did not complete</x:v>
      </x:c>
      <x:c r="G598" s="25" t="str">
        <x:v>true</x:v>
      </x:c>
      <x:c r="H598" s="25" t="str">
        <x:v>NOT_AVAILABLE</x:v>
      </x:c>
      <x:c r="I598" s="25" t="str">
        <x:v>NOT_RUN</x:v>
      </x:c>
      <x:c r="J598" s="25" t="str">
        <x:v>NOT_RUN</x:v>
      </x:c>
      <x:c r="K598" s="25" t="n">
        <x:v>1</x:v>
      </x:c>
      <x:c r="L598" s="27" t="b">
        <x:v>0</x:v>
      </x:c>
      <x:c r="M598" s="25" t="str">
        <x:v>Gemini-3.8-flash/generation_state.json</x:v>
      </x:c>
      <x:c r="N598" s="25" t="str">
        <x:v>Gemini-3.8-flash/Result/Jsoup_9/result.json</x:v>
      </x:c>
      <x:c r="O598" s="25" t="str">
        <x:v>Gemini-3.8-flash/Result/Jsoup_9/result.json</x:v>
      </x:c>
      <x:c r="P598" t="str">
        <x:v>BOTH_NOT_RUN</x:v>
      </x:c>
      <x:c r="Q598" s="21" t="str"/>
      <x:c r="R598" s="21" t="str"/>
      <x:c r="S598" s="21" t="str"/>
      <x:c r="T598" s="17" t="str">
        <x:v>false</x:v>
      </x:c>
      <x:c r="U598" s="17" t="str">
        <x:v>true</x:v>
      </x:c>
      <x:c r="V598" s="17" t="str">
        <x:v>false</x:v>
      </x:c>
    </x:row>
    <x:row r="599" ht="80" customHeight="1">
      <x:c r="A599" s="25" t="str">
        <x:v>Jsoup</x:v>
      </x:c>
      <x:c r="B599" s="25" t="n">
        <x:v>90</x:v>
      </x:c>
      <x:c r="C599" s="25" t="str">
        <x:v>Round1</x:v>
      </x:c>
      <x:c r="D599" s="25" t="str">
        <x:v>NOT_REVEALING</x:v>
      </x:c>
      <x:c r="E599" s="25" t="str">
        <x:v>N/A</x:v>
      </x:c>
      <x:c r="F599" s="26" t="str">
        <x:v>Same saved validation suite passed on buggy and fixed</x:v>
      </x:c>
      <x:c r="G599" s="25" t="str">
        <x:v>true</x:v>
      </x:c>
      <x:c r="H599" s="25" t="str">
        <x:v>NOT_REVEALING</x:v>
      </x:c>
      <x:c r="I599" s="25" t="str">
        <x:v>PASS</x:v>
      </x:c>
      <x:c r="J599" s="25" t="str">
        <x:v>PASS</x:v>
      </x:c>
      <x:c r="K599" s="25" t="n">
        <x:v>1</x:v>
      </x:c>
      <x:c r="L599" s="27" t="b">
        <x:v>0</x:v>
      </x:c>
      <x:c r="M599" s="25" t="str">
        <x:v>Gemini-3.8-flash/generation_state.json</x:v>
      </x:c>
      <x:c r="N599" s="25" t="str">
        <x:v>Gemini-3.8-flash/Result/Jsoup_90/result.json</x:v>
      </x:c>
      <x:c r="O599" s="25" t="str">
        <x:v>Gemini-3.8-flash/Result/Jsoup_90/result.json</x:v>
      </x:c>
      <x:c r="P599"/>
      <x:c r="Q599" s="21" t="str"/>
      <x:c r="R599" s="21" t="str"/>
      <x:c r="S599" s="21" t="str"/>
      <x:c r="T599" s="17" t="str">
        <x:v>false</x:v>
      </x:c>
      <x:c r="U599" s="17" t="str">
        <x:v>true</x:v>
      </x:c>
      <x:c r="V599" s="17" t="str">
        <x:v>false</x:v>
      </x:c>
    </x:row>
    <x:row r="600" ht="80" customHeight="1">
      <x:c r="A600" s="25" t="str">
        <x:v>Jsoup</x:v>
      </x:c>
      <x:c r="B600" s="25" t="n">
        <x:v>91</x:v>
      </x:c>
      <x:c r="C600" s="25" t="str">
        <x:v>Round1</x:v>
      </x:c>
      <x:c r="D600" s="25" t="str">
        <x:v>NOT_REVEALING</x:v>
      </x:c>
      <x:c r="E600" s="25" t="str">
        <x:v>N/A</x:v>
      </x:c>
      <x:c r="F600" s="26" t="str">
        <x:v>Same saved validation suite passed on buggy and fixed</x:v>
      </x:c>
      <x:c r="G600" s="25" t="str">
        <x:v>true</x:v>
      </x:c>
      <x:c r="H600" s="25" t="str">
        <x:v>NOT_REVEALING</x:v>
      </x:c>
      <x:c r="I600" s="25" t="str">
        <x:v>PASS</x:v>
      </x:c>
      <x:c r="J600" s="25" t="str">
        <x:v>PASS</x:v>
      </x:c>
      <x:c r="K600" s="25" t="n">
        <x:v>2</x:v>
      </x:c>
      <x:c r="L600" s="27" t="b">
        <x:v>0</x:v>
      </x:c>
      <x:c r="M600" s="25" t="str">
        <x:v>Gemini-3.8-flash/generation_state.json</x:v>
      </x:c>
      <x:c r="N600" s="25" t="str">
        <x:v>Gemini-3.8-flash/Result/Jsoup_91/result.json</x:v>
      </x:c>
      <x:c r="O600" s="25" t="str">
        <x:v>Gemini-3.8-flash/Result/Jsoup_91/result.json</x:v>
      </x:c>
      <x:c r="P600"/>
      <x:c r="Q600" s="21" t="str"/>
      <x:c r="R600" s="21" t="str"/>
      <x:c r="S600" s="21" t="str"/>
      <x:c r="T600" s="17" t="str">
        <x:v>false</x:v>
      </x:c>
      <x:c r="U600" s="17" t="str">
        <x:v>true</x:v>
      </x:c>
      <x:c r="V600" s="17" t="str">
        <x:v>false</x:v>
      </x:c>
    </x:row>
    <x:row r="601" ht="80" customHeight="1">
      <x:c r="A601" s="25" t="str">
        <x:v>Jsoup</x:v>
      </x:c>
      <x:c r="B601" s="25" t="n">
        <x:v>92</x:v>
      </x:c>
      <x:c r="C601" s="25" t="str">
        <x:v>Round1</x:v>
      </x:c>
      <x:c r="D601" s="25" t="str">
        <x:v>NOT_AVAILABLE</x:v>
      </x:c>
      <x:c r="E601" s="25" t="str">
        <x:v>N/A</x:v>
      </x:c>
      <x:c r="F601" s="26" t="str">
        <x:v>Tests exist but current coverage did not complete</x:v>
      </x:c>
      <x:c r="G601" s="25" t="str">
        <x:v>true</x:v>
      </x:c>
      <x:c r="H601" s="25" t="str">
        <x:v>NOT_AVAILABLE</x:v>
      </x:c>
      <x:c r="I601" s="25" t="str">
        <x:v>NOT_RUN</x:v>
      </x:c>
      <x:c r="J601" s="25" t="str">
        <x:v>NOT_RUN</x:v>
      </x:c>
      <x:c r="K601" s="25" t="n">
        <x:v>5</x:v>
      </x:c>
      <x:c r="L601" s="27" t="b">
        <x:v>0</x:v>
      </x:c>
      <x:c r="M601" s="25" t="str">
        <x:v>Gemini-3.8-flash/generation_state.json</x:v>
      </x:c>
      <x:c r="N601" s="25" t="str">
        <x:v>Gemini-3.8-flash/Result/Jsoup_92/result.json</x:v>
      </x:c>
      <x:c r="O601" s="25" t="str">
        <x:v>Gemini-3.8-flash/Result/Jsoup_92/result.json</x:v>
      </x:c>
      <x:c r="P601" t="str">
        <x:v>BOTH_NOT_RUN</x:v>
      </x:c>
      <x:c r="Q601" s="21" t="str"/>
      <x:c r="R601" s="21" t="str"/>
      <x:c r="S601" s="21" t="str"/>
      <x:c r="T601" s="17" t="str">
        <x:v>false</x:v>
      </x:c>
      <x:c r="U601" s="17" t="str">
        <x:v>true</x:v>
      </x:c>
      <x:c r="V601" s="17" t="str">
        <x:v>false</x:v>
      </x:c>
    </x:row>
    <x:row r="602" ht="80" customHeight="1">
      <x:c r="A602" s="25" t="str">
        <x:v>Jsoup</x:v>
      </x:c>
      <x:c r="B602" s="25" t="n">
        <x:v>93</x:v>
      </x:c>
      <x:c r="C602" s="25" t="str">
        <x:v>Round1</x:v>
      </x:c>
      <x:c r="D602" s="25" t="str">
        <x:v>NOT_REVEALING</x:v>
      </x:c>
      <x:c r="E602" s="25" t="str">
        <x:v>N/A</x:v>
      </x:c>
      <x:c r="F602" s="26" t="str">
        <x:v>Same saved validation suite passed on buggy and fixed</x:v>
      </x:c>
      <x:c r="G602" s="25" t="str">
        <x:v>true</x:v>
      </x:c>
      <x:c r="H602" s="25" t="str">
        <x:v>NOT_REVEALING</x:v>
      </x:c>
      <x:c r="I602" s="25" t="str">
        <x:v>PASS</x:v>
      </x:c>
      <x:c r="J602" s="25" t="str">
        <x:v>PASS</x:v>
      </x:c>
      <x:c r="K602" s="25" t="n">
        <x:v>1</x:v>
      </x:c>
      <x:c r="L602" s="27" t="b">
        <x:v>0</x:v>
      </x:c>
      <x:c r="M602" s="25" t="str">
        <x:v>Gemini-3.8-flash/generation_state.json</x:v>
      </x:c>
      <x:c r="N602" s="25" t="str">
        <x:v>Gemini-3.8-flash/Result/Jsoup_93/result.json</x:v>
      </x:c>
      <x:c r="O602" s="25" t="str">
        <x:v>Gemini-3.8-flash/Result/Jsoup_93/result.json</x:v>
      </x:c>
      <x:c r="P602"/>
      <x:c r="Q602" s="21" t="str"/>
      <x:c r="R602" s="21" t="str"/>
      <x:c r="S602" s="21" t="str"/>
      <x:c r="T602" s="17" t="str">
        <x:v>false</x:v>
      </x:c>
      <x:c r="U602" s="17" t="str">
        <x:v>true</x:v>
      </x:c>
      <x:c r="V602" s="17" t="str">
        <x:v>false</x:v>
      </x:c>
    </x:row>
    <x:row r="603" ht="80" customHeight="1">
      <x:c r="A603" s="25" t="str">
        <x:v>JxPath</x:v>
      </x:c>
      <x:c r="B603" s="25" t="n">
        <x:v>1</x:v>
      </x:c>
      <x:c r="C603" s="25" t="str">
        <x:v>Round1</x:v>
      </x:c>
      <x:c r="D603" s="25" t="str">
        <x:v>INCONCLUSIVE</x:v>
      </x:c>
      <x:c r="E603" s="25" t="str">
        <x:v>N/A</x:v>
      </x:c>
      <x:c r="F603" s="26" t="str">
        <x:v>Fixed also failed; assertion failure cannot be attributed to this bug</x:v>
      </x:c>
      <x:c r="G603" s="25" t="str">
        <x:v>true</x:v>
      </x:c>
      <x:c r="H603" s="25" t="str">
        <x:v>INCONCLUSIVE</x:v>
      </x:c>
      <x:c r="I603" s="25" t="str">
        <x:v>FAIL</x:v>
      </x:c>
      <x:c r="J603" s="25" t="str">
        <x:v>FAIL</x:v>
      </x:c>
      <x:c r="K603" s="25" t="n">
        <x:v>2</x:v>
      </x:c>
      <x:c r="L603" s="27" t="b">
        <x:v>0</x:v>
      </x:c>
      <x:c r="M603" s="25" t="str">
        <x:v>Gemini-3.8-flash/generation_state.json</x:v>
      </x:c>
      <x:c r="N603" s="25" t="str">
        <x:v>Gemini-3.8-flash/Result/JxPath_1/result.json</x:v>
      </x:c>
      <x:c r="O603" s="25" t="str">
        <x:v>Gemini-3.8-flash/Result/JxPath_1/result.json</x:v>
      </x:c>
      <x:c r="P603"/>
      <x:c r="Q603" s="21" t="str"/>
      <x:c r="R603" s="21" t="str"/>
      <x:c r="S603" s="21" t="str"/>
      <x:c r="T603" s="17" t="str">
        <x:v>false</x:v>
      </x:c>
      <x:c r="U603" s="17" t="str">
        <x:v>true</x:v>
      </x:c>
      <x:c r="V603" s="17" t="str">
        <x:v>false</x:v>
      </x:c>
    </x:row>
    <x:row r="604" ht="80" customHeight="1">
      <x:c r="A604" s="25" t="str">
        <x:v>JxPath</x:v>
      </x:c>
      <x:c r="B604" s="25" t="n">
        <x:v>10</x:v>
      </x:c>
      <x:c r="C604" s="25" t="str">
        <x:v>Round1</x:v>
      </x:c>
      <x:c r="D604" s="25" t="str">
        <x:v>NOT_AVAILABLE</x:v>
      </x:c>
      <x:c r="E604" s="25" t="str">
        <x:v>N/A</x:v>
      </x:c>
      <x:c r="F604" s="26" t="str">
        <x:v>Tests exist but current coverage did not complete</x:v>
      </x:c>
      <x:c r="G604" s="25" t="str">
        <x:v>true</x:v>
      </x:c>
      <x:c r="H604" s="25" t="str">
        <x:v>NOT_AVAILABLE</x:v>
      </x:c>
      <x:c r="I604" s="25" t="str">
        <x:v>NOT_RUN</x:v>
      </x:c>
      <x:c r="J604" s="25" t="str">
        <x:v>NOT_RUN</x:v>
      </x:c>
      <x:c r="K604" s="25" t="n">
        <x:v>1</x:v>
      </x:c>
      <x:c r="L604" s="27" t="b">
        <x:v>0</x:v>
      </x:c>
      <x:c r="M604" s="25" t="str">
        <x:v>Gemini-3.8-flash/generation_state.json</x:v>
      </x:c>
      <x:c r="N604" s="25" t="str">
        <x:v>Gemini-3.8-flash/Result/JxPath_10/result.json</x:v>
      </x:c>
      <x:c r="O604" s="25" t="str">
        <x:v>Gemini-3.8-flash/Result/JxPath_10/result.json</x:v>
      </x:c>
      <x:c r="P604" t="str">
        <x:v>BOTH_NOT_RUN</x:v>
      </x:c>
      <x:c r="Q604" s="21" t="str"/>
      <x:c r="R604" s="21" t="str"/>
      <x:c r="S604" s="21" t="str"/>
      <x:c r="T604" s="17" t="str">
        <x:v>false</x:v>
      </x:c>
      <x:c r="U604" s="17" t="str">
        <x:v>true</x:v>
      </x:c>
      <x:c r="V604" s="17" t="str">
        <x:v>false</x:v>
      </x:c>
    </x:row>
    <x:row r="605" ht="80" customHeight="1">
      <x:c r="A605" s="25" t="str">
        <x:v>JxPath</x:v>
      </x:c>
      <x:c r="B605" s="25" t="n">
        <x:v>11</x:v>
      </x:c>
      <x:c r="C605" s="25" t="str">
        <x:v>Round1</x:v>
      </x:c>
      <x:c r="D605" s="25" t="str">
        <x:v>INCONCLUSIVE</x:v>
      </x:c>
      <x:c r="E605" s="25" t="str">
        <x:v>N/A</x:v>
      </x:c>
      <x:c r="F605" s="26" t="str">
        <x:v>Fixed also failed; assertion failure cannot be attributed to this bug</x:v>
      </x:c>
      <x:c r="G605" s="25" t="str">
        <x:v>true</x:v>
      </x:c>
      <x:c r="H605" s="25" t="str">
        <x:v>INCONCLUSIVE</x:v>
      </x:c>
      <x:c r="I605" s="25" t="str">
        <x:v>FAIL</x:v>
      </x:c>
      <x:c r="J605" s="25" t="str">
        <x:v>FAIL</x:v>
      </x:c>
      <x:c r="K605" s="25" t="n">
        <x:v>2</x:v>
      </x:c>
      <x:c r="L605" s="27" t="b">
        <x:v>0</x:v>
      </x:c>
      <x:c r="M605" s="25" t="str">
        <x:v>Gemini-3.8-flash/generation_state.json</x:v>
      </x:c>
      <x:c r="N605" s="25" t="str">
        <x:v>Gemini-3.8-flash/Result/JxPath_11/result.json</x:v>
      </x:c>
      <x:c r="O605" s="25" t="str">
        <x:v>Gemini-3.8-flash/Result/JxPath_11/result.json</x:v>
      </x:c>
      <x:c r="P605"/>
      <x:c r="Q605" s="21" t="str"/>
      <x:c r="R605" s="21" t="str"/>
      <x:c r="S605" s="21" t="str"/>
      <x:c r="T605" s="17" t="str">
        <x:v>false</x:v>
      </x:c>
      <x:c r="U605" s="17" t="str">
        <x:v>true</x:v>
      </x:c>
      <x:c r="V605" s="17" t="str">
        <x:v>false</x:v>
      </x:c>
    </x:row>
    <x:row r="606" ht="80" customHeight="1">
      <x:c r="A606" s="25" t="str">
        <x:v>JxPath</x:v>
      </x:c>
      <x:c r="B606" s="25" t="n">
        <x:v>12</x:v>
      </x:c>
      <x:c r="C606" s="25" t="str">
        <x:v>Round1</x:v>
      </x:c>
      <x:c r="D606" s="25" t="str">
        <x:v>NOT_AVAILABLE</x:v>
      </x:c>
      <x:c r="E606" s="25" t="str">
        <x:v>N/A</x:v>
      </x:c>
      <x:c r="F606" s="26" t="str">
        <x:v>Tests exist but current coverage did not complete</x:v>
      </x:c>
      <x:c r="G606" s="25" t="str">
        <x:v>true</x:v>
      </x:c>
      <x:c r="H606" s="25" t="str">
        <x:v>NOT_AVAILABLE</x:v>
      </x:c>
      <x:c r="I606" s="25" t="str">
        <x:v>NOT_RUN</x:v>
      </x:c>
      <x:c r="J606" s="25" t="str">
        <x:v>NOT_RUN</x:v>
      </x:c>
      <x:c r="K606" s="25" t="n">
        <x:v>1</x:v>
      </x:c>
      <x:c r="L606" s="27" t="b">
        <x:v>0</x:v>
      </x:c>
      <x:c r="M606" s="25" t="str">
        <x:v>Gemini-3.8-flash/generation_state.json</x:v>
      </x:c>
      <x:c r="N606" s="25" t="str">
        <x:v>Gemini-3.8-flash/Result/JxPath_12/result.json</x:v>
      </x:c>
      <x:c r="O606" s="25" t="str">
        <x:v>Gemini-3.8-flash/Result/JxPath_12/result.json</x:v>
      </x:c>
      <x:c r="P606" t="str">
        <x:v>BOTH_NOT_RUN</x:v>
      </x:c>
      <x:c r="Q606" s="21" t="str"/>
      <x:c r="R606" s="21" t="str"/>
      <x:c r="S606" s="21" t="str"/>
      <x:c r="T606" s="17" t="str">
        <x:v>false</x:v>
      </x:c>
      <x:c r="U606" s="17" t="str">
        <x:v>true</x:v>
      </x:c>
      <x:c r="V606" s="17" t="str">
        <x:v>false</x:v>
      </x:c>
    </x:row>
    <x:row r="607" ht="80" customHeight="1">
      <x:c r="A607" s="25" t="str">
        <x:v>JxPath</x:v>
      </x:c>
      <x:c r="B607" s="25" t="n">
        <x:v>13</x:v>
      </x:c>
      <x:c r="C607" s="25" t="str">
        <x:v>Round1</x:v>
      </x:c>
      <x:c r="D607" s="25" t="str">
        <x:v>NOT_AVAILABLE</x:v>
      </x:c>
      <x:c r="E607" s="25" t="str">
        <x:v>N/A</x:v>
      </x:c>
      <x:c r="F607" s="26" t="str">
        <x:v>Tests exist but current coverage did not complete</x:v>
      </x:c>
      <x:c r="G607" s="25" t="str">
        <x:v>true</x:v>
      </x:c>
      <x:c r="H607" s="25" t="str">
        <x:v>NOT_AVAILABLE</x:v>
      </x:c>
      <x:c r="I607" s="25" t="str">
        <x:v>NOT_RUN</x:v>
      </x:c>
      <x:c r="J607" s="25" t="str">
        <x:v>NOT_RUN</x:v>
      </x:c>
      <x:c r="K607" s="25" t="n">
        <x:v>2</x:v>
      </x:c>
      <x:c r="L607" s="27" t="b">
        <x:v>0</x:v>
      </x:c>
      <x:c r="M607" s="25" t="str">
        <x:v>Gemini-3.8-flash/generation_state.json</x:v>
      </x:c>
      <x:c r="N607" s="25" t="str">
        <x:v>Gemini-3.8-flash/Result/JxPath_13/result.json</x:v>
      </x:c>
      <x:c r="O607" s="25" t="str">
        <x:v>Gemini-3.8-flash/Result/JxPath_13/result.json</x:v>
      </x:c>
      <x:c r="P607" t="str">
        <x:v>BOTH_NOT_RUN</x:v>
      </x:c>
      <x:c r="Q607" s="21" t="str"/>
      <x:c r="R607" s="21" t="str"/>
      <x:c r="S607" s="21" t="str"/>
      <x:c r="T607" s="17" t="str">
        <x:v>false</x:v>
      </x:c>
      <x:c r="U607" s="17" t="str">
        <x:v>true</x:v>
      </x:c>
      <x:c r="V607" s="17" t="str">
        <x:v>false</x:v>
      </x:c>
    </x:row>
    <x:row r="608" ht="80" customHeight="1">
      <x:c r="A608" s="25" t="str">
        <x:v>JxPath</x:v>
      </x:c>
      <x:c r="B608" s="25" t="n">
        <x:v>14</x:v>
      </x:c>
      <x:c r="C608" s="25" t="str">
        <x:v>Round1</x:v>
      </x:c>
      <x:c r="D608" s="25" t="str">
        <x:v>NOT_AVAILABLE</x:v>
      </x:c>
      <x:c r="E608" s="25" t="str">
        <x:v>N/A</x:v>
      </x:c>
      <x:c r="F608" s="26" t="str">
        <x:v>Tests exist but current coverage did not complete</x:v>
      </x:c>
      <x:c r="G608" s="25" t="str">
        <x:v>true</x:v>
      </x:c>
      <x:c r="H608" s="25" t="str">
        <x:v>NOT_AVAILABLE</x:v>
      </x:c>
      <x:c r="I608" s="25" t="str">
        <x:v>NOT_RUN</x:v>
      </x:c>
      <x:c r="J608" s="25" t="str">
        <x:v>NOT_RUN</x:v>
      </x:c>
      <x:c r="K608" s="25" t="n">
        <x:v>1</x:v>
      </x:c>
      <x:c r="L608" s="27" t="b">
        <x:v>0</x:v>
      </x:c>
      <x:c r="M608" s="25" t="str">
        <x:v>Gemini-3.8-flash/generation_state.json</x:v>
      </x:c>
      <x:c r="N608" s="25" t="str">
        <x:v>Gemini-3.8-flash/Result/JxPath_14/result.json</x:v>
      </x:c>
      <x:c r="O608" s="25" t="str">
        <x:v>Gemini-3.8-flash/Result/JxPath_14/result.json</x:v>
      </x:c>
      <x:c r="P608" t="str">
        <x:v>BOTH_NOT_RUN</x:v>
      </x:c>
      <x:c r="Q608" s="21" t="str"/>
      <x:c r="R608" s="21" t="str"/>
      <x:c r="S608" s="21" t="str"/>
      <x:c r="T608" s="17" t="str">
        <x:v>false</x:v>
      </x:c>
      <x:c r="U608" s="17" t="str">
        <x:v>true</x:v>
      </x:c>
      <x:c r="V608" s="17" t="str">
        <x:v>false</x:v>
      </x:c>
    </x:row>
    <x:row r="609" ht="80" customHeight="1">
      <x:c r="A609" s="25" t="str">
        <x:v>JxPath</x:v>
      </x:c>
      <x:c r="B609" s="25" t="n">
        <x:v>15</x:v>
      </x:c>
      <x:c r="C609" s="25" t="str">
        <x:v>Round1</x:v>
      </x:c>
      <x:c r="D609" s="25" t="str">
        <x:v>INCONCLUSIVE</x:v>
      </x:c>
      <x:c r="E609" s="25" t="str">
        <x:v>N/A</x:v>
      </x:c>
      <x:c r="F609" s="26" t="str">
        <x:v>Fixed also failed; assertion failure cannot be attributed to this bug</x:v>
      </x:c>
      <x:c r="G609" s="25" t="str">
        <x:v>true</x:v>
      </x:c>
      <x:c r="H609" s="25" t="str">
        <x:v>INCONCLUSIVE</x:v>
      </x:c>
      <x:c r="I609" s="25" t="str">
        <x:v>FAIL</x:v>
      </x:c>
      <x:c r="J609" s="25" t="str">
        <x:v>FAIL</x:v>
      </x:c>
      <x:c r="K609" s="25" t="n">
        <x:v>1</x:v>
      </x:c>
      <x:c r="L609" s="27" t="b">
        <x:v>0</x:v>
      </x:c>
      <x:c r="M609" s="25" t="str">
        <x:v>Gemini-3.8-flash/generation_state.json</x:v>
      </x:c>
      <x:c r="N609" s="25" t="str">
        <x:v>Gemini-3.8-flash/Result/JxPath_15/result.json</x:v>
      </x:c>
      <x:c r="O609" s="25" t="str">
        <x:v>Gemini-3.8-flash/Result/JxPath_15/result.json</x:v>
      </x:c>
      <x:c r="P609"/>
      <x:c r="Q609" s="21" t="str"/>
      <x:c r="R609" s="21" t="str"/>
      <x:c r="S609" s="21" t="str"/>
      <x:c r="T609" s="17" t="str">
        <x:v>false</x:v>
      </x:c>
      <x:c r="U609" s="17" t="str">
        <x:v>true</x:v>
      </x:c>
      <x:c r="V609" s="17" t="str">
        <x:v>false</x:v>
      </x:c>
    </x:row>
    <x:row r="610" ht="80" customHeight="1">
      <x:c r="A610" s="25" t="str">
        <x:v>JxPath</x:v>
      </x:c>
      <x:c r="B610" s="25" t="n">
        <x:v>16</x:v>
      </x:c>
      <x:c r="C610" s="25" t="str">
        <x:v>Round1</x:v>
      </x:c>
      <x:c r="D610" s="25" t="str">
        <x:v>NOT_AVAILABLE</x:v>
      </x:c>
      <x:c r="E610" s="25" t="str">
        <x:v>N/A</x:v>
      </x:c>
      <x:c r="F610" s="26" t="str">
        <x:v>Tests exist but current coverage did not complete</x:v>
      </x:c>
      <x:c r="G610" s="25" t="str">
        <x:v>true</x:v>
      </x:c>
      <x:c r="H610" s="25" t="str">
        <x:v>NOT_AVAILABLE</x:v>
      </x:c>
      <x:c r="I610" s="25" t="str">
        <x:v>NOT_RUN</x:v>
      </x:c>
      <x:c r="J610" s="25" t="str">
        <x:v>NOT_RUN</x:v>
      </x:c>
      <x:c r="K610" s="25" t="n">
        <x:v>2</x:v>
      </x:c>
      <x:c r="L610" s="27" t="b">
        <x:v>0</x:v>
      </x:c>
      <x:c r="M610" s="25" t="str">
        <x:v>Gemini-3.8-flash/generation_state.json</x:v>
      </x:c>
      <x:c r="N610" s="25" t="str">
        <x:v>Gemini-3.8-flash/Result/JxPath_16/result.json</x:v>
      </x:c>
      <x:c r="O610" s="25" t="str">
        <x:v>Gemini-3.8-flash/Result/JxPath_16/result.json</x:v>
      </x:c>
      <x:c r="P610" t="str">
        <x:v>BOTH_NOT_RUN</x:v>
      </x:c>
      <x:c r="Q610" s="21" t="str"/>
      <x:c r="R610" s="21" t="str"/>
      <x:c r="S610" s="21" t="str"/>
      <x:c r="T610" s="17" t="str">
        <x:v>false</x:v>
      </x:c>
      <x:c r="U610" s="17" t="str">
        <x:v>true</x:v>
      </x:c>
      <x:c r="V610" s="17" t="str">
        <x:v>false</x:v>
      </x:c>
    </x:row>
    <x:row r="611" ht="80" customHeight="1">
      <x:c r="A611" s="25" t="str">
        <x:v>JxPath</x:v>
      </x:c>
      <x:c r="B611" s="25" t="n">
        <x:v>17</x:v>
      </x:c>
      <x:c r="C611" s="25" t="str">
        <x:v>Round1</x:v>
      </x:c>
      <x:c r="D611" s="25" t="str">
        <x:v>INCONCLUSIVE</x:v>
      </x:c>
      <x:c r="E611" s="25" t="str">
        <x:v>N/A</x:v>
      </x:c>
      <x:c r="F611" s="26" t="str">
        <x:v>Fixed also failed; assertion failure cannot be attributed to this bug</x:v>
      </x:c>
      <x:c r="G611" s="25" t="str">
        <x:v>true</x:v>
      </x:c>
      <x:c r="H611" s="25" t="str">
        <x:v>INCONCLUSIVE</x:v>
      </x:c>
      <x:c r="I611" s="25" t="str">
        <x:v>FAIL</x:v>
      </x:c>
      <x:c r="J611" s="25" t="str">
        <x:v>FAIL</x:v>
      </x:c>
      <x:c r="K611" s="25" t="n">
        <x:v>2</x:v>
      </x:c>
      <x:c r="L611" s="27" t="b">
        <x:v>0</x:v>
      </x:c>
      <x:c r="M611" s="25" t="str">
        <x:v>Gemini-3.8-flash/generation_state.json</x:v>
      </x:c>
      <x:c r="N611" s="25" t="str">
        <x:v>Gemini-3.8-flash/Result/JxPath_17/result.json</x:v>
      </x:c>
      <x:c r="O611" s="25" t="str">
        <x:v>Gemini-3.8-flash/Result/JxPath_17/result.json</x:v>
      </x:c>
      <x:c r="P611"/>
      <x:c r="Q611" s="21" t="str"/>
      <x:c r="R611" s="21" t="str"/>
      <x:c r="S611" s="21" t="str"/>
      <x:c r="T611" s="17" t="str">
        <x:v>false</x:v>
      </x:c>
      <x:c r="U611" s="17" t="str">
        <x:v>true</x:v>
      </x:c>
      <x:c r="V611" s="17" t="str">
        <x:v>false</x:v>
      </x:c>
    </x:row>
    <x:row r="612" ht="80" customHeight="1">
      <x:c r="A612" s="25" t="str">
        <x:v>JxPath</x:v>
      </x:c>
      <x:c r="B612" s="25" t="n">
        <x:v>18</x:v>
      </x:c>
      <x:c r="C612" s="25" t="str">
        <x:v>Round1</x:v>
      </x:c>
      <x:c r="D612" s="25" t="str">
        <x:v>INCONCLUSIVE</x:v>
      </x:c>
      <x:c r="E612" s="25" t="str">
        <x:v>N/A</x:v>
      </x:c>
      <x:c r="F612" s="26" t="str">
        <x:v>Fixed also failed; assertion failure cannot be attributed to this bug</x:v>
      </x:c>
      <x:c r="G612" s="25" t="str">
        <x:v>true</x:v>
      </x:c>
      <x:c r="H612" s="25" t="str">
        <x:v>INCONCLUSIVE</x:v>
      </x:c>
      <x:c r="I612" s="25" t="str">
        <x:v>FAIL</x:v>
      </x:c>
      <x:c r="J612" s="25" t="str">
        <x:v>FAIL</x:v>
      </x:c>
      <x:c r="K612" s="25" t="n">
        <x:v>1</x:v>
      </x:c>
      <x:c r="L612" s="27" t="b">
        <x:v>0</x:v>
      </x:c>
      <x:c r="M612" s="25" t="str">
        <x:v>Gemini-3.8-flash/generation_state.json</x:v>
      </x:c>
      <x:c r="N612" s="25" t="str">
        <x:v>Gemini-3.8-flash/Result/JxPath_18/result.json</x:v>
      </x:c>
      <x:c r="O612" s="25" t="str">
        <x:v>Gemini-3.8-flash/Result/JxPath_18/result.json</x:v>
      </x:c>
      <x:c r="P612"/>
      <x:c r="Q612" s="21" t="str"/>
      <x:c r="R612" s="21" t="str"/>
      <x:c r="S612" s="21" t="str"/>
      <x:c r="T612" s="17" t="str">
        <x:v>false</x:v>
      </x:c>
      <x:c r="U612" s="17" t="str">
        <x:v>true</x:v>
      </x:c>
      <x:c r="V612" s="17" t="str">
        <x:v>false</x:v>
      </x:c>
    </x:row>
    <x:row r="613" ht="80" customHeight="1">
      <x:c r="A613" s="25" t="str">
        <x:v>JxPath</x:v>
      </x:c>
      <x:c r="B613" s="25" t="n">
        <x:v>19</x:v>
      </x:c>
      <x:c r="C613" s="25" t="str">
        <x:v>Round1</x:v>
      </x:c>
      <x:c r="D613" s="25" t="str">
        <x:v>NOT_AVAILABLE</x:v>
      </x:c>
      <x:c r="E613" s="25" t="str">
        <x:v>N/A</x:v>
      </x:c>
      <x:c r="F613" s="26" t="str">
        <x:v>Tests exist but current coverage did not complete</x:v>
      </x:c>
      <x:c r="G613" s="25" t="str">
        <x:v>true</x:v>
      </x:c>
      <x:c r="H613" s="25" t="str">
        <x:v>NOT_AVAILABLE</x:v>
      </x:c>
      <x:c r="I613" s="25" t="str">
        <x:v>NOT_RUN</x:v>
      </x:c>
      <x:c r="J613" s="25" t="str">
        <x:v>NOT_RUN</x:v>
      </x:c>
      <x:c r="K613" s="25" t="n">
        <x:v>2</x:v>
      </x:c>
      <x:c r="L613" s="27" t="b">
        <x:v>0</x:v>
      </x:c>
      <x:c r="M613" s="25" t="str">
        <x:v>Gemini-3.8-flash/generation_state.json</x:v>
      </x:c>
      <x:c r="N613" s="25" t="str">
        <x:v>Gemini-3.8-flash/Result/JxPath_19/result.json</x:v>
      </x:c>
      <x:c r="O613" s="25" t="str">
        <x:v>Gemini-3.8-flash/Result/JxPath_19/result.json</x:v>
      </x:c>
      <x:c r="P613" t="str">
        <x:v>BOTH_NOT_RUN</x:v>
      </x:c>
      <x:c r="Q613" s="21" t="str"/>
      <x:c r="R613" s="21" t="str"/>
      <x:c r="S613" s="21" t="str"/>
      <x:c r="T613" s="17" t="str">
        <x:v>false</x:v>
      </x:c>
      <x:c r="U613" s="17" t="str">
        <x:v>true</x:v>
      </x:c>
      <x:c r="V613" s="17" t="str">
        <x:v>false</x:v>
      </x:c>
    </x:row>
    <x:row r="614" ht="80" customHeight="1">
      <x:c r="A614" s="25" t="str">
        <x:v>JxPath</x:v>
      </x:c>
      <x:c r="B614" s="25" t="n">
        <x:v>2</x:v>
      </x:c>
      <x:c r="C614" s="25" t="str">
        <x:v>Round1</x:v>
      </x:c>
      <x:c r="D614" s="25" t="str">
        <x:v>INCONCLUSIVE</x:v>
      </x:c>
      <x:c r="E614" s="25" t="str">
        <x:v>N/A</x:v>
      </x:c>
      <x:c r="F614" s="26" t="str">
        <x:v>Fixed also failed; assertion failure cannot be attributed to this bug</x:v>
      </x:c>
      <x:c r="G614" s="25" t="str">
        <x:v>true</x:v>
      </x:c>
      <x:c r="H614" s="25" t="str">
        <x:v>INCONCLUSIVE</x:v>
      </x:c>
      <x:c r="I614" s="25" t="str">
        <x:v>FAIL</x:v>
      </x:c>
      <x:c r="J614" s="25" t="str">
        <x:v>FAIL</x:v>
      </x:c>
      <x:c r="K614" s="25" t="n">
        <x:v>1</x:v>
      </x:c>
      <x:c r="L614" s="27" t="b">
        <x:v>0</x:v>
      </x:c>
      <x:c r="M614" s="25" t="str">
        <x:v>Gemini-3.8-flash/generation_state.json</x:v>
      </x:c>
      <x:c r="N614" s="25" t="str">
        <x:v>Gemini-3.8-flash/Result/JxPath_2/result.json</x:v>
      </x:c>
      <x:c r="O614" s="25" t="str">
        <x:v>Gemini-3.8-flash/Result/JxPath_2/result.json</x:v>
      </x:c>
      <x:c r="P614"/>
      <x:c r="Q614" s="21" t="str"/>
      <x:c r="R614" s="21" t="str"/>
      <x:c r="S614" s="21" t="str"/>
      <x:c r="T614" s="17" t="str">
        <x:v>false</x:v>
      </x:c>
      <x:c r="U614" s="17" t="str">
        <x:v>true</x:v>
      </x:c>
      <x:c r="V614" s="17" t="str">
        <x:v>false</x:v>
      </x:c>
    </x:row>
    <x:row r="615" ht="80" customHeight="1">
      <x:c r="A615" s="25" t="str">
        <x:v>JxPath</x:v>
      </x:c>
      <x:c r="B615" s="25" t="n">
        <x:v>20</x:v>
      </x:c>
      <x:c r="C615" s="25" t="str">
        <x:v>Round1</x:v>
      </x:c>
      <x:c r="D615" s="25" t="str">
        <x:v>NOT_AVAILABLE</x:v>
      </x:c>
      <x:c r="E615" s="25" t="str">
        <x:v>N/A</x:v>
      </x:c>
      <x:c r="F615" s="26" t="str">
        <x:v>Tests exist but current coverage did not complete</x:v>
      </x:c>
      <x:c r="G615" s="25" t="str">
        <x:v>true</x:v>
      </x:c>
      <x:c r="H615" s="25" t="str">
        <x:v>NOT_AVAILABLE</x:v>
      </x:c>
      <x:c r="I615" s="25" t="str">
        <x:v>NOT_RUN</x:v>
      </x:c>
      <x:c r="J615" s="25" t="str">
        <x:v>NOT_RUN</x:v>
      </x:c>
      <x:c r="K615" s="25" t="n">
        <x:v>1</x:v>
      </x:c>
      <x:c r="L615" s="27" t="b">
        <x:v>0</x:v>
      </x:c>
      <x:c r="M615" s="25" t="str">
        <x:v>Gemini-3.8-flash/generation_state.json</x:v>
      </x:c>
      <x:c r="N615" s="25" t="str">
        <x:v>Gemini-3.8-flash/Result/JxPath_20/result.json</x:v>
      </x:c>
      <x:c r="O615" s="25" t="str">
        <x:v>Gemini-3.8-flash/Result/JxPath_20/result.json</x:v>
      </x:c>
      <x:c r="P615" t="str">
        <x:v>BOTH_NOT_RUN</x:v>
      </x:c>
      <x:c r="Q615" s="21" t="str"/>
      <x:c r="R615" s="21" t="str"/>
      <x:c r="S615" s="21" t="str"/>
      <x:c r="T615" s="17" t="str">
        <x:v>false</x:v>
      </x:c>
      <x:c r="U615" s="17" t="str">
        <x:v>true</x:v>
      </x:c>
      <x:c r="V615" s="17" t="str">
        <x:v>false</x:v>
      </x:c>
    </x:row>
    <x:row r="616" ht="80" customHeight="1">
      <x:c r="A616" s="25" t="str">
        <x:v>JxPath</x:v>
      </x:c>
      <x:c r="B616" s="25" t="n">
        <x:v>21</x:v>
      </x:c>
      <x:c r="C616" s="25" t="str">
        <x:v>Round1</x:v>
      </x:c>
      <x:c r="D616" s="25" t="str">
        <x:v>INCONCLUSIVE</x:v>
      </x:c>
      <x:c r="E616" s="25" t="str">
        <x:v>N/A</x:v>
      </x:c>
      <x:c r="F616" s="26" t="str">
        <x:v>Fixed also failed; assertion failure cannot be attributed to this bug</x:v>
      </x:c>
      <x:c r="G616" s="25" t="str">
        <x:v>true</x:v>
      </x:c>
      <x:c r="H616" s="25" t="str">
        <x:v>INCONCLUSIVE</x:v>
      </x:c>
      <x:c r="I616" s="25" t="str">
        <x:v>FAIL</x:v>
      </x:c>
      <x:c r="J616" s="25" t="str">
        <x:v>FAIL</x:v>
      </x:c>
      <x:c r="K616" s="25" t="n">
        <x:v>1</x:v>
      </x:c>
      <x:c r="L616" s="27" t="b">
        <x:v>0</x:v>
      </x:c>
      <x:c r="M616" s="25" t="str">
        <x:v>Gemini-3.8-flash/generation_state.json</x:v>
      </x:c>
      <x:c r="N616" s="25" t="str">
        <x:v>Gemini-3.8-flash/Result/JxPath_21/result.json</x:v>
      </x:c>
      <x:c r="O616" s="25" t="str">
        <x:v>Gemini-3.8-flash/Result/JxPath_21/result.json</x:v>
      </x:c>
      <x:c r="P616"/>
      <x:c r="Q616" s="21" t="str"/>
      <x:c r="R616" s="21" t="str"/>
      <x:c r="S616" s="21" t="str"/>
      <x:c r="T616" s="17" t="str">
        <x:v>false</x:v>
      </x:c>
      <x:c r="U616" s="17" t="str">
        <x:v>true</x:v>
      </x:c>
      <x:c r="V616" s="17" t="str">
        <x:v>false</x:v>
      </x:c>
    </x:row>
    <x:row r="617" ht="80" customHeight="1">
      <x:c r="A617" s="25" t="str">
        <x:v>JxPath</x:v>
      </x:c>
      <x:c r="B617" s="25" t="n">
        <x:v>22</x:v>
      </x:c>
      <x:c r="C617" s="25" t="str">
        <x:v>Round1</x:v>
      </x:c>
      <x:c r="D617" s="25" t="str">
        <x:v>INCONCLUSIVE</x:v>
      </x:c>
      <x:c r="E617" s="25" t="str">
        <x:v>N/A</x:v>
      </x:c>
      <x:c r="F617" s="26" t="str">
        <x:v>Fixed also failed; assertion failure cannot be attributed to this bug</x:v>
      </x:c>
      <x:c r="G617" s="25" t="str">
        <x:v>true</x:v>
      </x:c>
      <x:c r="H617" s="25" t="str">
        <x:v>INCONCLUSIVE</x:v>
      </x:c>
      <x:c r="I617" s="25" t="str">
        <x:v>FAIL</x:v>
      </x:c>
      <x:c r="J617" s="25" t="str">
        <x:v>FAIL</x:v>
      </x:c>
      <x:c r="K617" s="25" t="n">
        <x:v>1</x:v>
      </x:c>
      <x:c r="L617" s="27" t="b">
        <x:v>0</x:v>
      </x:c>
      <x:c r="M617" s="25" t="str">
        <x:v>Gemini-3.8-flash/generation_state.json</x:v>
      </x:c>
      <x:c r="N617" s="25" t="str">
        <x:v>Gemini-3.8-flash/Result/JxPath_22/result.json</x:v>
      </x:c>
      <x:c r="O617" s="25" t="str">
        <x:v>Gemini-3.8-flash/Result/JxPath_22/result.json</x:v>
      </x:c>
      <x:c r="P617"/>
      <x:c r="Q617" s="21" t="str"/>
      <x:c r="R617" s="21" t="str"/>
      <x:c r="S617" s="21" t="str"/>
      <x:c r="T617" s="17" t="str">
        <x:v>false</x:v>
      </x:c>
      <x:c r="U617" s="17" t="str">
        <x:v>true</x:v>
      </x:c>
      <x:c r="V617" s="17" t="str">
        <x:v>false</x:v>
      </x:c>
    </x:row>
    <x:row r="618" ht="80" customHeight="1">
      <x:c r="A618" s="25" t="str">
        <x:v>JxPath</x:v>
      </x:c>
      <x:c r="B618" s="25" t="n">
        <x:v>3</x:v>
      </x:c>
      <x:c r="C618" s="25" t="str">
        <x:v>Round1</x:v>
      </x:c>
      <x:c r="D618" s="25" t="str">
        <x:v>NOT_AVAILABLE</x:v>
      </x:c>
      <x:c r="E618" s="25" t="str">
        <x:v>N/A</x:v>
      </x:c>
      <x:c r="F618" s="26" t="str">
        <x:v>Tests exist but current coverage did not complete</x:v>
      </x:c>
      <x:c r="G618" s="25" t="str">
        <x:v>true</x:v>
      </x:c>
      <x:c r="H618" s="25" t="str">
        <x:v>NOT_AVAILABLE</x:v>
      </x:c>
      <x:c r="I618" s="25" t="str">
        <x:v>NOT_RUN</x:v>
      </x:c>
      <x:c r="J618" s="25" t="str">
        <x:v>NOT_RUN</x:v>
      </x:c>
      <x:c r="K618" s="25" t="n">
        <x:v>1</x:v>
      </x:c>
      <x:c r="L618" s="27" t="b">
        <x:v>0</x:v>
      </x:c>
      <x:c r="M618" s="25" t="str">
        <x:v>Gemini-3.8-flash/generation_state.json</x:v>
      </x:c>
      <x:c r="N618" s="25" t="str">
        <x:v>Gemini-3.8-flash/Result/JxPath_3/result.json</x:v>
      </x:c>
      <x:c r="O618" s="25" t="str">
        <x:v>Gemini-3.8-flash/Result/JxPath_3/result.json</x:v>
      </x:c>
      <x:c r="P618" t="str">
        <x:v>BOTH_NOT_RUN</x:v>
      </x:c>
      <x:c r="Q618" s="21" t="str"/>
      <x:c r="R618" s="21" t="str"/>
      <x:c r="S618" s="21" t="str"/>
      <x:c r="T618" s="17" t="str">
        <x:v>false</x:v>
      </x:c>
      <x:c r="U618" s="17" t="str">
        <x:v>true</x:v>
      </x:c>
      <x:c r="V618" s="17" t="str">
        <x:v>false</x:v>
      </x:c>
    </x:row>
    <x:row r="619" ht="80" customHeight="1">
      <x:c r="A619" s="25" t="str">
        <x:v>JxPath</x:v>
      </x:c>
      <x:c r="B619" s="25" t="n">
        <x:v>4</x:v>
      </x:c>
      <x:c r="C619" s="25" t="str">
        <x:v>Round1</x:v>
      </x:c>
      <x:c r="D619" s="25" t="str">
        <x:v>NOT_AVAILABLE</x:v>
      </x:c>
      <x:c r="E619" s="25" t="str">
        <x:v>N/A</x:v>
      </x:c>
      <x:c r="F619" s="26" t="str">
        <x:v>Tests exist but current coverage did not complete</x:v>
      </x:c>
      <x:c r="G619" s="25" t="str">
        <x:v>true</x:v>
      </x:c>
      <x:c r="H619" s="25" t="str">
        <x:v>NOT_AVAILABLE</x:v>
      </x:c>
      <x:c r="I619" s="25" t="str">
        <x:v>NOT_RUN</x:v>
      </x:c>
      <x:c r="J619" s="25" t="str">
        <x:v>NOT_RUN</x:v>
      </x:c>
      <x:c r="K619" s="25" t="n">
        <x:v>2</x:v>
      </x:c>
      <x:c r="L619" s="27" t="b">
        <x:v>0</x:v>
      </x:c>
      <x:c r="M619" s="25" t="str">
        <x:v>Gemini-3.8-flash/generation_state.json</x:v>
      </x:c>
      <x:c r="N619" s="25" t="str">
        <x:v>Gemini-3.8-flash/Result/JxPath_4/result.json</x:v>
      </x:c>
      <x:c r="O619" s="25" t="str">
        <x:v>Gemini-3.8-flash/Result/JxPath_4/result.json</x:v>
      </x:c>
      <x:c r="P619" t="str">
        <x:v>BOTH_NOT_RUN</x:v>
      </x:c>
      <x:c r="Q619" s="21" t="str"/>
      <x:c r="R619" s="21" t="str"/>
      <x:c r="S619" s="21" t="str"/>
      <x:c r="T619" s="17" t="str">
        <x:v>false</x:v>
      </x:c>
      <x:c r="U619" s="17" t="str">
        <x:v>true</x:v>
      </x:c>
      <x:c r="V619" s="17" t="str">
        <x:v>false</x:v>
      </x:c>
    </x:row>
    <x:row r="620" ht="80" customHeight="1">
      <x:c r="A620" s="25" t="str">
        <x:v>JxPath</x:v>
      </x:c>
      <x:c r="B620" s="25" t="n">
        <x:v>5</x:v>
      </x:c>
      <x:c r="C620" s="25" t="str">
        <x:v>Round1</x:v>
      </x:c>
      <x:c r="D620" s="25" t="str">
        <x:v>NOT_AVAILABLE</x:v>
      </x:c>
      <x:c r="E620" s="25" t="str">
        <x:v>N/A</x:v>
      </x:c>
      <x:c r="F620" s="26" t="str">
        <x:v>Tests exist but current coverage did not complete</x:v>
      </x:c>
      <x:c r="G620" s="25" t="str">
        <x:v>true</x:v>
      </x:c>
      <x:c r="H620" s="25" t="str">
        <x:v>NOT_AVAILABLE</x:v>
      </x:c>
      <x:c r="I620" s="25" t="str">
        <x:v>NOT_RUN</x:v>
      </x:c>
      <x:c r="J620" s="25" t="str">
        <x:v>NOT_RUN</x:v>
      </x:c>
      <x:c r="K620" s="25" t="n">
        <x:v>1</x:v>
      </x:c>
      <x:c r="L620" s="27" t="b">
        <x:v>0</x:v>
      </x:c>
      <x:c r="M620" s="25" t="str">
        <x:v>Gemini-3.8-flash/generation_state.json</x:v>
      </x:c>
      <x:c r="N620" s="25" t="str">
        <x:v>Gemini-3.8-flash/Result/JxPath_5/result.json</x:v>
      </x:c>
      <x:c r="O620" s="25" t="str">
        <x:v>Gemini-3.8-flash/Result/JxPath_5/result.json</x:v>
      </x:c>
      <x:c r="P620" t="str">
        <x:v>BOTH_NOT_RUN</x:v>
      </x:c>
      <x:c r="Q620" s="21" t="str"/>
      <x:c r="R620" s="21" t="str"/>
      <x:c r="S620" s="21" t="str"/>
      <x:c r="T620" s="17" t="str">
        <x:v>false</x:v>
      </x:c>
      <x:c r="U620" s="17" t="str">
        <x:v>true</x:v>
      </x:c>
      <x:c r="V620" s="17" t="str">
        <x:v>false</x:v>
      </x:c>
    </x:row>
    <x:row r="621" ht="80" customHeight="1">
      <x:c r="A621" s="25" t="str">
        <x:v>JxPath</x:v>
      </x:c>
      <x:c r="B621" s="25" t="n">
        <x:v>6</x:v>
      </x:c>
      <x:c r="C621" s="25" t="str">
        <x:v>Round1</x:v>
      </x:c>
      <x:c r="D621" s="25" t="str">
        <x:v>NOT_AVAILABLE</x:v>
      </x:c>
      <x:c r="E621" s="25" t="str">
        <x:v>N/A</x:v>
      </x:c>
      <x:c r="F621" s="26" t="str">
        <x:v>Tests exist but current coverage did not complete</x:v>
      </x:c>
      <x:c r="G621" s="25" t="str">
        <x:v>true</x:v>
      </x:c>
      <x:c r="H621" s="25" t="str">
        <x:v>NOT_AVAILABLE</x:v>
      </x:c>
      <x:c r="I621" s="25" t="str">
        <x:v>NOT_RUN</x:v>
      </x:c>
      <x:c r="J621" s="25" t="str">
        <x:v>NOT_RUN</x:v>
      </x:c>
      <x:c r="K621" s="25" t="n">
        <x:v>1</x:v>
      </x:c>
      <x:c r="L621" s="27" t="b">
        <x:v>0</x:v>
      </x:c>
      <x:c r="M621" s="25" t="str">
        <x:v>Gemini-3.8-flash/generation_state.json</x:v>
      </x:c>
      <x:c r="N621" s="25" t="str">
        <x:v>Gemini-3.8-flash/Result/JxPath_6/result.json</x:v>
      </x:c>
      <x:c r="O621" s="25" t="str">
        <x:v>Gemini-3.8-flash/Result/JxPath_6/result.json</x:v>
      </x:c>
      <x:c r="P621" t="str">
        <x:v>BOTH_NOT_RUN</x:v>
      </x:c>
      <x:c r="Q621" s="21" t="str"/>
      <x:c r="R621" s="21" t="str"/>
      <x:c r="S621" s="21" t="str"/>
      <x:c r="T621" s="17" t="str">
        <x:v>false</x:v>
      </x:c>
      <x:c r="U621" s="17" t="str">
        <x:v>true</x:v>
      </x:c>
      <x:c r="V621" s="17" t="str">
        <x:v>false</x:v>
      </x:c>
    </x:row>
    <x:row r="622" ht="80" customHeight="1">
      <x:c r="A622" s="25" t="str">
        <x:v>JxPath</x:v>
      </x:c>
      <x:c r="B622" s="25" t="n">
        <x:v>7</x:v>
      </x:c>
      <x:c r="C622" s="25" t="str">
        <x:v>Round1</x:v>
      </x:c>
      <x:c r="D622" s="25" t="str">
        <x:v>NOT_AVAILABLE</x:v>
      </x:c>
      <x:c r="E622" s="25" t="str">
        <x:v>N/A</x:v>
      </x:c>
      <x:c r="F622" s="26" t="str">
        <x:v>Tests exist but current coverage did not complete</x:v>
      </x:c>
      <x:c r="G622" s="25" t="str">
        <x:v>true</x:v>
      </x:c>
      <x:c r="H622" s="25" t="str">
        <x:v>NOT_AVAILABLE</x:v>
      </x:c>
      <x:c r="I622" s="25" t="str">
        <x:v>NOT_RUN</x:v>
      </x:c>
      <x:c r="J622" s="25" t="str">
        <x:v>NOT_RUN</x:v>
      </x:c>
      <x:c r="K622" s="25" t="n">
        <x:v>5</x:v>
      </x:c>
      <x:c r="L622" s="27" t="b">
        <x:v>0</x:v>
      </x:c>
      <x:c r="M622" s="25" t="str">
        <x:v>Gemini-3.8-flash/generation_state.json</x:v>
      </x:c>
      <x:c r="N622" s="25" t="str">
        <x:v>Gemini-3.8-flash/Result/JxPath_7/result.json</x:v>
      </x:c>
      <x:c r="O622" s="25" t="str">
        <x:v>Gemini-3.8-flash/Result/JxPath_7/result.json</x:v>
      </x:c>
      <x:c r="P622" t="str">
        <x:v>BOTH_NOT_RUN</x:v>
      </x:c>
      <x:c r="Q622" s="21" t="str"/>
      <x:c r="R622" s="21" t="str"/>
      <x:c r="S622" s="21" t="str"/>
      <x:c r="T622" s="17" t="str">
        <x:v>false</x:v>
      </x:c>
      <x:c r="U622" s="17" t="str">
        <x:v>true</x:v>
      </x:c>
      <x:c r="V622" s="17" t="str">
        <x:v>false</x:v>
      </x:c>
    </x:row>
    <x:row r="623" ht="80" customHeight="1">
      <x:c r="A623" s="25" t="str">
        <x:v>JxPath</x:v>
      </x:c>
      <x:c r="B623" s="25" t="n">
        <x:v>8</x:v>
      </x:c>
      <x:c r="C623" s="25" t="str">
        <x:v>Round1</x:v>
      </x:c>
      <x:c r="D623" s="25" t="str">
        <x:v>NOT_AVAILABLE</x:v>
      </x:c>
      <x:c r="E623" s="25" t="str">
        <x:v>N/A</x:v>
      </x:c>
      <x:c r="F623" s="26" t="str">
        <x:v>Tests exist but current coverage did not complete</x:v>
      </x:c>
      <x:c r="G623" s="25" t="str">
        <x:v>true</x:v>
      </x:c>
      <x:c r="H623" s="25" t="str">
        <x:v>NOT_AVAILABLE</x:v>
      </x:c>
      <x:c r="I623" s="25" t="str">
        <x:v>NOT_RUN</x:v>
      </x:c>
      <x:c r="J623" s="25" t="str">
        <x:v>NOT_RUN</x:v>
      </x:c>
      <x:c r="K623" s="25" t="n">
        <x:v>1</x:v>
      </x:c>
      <x:c r="L623" s="27" t="b">
        <x:v>0</x:v>
      </x:c>
      <x:c r="M623" s="25" t="str">
        <x:v>Gemini-3.8-flash/generation_state.json</x:v>
      </x:c>
      <x:c r="N623" s="25" t="str">
        <x:v>Gemini-3.8-flash/Result/JxPath_8/result.json</x:v>
      </x:c>
      <x:c r="O623" s="25" t="str">
        <x:v>Gemini-3.8-flash/Result/JxPath_8/result.json</x:v>
      </x:c>
      <x:c r="P623" t="str">
        <x:v>BOTH_NOT_RUN</x:v>
      </x:c>
      <x:c r="Q623" s="21" t="str"/>
      <x:c r="R623" s="21" t="str"/>
      <x:c r="S623" s="21" t="str"/>
      <x:c r="T623" s="17" t="str">
        <x:v>false</x:v>
      </x:c>
      <x:c r="U623" s="17" t="str">
        <x:v>true</x:v>
      </x:c>
      <x:c r="V623" s="17" t="str">
        <x:v>false</x:v>
      </x:c>
    </x:row>
    <x:row r="624" ht="80" customHeight="1">
      <x:c r="A624" s="25" t="str">
        <x:v>JxPath</x:v>
      </x:c>
      <x:c r="B624" s="25" t="n">
        <x:v>9</x:v>
      </x:c>
      <x:c r="C624" s="25" t="str">
        <x:v>Round1</x:v>
      </x:c>
      <x:c r="D624" s="25" t="str">
        <x:v>NOT_AVAILABLE</x:v>
      </x:c>
      <x:c r="E624" s="25" t="str">
        <x:v>N/A</x:v>
      </x:c>
      <x:c r="F624" s="26" t="str">
        <x:v>Tests exist but current coverage did not complete</x:v>
      </x:c>
      <x:c r="G624" s="25" t="str">
        <x:v>true</x:v>
      </x:c>
      <x:c r="H624" s="25" t="str">
        <x:v>NOT_AVAILABLE</x:v>
      </x:c>
      <x:c r="I624" s="25" t="str">
        <x:v>NOT_RUN</x:v>
      </x:c>
      <x:c r="J624" s="25" t="str">
        <x:v>NOT_RUN</x:v>
      </x:c>
      <x:c r="K624" s="25" t="n">
        <x:v>3</x:v>
      </x:c>
      <x:c r="L624" s="27" t="b">
        <x:v>0</x:v>
      </x:c>
      <x:c r="M624" s="25" t="str">
        <x:v>Gemini-3.8-flash/generation_state.json</x:v>
      </x:c>
      <x:c r="N624" s="25" t="str">
        <x:v>Gemini-3.8-flash/Result/JxPath_9/result.json</x:v>
      </x:c>
      <x:c r="O624" s="25" t="str">
        <x:v>Gemini-3.8-flash/Result/JxPath_9/result.json</x:v>
      </x:c>
      <x:c r="P624" t="str">
        <x:v>BOTH_NOT_RUN</x:v>
      </x:c>
      <x:c r="Q624" s="21" t="str"/>
      <x:c r="R624" s="21" t="str"/>
      <x:c r="S624" s="21" t="str"/>
      <x:c r="T624" s="17" t="str">
        <x:v>false</x:v>
      </x:c>
      <x:c r="U624" s="17" t="str">
        <x:v>true</x:v>
      </x:c>
      <x:c r="V624" s="17" t="str">
        <x:v>false</x:v>
      </x:c>
    </x:row>
    <x:row r="625" ht="80" customHeight="1">
      <x:c r="A625" s="25" t="str">
        <x:v>Lang</x:v>
      </x:c>
      <x:c r="B625" s="25" t="n">
        <x:v>1</x:v>
      </x:c>
      <x:c r="C625" s="25" t="str">
        <x:v>Round1</x:v>
      </x:c>
      <x:c r="D625" s="25" t="str">
        <x:v>INCONCLUSIVE</x:v>
      </x:c>
      <x:c r="E625" s="25" t="str">
        <x:v>N/A</x:v>
      </x:c>
      <x:c r="F625" s="26" t="str">
        <x:v>Fixed also failed; assertion failure cannot be attributed to this bug</x:v>
      </x:c>
      <x:c r="G625" s="25" t="str">
        <x:v>true</x:v>
      </x:c>
      <x:c r="H625" s="25" t="str">
        <x:v>INCONCLUSIVE</x:v>
      </x:c>
      <x:c r="I625" s="25" t="str">
        <x:v>FAIL</x:v>
      </x:c>
      <x:c r="J625" s="25" t="str">
        <x:v>FAIL</x:v>
      </x:c>
      <x:c r="K625" s="25" t="n">
        <x:v>1</x:v>
      </x:c>
      <x:c r="L625" s="27" t="b">
        <x:v>0</x:v>
      </x:c>
      <x:c r="M625" s="25" t="str">
        <x:v>Gemini-3.8-flash/generation_state.json</x:v>
      </x:c>
      <x:c r="N625" s="25" t="str">
        <x:v>Gemini-3.8-flash/Result/Lang_1/result.json</x:v>
      </x:c>
      <x:c r="O625" s="25" t="str">
        <x:v>Gemini-3.8-flash/Result/Lang_1/result.json</x:v>
      </x:c>
      <x:c r="P625"/>
      <x:c r="Q625" s="21" t="str"/>
      <x:c r="R625" s="21" t="str"/>
      <x:c r="S625" s="21" t="str"/>
      <x:c r="T625" s="17" t="str">
        <x:v>false</x:v>
      </x:c>
      <x:c r="U625" s="17" t="str">
        <x:v>true</x:v>
      </x:c>
      <x:c r="V625" s="17" t="str">
        <x:v>false</x:v>
      </x:c>
    </x:row>
    <x:row r="626" ht="80" customHeight="1">
      <x:c r="A626" s="25" t="str">
        <x:v>Lang</x:v>
      </x:c>
      <x:c r="B626" s="25" t="n">
        <x:v>10</x:v>
      </x:c>
      <x:c r="C626" s="25" t="str">
        <x:v>Round1</x:v>
      </x:c>
      <x:c r="D626" s="25" t="str">
        <x:v>NOT_AVAILABLE</x:v>
      </x:c>
      <x:c r="E626" s="25" t="str">
        <x:v>N/A</x:v>
      </x:c>
      <x:c r="F626" s="26" t="str">
        <x:v>Tests exist but current coverage did not complete</x:v>
      </x:c>
      <x:c r="G626" s="25" t="str">
        <x:v>true</x:v>
      </x:c>
      <x:c r="H626" s="25" t="str">
        <x:v>NOT_AVAILABLE</x:v>
      </x:c>
      <x:c r="I626" s="25" t="str">
        <x:v>NOT_RUN</x:v>
      </x:c>
      <x:c r="J626" s="25" t="str">
        <x:v>NOT_RUN</x:v>
      </x:c>
      <x:c r="K626" s="25" t="n">
        <x:v>1</x:v>
      </x:c>
      <x:c r="L626" s="27" t="b">
        <x:v>0</x:v>
      </x:c>
      <x:c r="M626" s="25" t="str">
        <x:v>Gemini-3.8-flash/generation_state.json</x:v>
      </x:c>
      <x:c r="N626" s="25" t="str">
        <x:v>Gemini-3.8-flash/Result/Lang_10/result.json</x:v>
      </x:c>
      <x:c r="O626" s="25" t="str">
        <x:v>Gemini-3.8-flash/Result/Lang_10/result.json</x:v>
      </x:c>
      <x:c r="P626" t="str">
        <x:v>BOTH_NOT_RUN</x:v>
      </x:c>
      <x:c r="Q626" s="21" t="str"/>
      <x:c r="R626" s="21" t="str"/>
      <x:c r="S626" s="21" t="str"/>
      <x:c r="T626" s="17" t="str">
        <x:v>false</x:v>
      </x:c>
      <x:c r="U626" s="17" t="str">
        <x:v>true</x:v>
      </x:c>
      <x:c r="V626" s="17" t="str">
        <x:v>false</x:v>
      </x:c>
    </x:row>
    <x:row r="627" ht="80" customHeight="1">
      <x:c r="A627" s="25" t="str">
        <x:v>Lang</x:v>
      </x:c>
      <x:c r="B627" s="25" t="n">
        <x:v>11</x:v>
      </x:c>
      <x:c r="C627" s="25" t="str">
        <x:v>Round1</x:v>
      </x:c>
      <x:c r="D627" s="25" t="str">
        <x:v>NOT_REVEALING</x:v>
      </x:c>
      <x:c r="E627" s="25" t="str">
        <x:v>N/A</x:v>
      </x:c>
      <x:c r="F627" s="26" t="str">
        <x:v>Same saved validation suite passed on buggy and fixed</x:v>
      </x:c>
      <x:c r="G627" s="25" t="str">
        <x:v>true</x:v>
      </x:c>
      <x:c r="H627" s="25" t="str">
        <x:v>NOT_REVEALING</x:v>
      </x:c>
      <x:c r="I627" s="25" t="str">
        <x:v>PASS</x:v>
      </x:c>
      <x:c r="J627" s="25" t="str">
        <x:v>PASS</x:v>
      </x:c>
      <x:c r="K627" s="25" t="n">
        <x:v>1</x:v>
      </x:c>
      <x:c r="L627" s="27" t="b">
        <x:v>0</x:v>
      </x:c>
      <x:c r="M627" s="25" t="str">
        <x:v>Gemini-3.8-flash/generation_state.json</x:v>
      </x:c>
      <x:c r="N627" s="25" t="str">
        <x:v>Gemini-3.8-flash/Result/Lang_11/result.json</x:v>
      </x:c>
      <x:c r="O627" s="25" t="str">
        <x:v>Gemini-3.8-flash/Result/Lang_11/result.json</x:v>
      </x:c>
      <x:c r="P627"/>
      <x:c r="Q627" s="21" t="str"/>
      <x:c r="R627" s="21" t="str"/>
      <x:c r="S627" s="21" t="str"/>
      <x:c r="T627" s="17" t="str">
        <x:v>false</x:v>
      </x:c>
      <x:c r="U627" s="17" t="str">
        <x:v>true</x:v>
      </x:c>
      <x:c r="V627" s="17" t="str">
        <x:v>false</x:v>
      </x:c>
    </x:row>
    <x:row r="628" ht="80" customHeight="1">
      <x:c r="A628" s="25" t="str">
        <x:v>Lang</x:v>
      </x:c>
      <x:c r="B628" s="25" t="n">
        <x:v>12</x:v>
      </x:c>
      <x:c r="C628" s="25" t="str">
        <x:v>Round1</x:v>
      </x:c>
      <x:c r="D628" s="25" t="str">
        <x:v>INCONCLUSIVE</x:v>
      </x:c>
      <x:c r="E628" s="25" t="str">
        <x:v>N/A</x:v>
      </x:c>
      <x:c r="F628" s="26" t="str">
        <x:v>Fixed also failed; assertion failure cannot be attributed to this bug</x:v>
      </x:c>
      <x:c r="G628" s="25" t="str">
        <x:v>true</x:v>
      </x:c>
      <x:c r="H628" s="25" t="str">
        <x:v>INCONCLUSIVE</x:v>
      </x:c>
      <x:c r="I628" s="25" t="str">
        <x:v>FAIL</x:v>
      </x:c>
      <x:c r="J628" s="25" t="str">
        <x:v>FAIL</x:v>
      </x:c>
      <x:c r="K628" s="25" t="n">
        <x:v>1</x:v>
      </x:c>
      <x:c r="L628" s="27" t="b">
        <x:v>0</x:v>
      </x:c>
      <x:c r="M628" s="25" t="str">
        <x:v>Gemini-3.8-flash/generation_state.json</x:v>
      </x:c>
      <x:c r="N628" s="25" t="str">
        <x:v>Gemini-3.8-flash/Result/Lang_12/result.json</x:v>
      </x:c>
      <x:c r="O628" s="25" t="str">
        <x:v>Gemini-3.8-flash/Result/Lang_12/result.json</x:v>
      </x:c>
      <x:c r="P628"/>
      <x:c r="Q628" s="21" t="str"/>
      <x:c r="R628" s="21" t="str"/>
      <x:c r="S628" s="21" t="str"/>
      <x:c r="T628" s="17" t="str">
        <x:v>false</x:v>
      </x:c>
      <x:c r="U628" s="17" t="str">
        <x:v>true</x:v>
      </x:c>
      <x:c r="V628" s="17" t="str">
        <x:v>false</x:v>
      </x:c>
    </x:row>
    <x:row r="629" ht="80" customHeight="1">
      <x:c r="A629" s="25" t="str">
        <x:v>Lang</x:v>
      </x:c>
      <x:c r="B629" s="25" t="n">
        <x:v>13</x:v>
      </x:c>
      <x:c r="C629" s="25" t="str">
        <x:v>Round1</x:v>
      </x:c>
      <x:c r="D629" s="25" t="str">
        <x:v>NOT_REVEALING</x:v>
      </x:c>
      <x:c r="E629" s="25" t="str">
        <x:v>N/A</x:v>
      </x:c>
      <x:c r="F629" s="26" t="str">
        <x:v>Same saved validation suite passed on buggy and fixed</x:v>
      </x:c>
      <x:c r="G629" s="25" t="str">
        <x:v>true</x:v>
      </x:c>
      <x:c r="H629" s="25" t="str">
        <x:v>NOT_REVEALING</x:v>
      </x:c>
      <x:c r="I629" s="25" t="str">
        <x:v>PASS</x:v>
      </x:c>
      <x:c r="J629" s="25" t="str">
        <x:v>PASS</x:v>
      </x:c>
      <x:c r="K629" s="25" t="n">
        <x:v>1</x:v>
      </x:c>
      <x:c r="L629" s="27" t="b">
        <x:v>0</x:v>
      </x:c>
      <x:c r="M629" s="25" t="str">
        <x:v>Gemini-3.8-flash/generation_state.json</x:v>
      </x:c>
      <x:c r="N629" s="25" t="str">
        <x:v>Gemini-3.8-flash/Result/Lang_13/result.json</x:v>
      </x:c>
      <x:c r="O629" s="25" t="str">
        <x:v>Gemini-3.8-flash/Result/Lang_13/result.json</x:v>
      </x:c>
      <x:c r="P629"/>
      <x:c r="Q629" s="21" t="str"/>
      <x:c r="R629" s="21" t="str"/>
      <x:c r="S629" s="21" t="str"/>
      <x:c r="T629" s="17" t="str">
        <x:v>false</x:v>
      </x:c>
      <x:c r="U629" s="17" t="str">
        <x:v>true</x:v>
      </x:c>
      <x:c r="V629" s="17" t="str">
        <x:v>false</x:v>
      </x:c>
    </x:row>
    <x:row r="630" ht="80" customHeight="1">
      <x:c r="A630" s="25" t="str">
        <x:v>Lang</x:v>
      </x:c>
      <x:c r="B630" s="25" t="n">
        <x:v>14</x:v>
      </x:c>
      <x:c r="C630" s="25" t="str">
        <x:v>Round1</x:v>
      </x:c>
      <x:c r="D630" s="25" t="str">
        <x:v>INCONCLUSIVE</x:v>
      </x:c>
      <x:c r="E630" s="25" t="str">
        <x:v>N/A</x:v>
      </x:c>
      <x:c r="F630" s="26" t="str">
        <x:v>Fixed also failed; assertion failure cannot be attributed to this bug</x:v>
      </x:c>
      <x:c r="G630" s="25" t="str">
        <x:v>true</x:v>
      </x:c>
      <x:c r="H630" s="25" t="str">
        <x:v>INCONCLUSIVE</x:v>
      </x:c>
      <x:c r="I630" s="25" t="str">
        <x:v>FAIL</x:v>
      </x:c>
      <x:c r="J630" s="25" t="str">
        <x:v>FAIL</x:v>
      </x:c>
      <x:c r="K630" s="25" t="n">
        <x:v>1</x:v>
      </x:c>
      <x:c r="L630" s="27" t="b">
        <x:v>0</x:v>
      </x:c>
      <x:c r="M630" s="25" t="str">
        <x:v>Gemini-3.8-flash/generation_state.json</x:v>
      </x:c>
      <x:c r="N630" s="25" t="str">
        <x:v>Gemini-3.8-flash/Result/Lang_14/result.json</x:v>
      </x:c>
      <x:c r="O630" s="25" t="str">
        <x:v>Gemini-3.8-flash/Result/Lang_14/result.json</x:v>
      </x:c>
      <x:c r="P630"/>
      <x:c r="Q630" s="21" t="str"/>
      <x:c r="R630" s="21" t="str"/>
      <x:c r="S630" s="21" t="str"/>
      <x:c r="T630" s="17" t="str">
        <x:v>false</x:v>
      </x:c>
      <x:c r="U630" s="17" t="str">
        <x:v>true</x:v>
      </x:c>
      <x:c r="V630" s="17" t="str">
        <x:v>false</x:v>
      </x:c>
    </x:row>
    <x:row r="631" ht="80" customHeight="1">
      <x:c r="A631" s="25" t="str">
        <x:v>Lang</x:v>
      </x:c>
      <x:c r="B631" s="25" t="n">
        <x:v>15</x:v>
      </x:c>
      <x:c r="C631" s="25" t="str">
        <x:v>Round1</x:v>
      </x:c>
      <x:c r="D631" s="25" t="str">
        <x:v>INCONCLUSIVE</x:v>
      </x:c>
      <x:c r="E631" s="25" t="str">
        <x:v>N/A</x:v>
      </x:c>
      <x:c r="F631" s="26" t="str">
        <x:v>Fixed also failed; assertion failure cannot be attributed to this bug</x:v>
      </x:c>
      <x:c r="G631" s="25" t="str">
        <x:v>true</x:v>
      </x:c>
      <x:c r="H631" s="25" t="str">
        <x:v>INCONCLUSIVE</x:v>
      </x:c>
      <x:c r="I631" s="25" t="str">
        <x:v>FAIL</x:v>
      </x:c>
      <x:c r="J631" s="25" t="str">
        <x:v>FAIL</x:v>
      </x:c>
      <x:c r="K631" s="25" t="n">
        <x:v>1</x:v>
      </x:c>
      <x:c r="L631" s="27" t="b">
        <x:v>0</x:v>
      </x:c>
      <x:c r="M631" s="25" t="str">
        <x:v>Gemini-3.8-flash/generation_state.json</x:v>
      </x:c>
      <x:c r="N631" s="25" t="str">
        <x:v>Gemini-3.8-flash/Result/Lang_15/result.json</x:v>
      </x:c>
      <x:c r="O631" s="25" t="str">
        <x:v>Gemini-3.8-flash/Result/Lang_15/result.json</x:v>
      </x:c>
      <x:c r="P631"/>
      <x:c r="Q631" s="21" t="str"/>
      <x:c r="R631" s="21" t="str"/>
      <x:c r="S631" s="21" t="str"/>
      <x:c r="T631" s="17" t="str">
        <x:v>false</x:v>
      </x:c>
      <x:c r="U631" s="17" t="str">
        <x:v>true</x:v>
      </x:c>
      <x:c r="V631" s="17" t="str">
        <x:v>false</x:v>
      </x:c>
    </x:row>
    <x:row r="632" ht="80" customHeight="1">
      <x:c r="A632" s="25" t="str">
        <x:v>Lang</x:v>
      </x:c>
      <x:c r="B632" s="25" t="n">
        <x:v>16</x:v>
      </x:c>
      <x:c r="C632" s="25" t="str">
        <x:v>Round1</x:v>
      </x:c>
      <x:c r="D632" s="25" t="str">
        <x:v>NOT_AVAILABLE</x:v>
      </x:c>
      <x:c r="E632" s="25" t="str">
        <x:v>N/A</x:v>
      </x:c>
      <x:c r="F632" s="26" t="str">
        <x:v>Tests exist but current coverage did not complete</x:v>
      </x:c>
      <x:c r="G632" s="25" t="str">
        <x:v>true</x:v>
      </x:c>
      <x:c r="H632" s="25" t="str">
        <x:v>NOT_AVAILABLE</x:v>
      </x:c>
      <x:c r="I632" s="25" t="str">
        <x:v>NOT_RUN</x:v>
      </x:c>
      <x:c r="J632" s="25" t="str">
        <x:v>NOT_RUN</x:v>
      </x:c>
      <x:c r="K632" s="25" t="n">
        <x:v>1</x:v>
      </x:c>
      <x:c r="L632" s="27" t="b">
        <x:v>0</x:v>
      </x:c>
      <x:c r="M632" s="25" t="str">
        <x:v>Gemini-3.8-flash/generation_state.json</x:v>
      </x:c>
      <x:c r="N632" s="25" t="str">
        <x:v>Gemini-3.8-flash/Result/Lang_16/result.json</x:v>
      </x:c>
      <x:c r="O632" s="25" t="str">
        <x:v>Gemini-3.8-flash/Result/Lang_16/result.json</x:v>
      </x:c>
      <x:c r="P632" t="str">
        <x:v>BOTH_NOT_RUN</x:v>
      </x:c>
      <x:c r="Q632" s="21" t="str"/>
      <x:c r="R632" s="21" t="str"/>
      <x:c r="S632" s="21" t="str"/>
      <x:c r="T632" s="17" t="str">
        <x:v>false</x:v>
      </x:c>
      <x:c r="U632" s="17" t="str">
        <x:v>true</x:v>
      </x:c>
      <x:c r="V632" s="17" t="str">
        <x:v>false</x:v>
      </x:c>
    </x:row>
    <x:row r="633" ht="80" customHeight="1">
      <x:c r="A633" s="25" t="str">
        <x:v>Lang</x:v>
      </x:c>
      <x:c r="B633" s="25" t="n">
        <x:v>17</x:v>
      </x:c>
      <x:c r="C633" s="25" t="str">
        <x:v>Round1</x:v>
      </x:c>
      <x:c r="D633" s="25" t="str">
        <x:v>INCONCLUSIVE</x:v>
      </x:c>
      <x:c r="E633" s="25" t="str">
        <x:v>N/A</x:v>
      </x:c>
      <x:c r="F633" s="26" t="str">
        <x:v>Fixed also failed; assertion failure cannot be attributed to this bug</x:v>
      </x:c>
      <x:c r="G633" s="25" t="str">
        <x:v>true</x:v>
      </x:c>
      <x:c r="H633" s="25" t="str">
        <x:v>INCONCLUSIVE</x:v>
      </x:c>
      <x:c r="I633" s="25" t="str">
        <x:v>FAIL</x:v>
      </x:c>
      <x:c r="J633" s="25" t="str">
        <x:v>FAIL</x:v>
      </x:c>
      <x:c r="K633" s="25" t="n">
        <x:v>1</x:v>
      </x:c>
      <x:c r="L633" s="27" t="b">
        <x:v>0</x:v>
      </x:c>
      <x:c r="M633" s="25" t="str">
        <x:v>Gemini-3.8-flash/generation_state.json</x:v>
      </x:c>
      <x:c r="N633" s="25" t="str">
        <x:v>Gemini-3.8-flash/Result/Lang_17/result.json</x:v>
      </x:c>
      <x:c r="O633" s="25" t="str">
        <x:v>Gemini-3.8-flash/Result/Lang_17/result.json</x:v>
      </x:c>
      <x:c r="P633"/>
      <x:c r="Q633" s="21" t="str"/>
      <x:c r="R633" s="21" t="str"/>
      <x:c r="S633" s="21" t="str"/>
      <x:c r="T633" s="17" t="str">
        <x:v>false</x:v>
      </x:c>
      <x:c r="U633" s="17" t="str">
        <x:v>true</x:v>
      </x:c>
      <x:c r="V633" s="17" t="str">
        <x:v>false</x:v>
      </x:c>
    </x:row>
    <x:row r="634" ht="80" customHeight="1">
      <x:c r="A634" s="25" t="str">
        <x:v>Lang</x:v>
      </x:c>
      <x:c r="B634" s="25" t="n">
        <x:v>19</x:v>
      </x:c>
      <x:c r="C634" s="25" t="str">
        <x:v>Round1</x:v>
      </x:c>
      <x:c r="D634" s="25" t="str">
        <x:v>INCONCLUSIVE</x:v>
      </x:c>
      <x:c r="E634" s="25" t="str">
        <x:v>N/A</x:v>
      </x:c>
      <x:c r="F634" s="26" t="str">
        <x:v>Fixed also failed; assertion failure cannot be attributed to this bug</x:v>
      </x:c>
      <x:c r="G634" s="25" t="str">
        <x:v>true</x:v>
      </x:c>
      <x:c r="H634" s="25" t="str">
        <x:v>INCONCLUSIVE</x:v>
      </x:c>
      <x:c r="I634" s="25" t="str">
        <x:v>PASS</x:v>
      </x:c>
      <x:c r="J634" s="25" t="str">
        <x:v>FAIL</x:v>
      </x:c>
      <x:c r="K634" s="25" t="n">
        <x:v>1</x:v>
      </x:c>
      <x:c r="L634" s="27" t="b">
        <x:v>0</x:v>
      </x:c>
      <x:c r="M634" s="25" t="str">
        <x:v>Gemini-3.8-flash/generation_state.json</x:v>
      </x:c>
      <x:c r="N634" s="25" t="str">
        <x:v>Gemini-3.8-flash/Result/Lang_19/result.json</x:v>
      </x:c>
      <x:c r="O634" s="25" t="str">
        <x:v>Gemini-3.8-flash/Result/Lang_19/result.json</x:v>
      </x:c>
      <x:c r="P634"/>
      <x:c r="Q634" s="21" t="str"/>
      <x:c r="R634" s="21" t="str"/>
      <x:c r="S634" s="21" t="str"/>
      <x:c r="T634" s="17" t="str">
        <x:v>false</x:v>
      </x:c>
      <x:c r="U634" s="17" t="str">
        <x:v>true</x:v>
      </x:c>
      <x:c r="V634" s="17" t="str">
        <x:v>false</x:v>
      </x:c>
    </x:row>
    <x:row r="635" ht="80" customHeight="1">
      <x:c r="A635" s="25" t="str">
        <x:v>Lang</x:v>
      </x:c>
      <x:c r="B635" s="25" t="n">
        <x:v>20</x:v>
      </x:c>
      <x:c r="C635" s="25" t="str">
        <x:v>Round1</x:v>
      </x:c>
      <x:c r="D635" s="25" t="str">
        <x:v>INCONCLUSIVE</x:v>
      </x:c>
      <x:c r="E635" s="25" t="str">
        <x:v>N/A</x:v>
      </x:c>
      <x:c r="F635" s="26" t="str">
        <x:v>Fixed also failed; assertion failure cannot be attributed to this bug</x:v>
      </x:c>
      <x:c r="G635" s="25" t="str">
        <x:v>true</x:v>
      </x:c>
      <x:c r="H635" s="25" t="str">
        <x:v>INCONCLUSIVE</x:v>
      </x:c>
      <x:c r="I635" s="25" t="str">
        <x:v>FAIL</x:v>
      </x:c>
      <x:c r="J635" s="25" t="str">
        <x:v>FAIL</x:v>
      </x:c>
      <x:c r="K635" s="25" t="n">
        <x:v>1</x:v>
      </x:c>
      <x:c r="L635" s="27" t="b">
        <x:v>0</x:v>
      </x:c>
      <x:c r="M635" s="25" t="str">
        <x:v>Gemini-3.8-flash/generation_state.json</x:v>
      </x:c>
      <x:c r="N635" s="25" t="str">
        <x:v>Gemini-3.8-flash/Result/Lang_20/result.json</x:v>
      </x:c>
      <x:c r="O635" s="25" t="str">
        <x:v>Gemini-3.8-flash/Result/Lang_20/result.json</x:v>
      </x:c>
      <x:c r="P635"/>
      <x:c r="Q635" s="21" t="str"/>
      <x:c r="R635" s="21" t="str"/>
      <x:c r="S635" s="21" t="str"/>
      <x:c r="T635" s="17" t="str">
        <x:v>false</x:v>
      </x:c>
      <x:c r="U635" s="17" t="str">
        <x:v>true</x:v>
      </x:c>
      <x:c r="V635" s="17" t="str">
        <x:v>false</x:v>
      </x:c>
    </x:row>
    <x:row r="636" ht="80" customHeight="1">
      <x:c r="A636" s="25" t="str">
        <x:v>Lang</x:v>
      </x:c>
      <x:c r="B636" s="25" t="n">
        <x:v>21</x:v>
      </x:c>
      <x:c r="C636" s="25" t="str">
        <x:v>Round1</x:v>
      </x:c>
      <x:c r="D636" s="25" t="str">
        <x:v>NOT_REVEALING</x:v>
      </x:c>
      <x:c r="E636" s="25" t="str">
        <x:v>N/A</x:v>
      </x:c>
      <x:c r="F636" s="26" t="str">
        <x:v>Same saved validation suite passed on buggy and fixed</x:v>
      </x:c>
      <x:c r="G636" s="25" t="str">
        <x:v>true</x:v>
      </x:c>
      <x:c r="H636" s="25" t="str">
        <x:v>NOT_REVEALING</x:v>
      </x:c>
      <x:c r="I636" s="25" t="str">
        <x:v>PASS</x:v>
      </x:c>
      <x:c r="J636" s="25" t="str">
        <x:v>PASS</x:v>
      </x:c>
      <x:c r="K636" s="25" t="n">
        <x:v>1</x:v>
      </x:c>
      <x:c r="L636" s="27" t="b">
        <x:v>0</x:v>
      </x:c>
      <x:c r="M636" s="25" t="str">
        <x:v>Gemini-3.8-flash/generation_state.json</x:v>
      </x:c>
      <x:c r="N636" s="25" t="str">
        <x:v>Gemini-3.8-flash/Result/Lang_21/result.json</x:v>
      </x:c>
      <x:c r="O636" s="25" t="str">
        <x:v>Gemini-3.8-flash/Result/Lang_21/result.json</x:v>
      </x:c>
      <x:c r="P636"/>
      <x:c r="Q636" s="21" t="str"/>
      <x:c r="R636" s="21" t="str"/>
      <x:c r="S636" s="21" t="str"/>
      <x:c r="T636" s="17" t="str">
        <x:v>false</x:v>
      </x:c>
      <x:c r="U636" s="17" t="str">
        <x:v>true</x:v>
      </x:c>
      <x:c r="V636" s="17" t="str">
        <x:v>false</x:v>
      </x:c>
    </x:row>
    <x:row r="637" ht="80" customHeight="1">
      <x:c r="A637" s="25" t="str">
        <x:v>Lang</x:v>
      </x:c>
      <x:c r="B637" s="25" t="n">
        <x:v>22</x:v>
      </x:c>
      <x:c r="C637" s="25" t="str">
        <x:v>Round1</x:v>
      </x:c>
      <x:c r="D637" s="25" t="str">
        <x:v>INCONCLUSIVE</x:v>
      </x:c>
      <x:c r="E637" s="25" t="str">
        <x:v>N/A</x:v>
      </x:c>
      <x:c r="F637" s="26" t="str">
        <x:v>Fixed also failed; assertion failure cannot be attributed to this bug</x:v>
      </x:c>
      <x:c r="G637" s="25" t="str">
        <x:v>true</x:v>
      </x:c>
      <x:c r="H637" s="25" t="str">
        <x:v>INCONCLUSIVE</x:v>
      </x:c>
      <x:c r="I637" s="25" t="str">
        <x:v>FAIL</x:v>
      </x:c>
      <x:c r="J637" s="25" t="str">
        <x:v>FAIL</x:v>
      </x:c>
      <x:c r="K637" s="25" t="n">
        <x:v>1</x:v>
      </x:c>
      <x:c r="L637" s="27" t="b">
        <x:v>0</x:v>
      </x:c>
      <x:c r="M637" s="25" t="str">
        <x:v>Gemini-3.8-flash/generation_state.json</x:v>
      </x:c>
      <x:c r="N637" s="25" t="str">
        <x:v>Gemini-3.8-flash/Result/Lang_22/result.json</x:v>
      </x:c>
      <x:c r="O637" s="25" t="str">
        <x:v>Gemini-3.8-flash/Result/Lang_22/result.json</x:v>
      </x:c>
      <x:c r="P637"/>
      <x:c r="Q637" s="21" t="str"/>
      <x:c r="R637" s="21" t="str"/>
      <x:c r="S637" s="21" t="str"/>
      <x:c r="T637" s="17" t="str">
        <x:v>false</x:v>
      </x:c>
      <x:c r="U637" s="17" t="str">
        <x:v>true</x:v>
      </x:c>
      <x:c r="V637" s="17" t="str">
        <x:v>false</x:v>
      </x:c>
    </x:row>
    <x:row r="638" ht="80" customHeight="1">
      <x:c r="A638" s="25" t="str">
        <x:v>Lang</x:v>
      </x:c>
      <x:c r="B638" s="25" t="n">
        <x:v>23</x:v>
      </x:c>
      <x:c r="C638" s="25" t="str">
        <x:v>Round1</x:v>
      </x:c>
      <x:c r="D638" s="25" t="str">
        <x:v>INCONCLUSIVE</x:v>
      </x:c>
      <x:c r="E638" s="25" t="str">
        <x:v>N/A</x:v>
      </x:c>
      <x:c r="F638" s="26" t="str">
        <x:v>Fixed also failed; assertion failure cannot be attributed to this bug</x:v>
      </x:c>
      <x:c r="G638" s="25" t="str">
        <x:v>true</x:v>
      </x:c>
      <x:c r="H638" s="25" t="str">
        <x:v>INCONCLUSIVE</x:v>
      </x:c>
      <x:c r="I638" s="25" t="str">
        <x:v>FAIL</x:v>
      </x:c>
      <x:c r="J638" s="25" t="str">
        <x:v>FAIL</x:v>
      </x:c>
      <x:c r="K638" s="25" t="n">
        <x:v>1</x:v>
      </x:c>
      <x:c r="L638" s="27" t="b">
        <x:v>0</x:v>
      </x:c>
      <x:c r="M638" s="25" t="str">
        <x:v>Gemini-3.8-flash/generation_state.json</x:v>
      </x:c>
      <x:c r="N638" s="25" t="str">
        <x:v>Gemini-3.8-flash/Result/Lang_23/result.json</x:v>
      </x:c>
      <x:c r="O638" s="25" t="str">
        <x:v>Gemini-3.8-flash/Result/Lang_23/result.json</x:v>
      </x:c>
      <x:c r="P638"/>
      <x:c r="Q638" s="21" t="str"/>
      <x:c r="R638" s="21" t="str"/>
      <x:c r="S638" s="21" t="str"/>
      <x:c r="T638" s="17" t="str">
        <x:v>false</x:v>
      </x:c>
      <x:c r="U638" s="17" t="str">
        <x:v>true</x:v>
      </x:c>
      <x:c r="V638" s="17" t="str">
        <x:v>false</x:v>
      </x:c>
    </x:row>
    <x:row r="639" ht="80" customHeight="1">
      <x:c r="A639" s="25" t="str">
        <x:v>Lang</x:v>
      </x:c>
      <x:c r="B639" s="25" t="n">
        <x:v>24</x:v>
      </x:c>
      <x:c r="C639" s="25" t="str">
        <x:v>Round1</x:v>
      </x:c>
      <x:c r="D639" s="25" t="str">
        <x:v>INCONCLUSIVE</x:v>
      </x:c>
      <x:c r="E639" s="25" t="str">
        <x:v>N/A</x:v>
      </x:c>
      <x:c r="F639" s="26" t="str">
        <x:v>Fixed also failed; assertion failure cannot be attributed to this bug</x:v>
      </x:c>
      <x:c r="G639" s="25" t="str">
        <x:v>true</x:v>
      </x:c>
      <x:c r="H639" s="25" t="str">
        <x:v>INCONCLUSIVE</x:v>
      </x:c>
      <x:c r="I639" s="25" t="str">
        <x:v>FAIL</x:v>
      </x:c>
      <x:c r="J639" s="25" t="str">
        <x:v>FAIL</x:v>
      </x:c>
      <x:c r="K639" s="25" t="n">
        <x:v>1</x:v>
      </x:c>
      <x:c r="L639" s="27" t="b">
        <x:v>0</x:v>
      </x:c>
      <x:c r="M639" s="25" t="str">
        <x:v>Gemini-3.8-flash/generation_state.json</x:v>
      </x:c>
      <x:c r="N639" s="25" t="str">
        <x:v>Gemini-3.8-flash/Result/Lang_24/result.json</x:v>
      </x:c>
      <x:c r="O639" s="25" t="str">
        <x:v>Gemini-3.8-flash/Result/Lang_24/result.json</x:v>
      </x:c>
      <x:c r="P639"/>
      <x:c r="Q639" s="21" t="str"/>
      <x:c r="R639" s="21" t="str"/>
      <x:c r="S639" s="21" t="str"/>
      <x:c r="T639" s="17" t="str">
        <x:v>false</x:v>
      </x:c>
      <x:c r="U639" s="17" t="str">
        <x:v>true</x:v>
      </x:c>
      <x:c r="V639" s="17" t="str">
        <x:v>false</x:v>
      </x:c>
    </x:row>
    <x:row r="640" ht="80" customHeight="1">
      <x:c r="A640" s="25" t="str">
        <x:v>Lang</x:v>
      </x:c>
      <x:c r="B640" s="25" t="n">
        <x:v>26</x:v>
      </x:c>
      <x:c r="C640" s="25" t="str">
        <x:v>Round1</x:v>
      </x:c>
      <x:c r="D640" s="25" t="str">
        <x:v>NOT_AVAILABLE</x:v>
      </x:c>
      <x:c r="E640" s="25" t="str">
        <x:v>N/A</x:v>
      </x:c>
      <x:c r="F640" s="26" t="str">
        <x:v>Tests exist but current coverage did not complete</x:v>
      </x:c>
      <x:c r="G640" s="25" t="str">
        <x:v>true</x:v>
      </x:c>
      <x:c r="H640" s="25" t="str">
        <x:v>NOT_AVAILABLE</x:v>
      </x:c>
      <x:c r="I640" s="25" t="str">
        <x:v>NOT_RUN</x:v>
      </x:c>
      <x:c r="J640" s="25" t="str">
        <x:v>NOT_RUN</x:v>
      </x:c>
      <x:c r="K640" s="25" t="n">
        <x:v>1</x:v>
      </x:c>
      <x:c r="L640" s="27" t="b">
        <x:v>0</x:v>
      </x:c>
      <x:c r="M640" s="25" t="str">
        <x:v>Gemini-3.8-flash/generation_state.json</x:v>
      </x:c>
      <x:c r="N640" s="25" t="str">
        <x:v>Gemini-3.8-flash/Result/Lang_26/result.json</x:v>
      </x:c>
      <x:c r="O640" s="25" t="str">
        <x:v>Gemini-3.8-flash/Result/Lang_26/result.json</x:v>
      </x:c>
      <x:c r="P640" t="str">
        <x:v>BOTH_NOT_RUN</x:v>
      </x:c>
      <x:c r="Q640" s="21" t="str"/>
      <x:c r="R640" s="21" t="str"/>
      <x:c r="S640" s="21" t="str"/>
      <x:c r="T640" s="17" t="str">
        <x:v>false</x:v>
      </x:c>
      <x:c r="U640" s="17" t="str">
        <x:v>true</x:v>
      </x:c>
      <x:c r="V640" s="17" t="str">
        <x:v>false</x:v>
      </x:c>
    </x:row>
    <x:row r="641" ht="80" customHeight="1">
      <x:c r="A641" s="25" t="str">
        <x:v>Lang</x:v>
      </x:c>
      <x:c r="B641" s="25" t="n">
        <x:v>27</x:v>
      </x:c>
      <x:c r="C641" s="25" t="str">
        <x:v>Round1</x:v>
      </x:c>
      <x:c r="D641" s="25" t="str">
        <x:v>INCONCLUSIVE</x:v>
      </x:c>
      <x:c r="E641" s="25" t="str">
        <x:v>N/A</x:v>
      </x:c>
      <x:c r="F641" s="26" t="str">
        <x:v>Fixed also failed; assertion failure cannot be attributed to this bug</x:v>
      </x:c>
      <x:c r="G641" s="25" t="str">
        <x:v>true</x:v>
      </x:c>
      <x:c r="H641" s="25" t="str">
        <x:v>INCONCLUSIVE</x:v>
      </x:c>
      <x:c r="I641" s="25" t="str">
        <x:v>FAIL</x:v>
      </x:c>
      <x:c r="J641" s="25" t="str">
        <x:v>FAIL</x:v>
      </x:c>
      <x:c r="K641" s="25" t="n">
        <x:v>1</x:v>
      </x:c>
      <x:c r="L641" s="27" t="b">
        <x:v>0</x:v>
      </x:c>
      <x:c r="M641" s="25" t="str">
        <x:v>Gemini-3.8-flash/generation_state.json</x:v>
      </x:c>
      <x:c r="N641" s="25" t="str">
        <x:v>Gemini-3.8-flash/Result/Lang_27/result.json</x:v>
      </x:c>
      <x:c r="O641" s="25" t="str">
        <x:v>Gemini-3.8-flash/Result/Lang_27/result.json</x:v>
      </x:c>
      <x:c r="P641"/>
      <x:c r="Q641" s="21" t="str"/>
      <x:c r="R641" s="21" t="str"/>
      <x:c r="S641" s="21" t="str"/>
      <x:c r="T641" s="17" t="str">
        <x:v>false</x:v>
      </x:c>
      <x:c r="U641" s="17" t="str">
        <x:v>true</x:v>
      </x:c>
      <x:c r="V641" s="17" t="str">
        <x:v>false</x:v>
      </x:c>
    </x:row>
    <x:row r="642" ht="80" customHeight="1">
      <x:c r="A642" s="25" t="str">
        <x:v>Lang</x:v>
      </x:c>
      <x:c r="B642" s="25" t="n">
        <x:v>28</x:v>
      </x:c>
      <x:c r="C642" s="25" t="str">
        <x:v>Round1</x:v>
      </x:c>
      <x:c r="D642" s="25" t="str">
        <x:v>NOT_REVEALING</x:v>
      </x:c>
      <x:c r="E642" s="25" t="str">
        <x:v>N/A</x:v>
      </x:c>
      <x:c r="F642" s="26" t="str">
        <x:v>Same saved validation suite passed on buggy and fixed</x:v>
      </x:c>
      <x:c r="G642" s="25" t="str">
        <x:v>true</x:v>
      </x:c>
      <x:c r="H642" s="25" t="str">
        <x:v>NOT_REVEALING</x:v>
      </x:c>
      <x:c r="I642" s="25" t="str">
        <x:v>PASS</x:v>
      </x:c>
      <x:c r="J642" s="25" t="str">
        <x:v>PASS</x:v>
      </x:c>
      <x:c r="K642" s="25" t="n">
        <x:v>1</x:v>
      </x:c>
      <x:c r="L642" s="27" t="b">
        <x:v>0</x:v>
      </x:c>
      <x:c r="M642" s="25" t="str">
        <x:v>Gemini-3.8-flash/generation_state.json</x:v>
      </x:c>
      <x:c r="N642" s="25" t="str">
        <x:v>Gemini-3.8-flash/Result/Lang_28/result.json</x:v>
      </x:c>
      <x:c r="O642" s="25" t="str">
        <x:v>Gemini-3.8-flash/Result/Lang_28/result.json</x:v>
      </x:c>
      <x:c r="P642"/>
      <x:c r="Q642" s="21" t="str"/>
      <x:c r="R642" s="21" t="str"/>
      <x:c r="S642" s="21" t="str"/>
      <x:c r="T642" s="17" t="str">
        <x:v>false</x:v>
      </x:c>
      <x:c r="U642" s="17" t="str">
        <x:v>true</x:v>
      </x:c>
      <x:c r="V642" s="17" t="str">
        <x:v>false</x:v>
      </x:c>
    </x:row>
    <x:row r="643" ht="80" customHeight="1">
      <x:c r="A643" s="25" t="str">
        <x:v>Lang</x:v>
      </x:c>
      <x:c r="B643" s="25" t="n">
        <x:v>29</x:v>
      </x:c>
      <x:c r="C643" s="25" t="str">
        <x:v>Round1</x:v>
      </x:c>
      <x:c r="D643" s="25" t="str">
        <x:v>NOT_AVAILABLE</x:v>
      </x:c>
      <x:c r="E643" s="25" t="str">
        <x:v>N/A</x:v>
      </x:c>
      <x:c r="F643" s="26" t="str">
        <x:v>Tests exist but current coverage did not complete</x:v>
      </x:c>
      <x:c r="G643" s="25" t="str">
        <x:v>true</x:v>
      </x:c>
      <x:c r="H643" s="25" t="str">
        <x:v>NOT_AVAILABLE</x:v>
      </x:c>
      <x:c r="I643" s="25" t="str">
        <x:v>NOT_RUN</x:v>
      </x:c>
      <x:c r="J643" s="25" t="str">
        <x:v>NOT_RUN</x:v>
      </x:c>
      <x:c r="K643" s="25" t="n">
        <x:v>1</x:v>
      </x:c>
      <x:c r="L643" s="27" t="b">
        <x:v>0</x:v>
      </x:c>
      <x:c r="M643" s="25" t="str">
        <x:v>Gemini-3.8-flash/generation_state.json</x:v>
      </x:c>
      <x:c r="N643" s="25" t="str">
        <x:v>Gemini-3.8-flash/Result/Lang_29/result.json</x:v>
      </x:c>
      <x:c r="O643" s="25" t="str">
        <x:v>Gemini-3.8-flash/Result/Lang_29/result.json</x:v>
      </x:c>
      <x:c r="P643" t="str">
        <x:v>BOTH_NOT_RUN</x:v>
      </x:c>
      <x:c r="Q643" s="21" t="str"/>
      <x:c r="R643" s="21" t="str"/>
      <x:c r="S643" s="21" t="str"/>
      <x:c r="T643" s="17" t="str">
        <x:v>false</x:v>
      </x:c>
      <x:c r="U643" s="17" t="str">
        <x:v>true</x:v>
      </x:c>
      <x:c r="V643" s="17" t="str">
        <x:v>false</x:v>
      </x:c>
    </x:row>
    <x:row r="644" ht="80" customHeight="1">
      <x:c r="A644" s="25" t="str">
        <x:v>Lang</x:v>
      </x:c>
      <x:c r="B644" s="25" t="n">
        <x:v>3</x:v>
      </x:c>
      <x:c r="C644" s="25" t="str">
        <x:v>Round1</x:v>
      </x:c>
      <x:c r="D644" s="25" t="str">
        <x:v>INCONCLUSIVE</x:v>
      </x:c>
      <x:c r="E644" s="25" t="str">
        <x:v>N/A</x:v>
      </x:c>
      <x:c r="F644" s="26" t="str">
        <x:v>Fixed also failed; assertion failure cannot be attributed to this bug</x:v>
      </x:c>
      <x:c r="G644" s="25" t="str">
        <x:v>true</x:v>
      </x:c>
      <x:c r="H644" s="25" t="str">
        <x:v>INCONCLUSIVE</x:v>
      </x:c>
      <x:c r="I644" s="25" t="str">
        <x:v>FAIL</x:v>
      </x:c>
      <x:c r="J644" s="25" t="str">
        <x:v>FAIL</x:v>
      </x:c>
      <x:c r="K644" s="25" t="n">
        <x:v>1</x:v>
      </x:c>
      <x:c r="L644" s="27" t="b">
        <x:v>0</x:v>
      </x:c>
      <x:c r="M644" s="25" t="str">
        <x:v>Gemini-3.8-flash/generation_state.json</x:v>
      </x:c>
      <x:c r="N644" s="25" t="str">
        <x:v>Gemini-3.8-flash/Result/Lang_3/result.json</x:v>
      </x:c>
      <x:c r="O644" s="25" t="str">
        <x:v>Gemini-3.8-flash/Result/Lang_3/result.json</x:v>
      </x:c>
      <x:c r="P644"/>
      <x:c r="Q644" s="21" t="str"/>
      <x:c r="R644" s="21" t="str"/>
      <x:c r="S644" s="21" t="str"/>
      <x:c r="T644" s="17" t="str">
        <x:v>false</x:v>
      </x:c>
      <x:c r="U644" s="17" t="str">
        <x:v>true</x:v>
      </x:c>
      <x:c r="V644" s="17" t="str">
        <x:v>false</x:v>
      </x:c>
    </x:row>
    <x:row r="645" ht="80" customHeight="1">
      <x:c r="A645" s="25" t="str">
        <x:v>Lang</x:v>
      </x:c>
      <x:c r="B645" s="25" t="n">
        <x:v>30</x:v>
      </x:c>
      <x:c r="C645" s="25" t="str">
        <x:v>Round1</x:v>
      </x:c>
      <x:c r="D645" s="25" t="str">
        <x:v>NOT_AVAILABLE</x:v>
      </x:c>
      <x:c r="E645" s="25" t="str">
        <x:v>N/A</x:v>
      </x:c>
      <x:c r="F645" s="26" t="str">
        <x:v>Tests exist but current coverage did not complete</x:v>
      </x:c>
      <x:c r="G645" s="25" t="str">
        <x:v>true</x:v>
      </x:c>
      <x:c r="H645" s="25" t="str">
        <x:v>NOT_AVAILABLE</x:v>
      </x:c>
      <x:c r="I645" s="25" t="str">
        <x:v>NOT_RUN</x:v>
      </x:c>
      <x:c r="J645" s="25" t="str">
        <x:v>NOT_RUN</x:v>
      </x:c>
      <x:c r="K645" s="25" t="n">
        <x:v>1</x:v>
      </x:c>
      <x:c r="L645" s="27" t="b">
        <x:v>0</x:v>
      </x:c>
      <x:c r="M645" s="25" t="str">
        <x:v>Gemini-3.8-flash/generation_state.json</x:v>
      </x:c>
      <x:c r="N645" s="25" t="str">
        <x:v>Gemini-3.8-flash/Result/Lang_30/result.json</x:v>
      </x:c>
      <x:c r="O645" s="25" t="str">
        <x:v>Gemini-3.8-flash/Result/Lang_30/result.json</x:v>
      </x:c>
      <x:c r="P645" t="str">
        <x:v>BOTH_NOT_RUN</x:v>
      </x:c>
      <x:c r="Q645" s="21" t="str"/>
      <x:c r="R645" s="21" t="str"/>
      <x:c r="S645" s="21" t="str"/>
      <x:c r="T645" s="17" t="str">
        <x:v>false</x:v>
      </x:c>
      <x:c r="U645" s="17" t="str">
        <x:v>true</x:v>
      </x:c>
      <x:c r="V645" s="17" t="str">
        <x:v>false</x:v>
      </x:c>
    </x:row>
    <x:row r="646" ht="80" customHeight="1">
      <x:c r="A646" s="25" t="str">
        <x:v>Lang</x:v>
      </x:c>
      <x:c r="B646" s="25" t="n">
        <x:v>31</x:v>
      </x:c>
      <x:c r="C646" s="25" t="str">
        <x:v>Round1</x:v>
      </x:c>
      <x:c r="D646" s="25" t="str">
        <x:v>NOT_AVAILABLE</x:v>
      </x:c>
      <x:c r="E646" s="25" t="str">
        <x:v>N/A</x:v>
      </x:c>
      <x:c r="F646" s="26" t="str">
        <x:v>Tests exist but current coverage did not complete</x:v>
      </x:c>
      <x:c r="G646" s="25" t="str">
        <x:v>true</x:v>
      </x:c>
      <x:c r="H646" s="25" t="str">
        <x:v>NOT_AVAILABLE</x:v>
      </x:c>
      <x:c r="I646" s="25" t="str">
        <x:v>NOT_RUN</x:v>
      </x:c>
      <x:c r="J646" s="25" t="str">
        <x:v>NOT_RUN</x:v>
      </x:c>
      <x:c r="K646" s="25" t="n">
        <x:v>1</x:v>
      </x:c>
      <x:c r="L646" s="27" t="b">
        <x:v>0</x:v>
      </x:c>
      <x:c r="M646" s="25" t="str">
        <x:v>Gemini-3.8-flash/generation_state.json</x:v>
      </x:c>
      <x:c r="N646" s="25" t="str">
        <x:v>Gemini-3.8-flash/Result/Lang_31/result.json</x:v>
      </x:c>
      <x:c r="O646" s="25" t="str">
        <x:v>Gemini-3.8-flash/Result/Lang_31/result.json</x:v>
      </x:c>
      <x:c r="P646" t="str">
        <x:v>BOTH_NOT_RUN</x:v>
      </x:c>
      <x:c r="Q646" s="21" t="str"/>
      <x:c r="R646" s="21" t="str"/>
      <x:c r="S646" s="21" t="str"/>
      <x:c r="T646" s="17" t="str">
        <x:v>false</x:v>
      </x:c>
      <x:c r="U646" s="17" t="str">
        <x:v>true</x:v>
      </x:c>
      <x:c r="V646" s="17" t="str">
        <x:v>false</x:v>
      </x:c>
    </x:row>
    <x:row r="647" ht="80" customHeight="1">
      <x:c r="A647" s="25" t="str">
        <x:v>Lang</x:v>
      </x:c>
      <x:c r="B647" s="25" t="n">
        <x:v>32</x:v>
      </x:c>
      <x:c r="C647" s="25" t="str">
        <x:v>Round1</x:v>
      </x:c>
      <x:c r="D647" s="25" t="str">
        <x:v>NOT_REVEALING</x:v>
      </x:c>
      <x:c r="E647" s="25" t="str">
        <x:v>N/A</x:v>
      </x:c>
      <x:c r="F647" s="26" t="str">
        <x:v>Same saved validation suite passed on buggy and fixed</x:v>
      </x:c>
      <x:c r="G647" s="25" t="str">
        <x:v>true</x:v>
      </x:c>
      <x:c r="H647" s="25" t="str">
        <x:v>NOT_REVEALING</x:v>
      </x:c>
      <x:c r="I647" s="25" t="str">
        <x:v>PASS</x:v>
      </x:c>
      <x:c r="J647" s="25" t="str">
        <x:v>PASS</x:v>
      </x:c>
      <x:c r="K647" s="25" t="n">
        <x:v>1</x:v>
      </x:c>
      <x:c r="L647" s="27" t="b">
        <x:v>0</x:v>
      </x:c>
      <x:c r="M647" s="25" t="str">
        <x:v>Gemini-3.8-flash/generation_state.json</x:v>
      </x:c>
      <x:c r="N647" s="25" t="str">
        <x:v>Gemini-3.8-flash/Result/Lang_32/result.json</x:v>
      </x:c>
      <x:c r="O647" s="25" t="str">
        <x:v>Gemini-3.8-flash/Result/Lang_32/result.json</x:v>
      </x:c>
      <x:c r="P647"/>
      <x:c r="Q647" s="21" t="str"/>
      <x:c r="R647" s="21" t="str"/>
      <x:c r="S647" s="21" t="str"/>
      <x:c r="T647" s="17" t="str">
        <x:v>false</x:v>
      </x:c>
      <x:c r="U647" s="17" t="str">
        <x:v>true</x:v>
      </x:c>
      <x:c r="V647" s="17" t="str">
        <x:v>false</x:v>
      </x:c>
    </x:row>
    <x:row r="648" ht="80" customHeight="1">
      <x:c r="A648" s="25" t="str">
        <x:v>Lang</x:v>
      </x:c>
      <x:c r="B648" s="25" t="n">
        <x:v>33</x:v>
      </x:c>
      <x:c r="C648" s="25" t="str">
        <x:v>Round1</x:v>
      </x:c>
      <x:c r="D648" s="25" t="str">
        <x:v>INCONCLUSIVE</x:v>
      </x:c>
      <x:c r="E648" s="25" t="str">
        <x:v>N/A</x:v>
      </x:c>
      <x:c r="F648" s="26" t="str">
        <x:v>Fixed also failed; assertion failure cannot be attributed to this bug</x:v>
      </x:c>
      <x:c r="G648" s="25" t="str">
        <x:v>true</x:v>
      </x:c>
      <x:c r="H648" s="25" t="str">
        <x:v>INCONCLUSIVE</x:v>
      </x:c>
      <x:c r="I648" s="25" t="str">
        <x:v>FAIL</x:v>
      </x:c>
      <x:c r="J648" s="25" t="str">
        <x:v>FAIL</x:v>
      </x:c>
      <x:c r="K648" s="25" t="n">
        <x:v>1</x:v>
      </x:c>
      <x:c r="L648" s="27" t="b">
        <x:v>0</x:v>
      </x:c>
      <x:c r="M648" s="25" t="str">
        <x:v>Gemini-3.8-flash/generation_state.json</x:v>
      </x:c>
      <x:c r="N648" s="25" t="str">
        <x:v>Gemini-3.8-flash/Result/Lang_33/result.json</x:v>
      </x:c>
      <x:c r="O648" s="25" t="str">
        <x:v>Gemini-3.8-flash/Result/Lang_33/result.json</x:v>
      </x:c>
      <x:c r="P648"/>
      <x:c r="Q648" s="21" t="str"/>
      <x:c r="R648" s="21" t="str"/>
      <x:c r="S648" s="21" t="str"/>
      <x:c r="T648" s="17" t="str">
        <x:v>false</x:v>
      </x:c>
      <x:c r="U648" s="17" t="str">
        <x:v>true</x:v>
      </x:c>
      <x:c r="V648" s="17" t="str">
        <x:v>false</x:v>
      </x:c>
    </x:row>
    <x:row r="649" ht="80" customHeight="1">
      <x:c r="A649" s="25" t="str">
        <x:v>Lang</x:v>
      </x:c>
      <x:c r="B649" s="25" t="n">
        <x:v>34</x:v>
      </x:c>
      <x:c r="C649" s="25" t="str">
        <x:v>Round1</x:v>
      </x:c>
      <x:c r="D649" s="25" t="str">
        <x:v>NOT_REVEALING</x:v>
      </x:c>
      <x:c r="E649" s="25" t="str">
        <x:v>N/A</x:v>
      </x:c>
      <x:c r="F649" s="26" t="str">
        <x:v>Same saved validation suite passed on buggy and fixed</x:v>
      </x:c>
      <x:c r="G649" s="25" t="str">
        <x:v>true</x:v>
      </x:c>
      <x:c r="H649" s="25" t="str">
        <x:v>NOT_REVEALING</x:v>
      </x:c>
      <x:c r="I649" s="25" t="str">
        <x:v>PASS</x:v>
      </x:c>
      <x:c r="J649" s="25" t="str">
        <x:v>PASS</x:v>
      </x:c>
      <x:c r="K649" s="25" t="n">
        <x:v>1</x:v>
      </x:c>
      <x:c r="L649" s="27" t="b">
        <x:v>0</x:v>
      </x:c>
      <x:c r="M649" s="25" t="str">
        <x:v>Gemini-3.8-flash/generation_state.json</x:v>
      </x:c>
      <x:c r="N649" s="25" t="str">
        <x:v>Gemini-3.8-flash/Result/Lang_34/result.json</x:v>
      </x:c>
      <x:c r="O649" s="25" t="str">
        <x:v>Gemini-3.8-flash/Result/Lang_34/result.json</x:v>
      </x:c>
      <x:c r="P649"/>
      <x:c r="Q649" s="21" t="str"/>
      <x:c r="R649" s="21" t="str"/>
      <x:c r="S649" s="21" t="str"/>
      <x:c r="T649" s="17" t="str">
        <x:v>false</x:v>
      </x:c>
      <x:c r="U649" s="17" t="str">
        <x:v>true</x:v>
      </x:c>
      <x:c r="V649" s="17" t="str">
        <x:v>false</x:v>
      </x:c>
    </x:row>
    <x:row r="650" ht="80" customHeight="1">
      <x:c r="A650" s="25" t="str">
        <x:v>Lang</x:v>
      </x:c>
      <x:c r="B650" s="25" t="n">
        <x:v>35</x:v>
      </x:c>
      <x:c r="C650" s="25" t="str">
        <x:v>Round1</x:v>
      </x:c>
      <x:c r="D650" s="25" t="str">
        <x:v>NOT_REVEALING</x:v>
      </x:c>
      <x:c r="E650" s="25" t="str">
        <x:v>N/A</x:v>
      </x:c>
      <x:c r="F650" s="26" t="str">
        <x:v>Same saved validation suite passed on buggy and fixed</x:v>
      </x:c>
      <x:c r="G650" s="25" t="str">
        <x:v>true</x:v>
      </x:c>
      <x:c r="H650" s="25" t="str">
        <x:v>NOT_REVEALING</x:v>
      </x:c>
      <x:c r="I650" s="25" t="str">
        <x:v>PASS</x:v>
      </x:c>
      <x:c r="J650" s="25" t="str">
        <x:v>PASS</x:v>
      </x:c>
      <x:c r="K650" s="25" t="n">
        <x:v>1</x:v>
      </x:c>
      <x:c r="L650" s="27" t="b">
        <x:v>0</x:v>
      </x:c>
      <x:c r="M650" s="25" t="str">
        <x:v>Gemini-3.8-flash/generation_state.json</x:v>
      </x:c>
      <x:c r="N650" s="25" t="str">
        <x:v>Gemini-3.8-flash/Result/Lang_35/result.json</x:v>
      </x:c>
      <x:c r="O650" s="25" t="str">
        <x:v>Gemini-3.8-flash/Result/Lang_35/result.json</x:v>
      </x:c>
      <x:c r="P650"/>
      <x:c r="Q650" s="21" t="str"/>
      <x:c r="R650" s="21" t="str"/>
      <x:c r="S650" s="21" t="str"/>
      <x:c r="T650" s="17" t="str">
        <x:v>false</x:v>
      </x:c>
      <x:c r="U650" s="17" t="str">
        <x:v>true</x:v>
      </x:c>
      <x:c r="V650" s="17" t="str">
        <x:v>false</x:v>
      </x:c>
    </x:row>
    <x:row r="651" ht="80" customHeight="1">
      <x:c r="A651" s="25" t="str">
        <x:v>Lang</x:v>
      </x:c>
      <x:c r="B651" s="25" t="n">
        <x:v>36</x:v>
      </x:c>
      <x:c r="C651" s="25" t="str">
        <x:v>Round1</x:v>
      </x:c>
      <x:c r="D651" s="25" t="str">
        <x:v>INCONCLUSIVE</x:v>
      </x:c>
      <x:c r="E651" s="25" t="str">
        <x:v>N/A</x:v>
      </x:c>
      <x:c r="F651" s="26" t="str">
        <x:v>Fixed also failed; assertion failure cannot be attributed to this bug</x:v>
      </x:c>
      <x:c r="G651" s="25" t="str">
        <x:v>true</x:v>
      </x:c>
      <x:c r="H651" s="25" t="str">
        <x:v>INCONCLUSIVE</x:v>
      </x:c>
      <x:c r="I651" s="25" t="str">
        <x:v>FAIL</x:v>
      </x:c>
      <x:c r="J651" s="25" t="str">
        <x:v>FAIL</x:v>
      </x:c>
      <x:c r="K651" s="25" t="n">
        <x:v>1</x:v>
      </x:c>
      <x:c r="L651" s="27" t="b">
        <x:v>0</x:v>
      </x:c>
      <x:c r="M651" s="25" t="str">
        <x:v>Gemini-3.8-flash/generation_state.json</x:v>
      </x:c>
      <x:c r="N651" s="25" t="str">
        <x:v>Gemini-3.8-flash/Result/Lang_36/result.json</x:v>
      </x:c>
      <x:c r="O651" s="25" t="str">
        <x:v>Gemini-3.8-flash/Result/Lang_36/result.json</x:v>
      </x:c>
      <x:c r="P651"/>
      <x:c r="Q651" s="21" t="str"/>
      <x:c r="R651" s="21" t="str"/>
      <x:c r="S651" s="21" t="str"/>
      <x:c r="T651" s="17" t="str">
        <x:v>false</x:v>
      </x:c>
      <x:c r="U651" s="17" t="str">
        <x:v>true</x:v>
      </x:c>
      <x:c r="V651" s="17" t="str">
        <x:v>false</x:v>
      </x:c>
    </x:row>
    <x:row r="652" ht="80" customHeight="1">
      <x:c r="A652" s="25" t="str">
        <x:v>Lang</x:v>
      </x:c>
      <x:c r="B652" s="25" t="n">
        <x:v>37</x:v>
      </x:c>
      <x:c r="C652" s="25" t="str">
        <x:v>Round1</x:v>
      </x:c>
      <x:c r="D652" s="25" t="str">
        <x:v>NOT_REVEALING</x:v>
      </x:c>
      <x:c r="E652" s="25" t="str">
        <x:v>N/A</x:v>
      </x:c>
      <x:c r="F652" s="26" t="str">
        <x:v>Same saved validation suite passed on buggy and fixed</x:v>
      </x:c>
      <x:c r="G652" s="25" t="str">
        <x:v>true</x:v>
      </x:c>
      <x:c r="H652" s="25" t="str">
        <x:v>NOT_REVEALING</x:v>
      </x:c>
      <x:c r="I652" s="25" t="str">
        <x:v>PASS</x:v>
      </x:c>
      <x:c r="J652" s="25" t="str">
        <x:v>PASS</x:v>
      </x:c>
      <x:c r="K652" s="25" t="n">
        <x:v>1</x:v>
      </x:c>
      <x:c r="L652" s="27" t="b">
        <x:v>0</x:v>
      </x:c>
      <x:c r="M652" s="25" t="str">
        <x:v>Gemini-3.8-flash/generation_state.json</x:v>
      </x:c>
      <x:c r="N652" s="25" t="str">
        <x:v>Gemini-3.8-flash/Result/Lang_37/result.json</x:v>
      </x:c>
      <x:c r="O652" s="25" t="str">
        <x:v>Gemini-3.8-flash/Result/Lang_37/result.json</x:v>
      </x:c>
      <x:c r="P652"/>
      <x:c r="Q652" s="21" t="str"/>
      <x:c r="R652" s="21" t="str"/>
      <x:c r="S652" s="21" t="str"/>
      <x:c r="T652" s="17" t="str">
        <x:v>false</x:v>
      </x:c>
      <x:c r="U652" s="17" t="str">
        <x:v>true</x:v>
      </x:c>
      <x:c r="V652" s="17" t="str">
        <x:v>false</x:v>
      </x:c>
    </x:row>
    <x:row r="653" ht="80" customHeight="1">
      <x:c r="A653" s="25" t="str">
        <x:v>Lang</x:v>
      </x:c>
      <x:c r="B653" s="25" t="n">
        <x:v>38</x:v>
      </x:c>
      <x:c r="C653" s="25" t="str">
        <x:v>Round1</x:v>
      </x:c>
      <x:c r="D653" s="25" t="str">
        <x:v>NOT_AVAILABLE</x:v>
      </x:c>
      <x:c r="E653" s="25" t="str">
        <x:v>N/A</x:v>
      </x:c>
      <x:c r="F653" s="26" t="str">
        <x:v>Tests exist but current coverage did not complete</x:v>
      </x:c>
      <x:c r="G653" s="25" t="str">
        <x:v>true</x:v>
      </x:c>
      <x:c r="H653" s="25" t="str">
        <x:v>NOT_AVAILABLE</x:v>
      </x:c>
      <x:c r="I653" s="25" t="str">
        <x:v>NOT_RUN</x:v>
      </x:c>
      <x:c r="J653" s="25" t="str">
        <x:v>NOT_RUN</x:v>
      </x:c>
      <x:c r="K653" s="25" t="n">
        <x:v>1</x:v>
      </x:c>
      <x:c r="L653" s="27" t="b">
        <x:v>0</x:v>
      </x:c>
      <x:c r="M653" s="25" t="str">
        <x:v>Gemini-3.8-flash/generation_state.json</x:v>
      </x:c>
      <x:c r="N653" s="25" t="str">
        <x:v>Gemini-3.8-flash/Result/Lang_38/result.json</x:v>
      </x:c>
      <x:c r="O653" s="25" t="str">
        <x:v>Gemini-3.8-flash/Result/Lang_38/result.json</x:v>
      </x:c>
      <x:c r="P653" t="str">
        <x:v>BOTH_NOT_RUN</x:v>
      </x:c>
      <x:c r="Q653" s="21" t="str"/>
      <x:c r="R653" s="21" t="str"/>
      <x:c r="S653" s="21" t="str"/>
      <x:c r="T653" s="17" t="str">
        <x:v>false</x:v>
      </x:c>
      <x:c r="U653" s="17" t="str">
        <x:v>true</x:v>
      </x:c>
      <x:c r="V653" s="17" t="str">
        <x:v>false</x:v>
      </x:c>
    </x:row>
    <x:row r="654" ht="80" customHeight="1">
      <x:c r="A654" s="25" t="str">
        <x:v>Lang</x:v>
      </x:c>
      <x:c r="B654" s="25" t="n">
        <x:v>39</x:v>
      </x:c>
      <x:c r="C654" s="25" t="str">
        <x:v>Round1</x:v>
      </x:c>
      <x:c r="D654" s="25" t="str">
        <x:v>NOT_AVAILABLE</x:v>
      </x:c>
      <x:c r="E654" s="25" t="str">
        <x:v>N/A</x:v>
      </x:c>
      <x:c r="F654" s="26" t="str">
        <x:v>Tests exist but current coverage did not complete</x:v>
      </x:c>
      <x:c r="G654" s="25" t="str">
        <x:v>true</x:v>
      </x:c>
      <x:c r="H654" s="25" t="str">
        <x:v>NOT_AVAILABLE</x:v>
      </x:c>
      <x:c r="I654" s="25" t="str">
        <x:v>NOT_RUN</x:v>
      </x:c>
      <x:c r="J654" s="25" t="str">
        <x:v>NOT_RUN</x:v>
      </x:c>
      <x:c r="K654" s="25" t="n">
        <x:v>1</x:v>
      </x:c>
      <x:c r="L654" s="27" t="b">
        <x:v>0</x:v>
      </x:c>
      <x:c r="M654" s="25" t="str">
        <x:v>Gemini-3.8-flash/generation_state.json</x:v>
      </x:c>
      <x:c r="N654" s="25" t="str">
        <x:v>Gemini-3.8-flash/Result/Lang_39/result.json</x:v>
      </x:c>
      <x:c r="O654" s="25" t="str">
        <x:v>Gemini-3.8-flash/Result/Lang_39/result.json</x:v>
      </x:c>
      <x:c r="P654" t="str">
        <x:v>BOTH_NOT_RUN</x:v>
      </x:c>
      <x:c r="Q654" s="21" t="str"/>
      <x:c r="R654" s="21" t="str"/>
      <x:c r="S654" s="21" t="str"/>
      <x:c r="T654" s="17" t="str">
        <x:v>false</x:v>
      </x:c>
      <x:c r="U654" s="17" t="str">
        <x:v>true</x:v>
      </x:c>
      <x:c r="V654" s="17" t="str">
        <x:v>false</x:v>
      </x:c>
    </x:row>
    <x:row r="655" ht="80" customHeight="1">
      <x:c r="A655" s="25" t="str">
        <x:v>Lang</x:v>
      </x:c>
      <x:c r="B655" s="25" t="n">
        <x:v>4</x:v>
      </x:c>
      <x:c r="C655" s="25" t="str">
        <x:v>Round1</x:v>
      </x:c>
      <x:c r="D655" s="25" t="str">
        <x:v>NOT_REVEALING</x:v>
      </x:c>
      <x:c r="E655" s="25" t="str">
        <x:v>N/A</x:v>
      </x:c>
      <x:c r="F655" s="26" t="str">
        <x:v>Same saved validation suite passed on buggy and fixed</x:v>
      </x:c>
      <x:c r="G655" s="25" t="str">
        <x:v>true</x:v>
      </x:c>
      <x:c r="H655" s="25" t="str">
        <x:v>NOT_REVEALING</x:v>
      </x:c>
      <x:c r="I655" s="25" t="str">
        <x:v>PASS</x:v>
      </x:c>
      <x:c r="J655" s="25" t="str">
        <x:v>PASS</x:v>
      </x:c>
      <x:c r="K655" s="25" t="n">
        <x:v>1</x:v>
      </x:c>
      <x:c r="L655" s="27" t="b">
        <x:v>0</x:v>
      </x:c>
      <x:c r="M655" s="25" t="str">
        <x:v>Gemini-3.8-flash/generation_state.json</x:v>
      </x:c>
      <x:c r="N655" s="25" t="str">
        <x:v>Gemini-3.8-flash/Result/Lang_4/result.json</x:v>
      </x:c>
      <x:c r="O655" s="25" t="str">
        <x:v>Gemini-3.8-flash/Result/Lang_4/result.json</x:v>
      </x:c>
      <x:c r="P655"/>
      <x:c r="Q655" s="21" t="str"/>
      <x:c r="R655" s="21" t="str"/>
      <x:c r="S655" s="21" t="str"/>
      <x:c r="T655" s="17" t="str">
        <x:v>false</x:v>
      </x:c>
      <x:c r="U655" s="17" t="str">
        <x:v>true</x:v>
      </x:c>
      <x:c r="V655" s="17" t="str">
        <x:v>false</x:v>
      </x:c>
    </x:row>
    <x:row r="656" ht="80" customHeight="1">
      <x:c r="A656" s="25" t="str">
        <x:v>Lang</x:v>
      </x:c>
      <x:c r="B656" s="25" t="n">
        <x:v>40</x:v>
      </x:c>
      <x:c r="C656" s="25" t="str">
        <x:v>Round1</x:v>
      </x:c>
      <x:c r="D656" s="25" t="str">
        <x:v>NOT_REVEALING</x:v>
      </x:c>
      <x:c r="E656" s="25" t="str">
        <x:v>N/A</x:v>
      </x:c>
      <x:c r="F656" s="26" t="str">
        <x:v>Same saved validation suite passed on buggy and fixed</x:v>
      </x:c>
      <x:c r="G656" s="25" t="str">
        <x:v>true</x:v>
      </x:c>
      <x:c r="H656" s="25" t="str">
        <x:v>NOT_REVEALING</x:v>
      </x:c>
      <x:c r="I656" s="25" t="str">
        <x:v>PASS</x:v>
      </x:c>
      <x:c r="J656" s="25" t="str">
        <x:v>PASS</x:v>
      </x:c>
      <x:c r="K656" s="25" t="n">
        <x:v>1</x:v>
      </x:c>
      <x:c r="L656" s="27" t="b">
        <x:v>0</x:v>
      </x:c>
      <x:c r="M656" s="25" t="str">
        <x:v>Gemini-3.8-flash/generation_state.json</x:v>
      </x:c>
      <x:c r="N656" s="25" t="str">
        <x:v>Gemini-3.8-flash/Result/Lang_40/result.json</x:v>
      </x:c>
      <x:c r="O656" s="25" t="str">
        <x:v>Gemini-3.8-flash/Result/Lang_40/result.json</x:v>
      </x:c>
      <x:c r="P656"/>
      <x:c r="Q656" s="21" t="str"/>
      <x:c r="R656" s="21" t="str"/>
      <x:c r="S656" s="21" t="str"/>
      <x:c r="T656" s="17" t="str">
        <x:v>false</x:v>
      </x:c>
      <x:c r="U656" s="17" t="str">
        <x:v>true</x:v>
      </x:c>
      <x:c r="V656" s="17" t="str">
        <x:v>false</x:v>
      </x:c>
    </x:row>
    <x:row r="657" ht="80" customHeight="1">
      <x:c r="A657" s="25" t="str">
        <x:v>Lang</x:v>
      </x:c>
      <x:c r="B657" s="25" t="n">
        <x:v>41</x:v>
      </x:c>
      <x:c r="C657" s="25" t="str">
        <x:v>Round1</x:v>
      </x:c>
      <x:c r="D657" s="25" t="str">
        <x:v>INCONCLUSIVE</x:v>
      </x:c>
      <x:c r="E657" s="25" t="str">
        <x:v>N/A</x:v>
      </x:c>
      <x:c r="F657" s="26" t="str">
        <x:v>Fixed also failed; assertion failure cannot be attributed to this bug</x:v>
      </x:c>
      <x:c r="G657" s="25" t="str">
        <x:v>true</x:v>
      </x:c>
      <x:c r="H657" s="25" t="str">
        <x:v>INCONCLUSIVE</x:v>
      </x:c>
      <x:c r="I657" s="25" t="str">
        <x:v>FAIL</x:v>
      </x:c>
      <x:c r="J657" s="25" t="str">
        <x:v>FAIL</x:v>
      </x:c>
      <x:c r="K657" s="25" t="n">
        <x:v>1</x:v>
      </x:c>
      <x:c r="L657" s="27" t="b">
        <x:v>0</x:v>
      </x:c>
      <x:c r="M657" s="25" t="str">
        <x:v>Gemini-3.8-flash/generation_state.json</x:v>
      </x:c>
      <x:c r="N657" s="25" t="str">
        <x:v>Gemini-3.8-flash/Result/Lang_41/result.json</x:v>
      </x:c>
      <x:c r="O657" s="25" t="str">
        <x:v>Gemini-3.8-flash/Result/Lang_41/result.json</x:v>
      </x:c>
      <x:c r="P657"/>
      <x:c r="Q657" s="21" t="str"/>
      <x:c r="R657" s="21" t="str"/>
      <x:c r="S657" s="21" t="str"/>
      <x:c r="T657" s="17" t="str">
        <x:v>false</x:v>
      </x:c>
      <x:c r="U657" s="17" t="str">
        <x:v>true</x:v>
      </x:c>
      <x:c r="V657" s="17" t="str">
        <x:v>false</x:v>
      </x:c>
    </x:row>
    <x:row r="658" ht="80" customHeight="1">
      <x:c r="A658" s="25" t="str">
        <x:v>Lang</x:v>
      </x:c>
      <x:c r="B658" s="25" t="n">
        <x:v>42</x:v>
      </x:c>
      <x:c r="C658" s="25" t="str">
        <x:v>Round1</x:v>
      </x:c>
      <x:c r="D658" s="25" t="str">
        <x:v>NOT_REVEALING</x:v>
      </x:c>
      <x:c r="E658" s="25" t="str">
        <x:v>N/A</x:v>
      </x:c>
      <x:c r="F658" s="26" t="str">
        <x:v>Same saved validation suite passed on buggy and fixed</x:v>
      </x:c>
      <x:c r="G658" s="25" t="str">
        <x:v>true</x:v>
      </x:c>
      <x:c r="H658" s="25" t="str">
        <x:v>NOT_REVEALING</x:v>
      </x:c>
      <x:c r="I658" s="25" t="str">
        <x:v>PASS</x:v>
      </x:c>
      <x:c r="J658" s="25" t="str">
        <x:v>PASS</x:v>
      </x:c>
      <x:c r="K658" s="25" t="n">
        <x:v>1</x:v>
      </x:c>
      <x:c r="L658" s="27" t="b">
        <x:v>0</x:v>
      </x:c>
      <x:c r="M658" s="25" t="str">
        <x:v>Gemini-3.8-flash/generation_state.json</x:v>
      </x:c>
      <x:c r="N658" s="25" t="str">
        <x:v>Gemini-3.8-flash/Result/Lang_42/result.json</x:v>
      </x:c>
      <x:c r="O658" s="25" t="str">
        <x:v>Gemini-3.8-flash/Result/Lang_42/result.json</x:v>
      </x:c>
      <x:c r="P658"/>
      <x:c r="Q658" s="21" t="str"/>
      <x:c r="R658" s="21" t="str"/>
      <x:c r="S658" s="21" t="str"/>
      <x:c r="T658" s="17" t="str">
        <x:v>false</x:v>
      </x:c>
      <x:c r="U658" s="17" t="str">
        <x:v>true</x:v>
      </x:c>
      <x:c r="V658" s="17" t="str">
        <x:v>false</x:v>
      </x:c>
    </x:row>
    <x:row r="659" ht="80" customHeight="1">
      <x:c r="A659" s="25" t="str">
        <x:v>Lang</x:v>
      </x:c>
      <x:c r="B659" s="25" t="n">
        <x:v>43</x:v>
      </x:c>
      <x:c r="C659" s="25" t="str">
        <x:v>Round1</x:v>
      </x:c>
      <x:c r="D659" s="25" t="str">
        <x:v>NOT_REVEALING</x:v>
      </x:c>
      <x:c r="E659" s="25" t="str">
        <x:v>N/A</x:v>
      </x:c>
      <x:c r="F659" s="26" t="str">
        <x:v>Same saved validation suite passed on buggy and fixed</x:v>
      </x:c>
      <x:c r="G659" s="25" t="str">
        <x:v>true</x:v>
      </x:c>
      <x:c r="H659" s="25" t="str">
        <x:v>NOT_REVEALING</x:v>
      </x:c>
      <x:c r="I659" s="25" t="str">
        <x:v>PASS</x:v>
      </x:c>
      <x:c r="J659" s="25" t="str">
        <x:v>PASS</x:v>
      </x:c>
      <x:c r="K659" s="25" t="n">
        <x:v>1</x:v>
      </x:c>
      <x:c r="L659" s="27" t="b">
        <x:v>0</x:v>
      </x:c>
      <x:c r="M659" s="25" t="str">
        <x:v>Gemini-3.8-flash/generation_state.json</x:v>
      </x:c>
      <x:c r="N659" s="25" t="str">
        <x:v>Gemini-3.8-flash/Result/Lang_43/result.json</x:v>
      </x:c>
      <x:c r="O659" s="25" t="str">
        <x:v>Gemini-3.8-flash/Result/Lang_43/result.json</x:v>
      </x:c>
      <x:c r="P659"/>
      <x:c r="Q659" s="21" t="str"/>
      <x:c r="R659" s="21" t="str"/>
      <x:c r="S659" s="21" t="str"/>
      <x:c r="T659" s="17" t="str">
        <x:v>false</x:v>
      </x:c>
      <x:c r="U659" s="17" t="str">
        <x:v>true</x:v>
      </x:c>
      <x:c r="V659" s="17" t="str">
        <x:v>false</x:v>
      </x:c>
    </x:row>
    <x:row r="660" ht="80" customHeight="1">
      <x:c r="A660" s="25" t="str">
        <x:v>Lang</x:v>
      </x:c>
      <x:c r="B660" s="25" t="n">
        <x:v>44</x:v>
      </x:c>
      <x:c r="C660" s="25" t="str">
        <x:v>Round1</x:v>
      </x:c>
      <x:c r="D660" s="25" t="str">
        <x:v>NOT_REVEALING</x:v>
      </x:c>
      <x:c r="E660" s="25" t="str">
        <x:v>N/A</x:v>
      </x:c>
      <x:c r="F660" s="26" t="str">
        <x:v>Same saved validation suite passed on buggy and fixed</x:v>
      </x:c>
      <x:c r="G660" s="25" t="str">
        <x:v>true</x:v>
      </x:c>
      <x:c r="H660" s="25" t="str">
        <x:v>NOT_REVEALING</x:v>
      </x:c>
      <x:c r="I660" s="25" t="str">
        <x:v>PASS</x:v>
      </x:c>
      <x:c r="J660" s="25" t="str">
        <x:v>PASS</x:v>
      </x:c>
      <x:c r="K660" s="25" t="n">
        <x:v>1</x:v>
      </x:c>
      <x:c r="L660" s="27" t="b">
        <x:v>0</x:v>
      </x:c>
      <x:c r="M660" s="25" t="str">
        <x:v>Gemini-3.8-flash/generation_state.json</x:v>
      </x:c>
      <x:c r="N660" s="25" t="str">
        <x:v>Gemini-3.8-flash/Result/Lang_44/result.json</x:v>
      </x:c>
      <x:c r="O660" s="25" t="str">
        <x:v>Gemini-3.8-flash/Result/Lang_44/result.json</x:v>
      </x:c>
      <x:c r="P660"/>
      <x:c r="Q660" s="21" t="str"/>
      <x:c r="R660" s="21" t="str"/>
      <x:c r="S660" s="21" t="str"/>
      <x:c r="T660" s="17" t="str">
        <x:v>false</x:v>
      </x:c>
      <x:c r="U660" s="17" t="str">
        <x:v>true</x:v>
      </x:c>
      <x:c r="V660" s="17" t="str">
        <x:v>false</x:v>
      </x:c>
    </x:row>
    <x:row r="661" ht="80" customHeight="1">
      <x:c r="A661" s="25" t="str">
        <x:v>Lang</x:v>
      </x:c>
      <x:c r="B661" s="25" t="n">
        <x:v>45</x:v>
      </x:c>
      <x:c r="C661" s="25" t="str">
        <x:v>Round1</x:v>
      </x:c>
      <x:c r="D661" s="25" t="str">
        <x:v>NOT_AVAILABLE</x:v>
      </x:c>
      <x:c r="E661" s="25" t="str">
        <x:v>N/A</x:v>
      </x:c>
      <x:c r="F661" s="26" t="str">
        <x:v>Tests exist but current coverage did not complete</x:v>
      </x:c>
      <x:c r="G661" s="25" t="str">
        <x:v>true</x:v>
      </x:c>
      <x:c r="H661" s="25" t="str">
        <x:v>NOT_AVAILABLE</x:v>
      </x:c>
      <x:c r="I661" s="25" t="str">
        <x:v>NOT_RUN</x:v>
      </x:c>
      <x:c r="J661" s="25" t="str">
        <x:v>NOT_RUN</x:v>
      </x:c>
      <x:c r="K661" s="25" t="n">
        <x:v>1</x:v>
      </x:c>
      <x:c r="L661" s="27" t="b">
        <x:v>0</x:v>
      </x:c>
      <x:c r="M661" s="25" t="str">
        <x:v>Gemini-3.8-flash/generation_state.json</x:v>
      </x:c>
      <x:c r="N661" s="25" t="str">
        <x:v>Gemini-3.8-flash/Result/Lang_45/result.json</x:v>
      </x:c>
      <x:c r="O661" s="25" t="str">
        <x:v>Gemini-3.8-flash/Result/Lang_45/result.json</x:v>
      </x:c>
      <x:c r="P661" t="str">
        <x:v>BOTH_NOT_RUN</x:v>
      </x:c>
      <x:c r="Q661" s="21" t="str"/>
      <x:c r="R661" s="21" t="str"/>
      <x:c r="S661" s="21" t="str"/>
      <x:c r="T661" s="17" t="str">
        <x:v>false</x:v>
      </x:c>
      <x:c r="U661" s="17" t="str">
        <x:v>true</x:v>
      </x:c>
      <x:c r="V661" s="17" t="str">
        <x:v>false</x:v>
      </x:c>
    </x:row>
    <x:row r="662" ht="80" customHeight="1">
      <x:c r="A662" s="25" t="str">
        <x:v>Lang</x:v>
      </x:c>
      <x:c r="B662" s="25" t="n">
        <x:v>46</x:v>
      </x:c>
      <x:c r="C662" s="25" t="str">
        <x:v>Round1</x:v>
      </x:c>
      <x:c r="D662" s="25" t="str">
        <x:v>NOT_AVAILABLE</x:v>
      </x:c>
      <x:c r="E662" s="25" t="str">
        <x:v>N/A</x:v>
      </x:c>
      <x:c r="F662" s="26" t="str">
        <x:v>Tests exist but current coverage did not complete</x:v>
      </x:c>
      <x:c r="G662" s="25" t="str">
        <x:v>true</x:v>
      </x:c>
      <x:c r="H662" s="25" t="str">
        <x:v>NOT_AVAILABLE</x:v>
      </x:c>
      <x:c r="I662" s="25" t="str">
        <x:v>NOT_RUN</x:v>
      </x:c>
      <x:c r="J662" s="25" t="str">
        <x:v>NOT_RUN</x:v>
      </x:c>
      <x:c r="K662" s="25" t="n">
        <x:v>1</x:v>
      </x:c>
      <x:c r="L662" s="27" t="b">
        <x:v>0</x:v>
      </x:c>
      <x:c r="M662" s="25" t="str">
        <x:v>Gemini-3.8-flash/generation_state.json</x:v>
      </x:c>
      <x:c r="N662" s="25" t="str">
        <x:v>Gemini-3.8-flash/Result/Lang_46/result.json</x:v>
      </x:c>
      <x:c r="O662" s="25" t="str">
        <x:v>Gemini-3.8-flash/Result/Lang_46/result.json</x:v>
      </x:c>
      <x:c r="P662" t="str">
        <x:v>BOTH_NOT_RUN</x:v>
      </x:c>
      <x:c r="Q662" s="21" t="str"/>
      <x:c r="R662" s="21" t="str"/>
      <x:c r="S662" s="21" t="str"/>
      <x:c r="T662" s="17" t="str">
        <x:v>false</x:v>
      </x:c>
      <x:c r="U662" s="17" t="str">
        <x:v>true</x:v>
      </x:c>
      <x:c r="V662" s="17" t="str">
        <x:v>false</x:v>
      </x:c>
    </x:row>
    <x:row r="663" ht="80" customHeight="1">
      <x:c r="A663" s="25" t="str">
        <x:v>Lang</x:v>
      </x:c>
      <x:c r="B663" s="25" t="n">
        <x:v>47</x:v>
      </x:c>
      <x:c r="C663" s="25" t="str">
        <x:v>Round1</x:v>
      </x:c>
      <x:c r="D663" s="25" t="str">
        <x:v>NOT_REVEALING</x:v>
      </x:c>
      <x:c r="E663" s="25" t="str">
        <x:v>N/A</x:v>
      </x:c>
      <x:c r="F663" s="26" t="str">
        <x:v>Same saved validation suite passed on buggy and fixed</x:v>
      </x:c>
      <x:c r="G663" s="25" t="str">
        <x:v>true</x:v>
      </x:c>
      <x:c r="H663" s="25" t="str">
        <x:v>NOT_REVEALING</x:v>
      </x:c>
      <x:c r="I663" s="25" t="str">
        <x:v>PASS</x:v>
      </x:c>
      <x:c r="J663" s="25" t="str">
        <x:v>PASS</x:v>
      </x:c>
      <x:c r="K663" s="25" t="n">
        <x:v>1</x:v>
      </x:c>
      <x:c r="L663" s="27" t="b">
        <x:v>0</x:v>
      </x:c>
      <x:c r="M663" s="25" t="str">
        <x:v>Gemini-3.8-flash/generation_state.json</x:v>
      </x:c>
      <x:c r="N663" s="25" t="str">
        <x:v>Gemini-3.8-flash/Result/Lang_47/result.json</x:v>
      </x:c>
      <x:c r="O663" s="25" t="str">
        <x:v>Gemini-3.8-flash/Result/Lang_47/result.json</x:v>
      </x:c>
      <x:c r="P663"/>
      <x:c r="Q663" s="21" t="str"/>
      <x:c r="R663" s="21" t="str"/>
      <x:c r="S663" s="21" t="str"/>
      <x:c r="T663" s="17" t="str">
        <x:v>false</x:v>
      </x:c>
      <x:c r="U663" s="17" t="str">
        <x:v>true</x:v>
      </x:c>
      <x:c r="V663" s="17" t="str">
        <x:v>false</x:v>
      </x:c>
    </x:row>
    <x:row r="664" ht="80" customHeight="1">
      <x:c r="A664" s="25" t="str">
        <x:v>Lang</x:v>
      </x:c>
      <x:c r="B664" s="25" t="n">
        <x:v>49</x:v>
      </x:c>
      <x:c r="C664" s="25" t="str">
        <x:v>Round1</x:v>
      </x:c>
      <x:c r="D664" s="25" t="str">
        <x:v>NOT_REVEALING</x:v>
      </x:c>
      <x:c r="E664" s="25" t="str">
        <x:v>N/A</x:v>
      </x:c>
      <x:c r="F664" s="26" t="str">
        <x:v>Same saved validation suite passed on buggy and fixed</x:v>
      </x:c>
      <x:c r="G664" s="25" t="str">
        <x:v>true</x:v>
      </x:c>
      <x:c r="H664" s="25" t="str">
        <x:v>NOT_REVEALING</x:v>
      </x:c>
      <x:c r="I664" s="25" t="str">
        <x:v>PASS</x:v>
      </x:c>
      <x:c r="J664" s="25" t="str">
        <x:v>PASS</x:v>
      </x:c>
      <x:c r="K664" s="25" t="n">
        <x:v>1</x:v>
      </x:c>
      <x:c r="L664" s="27" t="b">
        <x:v>0</x:v>
      </x:c>
      <x:c r="M664" s="25" t="str">
        <x:v>Gemini-3.8-flash/generation_state.json</x:v>
      </x:c>
      <x:c r="N664" s="25" t="str">
        <x:v>Gemini-3.8-flash/Result/Lang_49/result.json</x:v>
      </x:c>
      <x:c r="O664" s="25" t="str">
        <x:v>Gemini-3.8-flash/Result/Lang_49/result.json</x:v>
      </x:c>
      <x:c r="P664"/>
      <x:c r="Q664" s="21" t="str"/>
      <x:c r="R664" s="21" t="str"/>
      <x:c r="S664" s="21" t="str"/>
      <x:c r="T664" s="17" t="str">
        <x:v>false</x:v>
      </x:c>
      <x:c r="U664" s="17" t="str">
        <x:v>true</x:v>
      </x:c>
      <x:c r="V664" s="17" t="str">
        <x:v>false</x:v>
      </x:c>
    </x:row>
    <x:row r="665" ht="80" customHeight="1">
      <x:c r="A665" s="25" t="str">
        <x:v>Lang</x:v>
      </x:c>
      <x:c r="B665" s="25" t="n">
        <x:v>5</x:v>
      </x:c>
      <x:c r="C665" s="25" t="str">
        <x:v>Round1</x:v>
      </x:c>
      <x:c r="D665" s="25" t="str">
        <x:v>NOT_REVEALING</x:v>
      </x:c>
      <x:c r="E665" s="25" t="str">
        <x:v>N/A</x:v>
      </x:c>
      <x:c r="F665" s="26" t="str">
        <x:v>Same saved validation suite passed on buggy and fixed</x:v>
      </x:c>
      <x:c r="G665" s="25" t="str">
        <x:v>true</x:v>
      </x:c>
      <x:c r="H665" s="25" t="str">
        <x:v>NOT_REVEALING</x:v>
      </x:c>
      <x:c r="I665" s="25" t="str">
        <x:v>PASS</x:v>
      </x:c>
      <x:c r="J665" s="25" t="str">
        <x:v>PASS</x:v>
      </x:c>
      <x:c r="K665" s="25" t="n">
        <x:v>1</x:v>
      </x:c>
      <x:c r="L665" s="27" t="b">
        <x:v>0</x:v>
      </x:c>
      <x:c r="M665" s="25" t="str">
        <x:v>Gemini-3.8-flash/generation_state.json</x:v>
      </x:c>
      <x:c r="N665" s="25" t="str">
        <x:v>Gemini-3.8-flash/Result/Lang_5/result.json</x:v>
      </x:c>
      <x:c r="O665" s="25" t="str">
        <x:v>Gemini-3.8-flash/Result/Lang_5/result.json</x:v>
      </x:c>
      <x:c r="P665"/>
      <x:c r="Q665" s="21" t="str"/>
      <x:c r="R665" s="21" t="str"/>
      <x:c r="S665" s="21" t="str"/>
      <x:c r="T665" s="17" t="str">
        <x:v>false</x:v>
      </x:c>
      <x:c r="U665" s="17" t="str">
        <x:v>true</x:v>
      </x:c>
      <x:c r="V665" s="17" t="str">
        <x:v>false</x:v>
      </x:c>
    </x:row>
    <x:row r="666" ht="80" customHeight="1">
      <x:c r="A666" s="25" t="str">
        <x:v>Lang</x:v>
      </x:c>
      <x:c r="B666" s="25" t="n">
        <x:v>50</x:v>
      </x:c>
      <x:c r="C666" s="25" t="str">
        <x:v>Round1</x:v>
      </x:c>
      <x:c r="D666" s="25" t="str">
        <x:v>NOT_AVAILABLE</x:v>
      </x:c>
      <x:c r="E666" s="25" t="str">
        <x:v>N/A</x:v>
      </x:c>
      <x:c r="F666" s="26" t="str">
        <x:v>Tests exist but current coverage did not complete</x:v>
      </x:c>
      <x:c r="G666" s="25" t="str">
        <x:v>true</x:v>
      </x:c>
      <x:c r="H666" s="25" t="str">
        <x:v>NOT_AVAILABLE</x:v>
      </x:c>
      <x:c r="I666" s="25" t="str">
        <x:v>NOT_RUN</x:v>
      </x:c>
      <x:c r="J666" s="25" t="str">
        <x:v>NOT_RUN</x:v>
      </x:c>
      <x:c r="K666" s="25" t="n">
        <x:v>1</x:v>
      </x:c>
      <x:c r="L666" s="27" t="b">
        <x:v>0</x:v>
      </x:c>
      <x:c r="M666" s="25" t="str">
        <x:v>Gemini-3.8-flash/generation_state.json</x:v>
      </x:c>
      <x:c r="N666" s="25" t="str">
        <x:v>Gemini-3.8-flash/Result/Lang_50/result.json</x:v>
      </x:c>
      <x:c r="O666" s="25" t="str">
        <x:v>Gemini-3.8-flash/Result/Lang_50/result.json</x:v>
      </x:c>
      <x:c r="P666" t="str">
        <x:v>BOTH_NOT_RUN</x:v>
      </x:c>
      <x:c r="Q666" s="21" t="str"/>
      <x:c r="R666" s="21" t="str"/>
      <x:c r="S666" s="21" t="str"/>
      <x:c r="T666" s="17" t="str">
        <x:v>false</x:v>
      </x:c>
      <x:c r="U666" s="17" t="str">
        <x:v>true</x:v>
      </x:c>
      <x:c r="V666" s="17" t="str">
        <x:v>false</x:v>
      </x:c>
    </x:row>
    <x:row r="667" ht="80" customHeight="1">
      <x:c r="A667" s="25" t="str">
        <x:v>Lang</x:v>
      </x:c>
      <x:c r="B667" s="25" t="n">
        <x:v>51</x:v>
      </x:c>
      <x:c r="C667" s="25" t="str">
        <x:v>Round1</x:v>
      </x:c>
      <x:c r="D667" s="25" t="str">
        <x:v>NOT_REVEALING</x:v>
      </x:c>
      <x:c r="E667" s="25" t="str">
        <x:v>N/A</x:v>
      </x:c>
      <x:c r="F667" s="26" t="str">
        <x:v>Same saved validation suite passed on buggy and fixed</x:v>
      </x:c>
      <x:c r="G667" s="25" t="str">
        <x:v>true</x:v>
      </x:c>
      <x:c r="H667" s="25" t="str">
        <x:v>NOT_REVEALING</x:v>
      </x:c>
      <x:c r="I667" s="25" t="str">
        <x:v>PASS</x:v>
      </x:c>
      <x:c r="J667" s="25" t="str">
        <x:v>PASS</x:v>
      </x:c>
      <x:c r="K667" s="25" t="n">
        <x:v>1</x:v>
      </x:c>
      <x:c r="L667" s="27" t="b">
        <x:v>0</x:v>
      </x:c>
      <x:c r="M667" s="25" t="str">
        <x:v>Gemini-3.8-flash/generation_state.json</x:v>
      </x:c>
      <x:c r="N667" s="25" t="str">
        <x:v>Gemini-3.8-flash/Result/Lang_51/result.json</x:v>
      </x:c>
      <x:c r="O667" s="25" t="str">
        <x:v>Gemini-3.8-flash/Result/Lang_51/result.json</x:v>
      </x:c>
      <x:c r="P667"/>
      <x:c r="Q667" s="21" t="str"/>
      <x:c r="R667" s="21" t="str"/>
      <x:c r="S667" s="21" t="str"/>
      <x:c r="T667" s="17" t="str">
        <x:v>false</x:v>
      </x:c>
      <x:c r="U667" s="17" t="str">
        <x:v>true</x:v>
      </x:c>
      <x:c r="V667" s="17" t="str">
        <x:v>false</x:v>
      </x:c>
    </x:row>
    <x:row r="668" ht="80" customHeight="1">
      <x:c r="A668" s="25" t="str">
        <x:v>Lang</x:v>
      </x:c>
      <x:c r="B668" s="25" t="n">
        <x:v>52</x:v>
      </x:c>
      <x:c r="C668" s="25" t="str">
        <x:v>Round1</x:v>
      </x:c>
      <x:c r="D668" s="25" t="str">
        <x:v>NOT_AVAILABLE</x:v>
      </x:c>
      <x:c r="E668" s="25" t="str">
        <x:v>N/A</x:v>
      </x:c>
      <x:c r="F668" s="26" t="str">
        <x:v>Tests exist but current coverage did not complete</x:v>
      </x:c>
      <x:c r="G668" s="25" t="str">
        <x:v>true</x:v>
      </x:c>
      <x:c r="H668" s="25" t="str">
        <x:v>NOT_AVAILABLE</x:v>
      </x:c>
      <x:c r="I668" s="25" t="str">
        <x:v>NOT_RUN</x:v>
      </x:c>
      <x:c r="J668" s="25" t="str">
        <x:v>NOT_RUN</x:v>
      </x:c>
      <x:c r="K668" s="25" t="n">
        <x:v>1</x:v>
      </x:c>
      <x:c r="L668" s="27" t="b">
        <x:v>0</x:v>
      </x:c>
      <x:c r="M668" s="25" t="str">
        <x:v>Gemini-3.8-flash/generation_state.json</x:v>
      </x:c>
      <x:c r="N668" s="25" t="str">
        <x:v>Gemini-3.8-flash/Result/Lang_52/result.json</x:v>
      </x:c>
      <x:c r="O668" s="25" t="str">
        <x:v>Gemini-3.8-flash/Result/Lang_52/result.json</x:v>
      </x:c>
      <x:c r="P668" t="str">
        <x:v>BOTH_NOT_RUN</x:v>
      </x:c>
      <x:c r="Q668" s="21" t="str"/>
      <x:c r="R668" s="21" t="str"/>
      <x:c r="S668" s="21" t="str"/>
      <x:c r="T668" s="17" t="str">
        <x:v>false</x:v>
      </x:c>
      <x:c r="U668" s="17" t="str">
        <x:v>true</x:v>
      </x:c>
      <x:c r="V668" s="17" t="str">
        <x:v>false</x:v>
      </x:c>
    </x:row>
    <x:row r="669" ht="80" customHeight="1">
      <x:c r="A669" s="25" t="str">
        <x:v>Lang</x:v>
      </x:c>
      <x:c r="B669" s="25" t="n">
        <x:v>53</x:v>
      </x:c>
      <x:c r="C669" s="25" t="str">
        <x:v>Round1</x:v>
      </x:c>
      <x:c r="D669" s="25" t="str">
        <x:v>NOT_REVEALING</x:v>
      </x:c>
      <x:c r="E669" s="25" t="str">
        <x:v>N/A</x:v>
      </x:c>
      <x:c r="F669" s="26" t="str">
        <x:v>Same saved validation suite passed on buggy and fixed</x:v>
      </x:c>
      <x:c r="G669" s="25" t="str">
        <x:v>true</x:v>
      </x:c>
      <x:c r="H669" s="25" t="str">
        <x:v>NOT_REVEALING</x:v>
      </x:c>
      <x:c r="I669" s="25" t="str">
        <x:v>PASS</x:v>
      </x:c>
      <x:c r="J669" s="25" t="str">
        <x:v>PASS</x:v>
      </x:c>
      <x:c r="K669" s="25" t="n">
        <x:v>1</x:v>
      </x:c>
      <x:c r="L669" s="27" t="b">
        <x:v>0</x:v>
      </x:c>
      <x:c r="M669" s="25" t="str">
        <x:v>Gemini-3.8-flash/generation_state.json</x:v>
      </x:c>
      <x:c r="N669" s="25" t="str">
        <x:v>Gemini-3.8-flash/Result/Lang_53/result.json</x:v>
      </x:c>
      <x:c r="O669" s="25" t="str">
        <x:v>Gemini-3.8-flash/Result/Lang_53/result.json</x:v>
      </x:c>
      <x:c r="P669"/>
      <x:c r="Q669" s="21" t="str"/>
      <x:c r="R669" s="21" t="str"/>
      <x:c r="S669" s="21" t="str"/>
      <x:c r="T669" s="17" t="str">
        <x:v>false</x:v>
      </x:c>
      <x:c r="U669" s="17" t="str">
        <x:v>true</x:v>
      </x:c>
      <x:c r="V669" s="17" t="str">
        <x:v>false</x:v>
      </x:c>
    </x:row>
    <x:row r="670" ht="80" customHeight="1">
      <x:c r="A670" s="25" t="str">
        <x:v>Lang</x:v>
      </x:c>
      <x:c r="B670" s="25" t="n">
        <x:v>54</x:v>
      </x:c>
      <x:c r="C670" s="25" t="str">
        <x:v>Round1</x:v>
      </x:c>
      <x:c r="D670" s="25" t="str">
        <x:v>NOT_REVEALING</x:v>
      </x:c>
      <x:c r="E670" s="25" t="str">
        <x:v>N/A</x:v>
      </x:c>
      <x:c r="F670" s="26" t="str">
        <x:v>Same saved validation suite passed on buggy and fixed</x:v>
      </x:c>
      <x:c r="G670" s="25" t="str">
        <x:v>true</x:v>
      </x:c>
      <x:c r="H670" s="25" t="str">
        <x:v>NOT_REVEALING</x:v>
      </x:c>
      <x:c r="I670" s="25" t="str">
        <x:v>PASS</x:v>
      </x:c>
      <x:c r="J670" s="25" t="str">
        <x:v>PASS</x:v>
      </x:c>
      <x:c r="K670" s="25" t="n">
        <x:v>1</x:v>
      </x:c>
      <x:c r="L670" s="27" t="b">
        <x:v>0</x:v>
      </x:c>
      <x:c r="M670" s="25" t="str">
        <x:v>Gemini-3.8-flash/generation_state.json</x:v>
      </x:c>
      <x:c r="N670" s="25" t="str">
        <x:v>Gemini-3.8-flash/Result/Lang_54/result.json</x:v>
      </x:c>
      <x:c r="O670" s="25" t="str">
        <x:v>Gemini-3.8-flash/Result/Lang_54/result.json</x:v>
      </x:c>
      <x:c r="P670"/>
      <x:c r="Q670" s="21" t="str"/>
      <x:c r="R670" s="21" t="str"/>
      <x:c r="S670" s="21" t="str"/>
      <x:c r="T670" s="17" t="str">
        <x:v>false</x:v>
      </x:c>
      <x:c r="U670" s="17" t="str">
        <x:v>true</x:v>
      </x:c>
      <x:c r="V670" s="17" t="str">
        <x:v>false</x:v>
      </x:c>
    </x:row>
    <x:row r="671" ht="80" customHeight="1">
      <x:c r="A671" s="25" t="str">
        <x:v>Lang</x:v>
      </x:c>
      <x:c r="B671" s="25" t="n">
        <x:v>55</x:v>
      </x:c>
      <x:c r="C671" s="25" t="str">
        <x:v>Round1</x:v>
      </x:c>
      <x:c r="D671" s="25" t="str">
        <x:v>NOT_REVEALING</x:v>
      </x:c>
      <x:c r="E671" s="25" t="str">
        <x:v>N/A</x:v>
      </x:c>
      <x:c r="F671" s="26" t="str">
        <x:v>Same saved validation suite passed on buggy and fixed</x:v>
      </x:c>
      <x:c r="G671" s="25" t="str">
        <x:v>true</x:v>
      </x:c>
      <x:c r="H671" s="25" t="str">
        <x:v>NOT_REVEALING</x:v>
      </x:c>
      <x:c r="I671" s="25" t="str">
        <x:v>PASS</x:v>
      </x:c>
      <x:c r="J671" s="25" t="str">
        <x:v>PASS</x:v>
      </x:c>
      <x:c r="K671" s="25" t="n">
        <x:v>1</x:v>
      </x:c>
      <x:c r="L671" s="27" t="b">
        <x:v>0</x:v>
      </x:c>
      <x:c r="M671" s="25" t="str">
        <x:v>Gemini-3.8-flash/generation_state.json</x:v>
      </x:c>
      <x:c r="N671" s="25" t="str">
        <x:v>Gemini-3.8-flash/Result/Lang_55/result.json</x:v>
      </x:c>
      <x:c r="O671" s="25" t="str">
        <x:v>Gemini-3.8-flash/Result/Lang_55/result.json</x:v>
      </x:c>
      <x:c r="P671"/>
      <x:c r="Q671" s="21" t="str"/>
      <x:c r="R671" s="21" t="str"/>
      <x:c r="S671" s="21" t="str"/>
      <x:c r="T671" s="17" t="str">
        <x:v>false</x:v>
      </x:c>
      <x:c r="U671" s="17" t="str">
        <x:v>true</x:v>
      </x:c>
      <x:c r="V671" s="17" t="str">
        <x:v>false</x:v>
      </x:c>
    </x:row>
    <x:row r="672" ht="80" customHeight="1">
      <x:c r="A672" s="25" t="str">
        <x:v>Lang</x:v>
      </x:c>
      <x:c r="B672" s="25" t="n">
        <x:v>56</x:v>
      </x:c>
      <x:c r="C672" s="25" t="str">
        <x:v>Round1</x:v>
      </x:c>
      <x:c r="D672" s="25" t="str">
        <x:v>NOT_AVAILABLE</x:v>
      </x:c>
      <x:c r="E672" s="25" t="str">
        <x:v>N/A</x:v>
      </x:c>
      <x:c r="F672" s="26" t="str">
        <x:v>Tests exist but current coverage did not complete</x:v>
      </x:c>
      <x:c r="G672" s="25" t="str">
        <x:v>true</x:v>
      </x:c>
      <x:c r="H672" s="25" t="str">
        <x:v>NOT_AVAILABLE</x:v>
      </x:c>
      <x:c r="I672" s="25" t="str">
        <x:v>NOT_RUN</x:v>
      </x:c>
      <x:c r="J672" s="25" t="str">
        <x:v>NOT_RUN</x:v>
      </x:c>
      <x:c r="K672" s="25" t="n">
        <x:v>1</x:v>
      </x:c>
      <x:c r="L672" s="27" t="b">
        <x:v>0</x:v>
      </x:c>
      <x:c r="M672" s="25" t="str">
        <x:v>Gemini-3.8-flash/generation_state.json</x:v>
      </x:c>
      <x:c r="N672" s="25" t="str">
        <x:v>Gemini-3.8-flash/Result/Lang_56/result.json</x:v>
      </x:c>
      <x:c r="O672" s="25" t="str">
        <x:v>Gemini-3.8-flash/Result/Lang_56/result.json</x:v>
      </x:c>
      <x:c r="P672" t="str">
        <x:v>BOTH_NOT_RUN</x:v>
      </x:c>
      <x:c r="Q672" s="21" t="str"/>
      <x:c r="R672" s="21" t="str"/>
      <x:c r="S672" s="21" t="str"/>
      <x:c r="T672" s="17" t="str">
        <x:v>false</x:v>
      </x:c>
      <x:c r="U672" s="17" t="str">
        <x:v>true</x:v>
      </x:c>
      <x:c r="V672" s="17" t="str">
        <x:v>false</x:v>
      </x:c>
    </x:row>
    <x:row r="673" ht="80" customHeight="1">
      <x:c r="A673" s="25" t="str">
        <x:v>Lang</x:v>
      </x:c>
      <x:c r="B673" s="25" t="n">
        <x:v>57</x:v>
      </x:c>
      <x:c r="C673" s="25" t="str">
        <x:v>Round1</x:v>
      </x:c>
      <x:c r="D673" s="25" t="str">
        <x:v>REVEALING</x:v>
      </x:c>
      <x:c r="E673" s="25" t="str">
        <x:v>N/A</x:v>
      </x:c>
      <x:c r="F673" s="26" t="str">
        <x:v>Same saved validation suite failed on buggy and passed on fixed</x:v>
      </x:c>
      <x:c r="G673" s="25" t="str">
        <x:v>true</x:v>
      </x:c>
      <x:c r="H673" s="25" t="str">
        <x:v>REVEALING</x:v>
      </x:c>
      <x:c r="I673" s="25" t="str">
        <x:v>FAIL</x:v>
      </x:c>
      <x:c r="J673" s="25" t="str">
        <x:v>PASS</x:v>
      </x:c>
      <x:c r="K673" s="25" t="n">
        <x:v>1</x:v>
      </x:c>
      <x:c r="L673" s="27" t="b">
        <x:v>0</x:v>
      </x:c>
      <x:c r="M673" s="25" t="str">
        <x:v>Gemini-3.8-flash/generation_state.json</x:v>
      </x:c>
      <x:c r="N673" s="25" t="str">
        <x:v>Gemini-3.8-flash/Result/Lang_57/result.json</x:v>
      </x:c>
      <x:c r="O673" s="25" t="str">
        <x:v>Gemini-3.8-flash/Result/Lang_57/result.json</x:v>
      </x:c>
      <x:c r="P673"/>
      <x:c r="Q673" s="21" t="str"/>
      <x:c r="R673" s="21" t="str"/>
      <x:c r="S673" s="21" t="str"/>
      <x:c r="T673" s="17" t="str">
        <x:v>false</x:v>
      </x:c>
      <x:c r="U673" s="17" t="str">
        <x:v>true</x:v>
      </x:c>
      <x:c r="V673" s="17" t="str">
        <x:v>false</x:v>
      </x:c>
    </x:row>
    <x:row r="674" ht="80" customHeight="1">
      <x:c r="A674" s="25" t="str">
        <x:v>Lang</x:v>
      </x:c>
      <x:c r="B674" s="25" t="n">
        <x:v>58</x:v>
      </x:c>
      <x:c r="C674" s="25" t="str">
        <x:v>Round1</x:v>
      </x:c>
      <x:c r="D674" s="25" t="str">
        <x:v>NOT_REVEALING</x:v>
      </x:c>
      <x:c r="E674" s="25" t="str">
        <x:v>N/A</x:v>
      </x:c>
      <x:c r="F674" s="26" t="str">
        <x:v>Same saved validation suite passed on buggy and fixed</x:v>
      </x:c>
      <x:c r="G674" s="25" t="str">
        <x:v>true</x:v>
      </x:c>
      <x:c r="H674" s="25" t="str">
        <x:v>NOT_REVEALING</x:v>
      </x:c>
      <x:c r="I674" s="25" t="str">
        <x:v>PASS</x:v>
      </x:c>
      <x:c r="J674" s="25" t="str">
        <x:v>PASS</x:v>
      </x:c>
      <x:c r="K674" s="25" t="n">
        <x:v>1</x:v>
      </x:c>
      <x:c r="L674" s="27" t="b">
        <x:v>0</x:v>
      </x:c>
      <x:c r="M674" s="25" t="str">
        <x:v>Gemini-3.8-flash/generation_state.json</x:v>
      </x:c>
      <x:c r="N674" s="25" t="str">
        <x:v>Gemini-3.8-flash/Result/Lang_58/result.json</x:v>
      </x:c>
      <x:c r="O674" s="25" t="str">
        <x:v>Gemini-3.8-flash/Result/Lang_58/result.json</x:v>
      </x:c>
      <x:c r="P674"/>
      <x:c r="Q674" s="21" t="str"/>
      <x:c r="R674" s="21" t="str"/>
      <x:c r="S674" s="21" t="str"/>
      <x:c r="T674" s="17" t="str">
        <x:v>false</x:v>
      </x:c>
      <x:c r="U674" s="17" t="str">
        <x:v>true</x:v>
      </x:c>
      <x:c r="V674" s="17" t="str">
        <x:v>false</x:v>
      </x:c>
    </x:row>
    <x:row r="675" ht="80" customHeight="1">
      <x:c r="A675" s="25" t="str">
        <x:v>Lang</x:v>
      </x:c>
      <x:c r="B675" s="25" t="n">
        <x:v>59</x:v>
      </x:c>
      <x:c r="C675" s="25" t="str">
        <x:v>Round1</x:v>
      </x:c>
      <x:c r="D675" s="25" t="str">
        <x:v>NOT_REVEALING</x:v>
      </x:c>
      <x:c r="E675" s="25" t="str">
        <x:v>N/A</x:v>
      </x:c>
      <x:c r="F675" s="26" t="str">
        <x:v>Same saved validation suite passed on buggy and fixed</x:v>
      </x:c>
      <x:c r="G675" s="25" t="str">
        <x:v>true</x:v>
      </x:c>
      <x:c r="H675" s="25" t="str">
        <x:v>NOT_REVEALING</x:v>
      </x:c>
      <x:c r="I675" s="25" t="str">
        <x:v>PASS</x:v>
      </x:c>
      <x:c r="J675" s="25" t="str">
        <x:v>PASS</x:v>
      </x:c>
      <x:c r="K675" s="25" t="n">
        <x:v>1</x:v>
      </x:c>
      <x:c r="L675" s="27" t="b">
        <x:v>0</x:v>
      </x:c>
      <x:c r="M675" s="25" t="str">
        <x:v>Gemini-3.8-flash/generation_state.json</x:v>
      </x:c>
      <x:c r="N675" s="25" t="str">
        <x:v>Gemini-3.8-flash/Result/Lang_59/result.json</x:v>
      </x:c>
      <x:c r="O675" s="25" t="str">
        <x:v>Gemini-3.8-flash/Result/Lang_59/result.json</x:v>
      </x:c>
      <x:c r="P675"/>
      <x:c r="Q675" s="21" t="str"/>
      <x:c r="R675" s="21" t="str"/>
      <x:c r="S675" s="21" t="str"/>
      <x:c r="T675" s="17" t="str">
        <x:v>false</x:v>
      </x:c>
      <x:c r="U675" s="17" t="str">
        <x:v>true</x:v>
      </x:c>
      <x:c r="V675" s="17" t="str">
        <x:v>false</x:v>
      </x:c>
    </x:row>
    <x:row r="676" ht="80" customHeight="1">
      <x:c r="A676" s="25" t="str">
        <x:v>Lang</x:v>
      </x:c>
      <x:c r="B676" s="25" t="n">
        <x:v>6</x:v>
      </x:c>
      <x:c r="C676" s="25" t="str">
        <x:v>Round1</x:v>
      </x:c>
      <x:c r="D676" s="25" t="str">
        <x:v>INCONCLUSIVE</x:v>
      </x:c>
      <x:c r="E676" s="25" t="str">
        <x:v>N/A</x:v>
      </x:c>
      <x:c r="F676" s="26" t="str">
        <x:v>Fixed also failed; assertion failure cannot be attributed to this bug</x:v>
      </x:c>
      <x:c r="G676" s="25" t="str">
        <x:v>true</x:v>
      </x:c>
      <x:c r="H676" s="25" t="str">
        <x:v>INCONCLUSIVE</x:v>
      </x:c>
      <x:c r="I676" s="25" t="str">
        <x:v>PASS</x:v>
      </x:c>
      <x:c r="J676" s="25" t="str">
        <x:v>FAIL</x:v>
      </x:c>
      <x:c r="K676" s="25" t="n">
        <x:v>1</x:v>
      </x:c>
      <x:c r="L676" s="27" t="b">
        <x:v>0</x:v>
      </x:c>
      <x:c r="M676" s="25" t="str">
        <x:v>Gemini-3.8-flash/generation_state.json</x:v>
      </x:c>
      <x:c r="N676" s="25" t="str">
        <x:v>Gemini-3.8-flash/Result/Lang_6/result.json</x:v>
      </x:c>
      <x:c r="O676" s="25" t="str">
        <x:v>Gemini-3.8-flash/Result/Lang_6/result.json</x:v>
      </x:c>
      <x:c r="P676"/>
      <x:c r="Q676" s="21" t="str"/>
      <x:c r="R676" s="21" t="str"/>
      <x:c r="S676" s="21" t="str"/>
      <x:c r="T676" s="17" t="str">
        <x:v>false</x:v>
      </x:c>
      <x:c r="U676" s="17" t="str">
        <x:v>true</x:v>
      </x:c>
      <x:c r="V676" s="17" t="str">
        <x:v>false</x:v>
      </x:c>
    </x:row>
    <x:row r="677" ht="80" customHeight="1">
      <x:c r="A677" s="25" t="str">
        <x:v>Lang</x:v>
      </x:c>
      <x:c r="B677" s="25" t="n">
        <x:v>60</x:v>
      </x:c>
      <x:c r="C677" s="25" t="str">
        <x:v>Round1</x:v>
      </x:c>
      <x:c r="D677" s="25" t="str">
        <x:v>NOT_REVEALING</x:v>
      </x:c>
      <x:c r="E677" s="25" t="str">
        <x:v>N/A</x:v>
      </x:c>
      <x:c r="F677" s="26" t="str">
        <x:v>Same saved validation suite passed on buggy and fixed</x:v>
      </x:c>
      <x:c r="G677" s="25" t="str">
        <x:v>true</x:v>
      </x:c>
      <x:c r="H677" s="25" t="str">
        <x:v>NOT_REVEALING</x:v>
      </x:c>
      <x:c r="I677" s="25" t="str">
        <x:v>PASS</x:v>
      </x:c>
      <x:c r="J677" s="25" t="str">
        <x:v>PASS</x:v>
      </x:c>
      <x:c r="K677" s="25" t="n">
        <x:v>1</x:v>
      </x:c>
      <x:c r="L677" s="27" t="b">
        <x:v>0</x:v>
      </x:c>
      <x:c r="M677" s="25" t="str">
        <x:v>Gemini-3.8-flash/generation_state.json</x:v>
      </x:c>
      <x:c r="N677" s="25" t="str">
        <x:v>Gemini-3.8-flash/Result/Lang_60/result.json</x:v>
      </x:c>
      <x:c r="O677" s="25" t="str">
        <x:v>Gemini-3.8-flash/Result/Lang_60/result.json</x:v>
      </x:c>
      <x:c r="P677"/>
      <x:c r="Q677" s="21" t="str"/>
      <x:c r="R677" s="21" t="str"/>
      <x:c r="S677" s="21" t="str"/>
      <x:c r="T677" s="17" t="str">
        <x:v>false</x:v>
      </x:c>
      <x:c r="U677" s="17" t="str">
        <x:v>true</x:v>
      </x:c>
      <x:c r="V677" s="17" t="str">
        <x:v>false</x:v>
      </x:c>
    </x:row>
    <x:row r="678" ht="80" customHeight="1">
      <x:c r="A678" s="25" t="str">
        <x:v>Lang</x:v>
      </x:c>
      <x:c r="B678" s="25" t="n">
        <x:v>61</x:v>
      </x:c>
      <x:c r="C678" s="25" t="str">
        <x:v>Round1</x:v>
      </x:c>
      <x:c r="D678" s="25" t="str">
        <x:v>NOT_REVEALING</x:v>
      </x:c>
      <x:c r="E678" s="25" t="str">
        <x:v>N/A</x:v>
      </x:c>
      <x:c r="F678" s="26" t="str">
        <x:v>Same saved validation suite passed on buggy and fixed</x:v>
      </x:c>
      <x:c r="G678" s="25" t="str">
        <x:v>true</x:v>
      </x:c>
      <x:c r="H678" s="25" t="str">
        <x:v>NOT_REVEALING</x:v>
      </x:c>
      <x:c r="I678" s="25" t="str">
        <x:v>PASS</x:v>
      </x:c>
      <x:c r="J678" s="25" t="str">
        <x:v>PASS</x:v>
      </x:c>
      <x:c r="K678" s="25" t="n">
        <x:v>1</x:v>
      </x:c>
      <x:c r="L678" s="27" t="b">
        <x:v>0</x:v>
      </x:c>
      <x:c r="M678" s="25" t="str">
        <x:v>Gemini-3.8-flash/generation_state.json</x:v>
      </x:c>
      <x:c r="N678" s="25" t="str">
        <x:v>Gemini-3.8-flash/Result/Lang_61/result.json</x:v>
      </x:c>
      <x:c r="O678" s="25" t="str">
        <x:v>Gemini-3.8-flash/Result/Lang_61/result.json</x:v>
      </x:c>
      <x:c r="P678"/>
      <x:c r="Q678" s="21" t="str"/>
      <x:c r="R678" s="21" t="str"/>
      <x:c r="S678" s="21" t="str"/>
      <x:c r="T678" s="17" t="str">
        <x:v>false</x:v>
      </x:c>
      <x:c r="U678" s="17" t="str">
        <x:v>true</x:v>
      </x:c>
      <x:c r="V678" s="17" t="str">
        <x:v>false</x:v>
      </x:c>
    </x:row>
    <x:row r="679" ht="80" customHeight="1">
      <x:c r="A679" s="25" t="str">
        <x:v>Lang</x:v>
      </x:c>
      <x:c r="B679" s="25" t="n">
        <x:v>62</x:v>
      </x:c>
      <x:c r="C679" s="25" t="str">
        <x:v>Round1</x:v>
      </x:c>
      <x:c r="D679" s="25" t="str">
        <x:v>NOT_REVEALING</x:v>
      </x:c>
      <x:c r="E679" s="25" t="str">
        <x:v>N/A</x:v>
      </x:c>
      <x:c r="F679" s="26" t="str">
        <x:v>Same saved validation suite passed on buggy and fixed</x:v>
      </x:c>
      <x:c r="G679" s="25" t="str">
        <x:v>true</x:v>
      </x:c>
      <x:c r="H679" s="25" t="str">
        <x:v>NOT_REVEALING</x:v>
      </x:c>
      <x:c r="I679" s="25" t="str">
        <x:v>PASS</x:v>
      </x:c>
      <x:c r="J679" s="25" t="str">
        <x:v>PASS</x:v>
      </x:c>
      <x:c r="K679" s="25" t="n">
        <x:v>1</x:v>
      </x:c>
      <x:c r="L679" s="27" t="b">
        <x:v>0</x:v>
      </x:c>
      <x:c r="M679" s="25" t="str">
        <x:v>Gemini-3.8-flash/generation_state.json</x:v>
      </x:c>
      <x:c r="N679" s="25" t="str">
        <x:v>Gemini-3.8-flash/Result/Lang_62/result.json</x:v>
      </x:c>
      <x:c r="O679" s="25" t="str">
        <x:v>Gemini-3.8-flash/Result/Lang_62/result.json</x:v>
      </x:c>
      <x:c r="P679"/>
      <x:c r="Q679" s="21" t="str"/>
      <x:c r="R679" s="21" t="str"/>
      <x:c r="S679" s="21" t="str"/>
      <x:c r="T679" s="17" t="str">
        <x:v>false</x:v>
      </x:c>
      <x:c r="U679" s="17" t="str">
        <x:v>true</x:v>
      </x:c>
      <x:c r="V679" s="17" t="str">
        <x:v>false</x:v>
      </x:c>
    </x:row>
    <x:row r="680" ht="80" customHeight="1">
      <x:c r="A680" s="25" t="str">
        <x:v>Lang</x:v>
      </x:c>
      <x:c r="B680" s="25" t="n">
        <x:v>63</x:v>
      </x:c>
      <x:c r="C680" s="25" t="str">
        <x:v>Round1</x:v>
      </x:c>
      <x:c r="D680" s="25" t="str">
        <x:v>NOT_REVEALING</x:v>
      </x:c>
      <x:c r="E680" s="25" t="str">
        <x:v>N/A</x:v>
      </x:c>
      <x:c r="F680" s="26" t="str">
        <x:v>Same saved validation suite passed on buggy and fixed</x:v>
      </x:c>
      <x:c r="G680" s="25" t="str">
        <x:v>true</x:v>
      </x:c>
      <x:c r="H680" s="25" t="str">
        <x:v>NOT_REVEALING</x:v>
      </x:c>
      <x:c r="I680" s="25" t="str">
        <x:v>PASS</x:v>
      </x:c>
      <x:c r="J680" s="25" t="str">
        <x:v>PASS</x:v>
      </x:c>
      <x:c r="K680" s="25" t="n">
        <x:v>1</x:v>
      </x:c>
      <x:c r="L680" s="27" t="b">
        <x:v>0</x:v>
      </x:c>
      <x:c r="M680" s="25" t="str">
        <x:v>Gemini-3.8-flash/generation_state.json</x:v>
      </x:c>
      <x:c r="N680" s="25" t="str">
        <x:v>Gemini-3.8-flash/Result/Lang_63/result.json</x:v>
      </x:c>
      <x:c r="O680" s="25" t="str">
        <x:v>Gemini-3.8-flash/Result/Lang_63/result.json</x:v>
      </x:c>
      <x:c r="P680"/>
      <x:c r="Q680" s="21" t="str"/>
      <x:c r="R680" s="21" t="str"/>
      <x:c r="S680" s="21" t="str"/>
      <x:c r="T680" s="17" t="str">
        <x:v>false</x:v>
      </x:c>
      <x:c r="U680" s="17" t="str">
        <x:v>true</x:v>
      </x:c>
      <x:c r="V680" s="17" t="str">
        <x:v>false</x:v>
      </x:c>
    </x:row>
    <x:row r="681" ht="80" customHeight="1">
      <x:c r="A681" s="25" t="str">
        <x:v>Lang</x:v>
      </x:c>
      <x:c r="B681" s="25" t="n">
        <x:v>64</x:v>
      </x:c>
      <x:c r="C681" s="25" t="str">
        <x:v>Round1</x:v>
      </x:c>
      <x:c r="D681" s="25" t="str">
        <x:v>NOT_REVEALING</x:v>
      </x:c>
      <x:c r="E681" s="25" t="str">
        <x:v>N/A</x:v>
      </x:c>
      <x:c r="F681" s="26" t="str">
        <x:v>Same saved validation suite passed on buggy and fixed</x:v>
      </x:c>
      <x:c r="G681" s="25" t="str">
        <x:v>true</x:v>
      </x:c>
      <x:c r="H681" s="25" t="str">
        <x:v>NOT_REVEALING</x:v>
      </x:c>
      <x:c r="I681" s="25" t="str">
        <x:v>PASS</x:v>
      </x:c>
      <x:c r="J681" s="25" t="str">
        <x:v>PASS</x:v>
      </x:c>
      <x:c r="K681" s="25" t="n">
        <x:v>1</x:v>
      </x:c>
      <x:c r="L681" s="27" t="b">
        <x:v>0</x:v>
      </x:c>
      <x:c r="M681" s="25" t="str">
        <x:v>Gemini-3.8-flash/generation_state.json</x:v>
      </x:c>
      <x:c r="N681" s="25" t="str">
        <x:v>Gemini-3.8-flash/Result/Lang_64/result.json</x:v>
      </x:c>
      <x:c r="O681" s="25" t="str">
        <x:v>Gemini-3.8-flash/Result/Lang_64/result.json</x:v>
      </x:c>
      <x:c r="P681"/>
      <x:c r="Q681" s="21" t="str"/>
      <x:c r="R681" s="21" t="str"/>
      <x:c r="S681" s="21" t="str"/>
      <x:c r="T681" s="17" t="str">
        <x:v>false</x:v>
      </x:c>
      <x:c r="U681" s="17" t="str">
        <x:v>true</x:v>
      </x:c>
      <x:c r="V681" s="17" t="str">
        <x:v>false</x:v>
      </x:c>
    </x:row>
    <x:row r="682" ht="80" customHeight="1">
      <x:c r="A682" s="25" t="str">
        <x:v>Lang</x:v>
      </x:c>
      <x:c r="B682" s="25" t="n">
        <x:v>65</x:v>
      </x:c>
      <x:c r="C682" s="25" t="str">
        <x:v>Round1</x:v>
      </x:c>
      <x:c r="D682" s="25" t="str">
        <x:v>NOT_REVEALING</x:v>
      </x:c>
      <x:c r="E682" s="25" t="str">
        <x:v>N/A</x:v>
      </x:c>
      <x:c r="F682" s="26" t="str">
        <x:v>Same saved validation suite passed on buggy and fixed</x:v>
      </x:c>
      <x:c r="G682" s="25" t="str">
        <x:v>true</x:v>
      </x:c>
      <x:c r="H682" s="25" t="str">
        <x:v>NOT_REVEALING</x:v>
      </x:c>
      <x:c r="I682" s="25" t="str">
        <x:v>PASS</x:v>
      </x:c>
      <x:c r="J682" s="25" t="str">
        <x:v>PASS</x:v>
      </x:c>
      <x:c r="K682" s="25" t="n">
        <x:v>1</x:v>
      </x:c>
      <x:c r="L682" s="27" t="b">
        <x:v>0</x:v>
      </x:c>
      <x:c r="M682" s="25" t="str">
        <x:v>Gemini-3.8-flash/generation_state.json</x:v>
      </x:c>
      <x:c r="N682" s="25" t="str">
        <x:v>Gemini-3.8-flash/Result/Lang_65/result.json</x:v>
      </x:c>
      <x:c r="O682" s="25" t="str">
        <x:v>Gemini-3.8-flash/Result/Lang_65/result.json</x:v>
      </x:c>
      <x:c r="P682"/>
      <x:c r="Q682" s="21" t="str"/>
      <x:c r="R682" s="21" t="str"/>
      <x:c r="S682" s="21" t="str"/>
      <x:c r="T682" s="17" t="str">
        <x:v>false</x:v>
      </x:c>
      <x:c r="U682" s="17" t="str">
        <x:v>true</x:v>
      </x:c>
      <x:c r="V682" s="17" t="str">
        <x:v>false</x:v>
      </x:c>
    </x:row>
    <x:row r="683" ht="80" customHeight="1">
      <x:c r="A683" s="25" t="str">
        <x:v>Lang</x:v>
      </x:c>
      <x:c r="B683" s="25" t="n">
        <x:v>7</x:v>
      </x:c>
      <x:c r="C683" s="25" t="str">
        <x:v>Round1</x:v>
      </x:c>
      <x:c r="D683" s="25" t="str">
        <x:v>INCONCLUSIVE</x:v>
      </x:c>
      <x:c r="E683" s="25" t="str">
        <x:v>N/A</x:v>
      </x:c>
      <x:c r="F683" s="26" t="str">
        <x:v>Fixed also failed; assertion failure cannot be attributed to this bug</x:v>
      </x:c>
      <x:c r="G683" s="25" t="str">
        <x:v>true</x:v>
      </x:c>
      <x:c r="H683" s="25" t="str">
        <x:v>INCONCLUSIVE</x:v>
      </x:c>
      <x:c r="I683" s="25" t="str">
        <x:v>FAIL</x:v>
      </x:c>
      <x:c r="J683" s="25" t="str">
        <x:v>FAIL</x:v>
      </x:c>
      <x:c r="K683" s="25" t="n">
        <x:v>1</x:v>
      </x:c>
      <x:c r="L683" s="27" t="b">
        <x:v>0</x:v>
      </x:c>
      <x:c r="M683" s="25" t="str">
        <x:v>Gemini-3.8-flash/generation_state.json</x:v>
      </x:c>
      <x:c r="N683" s="25" t="str">
        <x:v>Gemini-3.8-flash/Result/Lang_7/result.json</x:v>
      </x:c>
      <x:c r="O683" s="25" t="str">
        <x:v>Gemini-3.8-flash/Result/Lang_7/result.json</x:v>
      </x:c>
      <x:c r="P683"/>
      <x:c r="Q683" s="21" t="str"/>
      <x:c r="R683" s="21" t="str"/>
      <x:c r="S683" s="21" t="str"/>
      <x:c r="T683" s="17" t="str">
        <x:v>false</x:v>
      </x:c>
      <x:c r="U683" s="17" t="str">
        <x:v>true</x:v>
      </x:c>
      <x:c r="V683" s="17" t="str">
        <x:v>false</x:v>
      </x:c>
    </x:row>
    <x:row r="684" ht="80" customHeight="1">
      <x:c r="A684" s="25" t="str">
        <x:v>Lang</x:v>
      </x:c>
      <x:c r="B684" s="25" t="n">
        <x:v>8</x:v>
      </x:c>
      <x:c r="C684" s="25" t="str">
        <x:v>Round1</x:v>
      </x:c>
      <x:c r="D684" s="25" t="str">
        <x:v>INCONCLUSIVE</x:v>
      </x:c>
      <x:c r="E684" s="25" t="str">
        <x:v>N/A</x:v>
      </x:c>
      <x:c r="F684" s="26" t="str">
        <x:v>Fixed also failed; assertion failure cannot be attributed to this bug</x:v>
      </x:c>
      <x:c r="G684" s="25" t="str">
        <x:v>true</x:v>
      </x:c>
      <x:c r="H684" s="25" t="str">
        <x:v>INCONCLUSIVE</x:v>
      </x:c>
      <x:c r="I684" s="25" t="str">
        <x:v>FAIL</x:v>
      </x:c>
      <x:c r="J684" s="25" t="str">
        <x:v>FAIL</x:v>
      </x:c>
      <x:c r="K684" s="25" t="n">
        <x:v>1</x:v>
      </x:c>
      <x:c r="L684" s="27" t="b">
        <x:v>0</x:v>
      </x:c>
      <x:c r="M684" s="25" t="str">
        <x:v>Gemini-3.8-flash/generation_state.json</x:v>
      </x:c>
      <x:c r="N684" s="25" t="str">
        <x:v>Gemini-3.8-flash/Result/Lang_8/result.json</x:v>
      </x:c>
      <x:c r="O684" s="25" t="str">
        <x:v>Gemini-3.8-flash/Result/Lang_8/result.json</x:v>
      </x:c>
      <x:c r="P684"/>
      <x:c r="Q684" s="21" t="str"/>
      <x:c r="R684" s="21" t="str"/>
      <x:c r="S684" s="21" t="str"/>
      <x:c r="T684" s="17" t="str">
        <x:v>false</x:v>
      </x:c>
      <x:c r="U684" s="17" t="str">
        <x:v>true</x:v>
      </x:c>
      <x:c r="V684" s="17" t="str">
        <x:v>false</x:v>
      </x:c>
    </x:row>
    <x:row r="685" ht="80" customHeight="1">
      <x:c r="A685" s="25" t="str">
        <x:v>Lang</x:v>
      </x:c>
      <x:c r="B685" s="25" t="n">
        <x:v>9</x:v>
      </x:c>
      <x:c r="C685" s="25" t="str">
        <x:v>Round1</x:v>
      </x:c>
      <x:c r="D685" s="25" t="str">
        <x:v>NOT_AVAILABLE</x:v>
      </x:c>
      <x:c r="E685" s="25" t="str">
        <x:v>N/A</x:v>
      </x:c>
      <x:c r="F685" s="26" t="str">
        <x:v>Tests exist but current coverage did not complete</x:v>
      </x:c>
      <x:c r="G685" s="25" t="str">
        <x:v>true</x:v>
      </x:c>
      <x:c r="H685" s="25" t="str">
        <x:v>NOT_AVAILABLE</x:v>
      </x:c>
      <x:c r="I685" s="25" t="str">
        <x:v>NOT_RUN</x:v>
      </x:c>
      <x:c r="J685" s="25" t="str">
        <x:v>NOT_RUN</x:v>
      </x:c>
      <x:c r="K685" s="25" t="n">
        <x:v>1</x:v>
      </x:c>
      <x:c r="L685" s="27" t="b">
        <x:v>0</x:v>
      </x:c>
      <x:c r="M685" s="25" t="str">
        <x:v>Gemini-3.8-flash/generation_state.json</x:v>
      </x:c>
      <x:c r="N685" s="25" t="str">
        <x:v>Gemini-3.8-flash/Result/Lang_9/result.json</x:v>
      </x:c>
      <x:c r="O685" s="25" t="str">
        <x:v>Gemini-3.8-flash/Result/Lang_9/result.json</x:v>
      </x:c>
      <x:c r="P685" t="str">
        <x:v>BOTH_NOT_RUN</x:v>
      </x:c>
      <x:c r="Q685" s="21" t="str"/>
      <x:c r="R685" s="21" t="str"/>
      <x:c r="S685" s="21" t="str"/>
      <x:c r="T685" s="17" t="str">
        <x:v>false</x:v>
      </x:c>
      <x:c r="U685" s="17" t="str">
        <x:v>true</x:v>
      </x:c>
      <x:c r="V685" s="17" t="str">
        <x:v>false</x:v>
      </x:c>
    </x:row>
    <x:row r="686" ht="80" customHeight="1">
      <x:c r="A686" s="25" t="str">
        <x:v>Math</x:v>
      </x:c>
      <x:c r="B686" s="25" t="n">
        <x:v>1</x:v>
      </x:c>
      <x:c r="C686" s="25" t="str">
        <x:v>Round1</x:v>
      </x:c>
      <x:c r="D686" s="25" t="str">
        <x:v>NOT_REVEALING</x:v>
      </x:c>
      <x:c r="E686" s="25" t="str">
        <x:v>N/A</x:v>
      </x:c>
      <x:c r="F686" s="26" t="str">
        <x:v>Same saved validation suite passed on buggy and fixed</x:v>
      </x:c>
      <x:c r="G686" s="25" t="str">
        <x:v>true</x:v>
      </x:c>
      <x:c r="H686" s="25" t="str">
        <x:v>NOT_REVEALING</x:v>
      </x:c>
      <x:c r="I686" s="25" t="str">
        <x:v>PASS</x:v>
      </x:c>
      <x:c r="J686" s="25" t="str">
        <x:v>PASS</x:v>
      </x:c>
      <x:c r="K686" s="25" t="n">
        <x:v>2</x:v>
      </x:c>
      <x:c r="L686" s="27" t="b">
        <x:v>0</x:v>
      </x:c>
      <x:c r="M686" s="25" t="str">
        <x:v>Gemini-3.8-flash/generation_state.json</x:v>
      </x:c>
      <x:c r="N686" s="25" t="str">
        <x:v>Gemini-3.8-flash/Result/Math_1/result.json</x:v>
      </x:c>
      <x:c r="O686" s="25" t="str">
        <x:v>Gemini-3.8-flash/Result/Math_1/result.json</x:v>
      </x:c>
      <x:c r="P686"/>
      <x:c r="Q686" s="21" t="str"/>
      <x:c r="R686" s="21" t="str"/>
      <x:c r="S686" s="21" t="str"/>
      <x:c r="T686" s="17" t="str">
        <x:v>false</x:v>
      </x:c>
      <x:c r="U686" s="17" t="str">
        <x:v>true</x:v>
      </x:c>
      <x:c r="V686" s="17" t="str">
        <x:v>false</x:v>
      </x:c>
    </x:row>
    <x:row r="687" ht="80" customHeight="1">
      <x:c r="A687" s="25" t="str">
        <x:v>Math</x:v>
      </x:c>
      <x:c r="B687" s="25" t="n">
        <x:v>10</x:v>
      </x:c>
      <x:c r="C687" s="25" t="str">
        <x:v>Round1</x:v>
      </x:c>
      <x:c r="D687" s="25" t="str">
        <x:v>NOT_REVEALING</x:v>
      </x:c>
      <x:c r="E687" s="25" t="str">
        <x:v>N/A</x:v>
      </x:c>
      <x:c r="F687" s="26" t="str">
        <x:v>Same saved validation suite passed on buggy and fixed</x:v>
      </x:c>
      <x:c r="G687" s="25" t="str">
        <x:v>true</x:v>
      </x:c>
      <x:c r="H687" s="25" t="str">
        <x:v>NOT_REVEALING</x:v>
      </x:c>
      <x:c r="I687" s="25" t="str">
        <x:v>PASS</x:v>
      </x:c>
      <x:c r="J687" s="25" t="str">
        <x:v>PASS</x:v>
      </x:c>
      <x:c r="K687" s="25" t="n">
        <x:v>1</x:v>
      </x:c>
      <x:c r="L687" s="27" t="b">
        <x:v>0</x:v>
      </x:c>
      <x:c r="M687" s="25" t="str">
        <x:v>Gemini-3.8-flash/generation_state.json</x:v>
      </x:c>
      <x:c r="N687" s="25" t="str">
        <x:v>Gemini-3.8-flash/Result/Math_10/result.json</x:v>
      </x:c>
      <x:c r="O687" s="25" t="str">
        <x:v>Gemini-3.8-flash/Result/Math_10/result.json</x:v>
      </x:c>
      <x:c r="P687"/>
      <x:c r="Q687" s="21" t="str"/>
      <x:c r="R687" s="21" t="str"/>
      <x:c r="S687" s="21" t="str"/>
      <x:c r="T687" s="17" t="str">
        <x:v>false</x:v>
      </x:c>
      <x:c r="U687" s="17" t="str">
        <x:v>true</x:v>
      </x:c>
      <x:c r="V687" s="17" t="str">
        <x:v>false</x:v>
      </x:c>
    </x:row>
    <x:row r="688" ht="80" customHeight="1">
      <x:c r="A688" s="25" t="str">
        <x:v>Math</x:v>
      </x:c>
      <x:c r="B688" s="25" t="n">
        <x:v>100</x:v>
      </x:c>
      <x:c r="C688" s="25" t="str">
        <x:v>Round1</x:v>
      </x:c>
      <x:c r="D688" s="25" t="str">
        <x:v>NOT_REVEALING</x:v>
      </x:c>
      <x:c r="E688" s="25" t="str">
        <x:v>N/A</x:v>
      </x:c>
      <x:c r="F688" s="26" t="str">
        <x:v>Same saved validation suite passed on buggy and fixed</x:v>
      </x:c>
      <x:c r="G688" s="25" t="str">
        <x:v>true</x:v>
      </x:c>
      <x:c r="H688" s="25" t="str">
        <x:v>NOT_REVEALING</x:v>
      </x:c>
      <x:c r="I688" s="25" t="str">
        <x:v>PASS</x:v>
      </x:c>
      <x:c r="J688" s="25" t="str">
        <x:v>PASS</x:v>
      </x:c>
      <x:c r="K688" s="25" t="n">
        <x:v>1</x:v>
      </x:c>
      <x:c r="L688" s="27" t="b">
        <x:v>0</x:v>
      </x:c>
      <x:c r="M688" s="25" t="str">
        <x:v>Gemini-3.8-flash/generation_state.json</x:v>
      </x:c>
      <x:c r="N688" s="25" t="str">
        <x:v>Gemini-3.8-flash/Result/Math_100/result.json</x:v>
      </x:c>
      <x:c r="O688" s="25" t="str">
        <x:v>Gemini-3.8-flash/Result/Math_100/result.json</x:v>
      </x:c>
      <x:c r="P688"/>
      <x:c r="Q688" s="21" t="str"/>
      <x:c r="R688" s="21" t="str"/>
      <x:c r="S688" s="21" t="str"/>
      <x:c r="T688" s="17" t="str">
        <x:v>false</x:v>
      </x:c>
      <x:c r="U688" s="17" t="str">
        <x:v>true</x:v>
      </x:c>
      <x:c r="V688" s="17" t="str">
        <x:v>false</x:v>
      </x:c>
    </x:row>
    <x:row r="689" ht="80" customHeight="1">
      <x:c r="A689" s="25" t="str">
        <x:v>Math</x:v>
      </x:c>
      <x:c r="B689" s="25" t="n">
        <x:v>101</x:v>
      </x:c>
      <x:c r="C689" s="25" t="str">
        <x:v>Round1</x:v>
      </x:c>
      <x:c r="D689" s="25" t="str">
        <x:v>NOT_REVEALING</x:v>
      </x:c>
      <x:c r="E689" s="25" t="str">
        <x:v>N/A</x:v>
      </x:c>
      <x:c r="F689" s="26" t="str">
        <x:v>Same saved validation suite passed on buggy and fixed</x:v>
      </x:c>
      <x:c r="G689" s="25" t="str">
        <x:v>true</x:v>
      </x:c>
      <x:c r="H689" s="25" t="str">
        <x:v>NOT_REVEALING</x:v>
      </x:c>
      <x:c r="I689" s="25" t="str">
        <x:v>PASS</x:v>
      </x:c>
      <x:c r="J689" s="25" t="str">
        <x:v>PASS</x:v>
      </x:c>
      <x:c r="K689" s="25" t="n">
        <x:v>1</x:v>
      </x:c>
      <x:c r="L689" s="27" t="b">
        <x:v>0</x:v>
      </x:c>
      <x:c r="M689" s="25" t="str">
        <x:v>Gemini-3.8-flash/generation_state.json</x:v>
      </x:c>
      <x:c r="N689" s="25" t="str">
        <x:v>Gemini-3.8-flash/Result/Math_101/result.json</x:v>
      </x:c>
      <x:c r="O689" s="25" t="str">
        <x:v>Gemini-3.8-flash/Result/Math_101/result.json</x:v>
      </x:c>
      <x:c r="P689"/>
      <x:c r="Q689" s="21" t="str"/>
      <x:c r="R689" s="21" t="str"/>
      <x:c r="S689" s="21" t="str"/>
      <x:c r="T689" s="17" t="str">
        <x:v>false</x:v>
      </x:c>
      <x:c r="U689" s="17" t="str">
        <x:v>true</x:v>
      </x:c>
      <x:c r="V689" s="17" t="str">
        <x:v>false</x:v>
      </x:c>
    </x:row>
    <x:row r="690" ht="80" customHeight="1">
      <x:c r="A690" s="25" t="str">
        <x:v>Math</x:v>
      </x:c>
      <x:c r="B690" s="25" t="n">
        <x:v>102</x:v>
      </x:c>
      <x:c r="C690" s="25" t="str">
        <x:v>Round1</x:v>
      </x:c>
      <x:c r="D690" s="25" t="str">
        <x:v>NOT_REVEALING</x:v>
      </x:c>
      <x:c r="E690" s="25" t="str">
        <x:v>N/A</x:v>
      </x:c>
      <x:c r="F690" s="26" t="str">
        <x:v>Same saved validation suite passed on buggy and fixed</x:v>
      </x:c>
      <x:c r="G690" s="25" t="str">
        <x:v>true</x:v>
      </x:c>
      <x:c r="H690" s="25" t="str">
        <x:v>NOT_REVEALING</x:v>
      </x:c>
      <x:c r="I690" s="25" t="str">
        <x:v>PASS</x:v>
      </x:c>
      <x:c r="J690" s="25" t="str">
        <x:v>PASS</x:v>
      </x:c>
      <x:c r="K690" s="25" t="n">
        <x:v>1</x:v>
      </x:c>
      <x:c r="L690" s="27" t="b">
        <x:v>0</x:v>
      </x:c>
      <x:c r="M690" s="25" t="str">
        <x:v>Gemini-3.8-flash/generation_state.json</x:v>
      </x:c>
      <x:c r="N690" s="25" t="str">
        <x:v>Gemini-3.8-flash/Result/Math_102/result.json</x:v>
      </x:c>
      <x:c r="O690" s="25" t="str">
        <x:v>Gemini-3.8-flash/Result/Math_102/result.json</x:v>
      </x:c>
      <x:c r="P690"/>
      <x:c r="Q690" s="21" t="str"/>
      <x:c r="R690" s="21" t="str"/>
      <x:c r="S690" s="21" t="str"/>
      <x:c r="T690" s="17" t="str">
        <x:v>false</x:v>
      </x:c>
      <x:c r="U690" s="17" t="str">
        <x:v>true</x:v>
      </x:c>
      <x:c r="V690" s="17" t="str">
        <x:v>false</x:v>
      </x:c>
    </x:row>
    <x:row r="691" ht="80" customHeight="1">
      <x:c r="A691" s="25" t="str">
        <x:v>Math</x:v>
      </x:c>
      <x:c r="B691" s="25" t="n">
        <x:v>103</x:v>
      </x:c>
      <x:c r="C691" s="25" t="str">
        <x:v>Round1</x:v>
      </x:c>
      <x:c r="D691" s="25" t="str">
        <x:v>NOT_AVAILABLE</x:v>
      </x:c>
      <x:c r="E691" s="25" t="str">
        <x:v>N/A</x:v>
      </x:c>
      <x:c r="F691" s="26" t="str">
        <x:v>Tests exist but current coverage did not complete</x:v>
      </x:c>
      <x:c r="G691" s="25" t="str">
        <x:v>true</x:v>
      </x:c>
      <x:c r="H691" s="25" t="str">
        <x:v>NOT_AVAILABLE</x:v>
      </x:c>
      <x:c r="I691" s="25" t="str">
        <x:v>NOT_RUN</x:v>
      </x:c>
      <x:c r="J691" s="25" t="str">
        <x:v>NOT_RUN</x:v>
      </x:c>
      <x:c r="K691" s="25" t="n">
        <x:v>1</x:v>
      </x:c>
      <x:c r="L691" s="27" t="b">
        <x:v>0</x:v>
      </x:c>
      <x:c r="M691" s="25" t="str">
        <x:v>Gemini-3.8-flash/generation_state.json</x:v>
      </x:c>
      <x:c r="N691" s="25" t="str">
        <x:v>Gemini-3.8-flash/Result/Math_103/result.json</x:v>
      </x:c>
      <x:c r="O691" s="25" t="str">
        <x:v>Gemini-3.8-flash/Result/Math_103/result.json</x:v>
      </x:c>
      <x:c r="P691" t="str">
        <x:v>BOTH_NOT_RUN</x:v>
      </x:c>
      <x:c r="Q691" s="21" t="str"/>
      <x:c r="R691" s="21" t="str"/>
      <x:c r="S691" s="21" t="str"/>
      <x:c r="T691" s="17" t="str">
        <x:v>false</x:v>
      </x:c>
      <x:c r="U691" s="17" t="str">
        <x:v>true</x:v>
      </x:c>
      <x:c r="V691" s="17" t="str">
        <x:v>false</x:v>
      </x:c>
    </x:row>
    <x:row r="692" ht="80" customHeight="1">
      <x:c r="A692" s="25" t="str">
        <x:v>Math</x:v>
      </x:c>
      <x:c r="B692" s="25" t="n">
        <x:v>104</x:v>
      </x:c>
      <x:c r="C692" s="25" t="str">
        <x:v>Round1</x:v>
      </x:c>
      <x:c r="D692" s="25" t="str">
        <x:v>NOT_REVEALING</x:v>
      </x:c>
      <x:c r="E692" s="25" t="str">
        <x:v>N/A</x:v>
      </x:c>
      <x:c r="F692" s="26" t="str">
        <x:v>Same saved validation suite passed on buggy and fixed</x:v>
      </x:c>
      <x:c r="G692" s="25" t="str">
        <x:v>true</x:v>
      </x:c>
      <x:c r="H692" s="25" t="str">
        <x:v>NOT_REVEALING</x:v>
      </x:c>
      <x:c r="I692" s="25" t="str">
        <x:v>PASS</x:v>
      </x:c>
      <x:c r="J692" s="25" t="str">
        <x:v>PASS</x:v>
      </x:c>
      <x:c r="K692" s="25" t="n">
        <x:v>1</x:v>
      </x:c>
      <x:c r="L692" s="27" t="b">
        <x:v>0</x:v>
      </x:c>
      <x:c r="M692" s="25" t="str">
        <x:v>Gemini-3.8-flash/generation_state.json</x:v>
      </x:c>
      <x:c r="N692" s="25" t="str">
        <x:v>Gemini-3.8-flash/Result/Math_104/result.json</x:v>
      </x:c>
      <x:c r="O692" s="25" t="str">
        <x:v>Gemini-3.8-flash/Result/Math_104/result.json</x:v>
      </x:c>
      <x:c r="P692"/>
      <x:c r="Q692" s="21" t="str"/>
      <x:c r="R692" s="21" t="str"/>
      <x:c r="S692" s="21" t="str"/>
      <x:c r="T692" s="17" t="str">
        <x:v>false</x:v>
      </x:c>
      <x:c r="U692" s="17" t="str">
        <x:v>true</x:v>
      </x:c>
      <x:c r="V692" s="17" t="str">
        <x:v>false</x:v>
      </x:c>
    </x:row>
    <x:row r="693" ht="80" customHeight="1">
      <x:c r="A693" s="25" t="str">
        <x:v>Math</x:v>
      </x:c>
      <x:c r="B693" s="25" t="n">
        <x:v>105</x:v>
      </x:c>
      <x:c r="C693" s="25" t="str">
        <x:v>Round1</x:v>
      </x:c>
      <x:c r="D693" s="25" t="str">
        <x:v>NOT_REVEALING</x:v>
      </x:c>
      <x:c r="E693" s="25" t="str">
        <x:v>N/A</x:v>
      </x:c>
      <x:c r="F693" s="26" t="str">
        <x:v>Same saved validation suite passed on buggy and fixed</x:v>
      </x:c>
      <x:c r="G693" s="25" t="str">
        <x:v>true</x:v>
      </x:c>
      <x:c r="H693" s="25" t="str">
        <x:v>NOT_REVEALING</x:v>
      </x:c>
      <x:c r="I693" s="25" t="str">
        <x:v>PASS</x:v>
      </x:c>
      <x:c r="J693" s="25" t="str">
        <x:v>PASS</x:v>
      </x:c>
      <x:c r="K693" s="25" t="n">
        <x:v>1</x:v>
      </x:c>
      <x:c r="L693" s="27" t="b">
        <x:v>0</x:v>
      </x:c>
      <x:c r="M693" s="25" t="str">
        <x:v>Gemini-3.8-flash/generation_state.json</x:v>
      </x:c>
      <x:c r="N693" s="25" t="str">
        <x:v>Gemini-3.8-flash/Result/Math_105/result.json</x:v>
      </x:c>
      <x:c r="O693" s="25" t="str">
        <x:v>Gemini-3.8-flash/Result/Math_105/result.json</x:v>
      </x:c>
      <x:c r="P693"/>
      <x:c r="Q693" s="21" t="str"/>
      <x:c r="R693" s="21" t="str"/>
      <x:c r="S693" s="21" t="str"/>
      <x:c r="T693" s="17" t="str">
        <x:v>false</x:v>
      </x:c>
      <x:c r="U693" s="17" t="str">
        <x:v>true</x:v>
      </x:c>
      <x:c r="V693" s="17" t="str">
        <x:v>false</x:v>
      </x:c>
    </x:row>
    <x:row r="694" ht="80" customHeight="1">
      <x:c r="A694" s="25" t="str">
        <x:v>Math</x:v>
      </x:c>
      <x:c r="B694" s="25" t="n">
        <x:v>106</x:v>
      </x:c>
      <x:c r="C694" s="25" t="str">
        <x:v>Round1</x:v>
      </x:c>
      <x:c r="D694" s="25" t="str">
        <x:v>NOT_REVEALING</x:v>
      </x:c>
      <x:c r="E694" s="25" t="str">
        <x:v>N/A</x:v>
      </x:c>
      <x:c r="F694" s="26" t="str">
        <x:v>Same saved validation suite passed on buggy and fixed</x:v>
      </x:c>
      <x:c r="G694" s="25" t="str">
        <x:v>true</x:v>
      </x:c>
      <x:c r="H694" s="25" t="str">
        <x:v>NOT_REVEALING</x:v>
      </x:c>
      <x:c r="I694" s="25" t="str">
        <x:v>PASS</x:v>
      </x:c>
      <x:c r="J694" s="25" t="str">
        <x:v>PASS</x:v>
      </x:c>
      <x:c r="K694" s="25" t="n">
        <x:v>1</x:v>
      </x:c>
      <x:c r="L694" s="27" t="b">
        <x:v>0</x:v>
      </x:c>
      <x:c r="M694" s="25" t="str">
        <x:v>Gemini-3.8-flash/generation_state.json</x:v>
      </x:c>
      <x:c r="N694" s="25" t="str">
        <x:v>Gemini-3.8-flash/Result/Math_106/result.json</x:v>
      </x:c>
      <x:c r="O694" s="25" t="str">
        <x:v>Gemini-3.8-flash/Result/Math_106/result.json</x:v>
      </x:c>
      <x:c r="P694"/>
      <x:c r="Q694" s="21" t="str"/>
      <x:c r="R694" s="21" t="str"/>
      <x:c r="S694" s="21" t="str"/>
      <x:c r="T694" s="17" t="str">
        <x:v>false</x:v>
      </x:c>
      <x:c r="U694" s="17" t="str">
        <x:v>true</x:v>
      </x:c>
      <x:c r="V694" s="17" t="str">
        <x:v>false</x:v>
      </x:c>
    </x:row>
    <x:row r="695" ht="80" customHeight="1">
      <x:c r="A695" s="25" t="str">
        <x:v>Math</x:v>
      </x:c>
      <x:c r="B695" s="25" t="n">
        <x:v>11</x:v>
      </x:c>
      <x:c r="C695" s="25" t="str">
        <x:v>Round1</x:v>
      </x:c>
      <x:c r="D695" s="25" t="str">
        <x:v>NOT_REVEALING</x:v>
      </x:c>
      <x:c r="E695" s="25" t="str">
        <x:v>N/A</x:v>
      </x:c>
      <x:c r="F695" s="26" t="str">
        <x:v>Same saved validation suite passed on buggy and fixed</x:v>
      </x:c>
      <x:c r="G695" s="25" t="str">
        <x:v>true</x:v>
      </x:c>
      <x:c r="H695" s="25" t="str">
        <x:v>NOT_REVEALING</x:v>
      </x:c>
      <x:c r="I695" s="25" t="str">
        <x:v>PASS</x:v>
      </x:c>
      <x:c r="J695" s="25" t="str">
        <x:v>PASS</x:v>
      </x:c>
      <x:c r="K695" s="25" t="n">
        <x:v>1</x:v>
      </x:c>
      <x:c r="L695" s="27" t="b">
        <x:v>0</x:v>
      </x:c>
      <x:c r="M695" s="25" t="str">
        <x:v>Gemini-3.8-flash/generation_state.json</x:v>
      </x:c>
      <x:c r="N695" s="25" t="str">
        <x:v>Gemini-3.8-flash/Result/Math_11/result.json</x:v>
      </x:c>
      <x:c r="O695" s="25" t="str">
        <x:v>Gemini-3.8-flash/Result/Math_11/result.json</x:v>
      </x:c>
      <x:c r="P695"/>
      <x:c r="Q695" s="21" t="str"/>
      <x:c r="R695" s="21" t="str"/>
      <x:c r="S695" s="21" t="str"/>
      <x:c r="T695" s="17" t="str">
        <x:v>false</x:v>
      </x:c>
      <x:c r="U695" s="17" t="str">
        <x:v>true</x:v>
      </x:c>
      <x:c r="V695" s="17" t="str">
        <x:v>false</x:v>
      </x:c>
    </x:row>
    <x:row r="696" ht="80" customHeight="1">
      <x:c r="A696" s="25" t="str">
        <x:v>Math</x:v>
      </x:c>
      <x:c r="B696" s="25" t="n">
        <x:v>12</x:v>
      </x:c>
      <x:c r="C696" s="25" t="str">
        <x:v>Round1</x:v>
      </x:c>
      <x:c r="D696" s="25" t="str">
        <x:v>NOT_REVEALING</x:v>
      </x:c>
      <x:c r="E696" s="25" t="str">
        <x:v>N/A</x:v>
      </x:c>
      <x:c r="F696" s="26" t="str">
        <x:v>Same saved validation suite passed on buggy and fixed</x:v>
      </x:c>
      <x:c r="G696" s="25" t="str">
        <x:v>true</x:v>
      </x:c>
      <x:c r="H696" s="25" t="str">
        <x:v>NOT_REVEALING</x:v>
      </x:c>
      <x:c r="I696" s="25" t="str">
        <x:v>PASS</x:v>
      </x:c>
      <x:c r="J696" s="25" t="str">
        <x:v>PASS</x:v>
      </x:c>
      <x:c r="K696" s="25" t="n">
        <x:v>1</x:v>
      </x:c>
      <x:c r="L696" s="27" t="b">
        <x:v>0</x:v>
      </x:c>
      <x:c r="M696" s="25" t="str">
        <x:v>Gemini-3.8-flash/generation_state.json</x:v>
      </x:c>
      <x:c r="N696" s="25" t="str">
        <x:v>Gemini-3.8-flash/Result/Math_12/result.json</x:v>
      </x:c>
      <x:c r="O696" s="25" t="str">
        <x:v>Gemini-3.8-flash/Result/Math_12/result.json</x:v>
      </x:c>
      <x:c r="P696"/>
      <x:c r="Q696" s="21" t="str"/>
      <x:c r="R696" s="21" t="str"/>
      <x:c r="S696" s="21" t="str"/>
      <x:c r="T696" s="17" t="str">
        <x:v>false</x:v>
      </x:c>
      <x:c r="U696" s="17" t="str">
        <x:v>true</x:v>
      </x:c>
      <x:c r="V696" s="17" t="str">
        <x:v>false</x:v>
      </x:c>
    </x:row>
    <x:row r="697" ht="80" customHeight="1">
      <x:c r="A697" s="25" t="str">
        <x:v>Math</x:v>
      </x:c>
      <x:c r="B697" s="25" t="n">
        <x:v>13</x:v>
      </x:c>
      <x:c r="C697" s="25" t="str">
        <x:v>Round1</x:v>
      </x:c>
      <x:c r="D697" s="25" t="str">
        <x:v>NOT_REVEALING</x:v>
      </x:c>
      <x:c r="E697" s="25" t="str">
        <x:v>N/A</x:v>
      </x:c>
      <x:c r="F697" s="26" t="str">
        <x:v>Same saved validation suite passed on buggy and fixed</x:v>
      </x:c>
      <x:c r="G697" s="25" t="str">
        <x:v>true</x:v>
      </x:c>
      <x:c r="H697" s="25" t="str">
        <x:v>NOT_REVEALING</x:v>
      </x:c>
      <x:c r="I697" s="25" t="str">
        <x:v>PASS</x:v>
      </x:c>
      <x:c r="J697" s="25" t="str">
        <x:v>PASS</x:v>
      </x:c>
      <x:c r="K697" s="25" t="n">
        <x:v>1</x:v>
      </x:c>
      <x:c r="L697" s="27" t="b">
        <x:v>0</x:v>
      </x:c>
      <x:c r="M697" s="25" t="str">
        <x:v>Gemini-3.8-flash/generation_state.json</x:v>
      </x:c>
      <x:c r="N697" s="25" t="str">
        <x:v>Gemini-3.8-flash/Result/Math_13/result.json</x:v>
      </x:c>
      <x:c r="O697" s="25" t="str">
        <x:v>Gemini-3.8-flash/Result/Math_13/result.json</x:v>
      </x:c>
      <x:c r="P697"/>
      <x:c r="Q697" s="21" t="str"/>
      <x:c r="R697" s="21" t="str"/>
      <x:c r="S697" s="21" t="str"/>
      <x:c r="T697" s="17" t="str">
        <x:v>false</x:v>
      </x:c>
      <x:c r="U697" s="17" t="str">
        <x:v>true</x:v>
      </x:c>
      <x:c r="V697" s="17" t="str">
        <x:v>false</x:v>
      </x:c>
    </x:row>
    <x:row r="698" ht="80" customHeight="1">
      <x:c r="A698" s="25" t="str">
        <x:v>Math</x:v>
      </x:c>
      <x:c r="B698" s="25" t="n">
        <x:v>14</x:v>
      </x:c>
      <x:c r="C698" s="25" t="str">
        <x:v>Round1</x:v>
      </x:c>
      <x:c r="D698" s="25" t="str">
        <x:v>NOT_REVEALING</x:v>
      </x:c>
      <x:c r="E698" s="25" t="str">
        <x:v>N/A</x:v>
      </x:c>
      <x:c r="F698" s="26" t="str">
        <x:v>Same saved validation suite passed on buggy and fixed</x:v>
      </x:c>
      <x:c r="G698" s="25" t="str">
        <x:v>true</x:v>
      </x:c>
      <x:c r="H698" s="25" t="str">
        <x:v>NOT_REVEALING</x:v>
      </x:c>
      <x:c r="I698" s="25" t="str">
        <x:v>PASS</x:v>
      </x:c>
      <x:c r="J698" s="25" t="str">
        <x:v>PASS</x:v>
      </x:c>
      <x:c r="K698" s="25" t="n">
        <x:v>1</x:v>
      </x:c>
      <x:c r="L698" s="27" t="b">
        <x:v>0</x:v>
      </x:c>
      <x:c r="M698" s="25" t="str">
        <x:v>Gemini-3.8-flash/generation_state.json</x:v>
      </x:c>
      <x:c r="N698" s="25" t="str">
        <x:v>Gemini-3.8-flash/Result/Math_14/result.json</x:v>
      </x:c>
      <x:c r="O698" s="25" t="str">
        <x:v>Gemini-3.8-flash/Result/Math_14/result.json</x:v>
      </x:c>
      <x:c r="P698"/>
      <x:c r="Q698" s="21" t="str"/>
      <x:c r="R698" s="21" t="str"/>
      <x:c r="S698" s="21" t="str"/>
      <x:c r="T698" s="17" t="str">
        <x:v>false</x:v>
      </x:c>
      <x:c r="U698" s="17" t="str">
        <x:v>true</x:v>
      </x:c>
      <x:c r="V698" s="17" t="str">
        <x:v>false</x:v>
      </x:c>
    </x:row>
    <x:row r="699" ht="80" customHeight="1">
      <x:c r="A699" s="25" t="str">
        <x:v>Math</x:v>
      </x:c>
      <x:c r="B699" s="25" t="n">
        <x:v>15</x:v>
      </x:c>
      <x:c r="C699" s="25" t="str">
        <x:v>Round1</x:v>
      </x:c>
      <x:c r="D699" s="25" t="str">
        <x:v>NOT_REVEALING</x:v>
      </x:c>
      <x:c r="E699" s="25" t="str">
        <x:v>N/A</x:v>
      </x:c>
      <x:c r="F699" s="26" t="str">
        <x:v>Same saved validation suite passed on buggy and fixed</x:v>
      </x:c>
      <x:c r="G699" s="25" t="str">
        <x:v>true</x:v>
      </x:c>
      <x:c r="H699" s="25" t="str">
        <x:v>NOT_REVEALING</x:v>
      </x:c>
      <x:c r="I699" s="25" t="str">
        <x:v>PASS</x:v>
      </x:c>
      <x:c r="J699" s="25" t="str">
        <x:v>PASS</x:v>
      </x:c>
      <x:c r="K699" s="25" t="n">
        <x:v>1</x:v>
      </x:c>
      <x:c r="L699" s="27" t="b">
        <x:v>0</x:v>
      </x:c>
      <x:c r="M699" s="25" t="str">
        <x:v>Gemini-3.8-flash/generation_state.json</x:v>
      </x:c>
      <x:c r="N699" s="25" t="str">
        <x:v>Gemini-3.8-flash/Result/Math_15/result.json</x:v>
      </x:c>
      <x:c r="O699" s="25" t="str">
        <x:v>Gemini-3.8-flash/Result/Math_15/result.json</x:v>
      </x:c>
      <x:c r="P699"/>
      <x:c r="Q699" s="21" t="str"/>
      <x:c r="R699" s="21" t="str"/>
      <x:c r="S699" s="21" t="str"/>
      <x:c r="T699" s="17" t="str">
        <x:v>false</x:v>
      </x:c>
      <x:c r="U699" s="17" t="str">
        <x:v>true</x:v>
      </x:c>
      <x:c r="V699" s="17" t="str">
        <x:v>false</x:v>
      </x:c>
    </x:row>
    <x:row r="700" ht="80" customHeight="1">
      <x:c r="A700" s="25" t="str">
        <x:v>Math</x:v>
      </x:c>
      <x:c r="B700" s="25" t="n">
        <x:v>16</x:v>
      </x:c>
      <x:c r="C700" s="25" t="str">
        <x:v>Round1</x:v>
      </x:c>
      <x:c r="D700" s="25" t="str">
        <x:v>NOT_REVEALING</x:v>
      </x:c>
      <x:c r="E700" s="25" t="str">
        <x:v>N/A</x:v>
      </x:c>
      <x:c r="F700" s="26" t="str">
        <x:v>Same saved validation suite passed on buggy and fixed</x:v>
      </x:c>
      <x:c r="G700" s="25" t="str">
        <x:v>true</x:v>
      </x:c>
      <x:c r="H700" s="25" t="str">
        <x:v>NOT_REVEALING</x:v>
      </x:c>
      <x:c r="I700" s="25" t="str">
        <x:v>PASS</x:v>
      </x:c>
      <x:c r="J700" s="25" t="str">
        <x:v>PASS</x:v>
      </x:c>
      <x:c r="K700" s="25" t="n">
        <x:v>1</x:v>
      </x:c>
      <x:c r="L700" s="27" t="b">
        <x:v>0</x:v>
      </x:c>
      <x:c r="M700" s="25" t="str">
        <x:v>Gemini-3.8-flash/generation_state.json</x:v>
      </x:c>
      <x:c r="N700" s="25" t="str">
        <x:v>Gemini-3.8-flash/Result/Math_16/result.json</x:v>
      </x:c>
      <x:c r="O700" s="25" t="str">
        <x:v>Gemini-3.8-flash/Result/Math_16/result.json</x:v>
      </x:c>
      <x:c r="P700"/>
      <x:c r="Q700" s="21" t="str"/>
      <x:c r="R700" s="21" t="str"/>
      <x:c r="S700" s="21" t="str"/>
      <x:c r="T700" s="17" t="str">
        <x:v>false</x:v>
      </x:c>
      <x:c r="U700" s="17" t="str">
        <x:v>true</x:v>
      </x:c>
      <x:c r="V700" s="17" t="str">
        <x:v>false</x:v>
      </x:c>
    </x:row>
    <x:row r="701" ht="80" customHeight="1">
      <x:c r="A701" s="25" t="str">
        <x:v>Math</x:v>
      </x:c>
      <x:c r="B701" s="25" t="n">
        <x:v>17</x:v>
      </x:c>
      <x:c r="C701" s="25" t="str">
        <x:v>Round1</x:v>
      </x:c>
      <x:c r="D701" s="25" t="str">
        <x:v>NOT_REVEALING</x:v>
      </x:c>
      <x:c r="E701" s="25" t="str">
        <x:v>N/A</x:v>
      </x:c>
      <x:c r="F701" s="26" t="str">
        <x:v>Same saved validation suite passed on buggy and fixed</x:v>
      </x:c>
      <x:c r="G701" s="25" t="str">
        <x:v>true</x:v>
      </x:c>
      <x:c r="H701" s="25" t="str">
        <x:v>NOT_REVEALING</x:v>
      </x:c>
      <x:c r="I701" s="25" t="str">
        <x:v>PASS</x:v>
      </x:c>
      <x:c r="J701" s="25" t="str">
        <x:v>PASS</x:v>
      </x:c>
      <x:c r="K701" s="25" t="n">
        <x:v>1</x:v>
      </x:c>
      <x:c r="L701" s="27" t="b">
        <x:v>0</x:v>
      </x:c>
      <x:c r="M701" s="25" t="str">
        <x:v>Gemini-3.8-flash/generation_state.json</x:v>
      </x:c>
      <x:c r="N701" s="25" t="str">
        <x:v>Gemini-3.8-flash/Result/Math_17/result.json</x:v>
      </x:c>
      <x:c r="O701" s="25" t="str">
        <x:v>Gemini-3.8-flash/Result/Math_17/result.json</x:v>
      </x:c>
      <x:c r="P701"/>
      <x:c r="Q701" s="21" t="str"/>
      <x:c r="R701" s="21" t="str"/>
      <x:c r="S701" s="21" t="str"/>
      <x:c r="T701" s="17" t="str">
        <x:v>false</x:v>
      </x:c>
      <x:c r="U701" s="17" t="str">
        <x:v>true</x:v>
      </x:c>
      <x:c r="V701" s="17" t="str">
        <x:v>false</x:v>
      </x:c>
    </x:row>
    <x:row r="702" ht="80" customHeight="1">
      <x:c r="A702" s="25" t="str">
        <x:v>Math</x:v>
      </x:c>
      <x:c r="B702" s="25" t="n">
        <x:v>18</x:v>
      </x:c>
      <x:c r="C702" s="25" t="str">
        <x:v>Round1</x:v>
      </x:c>
      <x:c r="D702" s="25" t="str">
        <x:v>INCONCLUSIVE</x:v>
      </x:c>
      <x:c r="E702" s="25" t="str">
        <x:v>N/A</x:v>
      </x:c>
      <x:c r="F702" s="26" t="str">
        <x:v>Fixed also failed; assertion failure cannot be attributed to this bug</x:v>
      </x:c>
      <x:c r="G702" s="25" t="str">
        <x:v>true</x:v>
      </x:c>
      <x:c r="H702" s="25" t="str">
        <x:v>INCONCLUSIVE</x:v>
      </x:c>
      <x:c r="I702" s="25" t="str">
        <x:v>FAIL</x:v>
      </x:c>
      <x:c r="J702" s="25" t="str">
        <x:v>FAIL</x:v>
      </x:c>
      <x:c r="K702" s="25" t="n">
        <x:v>1</x:v>
      </x:c>
      <x:c r="L702" s="27" t="b">
        <x:v>0</x:v>
      </x:c>
      <x:c r="M702" s="25" t="str">
        <x:v>Gemini-3.8-flash/generation_state.json</x:v>
      </x:c>
      <x:c r="N702" s="25" t="str">
        <x:v>Gemini-3.8-flash/Result/Math_18/result.json</x:v>
      </x:c>
      <x:c r="O702" s="25" t="str">
        <x:v>Gemini-3.8-flash/Result/Math_18/result.json</x:v>
      </x:c>
      <x:c r="P702"/>
      <x:c r="Q702" s="21" t="str"/>
      <x:c r="R702" s="21" t="str"/>
      <x:c r="S702" s="21" t="str"/>
      <x:c r="T702" s="17" t="str">
        <x:v>false</x:v>
      </x:c>
      <x:c r="U702" s="17" t="str">
        <x:v>true</x:v>
      </x:c>
      <x:c r="V702" s="17" t="str">
        <x:v>false</x:v>
      </x:c>
    </x:row>
    <x:row r="703" ht="80" customHeight="1">
      <x:c r="A703" s="25" t="str">
        <x:v>Math</x:v>
      </x:c>
      <x:c r="B703" s="25" t="n">
        <x:v>19</x:v>
      </x:c>
      <x:c r="C703" s="25" t="str">
        <x:v>Round1</x:v>
      </x:c>
      <x:c r="D703" s="25" t="str">
        <x:v>INCONCLUSIVE</x:v>
      </x:c>
      <x:c r="E703" s="25" t="str">
        <x:v>N/A</x:v>
      </x:c>
      <x:c r="F703" s="26" t="str">
        <x:v>Fixed also failed; assertion failure cannot be attributed to this bug</x:v>
      </x:c>
      <x:c r="G703" s="25" t="str">
        <x:v>true</x:v>
      </x:c>
      <x:c r="H703" s="25" t="str">
        <x:v>INCONCLUSIVE</x:v>
      </x:c>
      <x:c r="I703" s="25" t="str">
        <x:v>FAIL</x:v>
      </x:c>
      <x:c r="J703" s="25" t="str">
        <x:v>FAIL</x:v>
      </x:c>
      <x:c r="K703" s="25" t="n">
        <x:v>1</x:v>
      </x:c>
      <x:c r="L703" s="27" t="b">
        <x:v>0</x:v>
      </x:c>
      <x:c r="M703" s="25" t="str">
        <x:v>Gemini-3.8-flash/generation_state.json</x:v>
      </x:c>
      <x:c r="N703" s="25" t="str">
        <x:v>Gemini-3.8-flash/Result/Math_19/result.json</x:v>
      </x:c>
      <x:c r="O703" s="25" t="str">
        <x:v>Gemini-3.8-flash/Result/Math_19/result.json</x:v>
      </x:c>
      <x:c r="P703"/>
      <x:c r="Q703" s="21" t="str"/>
      <x:c r="R703" s="21" t="str"/>
      <x:c r="S703" s="21" t="str"/>
      <x:c r="T703" s="17" t="str">
        <x:v>false</x:v>
      </x:c>
      <x:c r="U703" s="17" t="str">
        <x:v>true</x:v>
      </x:c>
      <x:c r="V703" s="17" t="str">
        <x:v>false</x:v>
      </x:c>
    </x:row>
    <x:row r="704" ht="80" customHeight="1">
      <x:c r="A704" s="25" t="str">
        <x:v>Math</x:v>
      </x:c>
      <x:c r="B704" s="25" t="n">
        <x:v>2</x:v>
      </x:c>
      <x:c r="C704" s="25" t="str">
        <x:v>Round1</x:v>
      </x:c>
      <x:c r="D704" s="25" t="str">
        <x:v>NOT_REVEALING</x:v>
      </x:c>
      <x:c r="E704" s="25" t="str">
        <x:v>N/A</x:v>
      </x:c>
      <x:c r="F704" s="26" t="str">
        <x:v>Same saved validation suite passed on buggy and fixed</x:v>
      </x:c>
      <x:c r="G704" s="25" t="str">
        <x:v>true</x:v>
      </x:c>
      <x:c r="H704" s="25" t="str">
        <x:v>NOT_REVEALING</x:v>
      </x:c>
      <x:c r="I704" s="25" t="str">
        <x:v>PASS</x:v>
      </x:c>
      <x:c r="J704" s="25" t="str">
        <x:v>PASS</x:v>
      </x:c>
      <x:c r="K704" s="25" t="n">
        <x:v>1</x:v>
      </x:c>
      <x:c r="L704" s="27" t="b">
        <x:v>0</x:v>
      </x:c>
      <x:c r="M704" s="25" t="str">
        <x:v>Gemini-3.8-flash/generation_state.json</x:v>
      </x:c>
      <x:c r="N704" s="25" t="str">
        <x:v>Gemini-3.8-flash/Result/Math_2/result.json</x:v>
      </x:c>
      <x:c r="O704" s="25" t="str">
        <x:v>Gemini-3.8-flash/Result/Math_2/result.json</x:v>
      </x:c>
      <x:c r="P704"/>
      <x:c r="Q704" s="21" t="str"/>
      <x:c r="R704" s="21" t="str"/>
      <x:c r="S704" s="21" t="str"/>
      <x:c r="T704" s="17" t="str">
        <x:v>false</x:v>
      </x:c>
      <x:c r="U704" s="17" t="str">
        <x:v>true</x:v>
      </x:c>
      <x:c r="V704" s="17" t="str">
        <x:v>false</x:v>
      </x:c>
    </x:row>
    <x:row r="705" ht="80" customHeight="1">
      <x:c r="A705" s="25" t="str">
        <x:v>Math</x:v>
      </x:c>
      <x:c r="B705" s="25" t="n">
        <x:v>20</x:v>
      </x:c>
      <x:c r="C705" s="25" t="str">
        <x:v>Round1</x:v>
      </x:c>
      <x:c r="D705" s="25" t="str">
        <x:v>INCONCLUSIVE</x:v>
      </x:c>
      <x:c r="E705" s="25" t="str">
        <x:v>N/A</x:v>
      </x:c>
      <x:c r="F705" s="26" t="str">
        <x:v>Fixed also failed; assertion failure cannot be attributed to this bug</x:v>
      </x:c>
      <x:c r="G705" s="25" t="str">
        <x:v>true</x:v>
      </x:c>
      <x:c r="H705" s="25" t="str">
        <x:v>INCONCLUSIVE</x:v>
      </x:c>
      <x:c r="I705" s="25" t="str">
        <x:v>FAIL</x:v>
      </x:c>
      <x:c r="J705" s="25" t="str">
        <x:v>FAIL</x:v>
      </x:c>
      <x:c r="K705" s="25" t="n">
        <x:v>1</x:v>
      </x:c>
      <x:c r="L705" s="27" t="b">
        <x:v>0</x:v>
      </x:c>
      <x:c r="M705" s="25" t="str">
        <x:v>Gemini-3.8-flash/generation_state.json</x:v>
      </x:c>
      <x:c r="N705" s="25" t="str">
        <x:v>Gemini-3.8-flash/Result/Math_20/result.json</x:v>
      </x:c>
      <x:c r="O705" s="25" t="str">
        <x:v>Gemini-3.8-flash/Result/Math_20/result.json</x:v>
      </x:c>
      <x:c r="P705"/>
      <x:c r="Q705" s="21" t="str"/>
      <x:c r="R705" s="21" t="str"/>
      <x:c r="S705" s="21" t="str"/>
      <x:c r="T705" s="17" t="str">
        <x:v>false</x:v>
      </x:c>
      <x:c r="U705" s="17" t="str">
        <x:v>true</x:v>
      </x:c>
      <x:c r="V705" s="17" t="str">
        <x:v>false</x:v>
      </x:c>
    </x:row>
    <x:row r="706" ht="80" customHeight="1">
      <x:c r="A706" s="25" t="str">
        <x:v>Math</x:v>
      </x:c>
      <x:c r="B706" s="25" t="n">
        <x:v>21</x:v>
      </x:c>
      <x:c r="C706" s="25" t="str">
        <x:v>Round1</x:v>
      </x:c>
      <x:c r="D706" s="25" t="str">
        <x:v>NOT_REVEALING</x:v>
      </x:c>
      <x:c r="E706" s="25" t="str">
        <x:v>N/A</x:v>
      </x:c>
      <x:c r="F706" s="26" t="str">
        <x:v>Same saved validation suite passed on buggy and fixed</x:v>
      </x:c>
      <x:c r="G706" s="25" t="str">
        <x:v>true</x:v>
      </x:c>
      <x:c r="H706" s="25" t="str">
        <x:v>NOT_REVEALING</x:v>
      </x:c>
      <x:c r="I706" s="25" t="str">
        <x:v>PASS</x:v>
      </x:c>
      <x:c r="J706" s="25" t="str">
        <x:v>PASS</x:v>
      </x:c>
      <x:c r="K706" s="25" t="n">
        <x:v>1</x:v>
      </x:c>
      <x:c r="L706" s="27" t="b">
        <x:v>0</x:v>
      </x:c>
      <x:c r="M706" s="25" t="str">
        <x:v>Gemini-3.8-flash/generation_state.json</x:v>
      </x:c>
      <x:c r="N706" s="25" t="str">
        <x:v>Gemini-3.8-flash/Result/Math_21/result.json</x:v>
      </x:c>
      <x:c r="O706" s="25" t="str">
        <x:v>Gemini-3.8-flash/Result/Math_21/result.json</x:v>
      </x:c>
      <x:c r="P706"/>
      <x:c r="Q706" s="21" t="str"/>
      <x:c r="R706" s="21" t="str"/>
      <x:c r="S706" s="21" t="str"/>
      <x:c r="T706" s="17" t="str">
        <x:v>false</x:v>
      </x:c>
      <x:c r="U706" s="17" t="str">
        <x:v>true</x:v>
      </x:c>
      <x:c r="V706" s="17" t="str">
        <x:v>false</x:v>
      </x:c>
    </x:row>
    <x:row r="707" ht="80" customHeight="1">
      <x:c r="A707" s="25" t="str">
        <x:v>Math</x:v>
      </x:c>
      <x:c r="B707" s="25" t="n">
        <x:v>22</x:v>
      </x:c>
      <x:c r="C707" s="25" t="str">
        <x:v>Round1</x:v>
      </x:c>
      <x:c r="D707" s="25" t="str">
        <x:v>INCONCLUSIVE</x:v>
      </x:c>
      <x:c r="E707" s="25" t="str">
        <x:v>N/A</x:v>
      </x:c>
      <x:c r="F707" s="26" t="str">
        <x:v>Fixed also failed; assertion failure cannot be attributed to this bug</x:v>
      </x:c>
      <x:c r="G707" s="25" t="str">
        <x:v>true</x:v>
      </x:c>
      <x:c r="H707" s="25" t="str">
        <x:v>INCONCLUSIVE</x:v>
      </x:c>
      <x:c r="I707" s="25" t="str">
        <x:v>PASS</x:v>
      </x:c>
      <x:c r="J707" s="25" t="str">
        <x:v>FAIL</x:v>
      </x:c>
      <x:c r="K707" s="25" t="n">
        <x:v>1</x:v>
      </x:c>
      <x:c r="L707" s="27" t="b">
        <x:v>0</x:v>
      </x:c>
      <x:c r="M707" s="25" t="str">
        <x:v>Gemini-3.8-flash/generation_state.json</x:v>
      </x:c>
      <x:c r="N707" s="25" t="str">
        <x:v>Gemini-3.8-flash/Result/Math_22/result.json</x:v>
      </x:c>
      <x:c r="O707" s="25" t="str">
        <x:v>Gemini-3.8-flash/Result/Math_22/result.json</x:v>
      </x:c>
      <x:c r="P707"/>
      <x:c r="Q707" s="21" t="str"/>
      <x:c r="R707" s="21" t="str"/>
      <x:c r="S707" s="21" t="str"/>
      <x:c r="T707" s="17" t="str">
        <x:v>false</x:v>
      </x:c>
      <x:c r="U707" s="17" t="str">
        <x:v>true</x:v>
      </x:c>
      <x:c r="V707" s="17" t="str">
        <x:v>false</x:v>
      </x:c>
    </x:row>
    <x:row r="708" ht="80" customHeight="1">
      <x:c r="A708" s="25" t="str">
        <x:v>Math</x:v>
      </x:c>
      <x:c r="B708" s="25" t="n">
        <x:v>23</x:v>
      </x:c>
      <x:c r="C708" s="25" t="str">
        <x:v>Round1</x:v>
      </x:c>
      <x:c r="D708" s="25" t="str">
        <x:v>NOT_REVEALING</x:v>
      </x:c>
      <x:c r="E708" s="25" t="str">
        <x:v>N/A</x:v>
      </x:c>
      <x:c r="F708" s="26" t="str">
        <x:v>Same saved validation suite passed on buggy and fixed</x:v>
      </x:c>
      <x:c r="G708" s="25" t="str">
        <x:v>true</x:v>
      </x:c>
      <x:c r="H708" s="25" t="str">
        <x:v>NOT_REVEALING</x:v>
      </x:c>
      <x:c r="I708" s="25" t="str">
        <x:v>PASS</x:v>
      </x:c>
      <x:c r="J708" s="25" t="str">
        <x:v>PASS</x:v>
      </x:c>
      <x:c r="K708" s="25" t="n">
        <x:v>1</x:v>
      </x:c>
      <x:c r="L708" s="27" t="b">
        <x:v>0</x:v>
      </x:c>
      <x:c r="M708" s="25" t="str">
        <x:v>Gemini-3.8-flash/generation_state.json</x:v>
      </x:c>
      <x:c r="N708" s="25" t="str">
        <x:v>Gemini-3.8-flash/Result/Math_23/result.json</x:v>
      </x:c>
      <x:c r="O708" s="25" t="str">
        <x:v>Gemini-3.8-flash/Result/Math_23/result.json</x:v>
      </x:c>
      <x:c r="P708"/>
      <x:c r="Q708" s="21" t="str"/>
      <x:c r="R708" s="21" t="str"/>
      <x:c r="S708" s="21" t="str"/>
      <x:c r="T708" s="17" t="str">
        <x:v>false</x:v>
      </x:c>
      <x:c r="U708" s="17" t="str">
        <x:v>true</x:v>
      </x:c>
      <x:c r="V708" s="17" t="str">
        <x:v>false</x:v>
      </x:c>
    </x:row>
    <x:row r="709" ht="80" customHeight="1">
      <x:c r="A709" s="25" t="str">
        <x:v>Math</x:v>
      </x:c>
      <x:c r="B709" s="25" t="n">
        <x:v>24</x:v>
      </x:c>
      <x:c r="C709" s="25" t="str">
        <x:v>Round1</x:v>
      </x:c>
      <x:c r="D709" s="25" t="str">
        <x:v>NOT_REVEALING</x:v>
      </x:c>
      <x:c r="E709" s="25" t="str">
        <x:v>N/A</x:v>
      </x:c>
      <x:c r="F709" s="26" t="str">
        <x:v>Same saved validation suite passed on buggy and fixed</x:v>
      </x:c>
      <x:c r="G709" s="25" t="str">
        <x:v>true</x:v>
      </x:c>
      <x:c r="H709" s="25" t="str">
        <x:v>NOT_REVEALING</x:v>
      </x:c>
      <x:c r="I709" s="25" t="str">
        <x:v>PASS</x:v>
      </x:c>
      <x:c r="J709" s="25" t="str">
        <x:v>PASS</x:v>
      </x:c>
      <x:c r="K709" s="25" t="n">
        <x:v>1</x:v>
      </x:c>
      <x:c r="L709" s="27" t="b">
        <x:v>0</x:v>
      </x:c>
      <x:c r="M709" s="25" t="str">
        <x:v>Gemini-3.8-flash/generation_state.json</x:v>
      </x:c>
      <x:c r="N709" s="25" t="str">
        <x:v>Gemini-3.8-flash/Result/Math_24/result.json</x:v>
      </x:c>
      <x:c r="O709" s="25" t="str">
        <x:v>Gemini-3.8-flash/Result/Math_24/result.json</x:v>
      </x:c>
      <x:c r="P709"/>
      <x:c r="Q709" s="21" t="str"/>
      <x:c r="R709" s="21" t="str"/>
      <x:c r="S709" s="21" t="str"/>
      <x:c r="T709" s="17" t="str">
        <x:v>false</x:v>
      </x:c>
      <x:c r="U709" s="17" t="str">
        <x:v>true</x:v>
      </x:c>
      <x:c r="V709" s="17" t="str">
        <x:v>false</x:v>
      </x:c>
    </x:row>
    <x:row r="710" ht="80" customHeight="1">
      <x:c r="A710" s="25" t="str">
        <x:v>Math</x:v>
      </x:c>
      <x:c r="B710" s="25" t="n">
        <x:v>25</x:v>
      </x:c>
      <x:c r="C710" s="25" t="str">
        <x:v>Round1</x:v>
      </x:c>
      <x:c r="D710" s="25" t="str">
        <x:v>INCONCLUSIVE</x:v>
      </x:c>
      <x:c r="E710" s="25" t="str">
        <x:v>N/A</x:v>
      </x:c>
      <x:c r="F710" s="26" t="str">
        <x:v>Fixed also failed; assertion failure cannot be attributed to this bug</x:v>
      </x:c>
      <x:c r="G710" s="25" t="str">
        <x:v>true</x:v>
      </x:c>
      <x:c r="H710" s="25" t="str">
        <x:v>INCONCLUSIVE</x:v>
      </x:c>
      <x:c r="I710" s="25" t="str">
        <x:v>FAIL</x:v>
      </x:c>
      <x:c r="J710" s="25" t="str">
        <x:v>FAIL</x:v>
      </x:c>
      <x:c r="K710" s="25" t="n">
        <x:v>1</x:v>
      </x:c>
      <x:c r="L710" s="27" t="b">
        <x:v>0</x:v>
      </x:c>
      <x:c r="M710" s="25" t="str">
        <x:v>Gemini-3.8-flash/generation_state.json</x:v>
      </x:c>
      <x:c r="N710" s="25" t="str">
        <x:v>Gemini-3.8-flash/Result/Math_25/result.json</x:v>
      </x:c>
      <x:c r="O710" s="25" t="str">
        <x:v>Gemini-3.8-flash/Result/Math_25/result.json</x:v>
      </x:c>
      <x:c r="P710"/>
      <x:c r="Q710" s="21" t="str"/>
      <x:c r="R710" s="21" t="str"/>
      <x:c r="S710" s="21" t="str"/>
      <x:c r="T710" s="17" t="str">
        <x:v>false</x:v>
      </x:c>
      <x:c r="U710" s="17" t="str">
        <x:v>true</x:v>
      </x:c>
      <x:c r="V710" s="17" t="str">
        <x:v>false</x:v>
      </x:c>
    </x:row>
    <x:row r="711" ht="80" customHeight="1">
      <x:c r="A711" s="25" t="str">
        <x:v>Math</x:v>
      </x:c>
      <x:c r="B711" s="25" t="n">
        <x:v>26</x:v>
      </x:c>
      <x:c r="C711" s="25" t="str">
        <x:v>Round1</x:v>
      </x:c>
      <x:c r="D711" s="25" t="str">
        <x:v>NOT_AVAILABLE</x:v>
      </x:c>
      <x:c r="E711" s="25" t="str">
        <x:v>N/A</x:v>
      </x:c>
      <x:c r="F711" s="26" t="str">
        <x:v>Tests exist but current coverage did not complete</x:v>
      </x:c>
      <x:c r="G711" s="25" t="str">
        <x:v>true</x:v>
      </x:c>
      <x:c r="H711" s="25" t="str">
        <x:v>NOT_AVAILABLE</x:v>
      </x:c>
      <x:c r="I711" s="25" t="str">
        <x:v>NOT_RUN</x:v>
      </x:c>
      <x:c r="J711" s="25" t="str">
        <x:v>NOT_RUN</x:v>
      </x:c>
      <x:c r="K711" s="25" t="n">
        <x:v>1</x:v>
      </x:c>
      <x:c r="L711" s="27" t="b">
        <x:v>0</x:v>
      </x:c>
      <x:c r="M711" s="25" t="str">
        <x:v>Gemini-3.8-flash/generation_state.json</x:v>
      </x:c>
      <x:c r="N711" s="25" t="str">
        <x:v>Gemini-3.8-flash/Result/Math_26/result.json</x:v>
      </x:c>
      <x:c r="O711" s="25" t="str">
        <x:v>Gemini-3.8-flash/Result/Math_26/result.json</x:v>
      </x:c>
      <x:c r="P711" t="str">
        <x:v>BOTH_NOT_RUN</x:v>
      </x:c>
      <x:c r="Q711" s="21" t="str"/>
      <x:c r="R711" s="21" t="str"/>
      <x:c r="S711" s="21" t="str"/>
      <x:c r="T711" s="17" t="str">
        <x:v>false</x:v>
      </x:c>
      <x:c r="U711" s="17" t="str">
        <x:v>true</x:v>
      </x:c>
      <x:c r="V711" s="17" t="str">
        <x:v>false</x:v>
      </x:c>
    </x:row>
    <x:row r="712" ht="80" customHeight="1">
      <x:c r="A712" s="25" t="str">
        <x:v>Math</x:v>
      </x:c>
      <x:c r="B712" s="25" t="n">
        <x:v>27</x:v>
      </x:c>
      <x:c r="C712" s="25" t="str">
        <x:v>Round1</x:v>
      </x:c>
      <x:c r="D712" s="25" t="str">
        <x:v>NOT_AVAILABLE</x:v>
      </x:c>
      <x:c r="E712" s="25" t="str">
        <x:v>N/A</x:v>
      </x:c>
      <x:c r="F712" s="26" t="str">
        <x:v>Tests exist but current coverage did not complete</x:v>
      </x:c>
      <x:c r="G712" s="25" t="str">
        <x:v>true</x:v>
      </x:c>
      <x:c r="H712" s="25" t="str">
        <x:v>NOT_AVAILABLE</x:v>
      </x:c>
      <x:c r="I712" s="25" t="str">
        <x:v>NOT_RUN</x:v>
      </x:c>
      <x:c r="J712" s="25" t="str">
        <x:v>NOT_RUN</x:v>
      </x:c>
      <x:c r="K712" s="25" t="n">
        <x:v>1</x:v>
      </x:c>
      <x:c r="L712" s="27" t="b">
        <x:v>0</x:v>
      </x:c>
      <x:c r="M712" s="25" t="str">
        <x:v>Gemini-3.8-flash/generation_state.json</x:v>
      </x:c>
      <x:c r="N712" s="25" t="str">
        <x:v>Gemini-3.8-flash/Result/Math_27/result.json</x:v>
      </x:c>
      <x:c r="O712" s="25" t="str">
        <x:v>Gemini-3.8-flash/Result/Math_27/result.json</x:v>
      </x:c>
      <x:c r="P712" t="str">
        <x:v>BOTH_NOT_RUN</x:v>
      </x:c>
      <x:c r="Q712" s="21" t="str"/>
      <x:c r="R712" s="21" t="str"/>
      <x:c r="S712" s="21" t="str"/>
      <x:c r="T712" s="17" t="str">
        <x:v>false</x:v>
      </x:c>
      <x:c r="U712" s="17" t="str">
        <x:v>true</x:v>
      </x:c>
      <x:c r="V712" s="17" t="str">
        <x:v>false</x:v>
      </x:c>
    </x:row>
    <x:row r="713" ht="80" customHeight="1">
      <x:c r="A713" s="25" t="str">
        <x:v>Math</x:v>
      </x:c>
      <x:c r="B713" s="25" t="n">
        <x:v>28</x:v>
      </x:c>
      <x:c r="C713" s="25" t="str">
        <x:v>Round1</x:v>
      </x:c>
      <x:c r="D713" s="25" t="str">
        <x:v>NOT_REVEALING</x:v>
      </x:c>
      <x:c r="E713" s="25" t="str">
        <x:v>N/A</x:v>
      </x:c>
      <x:c r="F713" s="26" t="str">
        <x:v>Same saved validation suite passed on buggy and fixed</x:v>
      </x:c>
      <x:c r="G713" s="25" t="str">
        <x:v>true</x:v>
      </x:c>
      <x:c r="H713" s="25" t="str">
        <x:v>NOT_REVEALING</x:v>
      </x:c>
      <x:c r="I713" s="25" t="str">
        <x:v>PASS</x:v>
      </x:c>
      <x:c r="J713" s="25" t="str">
        <x:v>PASS</x:v>
      </x:c>
      <x:c r="K713" s="25" t="n">
        <x:v>1</x:v>
      </x:c>
      <x:c r="L713" s="27" t="b">
        <x:v>0</x:v>
      </x:c>
      <x:c r="M713" s="25" t="str">
        <x:v>Gemini-3.8-flash/generation_state.json</x:v>
      </x:c>
      <x:c r="N713" s="25" t="str">
        <x:v>Gemini-3.8-flash/Result/Math_28/result.json</x:v>
      </x:c>
      <x:c r="O713" s="25" t="str">
        <x:v>Gemini-3.8-flash/Result/Math_28/result.json</x:v>
      </x:c>
      <x:c r="P713"/>
      <x:c r="Q713" s="21" t="str"/>
      <x:c r="R713" s="21" t="str"/>
      <x:c r="S713" s="21" t="str"/>
      <x:c r="T713" s="17" t="str">
        <x:v>false</x:v>
      </x:c>
      <x:c r="U713" s="17" t="str">
        <x:v>true</x:v>
      </x:c>
      <x:c r="V713" s="17" t="str">
        <x:v>false</x:v>
      </x:c>
    </x:row>
    <x:row r="714" ht="80" customHeight="1">
      <x:c r="A714" s="25" t="str">
        <x:v>Math</x:v>
      </x:c>
      <x:c r="B714" s="25" t="n">
        <x:v>29</x:v>
      </x:c>
      <x:c r="C714" s="25" t="str">
        <x:v>Round1</x:v>
      </x:c>
      <x:c r="D714" s="25" t="str">
        <x:v>NOT_REVEALING</x:v>
      </x:c>
      <x:c r="E714" s="25" t="str">
        <x:v>N/A</x:v>
      </x:c>
      <x:c r="F714" s="26" t="str">
        <x:v>Same saved validation suite passed on buggy and fixed</x:v>
      </x:c>
      <x:c r="G714" s="25" t="str">
        <x:v>true</x:v>
      </x:c>
      <x:c r="H714" s="25" t="str">
        <x:v>NOT_REVEALING</x:v>
      </x:c>
      <x:c r="I714" s="25" t="str">
        <x:v>PASS</x:v>
      </x:c>
      <x:c r="J714" s="25" t="str">
        <x:v>PASS</x:v>
      </x:c>
      <x:c r="K714" s="25" t="n">
        <x:v>1</x:v>
      </x:c>
      <x:c r="L714" s="27" t="b">
        <x:v>0</x:v>
      </x:c>
      <x:c r="M714" s="25" t="str">
        <x:v>Gemini-3.8-flash/generation_state.json</x:v>
      </x:c>
      <x:c r="N714" s="25" t="str">
        <x:v>Gemini-3.8-flash/Result/Math_29/result.json</x:v>
      </x:c>
      <x:c r="O714" s="25" t="str">
        <x:v>Gemini-3.8-flash/Result/Math_29/result.json</x:v>
      </x:c>
      <x:c r="P714"/>
      <x:c r="Q714" s="21" t="str"/>
      <x:c r="R714" s="21" t="str"/>
      <x:c r="S714" s="21" t="str"/>
      <x:c r="T714" s="17" t="str">
        <x:v>false</x:v>
      </x:c>
      <x:c r="U714" s="17" t="str">
        <x:v>true</x:v>
      </x:c>
      <x:c r="V714" s="17" t="str">
        <x:v>false</x:v>
      </x:c>
    </x:row>
    <x:row r="715" ht="80" customHeight="1">
      <x:c r="A715" s="25" t="str">
        <x:v>Math</x:v>
      </x:c>
      <x:c r="B715" s="25" t="n">
        <x:v>3</x:v>
      </x:c>
      <x:c r="C715" s="25" t="str">
        <x:v>Round1</x:v>
      </x:c>
      <x:c r="D715" s="25" t="str">
        <x:v>NOT_AVAILABLE</x:v>
      </x:c>
      <x:c r="E715" s="25" t="str">
        <x:v>N/A</x:v>
      </x:c>
      <x:c r="F715" s="26" t="str">
        <x:v>Tests exist but current coverage did not complete</x:v>
      </x:c>
      <x:c r="G715" s="25" t="str">
        <x:v>true</x:v>
      </x:c>
      <x:c r="H715" s="25" t="str">
        <x:v>NOT_AVAILABLE</x:v>
      </x:c>
      <x:c r="I715" s="25" t="str">
        <x:v>NOT_RUN</x:v>
      </x:c>
      <x:c r="J715" s="25" t="str">
        <x:v>NOT_RUN</x:v>
      </x:c>
      <x:c r="K715" s="25" t="n">
        <x:v>1</x:v>
      </x:c>
      <x:c r="L715" s="27" t="b">
        <x:v>0</x:v>
      </x:c>
      <x:c r="M715" s="25" t="str">
        <x:v>Gemini-3.8-flash/generation_state.json</x:v>
      </x:c>
      <x:c r="N715" s="25" t="str">
        <x:v>Gemini-3.8-flash/Result/Math_3/result.json</x:v>
      </x:c>
      <x:c r="O715" s="25" t="str">
        <x:v>Gemini-3.8-flash/Result/Math_3/result.json</x:v>
      </x:c>
      <x:c r="P715" t="str">
        <x:v>BOTH_NOT_RUN</x:v>
      </x:c>
      <x:c r="Q715" s="21" t="str"/>
      <x:c r="R715" s="21" t="str"/>
      <x:c r="S715" s="21" t="str"/>
      <x:c r="T715" s="17" t="str">
        <x:v>false</x:v>
      </x:c>
      <x:c r="U715" s="17" t="str">
        <x:v>true</x:v>
      </x:c>
      <x:c r="V715" s="17" t="str">
        <x:v>false</x:v>
      </x:c>
    </x:row>
    <x:row r="716" ht="80" customHeight="1">
      <x:c r="A716" s="25" t="str">
        <x:v>Math</x:v>
      </x:c>
      <x:c r="B716" s="25" t="n">
        <x:v>30</x:v>
      </x:c>
      <x:c r="C716" s="25" t="str">
        <x:v>Round1</x:v>
      </x:c>
      <x:c r="D716" s="25" t="str">
        <x:v>NOT_REVEALING</x:v>
      </x:c>
      <x:c r="E716" s="25" t="str">
        <x:v>N/A</x:v>
      </x:c>
      <x:c r="F716" s="26" t="str">
        <x:v>Same saved validation suite passed on buggy and fixed</x:v>
      </x:c>
      <x:c r="G716" s="25" t="str">
        <x:v>true</x:v>
      </x:c>
      <x:c r="H716" s="25" t="str">
        <x:v>NOT_REVEALING</x:v>
      </x:c>
      <x:c r="I716" s="25" t="str">
        <x:v>PASS</x:v>
      </x:c>
      <x:c r="J716" s="25" t="str">
        <x:v>PASS</x:v>
      </x:c>
      <x:c r="K716" s="25" t="n">
        <x:v>1</x:v>
      </x:c>
      <x:c r="L716" s="27" t="b">
        <x:v>0</x:v>
      </x:c>
      <x:c r="M716" s="25" t="str">
        <x:v>Gemini-3.8-flash/generation_state.json</x:v>
      </x:c>
      <x:c r="N716" s="25" t="str">
        <x:v>Gemini-3.8-flash/Result/Math_30/result.json</x:v>
      </x:c>
      <x:c r="O716" s="25" t="str">
        <x:v>Gemini-3.8-flash/Result/Math_30/result.json</x:v>
      </x:c>
      <x:c r="P716"/>
      <x:c r="Q716" s="21" t="str"/>
      <x:c r="R716" s="21" t="str"/>
      <x:c r="S716" s="21" t="str"/>
      <x:c r="T716" s="17" t="str">
        <x:v>false</x:v>
      </x:c>
      <x:c r="U716" s="17" t="str">
        <x:v>true</x:v>
      </x:c>
      <x:c r="V716" s="17" t="str">
        <x:v>false</x:v>
      </x:c>
    </x:row>
    <x:row r="717" ht="80" customHeight="1">
      <x:c r="A717" s="25" t="str">
        <x:v>Math</x:v>
      </x:c>
      <x:c r="B717" s="25" t="n">
        <x:v>31</x:v>
      </x:c>
      <x:c r="C717" s="25" t="str">
        <x:v>Round1</x:v>
      </x:c>
      <x:c r="D717" s="25" t="str">
        <x:v>NOT_REVEALING</x:v>
      </x:c>
      <x:c r="E717" s="25" t="str">
        <x:v>N/A</x:v>
      </x:c>
      <x:c r="F717" s="26" t="str">
        <x:v>Same saved validation suite passed on buggy and fixed</x:v>
      </x:c>
      <x:c r="G717" s="25" t="str">
        <x:v>true</x:v>
      </x:c>
      <x:c r="H717" s="25" t="str">
        <x:v>NOT_REVEALING</x:v>
      </x:c>
      <x:c r="I717" s="25" t="str">
        <x:v>PASS</x:v>
      </x:c>
      <x:c r="J717" s="25" t="str">
        <x:v>PASS</x:v>
      </x:c>
      <x:c r="K717" s="25" t="n">
        <x:v>1</x:v>
      </x:c>
      <x:c r="L717" s="27" t="b">
        <x:v>0</x:v>
      </x:c>
      <x:c r="M717" s="25" t="str">
        <x:v>Gemini-3.8-flash/generation_state.json</x:v>
      </x:c>
      <x:c r="N717" s="25" t="str">
        <x:v>Gemini-3.8-flash/Result/Math_31/result.json</x:v>
      </x:c>
      <x:c r="O717" s="25" t="str">
        <x:v>Gemini-3.8-flash/Result/Math_31/result.json</x:v>
      </x:c>
      <x:c r="P717"/>
      <x:c r="Q717" s="21" t="str"/>
      <x:c r="R717" s="21" t="str"/>
      <x:c r="S717" s="21" t="str"/>
      <x:c r="T717" s="17" t="str">
        <x:v>false</x:v>
      </x:c>
      <x:c r="U717" s="17" t="str">
        <x:v>true</x:v>
      </x:c>
      <x:c r="V717" s="17" t="str">
        <x:v>false</x:v>
      </x:c>
    </x:row>
    <x:row r="718" ht="80" customHeight="1">
      <x:c r="A718" s="25" t="str">
        <x:v>Math</x:v>
      </x:c>
      <x:c r="B718" s="25" t="n">
        <x:v>32</x:v>
      </x:c>
      <x:c r="C718" s="25" t="str">
        <x:v>Round1</x:v>
      </x:c>
      <x:c r="D718" s="25" t="str">
        <x:v>INCONCLUSIVE</x:v>
      </x:c>
      <x:c r="E718" s="25" t="str">
        <x:v>N/A</x:v>
      </x:c>
      <x:c r="F718" s="26" t="str">
        <x:v>Fixed also failed; assertion failure cannot be attributed to this bug</x:v>
      </x:c>
      <x:c r="G718" s="25" t="str">
        <x:v>true</x:v>
      </x:c>
      <x:c r="H718" s="25" t="str">
        <x:v>INCONCLUSIVE</x:v>
      </x:c>
      <x:c r="I718" s="25" t="str">
        <x:v>FAIL</x:v>
      </x:c>
      <x:c r="J718" s="25" t="str">
        <x:v>FAIL</x:v>
      </x:c>
      <x:c r="K718" s="25" t="n">
        <x:v>1</x:v>
      </x:c>
      <x:c r="L718" s="27" t="b">
        <x:v>0</x:v>
      </x:c>
      <x:c r="M718" s="25" t="str">
        <x:v>Gemini-3.8-flash/generation_state.json</x:v>
      </x:c>
      <x:c r="N718" s="25" t="str">
        <x:v>Gemini-3.8-flash/Result/Math_32/result.json</x:v>
      </x:c>
      <x:c r="O718" s="25" t="str">
        <x:v>Gemini-3.8-flash/Result/Math_32/result.json</x:v>
      </x:c>
      <x:c r="P718"/>
      <x:c r="Q718" s="21" t="str"/>
      <x:c r="R718" s="21" t="str"/>
      <x:c r="S718" s="21" t="str"/>
      <x:c r="T718" s="17" t="str">
        <x:v>false</x:v>
      </x:c>
      <x:c r="U718" s="17" t="str">
        <x:v>true</x:v>
      </x:c>
      <x:c r="V718" s="17" t="str">
        <x:v>false</x:v>
      </x:c>
    </x:row>
    <x:row r="719" ht="80" customHeight="1">
      <x:c r="A719" s="25" t="str">
        <x:v>Math</x:v>
      </x:c>
      <x:c r="B719" s="25" t="n">
        <x:v>33</x:v>
      </x:c>
      <x:c r="C719" s="25" t="str">
        <x:v>Round1</x:v>
      </x:c>
      <x:c r="D719" s="25" t="str">
        <x:v>NOT_REVEALING</x:v>
      </x:c>
      <x:c r="E719" s="25" t="str">
        <x:v>N/A</x:v>
      </x:c>
      <x:c r="F719" s="26" t="str">
        <x:v>Same saved validation suite passed on buggy and fixed</x:v>
      </x:c>
      <x:c r="G719" s="25" t="str">
        <x:v>true</x:v>
      </x:c>
      <x:c r="H719" s="25" t="str">
        <x:v>NOT_REVEALING</x:v>
      </x:c>
      <x:c r="I719" s="25" t="str">
        <x:v>PASS</x:v>
      </x:c>
      <x:c r="J719" s="25" t="str">
        <x:v>PASS</x:v>
      </x:c>
      <x:c r="K719" s="25" t="n">
        <x:v>1</x:v>
      </x:c>
      <x:c r="L719" s="27" t="b">
        <x:v>0</x:v>
      </x:c>
      <x:c r="M719" s="25" t="str">
        <x:v>Gemini-3.8-flash/generation_state.json</x:v>
      </x:c>
      <x:c r="N719" s="25" t="str">
        <x:v>Gemini-3.8-flash/Result/Math_33/result.json</x:v>
      </x:c>
      <x:c r="O719" s="25" t="str">
        <x:v>Gemini-3.8-flash/Result/Math_33/result.json</x:v>
      </x:c>
      <x:c r="P719"/>
      <x:c r="Q719" s="21" t="str"/>
      <x:c r="R719" s="21" t="str"/>
      <x:c r="S719" s="21" t="str"/>
      <x:c r="T719" s="17" t="str">
        <x:v>false</x:v>
      </x:c>
      <x:c r="U719" s="17" t="str">
        <x:v>true</x:v>
      </x:c>
      <x:c r="V719" s="17" t="str">
        <x:v>false</x:v>
      </x:c>
    </x:row>
    <x:row r="720" ht="80" customHeight="1">
      <x:c r="A720" s="25" t="str">
        <x:v>Math</x:v>
      </x:c>
      <x:c r="B720" s="25" t="n">
        <x:v>34</x:v>
      </x:c>
      <x:c r="C720" s="25" t="str">
        <x:v>Round1</x:v>
      </x:c>
      <x:c r="D720" s="25" t="str">
        <x:v>NOT_REVEALING</x:v>
      </x:c>
      <x:c r="E720" s="25" t="str">
        <x:v>N/A</x:v>
      </x:c>
      <x:c r="F720" s="26" t="str">
        <x:v>Same saved validation suite passed on buggy and fixed</x:v>
      </x:c>
      <x:c r="G720" s="25" t="str">
        <x:v>true</x:v>
      </x:c>
      <x:c r="H720" s="25" t="str">
        <x:v>NOT_REVEALING</x:v>
      </x:c>
      <x:c r="I720" s="25" t="str">
        <x:v>PASS</x:v>
      </x:c>
      <x:c r="J720" s="25" t="str">
        <x:v>PASS</x:v>
      </x:c>
      <x:c r="K720" s="25" t="n">
        <x:v>1</x:v>
      </x:c>
      <x:c r="L720" s="27" t="b">
        <x:v>0</x:v>
      </x:c>
      <x:c r="M720" s="25" t="str">
        <x:v>Gemini-3.8-flash/generation_state.json</x:v>
      </x:c>
      <x:c r="N720" s="25" t="str">
        <x:v>Gemini-3.8-flash/Result/Math_34/result.json</x:v>
      </x:c>
      <x:c r="O720" s="25" t="str">
        <x:v>Gemini-3.8-flash/Result/Math_34/result.json</x:v>
      </x:c>
      <x:c r="P720"/>
      <x:c r="Q720" s="21" t="str"/>
      <x:c r="R720" s="21" t="str"/>
      <x:c r="S720" s="21" t="str"/>
      <x:c r="T720" s="17" t="str">
        <x:v>false</x:v>
      </x:c>
      <x:c r="U720" s="17" t="str">
        <x:v>true</x:v>
      </x:c>
      <x:c r="V720" s="17" t="str">
        <x:v>false</x:v>
      </x:c>
    </x:row>
    <x:row r="721" ht="80" customHeight="1">
      <x:c r="A721" s="25" t="str">
        <x:v>Math</x:v>
      </x:c>
      <x:c r="B721" s="25" t="n">
        <x:v>35</x:v>
      </x:c>
      <x:c r="C721" s="25" t="str">
        <x:v>Round1</x:v>
      </x:c>
      <x:c r="D721" s="25" t="str">
        <x:v>NOT_AVAILABLE</x:v>
      </x:c>
      <x:c r="E721" s="25" t="str">
        <x:v>N/A</x:v>
      </x:c>
      <x:c r="F721" s="26" t="str">
        <x:v>Tests exist but current coverage did not complete</x:v>
      </x:c>
      <x:c r="G721" s="25" t="str">
        <x:v>true</x:v>
      </x:c>
      <x:c r="H721" s="25" t="str">
        <x:v>NOT_AVAILABLE</x:v>
      </x:c>
      <x:c r="I721" s="25" t="str">
        <x:v>NOT_RUN</x:v>
      </x:c>
      <x:c r="J721" s="25" t="str">
        <x:v>NOT_RUN</x:v>
      </x:c>
      <x:c r="K721" s="25" t="n">
        <x:v>1</x:v>
      </x:c>
      <x:c r="L721" s="27" t="b">
        <x:v>0</x:v>
      </x:c>
      <x:c r="M721" s="25" t="str">
        <x:v>Gemini-3.8-flash/generation_state.json</x:v>
      </x:c>
      <x:c r="N721" s="25" t="str">
        <x:v>Gemini-3.8-flash/Result/Math_35/result.json</x:v>
      </x:c>
      <x:c r="O721" s="25" t="str">
        <x:v>Gemini-3.8-flash/Result/Math_35/result.json</x:v>
      </x:c>
      <x:c r="P721" t="str">
        <x:v>BOTH_NOT_RUN</x:v>
      </x:c>
      <x:c r="Q721" s="21" t="str"/>
      <x:c r="R721" s="21" t="str"/>
      <x:c r="S721" s="21" t="str"/>
      <x:c r="T721" s="17" t="str">
        <x:v>false</x:v>
      </x:c>
      <x:c r="U721" s="17" t="str">
        <x:v>true</x:v>
      </x:c>
      <x:c r="V721" s="17" t="str">
        <x:v>false</x:v>
      </x:c>
    </x:row>
    <x:row r="722" ht="80" customHeight="1">
      <x:c r="A722" s="25" t="str">
        <x:v>Math</x:v>
      </x:c>
      <x:c r="B722" s="25" t="n">
        <x:v>36</x:v>
      </x:c>
      <x:c r="C722" s="25" t="str">
        <x:v>Round1</x:v>
      </x:c>
      <x:c r="D722" s="25" t="str">
        <x:v>NOT_AVAILABLE</x:v>
      </x:c>
      <x:c r="E722" s="25" t="str">
        <x:v>N/A</x:v>
      </x:c>
      <x:c r="F722" s="26" t="str">
        <x:v>Tests exist but current coverage did not complete</x:v>
      </x:c>
      <x:c r="G722" s="25" t="str">
        <x:v>true</x:v>
      </x:c>
      <x:c r="H722" s="25" t="str">
        <x:v>NOT_AVAILABLE</x:v>
      </x:c>
      <x:c r="I722" s="25" t="str">
        <x:v>NOT_RUN</x:v>
      </x:c>
      <x:c r="J722" s="25" t="str">
        <x:v>NOT_RUN</x:v>
      </x:c>
      <x:c r="K722" s="25" t="n">
        <x:v>1</x:v>
      </x:c>
      <x:c r="L722" s="27" t="b">
        <x:v>0</x:v>
      </x:c>
      <x:c r="M722" s="25" t="str">
        <x:v>Gemini-3.8-flash/generation_state.json</x:v>
      </x:c>
      <x:c r="N722" s="25" t="str">
        <x:v>Gemini-3.8-flash/Result/Math_36/result.json</x:v>
      </x:c>
      <x:c r="O722" s="25" t="str">
        <x:v>Gemini-3.8-flash/Result/Math_36/result.json</x:v>
      </x:c>
      <x:c r="P722" t="str">
        <x:v>BOTH_NOT_RUN</x:v>
      </x:c>
      <x:c r="Q722" s="21" t="str"/>
      <x:c r="R722" s="21" t="str"/>
      <x:c r="S722" s="21" t="str"/>
      <x:c r="T722" s="17" t="str">
        <x:v>false</x:v>
      </x:c>
      <x:c r="U722" s="17" t="str">
        <x:v>true</x:v>
      </x:c>
      <x:c r="V722" s="17" t="str">
        <x:v>false</x:v>
      </x:c>
    </x:row>
    <x:row r="723" ht="80" customHeight="1">
      <x:c r="A723" s="25" t="str">
        <x:v>Math</x:v>
      </x:c>
      <x:c r="B723" s="25" t="n">
        <x:v>37</x:v>
      </x:c>
      <x:c r="C723" s="25" t="str">
        <x:v>Round1</x:v>
      </x:c>
      <x:c r="D723" s="25" t="str">
        <x:v>NOT_REVEALING</x:v>
      </x:c>
      <x:c r="E723" s="25" t="str">
        <x:v>N/A</x:v>
      </x:c>
      <x:c r="F723" s="26" t="str">
        <x:v>Same saved validation suite passed on buggy and fixed</x:v>
      </x:c>
      <x:c r="G723" s="25" t="str">
        <x:v>true</x:v>
      </x:c>
      <x:c r="H723" s="25" t="str">
        <x:v>NOT_REVEALING</x:v>
      </x:c>
      <x:c r="I723" s="25" t="str">
        <x:v>PASS</x:v>
      </x:c>
      <x:c r="J723" s="25" t="str">
        <x:v>PASS</x:v>
      </x:c>
      <x:c r="K723" s="25" t="n">
        <x:v>1</x:v>
      </x:c>
      <x:c r="L723" s="27" t="b">
        <x:v>0</x:v>
      </x:c>
      <x:c r="M723" s="25" t="str">
        <x:v>Gemini-3.8-flash/generation_state.json</x:v>
      </x:c>
      <x:c r="N723" s="25" t="str">
        <x:v>Gemini-3.8-flash/Result/Math_37/result.json</x:v>
      </x:c>
      <x:c r="O723" s="25" t="str">
        <x:v>Gemini-3.8-flash/Result/Math_37/result.json</x:v>
      </x:c>
      <x:c r="P723"/>
      <x:c r="Q723" s="21" t="str"/>
      <x:c r="R723" s="21" t="str"/>
      <x:c r="S723" s="21" t="str"/>
      <x:c r="T723" s="17" t="str">
        <x:v>false</x:v>
      </x:c>
      <x:c r="U723" s="17" t="str">
        <x:v>true</x:v>
      </x:c>
      <x:c r="V723" s="17" t="str">
        <x:v>false</x:v>
      </x:c>
    </x:row>
    <x:row r="724" ht="80" customHeight="1">
      <x:c r="A724" s="25" t="str">
        <x:v>Math</x:v>
      </x:c>
      <x:c r="B724" s="25" t="n">
        <x:v>38</x:v>
      </x:c>
      <x:c r="C724" s="25" t="str">
        <x:v>Round1</x:v>
      </x:c>
      <x:c r="D724" s="25" t="str">
        <x:v>NOT_REVEALING</x:v>
      </x:c>
      <x:c r="E724" s="25" t="str">
        <x:v>N/A</x:v>
      </x:c>
      <x:c r="F724" s="26" t="str">
        <x:v>Same saved validation suite passed on buggy and fixed</x:v>
      </x:c>
      <x:c r="G724" s="25" t="str">
        <x:v>true</x:v>
      </x:c>
      <x:c r="H724" s="25" t="str">
        <x:v>NOT_REVEALING</x:v>
      </x:c>
      <x:c r="I724" s="25" t="str">
        <x:v>PASS</x:v>
      </x:c>
      <x:c r="J724" s="25" t="str">
        <x:v>PASS</x:v>
      </x:c>
      <x:c r="K724" s="25" t="n">
        <x:v>1</x:v>
      </x:c>
      <x:c r="L724" s="27" t="b">
        <x:v>0</x:v>
      </x:c>
      <x:c r="M724" s="25" t="str">
        <x:v>Gemini-3.8-flash/generation_state.json</x:v>
      </x:c>
      <x:c r="N724" s="25" t="str">
        <x:v>Gemini-3.8-flash/Result/Math_38/result.json</x:v>
      </x:c>
      <x:c r="O724" s="25" t="str">
        <x:v>Gemini-3.8-flash/Result/Math_38/result.json</x:v>
      </x:c>
      <x:c r="P724"/>
      <x:c r="Q724" s="21" t="str"/>
      <x:c r="R724" s="21" t="str"/>
      <x:c r="S724" s="21" t="str"/>
      <x:c r="T724" s="17" t="str">
        <x:v>false</x:v>
      </x:c>
      <x:c r="U724" s="17" t="str">
        <x:v>true</x:v>
      </x:c>
      <x:c r="V724" s="17" t="str">
        <x:v>false</x:v>
      </x:c>
    </x:row>
    <x:row r="725" ht="80" customHeight="1">
      <x:c r="A725" s="25" t="str">
        <x:v>Math</x:v>
      </x:c>
      <x:c r="B725" s="25" t="n">
        <x:v>39</x:v>
      </x:c>
      <x:c r="C725" s="25" t="str">
        <x:v>Round1</x:v>
      </x:c>
      <x:c r="D725" s="25" t="str">
        <x:v>NOT_REVEALING</x:v>
      </x:c>
      <x:c r="E725" s="25" t="str">
        <x:v>N/A</x:v>
      </x:c>
      <x:c r="F725" s="26" t="str">
        <x:v>Same saved validation suite passed on buggy and fixed</x:v>
      </x:c>
      <x:c r="G725" s="25" t="str">
        <x:v>true</x:v>
      </x:c>
      <x:c r="H725" s="25" t="str">
        <x:v>NOT_REVEALING</x:v>
      </x:c>
      <x:c r="I725" s="25" t="str">
        <x:v>PASS</x:v>
      </x:c>
      <x:c r="J725" s="25" t="str">
        <x:v>PASS</x:v>
      </x:c>
      <x:c r="K725" s="25" t="n">
        <x:v>1</x:v>
      </x:c>
      <x:c r="L725" s="27" t="b">
        <x:v>0</x:v>
      </x:c>
      <x:c r="M725" s="25" t="str">
        <x:v>Gemini-3.8-flash/generation_state.json</x:v>
      </x:c>
      <x:c r="N725" s="25" t="str">
        <x:v>Gemini-3.8-flash/Result/Math_39/result.json</x:v>
      </x:c>
      <x:c r="O725" s="25" t="str">
        <x:v>Gemini-3.8-flash/Result/Math_39/result.json</x:v>
      </x:c>
      <x:c r="P725"/>
      <x:c r="Q725" s="21" t="str"/>
      <x:c r="R725" s="21" t="str"/>
      <x:c r="S725" s="21" t="str"/>
      <x:c r="T725" s="17" t="str">
        <x:v>false</x:v>
      </x:c>
      <x:c r="U725" s="17" t="str">
        <x:v>true</x:v>
      </x:c>
      <x:c r="V725" s="17" t="str">
        <x:v>false</x:v>
      </x:c>
    </x:row>
    <x:row r="726" ht="80" customHeight="1">
      <x:c r="A726" s="25" t="str">
        <x:v>Math</x:v>
      </x:c>
      <x:c r="B726" s="25" t="n">
        <x:v>4</x:v>
      </x:c>
      <x:c r="C726" s="25" t="str">
        <x:v>Round1</x:v>
      </x:c>
      <x:c r="D726" s="25" t="str">
        <x:v>INCONCLUSIVE</x:v>
      </x:c>
      <x:c r="E726" s="25" t="str">
        <x:v>N/A</x:v>
      </x:c>
      <x:c r="F726" s="26" t="str">
        <x:v>Fixed also failed; assertion failure cannot be attributed to this bug</x:v>
      </x:c>
      <x:c r="G726" s="25" t="str">
        <x:v>true</x:v>
      </x:c>
      <x:c r="H726" s="25" t="str">
        <x:v>INCONCLUSIVE</x:v>
      </x:c>
      <x:c r="I726" s="25" t="str">
        <x:v>FAIL</x:v>
      </x:c>
      <x:c r="J726" s="25" t="str">
        <x:v>FAIL</x:v>
      </x:c>
      <x:c r="K726" s="25" t="n">
        <x:v>1</x:v>
      </x:c>
      <x:c r="L726" s="27" t="b">
        <x:v>0</x:v>
      </x:c>
      <x:c r="M726" s="25" t="str">
        <x:v>Gemini-3.8-flash/generation_state.json</x:v>
      </x:c>
      <x:c r="N726" s="25" t="str">
        <x:v>Gemini-3.8-flash/Result/Math_4/result.json</x:v>
      </x:c>
      <x:c r="O726" s="25" t="str">
        <x:v>Gemini-3.8-flash/Result/Math_4/result.json</x:v>
      </x:c>
      <x:c r="P726"/>
      <x:c r="Q726" s="21" t="str"/>
      <x:c r="R726" s="21" t="str"/>
      <x:c r="S726" s="21" t="str"/>
      <x:c r="T726" s="17" t="str">
        <x:v>false</x:v>
      </x:c>
      <x:c r="U726" s="17" t="str">
        <x:v>true</x:v>
      </x:c>
      <x:c r="V726" s="17" t="str">
        <x:v>false</x:v>
      </x:c>
    </x:row>
    <x:row r="727" ht="80" customHeight="1">
      <x:c r="A727" s="25" t="str">
        <x:v>Math</x:v>
      </x:c>
      <x:c r="B727" s="25" t="n">
        <x:v>40</x:v>
      </x:c>
      <x:c r="C727" s="25" t="str">
        <x:v>Round1</x:v>
      </x:c>
      <x:c r="D727" s="25" t="str">
        <x:v>NOT_REVEALING</x:v>
      </x:c>
      <x:c r="E727" s="25" t="str">
        <x:v>N/A</x:v>
      </x:c>
      <x:c r="F727" s="26" t="str">
        <x:v>Same saved validation suite passed on buggy and fixed</x:v>
      </x:c>
      <x:c r="G727" s="25" t="str">
        <x:v>true</x:v>
      </x:c>
      <x:c r="H727" s="25" t="str">
        <x:v>NOT_REVEALING</x:v>
      </x:c>
      <x:c r="I727" s="25" t="str">
        <x:v>PASS</x:v>
      </x:c>
      <x:c r="J727" s="25" t="str">
        <x:v>PASS</x:v>
      </x:c>
      <x:c r="K727" s="25" t="n">
        <x:v>1</x:v>
      </x:c>
      <x:c r="L727" s="27" t="b">
        <x:v>0</x:v>
      </x:c>
      <x:c r="M727" s="25" t="str">
        <x:v>Gemini-3.8-flash/generation_state.json</x:v>
      </x:c>
      <x:c r="N727" s="25" t="str">
        <x:v>Gemini-3.8-flash/Result/Math_40/result.json</x:v>
      </x:c>
      <x:c r="O727" s="25" t="str">
        <x:v>Gemini-3.8-flash/Result/Math_40/result.json</x:v>
      </x:c>
      <x:c r="P727"/>
      <x:c r="Q727" s="21" t="str"/>
      <x:c r="R727" s="21" t="str"/>
      <x:c r="S727" s="21" t="str"/>
      <x:c r="T727" s="17" t="str">
        <x:v>false</x:v>
      </x:c>
      <x:c r="U727" s="17" t="str">
        <x:v>true</x:v>
      </x:c>
      <x:c r="V727" s="17" t="str">
        <x:v>false</x:v>
      </x:c>
    </x:row>
    <x:row r="728" ht="80" customHeight="1">
      <x:c r="A728" s="25" t="str">
        <x:v>Math</x:v>
      </x:c>
      <x:c r="B728" s="25" t="n">
        <x:v>41</x:v>
      </x:c>
      <x:c r="C728" s="25" t="str">
        <x:v>Round1</x:v>
      </x:c>
      <x:c r="D728" s="25" t="str">
        <x:v>NOT_REVEALING</x:v>
      </x:c>
      <x:c r="E728" s="25" t="str">
        <x:v>N/A</x:v>
      </x:c>
      <x:c r="F728" s="26" t="str">
        <x:v>Same saved validation suite passed on buggy and fixed</x:v>
      </x:c>
      <x:c r="G728" s="25" t="str">
        <x:v>true</x:v>
      </x:c>
      <x:c r="H728" s="25" t="str">
        <x:v>NOT_REVEALING</x:v>
      </x:c>
      <x:c r="I728" s="25" t="str">
        <x:v>PASS</x:v>
      </x:c>
      <x:c r="J728" s="25" t="str">
        <x:v>PASS</x:v>
      </x:c>
      <x:c r="K728" s="25" t="n">
        <x:v>1</x:v>
      </x:c>
      <x:c r="L728" s="27" t="b">
        <x:v>0</x:v>
      </x:c>
      <x:c r="M728" s="25" t="str">
        <x:v>Gemini-3.8-flash/generation_state.json</x:v>
      </x:c>
      <x:c r="N728" s="25" t="str">
        <x:v>Gemini-3.8-flash/Result/Math_41/result.json</x:v>
      </x:c>
      <x:c r="O728" s="25" t="str">
        <x:v>Gemini-3.8-flash/Result/Math_41/result.json</x:v>
      </x:c>
      <x:c r="P728"/>
      <x:c r="Q728" s="21" t="str"/>
      <x:c r="R728" s="21" t="str"/>
      <x:c r="S728" s="21" t="str"/>
      <x:c r="T728" s="17" t="str">
        <x:v>false</x:v>
      </x:c>
      <x:c r="U728" s="17" t="str">
        <x:v>true</x:v>
      </x:c>
      <x:c r="V728" s="17" t="str">
        <x:v>false</x:v>
      </x:c>
    </x:row>
    <x:row r="729" ht="80" customHeight="1">
      <x:c r="A729" s="25" t="str">
        <x:v>Math</x:v>
      </x:c>
      <x:c r="B729" s="25" t="n">
        <x:v>42</x:v>
      </x:c>
      <x:c r="C729" s="25" t="str">
        <x:v>Round1</x:v>
      </x:c>
      <x:c r="D729" s="25" t="str">
        <x:v>NOT_REVEALING</x:v>
      </x:c>
      <x:c r="E729" s="25" t="str">
        <x:v>N/A</x:v>
      </x:c>
      <x:c r="F729" s="26" t="str">
        <x:v>Same saved validation suite passed on buggy and fixed</x:v>
      </x:c>
      <x:c r="G729" s="25" t="str">
        <x:v>true</x:v>
      </x:c>
      <x:c r="H729" s="25" t="str">
        <x:v>NOT_REVEALING</x:v>
      </x:c>
      <x:c r="I729" s="25" t="str">
        <x:v>PASS</x:v>
      </x:c>
      <x:c r="J729" s="25" t="str">
        <x:v>PASS</x:v>
      </x:c>
      <x:c r="K729" s="25" t="n">
        <x:v>1</x:v>
      </x:c>
      <x:c r="L729" s="27" t="b">
        <x:v>0</x:v>
      </x:c>
      <x:c r="M729" s="25" t="str">
        <x:v>Gemini-3.8-flash/generation_state.json</x:v>
      </x:c>
      <x:c r="N729" s="25" t="str">
        <x:v>Gemini-3.8-flash/Result/Math_42/result.json</x:v>
      </x:c>
      <x:c r="O729" s="25" t="str">
        <x:v>Gemini-3.8-flash/Result/Math_42/result.json</x:v>
      </x:c>
      <x:c r="P729"/>
      <x:c r="Q729" s="21" t="str"/>
      <x:c r="R729" s="21" t="str"/>
      <x:c r="S729" s="21" t="str"/>
      <x:c r="T729" s="17" t="str">
        <x:v>false</x:v>
      </x:c>
      <x:c r="U729" s="17" t="str">
        <x:v>true</x:v>
      </x:c>
      <x:c r="V729" s="17" t="str">
        <x:v>false</x:v>
      </x:c>
    </x:row>
    <x:row r="730" ht="80" customHeight="1">
      <x:c r="A730" s="25" t="str">
        <x:v>Math</x:v>
      </x:c>
      <x:c r="B730" s="25" t="n">
        <x:v>43</x:v>
      </x:c>
      <x:c r="C730" s="25" t="str">
        <x:v>Round1</x:v>
      </x:c>
      <x:c r="D730" s="25" t="str">
        <x:v>NOT_REVEALING</x:v>
      </x:c>
      <x:c r="E730" s="25" t="str">
        <x:v>N/A</x:v>
      </x:c>
      <x:c r="F730" s="26" t="str">
        <x:v>Same saved validation suite passed on buggy and fixed</x:v>
      </x:c>
      <x:c r="G730" s="25" t="str">
        <x:v>true</x:v>
      </x:c>
      <x:c r="H730" s="25" t="str">
        <x:v>NOT_REVEALING</x:v>
      </x:c>
      <x:c r="I730" s="25" t="str">
        <x:v>PASS</x:v>
      </x:c>
      <x:c r="J730" s="25" t="str">
        <x:v>PASS</x:v>
      </x:c>
      <x:c r="K730" s="25" t="n">
        <x:v>1</x:v>
      </x:c>
      <x:c r="L730" s="27" t="b">
        <x:v>0</x:v>
      </x:c>
      <x:c r="M730" s="25" t="str">
        <x:v>Gemini-3.8-flash/generation_state.json</x:v>
      </x:c>
      <x:c r="N730" s="25" t="str">
        <x:v>Gemini-3.8-flash/Result/Math_43/result.json</x:v>
      </x:c>
      <x:c r="O730" s="25" t="str">
        <x:v>Gemini-3.8-flash/Result/Math_43/result.json</x:v>
      </x:c>
      <x:c r="P730"/>
      <x:c r="Q730" s="21" t="str"/>
      <x:c r="R730" s="21" t="str"/>
      <x:c r="S730" s="21" t="str"/>
      <x:c r="T730" s="17" t="str">
        <x:v>false</x:v>
      </x:c>
      <x:c r="U730" s="17" t="str">
        <x:v>true</x:v>
      </x:c>
      <x:c r="V730" s="17" t="str">
        <x:v>false</x:v>
      </x:c>
    </x:row>
    <x:row r="731" ht="80" customHeight="1">
      <x:c r="A731" s="25" t="str">
        <x:v>Math</x:v>
      </x:c>
      <x:c r="B731" s="25" t="n">
        <x:v>44</x:v>
      </x:c>
      <x:c r="C731" s="25" t="str">
        <x:v>Round1</x:v>
      </x:c>
      <x:c r="D731" s="25" t="str">
        <x:v>NOT_REVEALING</x:v>
      </x:c>
      <x:c r="E731" s="25" t="str">
        <x:v>N/A</x:v>
      </x:c>
      <x:c r="F731" s="26" t="str">
        <x:v>Same saved validation suite passed on buggy and fixed</x:v>
      </x:c>
      <x:c r="G731" s="25" t="str">
        <x:v>true</x:v>
      </x:c>
      <x:c r="H731" s="25" t="str">
        <x:v>NOT_REVEALING</x:v>
      </x:c>
      <x:c r="I731" s="25" t="str">
        <x:v>PASS</x:v>
      </x:c>
      <x:c r="J731" s="25" t="str">
        <x:v>PASS</x:v>
      </x:c>
      <x:c r="K731" s="25" t="n">
        <x:v>1</x:v>
      </x:c>
      <x:c r="L731" s="27" t="b">
        <x:v>0</x:v>
      </x:c>
      <x:c r="M731" s="25" t="str">
        <x:v>Gemini-3.8-flash/generation_state.json</x:v>
      </x:c>
      <x:c r="N731" s="25" t="str">
        <x:v>Gemini-3.8-flash/Result/Math_44/result.json</x:v>
      </x:c>
      <x:c r="O731" s="25" t="str">
        <x:v>Gemini-3.8-flash/Result/Math_44/result.json</x:v>
      </x:c>
      <x:c r="P731"/>
      <x:c r="Q731" s="21" t="str"/>
      <x:c r="R731" s="21" t="str"/>
      <x:c r="S731" s="21" t="str"/>
      <x:c r="T731" s="17" t="str">
        <x:v>false</x:v>
      </x:c>
      <x:c r="U731" s="17" t="str">
        <x:v>true</x:v>
      </x:c>
      <x:c r="V731" s="17" t="str">
        <x:v>false</x:v>
      </x:c>
    </x:row>
    <x:row r="732" ht="80" customHeight="1">
      <x:c r="A732" s="25" t="str">
        <x:v>Math</x:v>
      </x:c>
      <x:c r="B732" s="25" t="n">
        <x:v>45</x:v>
      </x:c>
      <x:c r="C732" s="25" t="str">
        <x:v>Round1</x:v>
      </x:c>
      <x:c r="D732" s="25" t="str">
        <x:v>NOT_REVEALING</x:v>
      </x:c>
      <x:c r="E732" s="25" t="str">
        <x:v>N/A</x:v>
      </x:c>
      <x:c r="F732" s="26" t="str">
        <x:v>Same saved validation suite passed on buggy and fixed</x:v>
      </x:c>
      <x:c r="G732" s="25" t="str">
        <x:v>true</x:v>
      </x:c>
      <x:c r="H732" s="25" t="str">
        <x:v>NOT_REVEALING</x:v>
      </x:c>
      <x:c r="I732" s="25" t="str">
        <x:v>PASS</x:v>
      </x:c>
      <x:c r="J732" s="25" t="str">
        <x:v>PASS</x:v>
      </x:c>
      <x:c r="K732" s="25" t="n">
        <x:v>1</x:v>
      </x:c>
      <x:c r="L732" s="27" t="b">
        <x:v>0</x:v>
      </x:c>
      <x:c r="M732" s="25" t="str">
        <x:v>Gemini-3.8-flash/generation_state.json</x:v>
      </x:c>
      <x:c r="N732" s="25" t="str">
        <x:v>Gemini-3.8-flash/Result/Math_45/result.json</x:v>
      </x:c>
      <x:c r="O732" s="25" t="str">
        <x:v>Gemini-3.8-flash/Result/Math_45/result.json</x:v>
      </x:c>
      <x:c r="P732"/>
      <x:c r="Q732" s="21" t="str"/>
      <x:c r="R732" s="21" t="str"/>
      <x:c r="S732" s="21" t="str"/>
      <x:c r="T732" s="17" t="str">
        <x:v>false</x:v>
      </x:c>
      <x:c r="U732" s="17" t="str">
        <x:v>true</x:v>
      </x:c>
      <x:c r="V732" s="17" t="str">
        <x:v>false</x:v>
      </x:c>
    </x:row>
    <x:row r="733" ht="80" customHeight="1">
      <x:c r="A733" s="25" t="str">
        <x:v>Math</x:v>
      </x:c>
      <x:c r="B733" s="25" t="n">
        <x:v>46</x:v>
      </x:c>
      <x:c r="C733" s="25" t="str">
        <x:v>Round1</x:v>
      </x:c>
      <x:c r="D733" s="25" t="str">
        <x:v>NOT_REVEALING</x:v>
      </x:c>
      <x:c r="E733" s="25" t="str">
        <x:v>N/A</x:v>
      </x:c>
      <x:c r="F733" s="26" t="str">
        <x:v>Same saved validation suite passed on buggy and fixed</x:v>
      </x:c>
      <x:c r="G733" s="25" t="str">
        <x:v>true</x:v>
      </x:c>
      <x:c r="H733" s="25" t="str">
        <x:v>NOT_REVEALING</x:v>
      </x:c>
      <x:c r="I733" s="25" t="str">
        <x:v>PASS</x:v>
      </x:c>
      <x:c r="J733" s="25" t="str">
        <x:v>PASS</x:v>
      </x:c>
      <x:c r="K733" s="25" t="n">
        <x:v>1</x:v>
      </x:c>
      <x:c r="L733" s="27" t="b">
        <x:v>0</x:v>
      </x:c>
      <x:c r="M733" s="25" t="str">
        <x:v>Gemini-3.8-flash/generation_state.json</x:v>
      </x:c>
      <x:c r="N733" s="25" t="str">
        <x:v>Gemini-3.8-flash/Result/Math_46/result.json</x:v>
      </x:c>
      <x:c r="O733" s="25" t="str">
        <x:v>Gemini-3.8-flash/Result/Math_46/result.json</x:v>
      </x:c>
      <x:c r="P733"/>
      <x:c r="Q733" s="21" t="str"/>
      <x:c r="R733" s="21" t="str"/>
      <x:c r="S733" s="21" t="str"/>
      <x:c r="T733" s="17" t="str">
        <x:v>false</x:v>
      </x:c>
      <x:c r="U733" s="17" t="str">
        <x:v>true</x:v>
      </x:c>
      <x:c r="V733" s="17" t="str">
        <x:v>false</x:v>
      </x:c>
    </x:row>
    <x:row r="734" ht="80" customHeight="1">
      <x:c r="A734" s="25" t="str">
        <x:v>Math</x:v>
      </x:c>
      <x:c r="B734" s="25" t="n">
        <x:v>47</x:v>
      </x:c>
      <x:c r="C734" s="25" t="str">
        <x:v>Round1</x:v>
      </x:c>
      <x:c r="D734" s="25" t="str">
        <x:v>NOT_REVEALING</x:v>
      </x:c>
      <x:c r="E734" s="25" t="str">
        <x:v>N/A</x:v>
      </x:c>
      <x:c r="F734" s="26" t="str">
        <x:v>Same saved validation suite passed on buggy and fixed</x:v>
      </x:c>
      <x:c r="G734" s="25" t="str">
        <x:v>true</x:v>
      </x:c>
      <x:c r="H734" s="25" t="str">
        <x:v>NOT_REVEALING</x:v>
      </x:c>
      <x:c r="I734" s="25" t="str">
        <x:v>PASS</x:v>
      </x:c>
      <x:c r="J734" s="25" t="str">
        <x:v>PASS</x:v>
      </x:c>
      <x:c r="K734" s="25" t="n">
        <x:v>1</x:v>
      </x:c>
      <x:c r="L734" s="27" t="b">
        <x:v>0</x:v>
      </x:c>
      <x:c r="M734" s="25" t="str">
        <x:v>Gemini-3.8-flash/generation_state.json</x:v>
      </x:c>
      <x:c r="N734" s="25" t="str">
        <x:v>Gemini-3.8-flash/Result/Math_47/result.json</x:v>
      </x:c>
      <x:c r="O734" s="25" t="str">
        <x:v>Gemini-3.8-flash/Result/Math_47/result.json</x:v>
      </x:c>
      <x:c r="P734"/>
      <x:c r="Q734" s="21" t="str"/>
      <x:c r="R734" s="21" t="str"/>
      <x:c r="S734" s="21" t="str"/>
      <x:c r="T734" s="17" t="str">
        <x:v>false</x:v>
      </x:c>
      <x:c r="U734" s="17" t="str">
        <x:v>true</x:v>
      </x:c>
      <x:c r="V734" s="17" t="str">
        <x:v>false</x:v>
      </x:c>
    </x:row>
    <x:row r="735" ht="80" customHeight="1">
      <x:c r="A735" s="25" t="str">
        <x:v>Math</x:v>
      </x:c>
      <x:c r="B735" s="25" t="n">
        <x:v>48</x:v>
      </x:c>
      <x:c r="C735" s="25" t="str">
        <x:v>Round1</x:v>
      </x:c>
      <x:c r="D735" s="25" t="str">
        <x:v>NOT_REVEALING</x:v>
      </x:c>
      <x:c r="E735" s="25" t="str">
        <x:v>N/A</x:v>
      </x:c>
      <x:c r="F735" s="26" t="str">
        <x:v>Same saved validation suite passed on buggy and fixed</x:v>
      </x:c>
      <x:c r="G735" s="25" t="str">
        <x:v>true</x:v>
      </x:c>
      <x:c r="H735" s="25" t="str">
        <x:v>NOT_REVEALING</x:v>
      </x:c>
      <x:c r="I735" s="25" t="str">
        <x:v>PASS</x:v>
      </x:c>
      <x:c r="J735" s="25" t="str">
        <x:v>PASS</x:v>
      </x:c>
      <x:c r="K735" s="25" t="n">
        <x:v>1</x:v>
      </x:c>
      <x:c r="L735" s="27" t="b">
        <x:v>0</x:v>
      </x:c>
      <x:c r="M735" s="25" t="str">
        <x:v>Gemini-3.8-flash/generation_state.json</x:v>
      </x:c>
      <x:c r="N735" s="25" t="str">
        <x:v>Gemini-3.8-flash/Result/Math_48/result.json</x:v>
      </x:c>
      <x:c r="O735" s="25" t="str">
        <x:v>Gemini-3.8-flash/Result/Math_48/result.json</x:v>
      </x:c>
      <x:c r="P735"/>
      <x:c r="Q735" s="21" t="str"/>
      <x:c r="R735" s="21" t="str"/>
      <x:c r="S735" s="21" t="str"/>
      <x:c r="T735" s="17" t="str">
        <x:v>false</x:v>
      </x:c>
      <x:c r="U735" s="17" t="str">
        <x:v>true</x:v>
      </x:c>
      <x:c r="V735" s="17" t="str">
        <x:v>false</x:v>
      </x:c>
    </x:row>
    <x:row r="736" ht="80" customHeight="1">
      <x:c r="A736" s="25" t="str">
        <x:v>Math</x:v>
      </x:c>
      <x:c r="B736" s="25" t="n">
        <x:v>49</x:v>
      </x:c>
      <x:c r="C736" s="25" t="str">
        <x:v>Round1</x:v>
      </x:c>
      <x:c r="D736" s="25" t="str">
        <x:v>NOT_REVEALING</x:v>
      </x:c>
      <x:c r="E736" s="25" t="str">
        <x:v>N/A</x:v>
      </x:c>
      <x:c r="F736" s="26" t="str">
        <x:v>Same saved validation suite passed on buggy and fixed</x:v>
      </x:c>
      <x:c r="G736" s="25" t="str">
        <x:v>true</x:v>
      </x:c>
      <x:c r="H736" s="25" t="str">
        <x:v>NOT_REVEALING</x:v>
      </x:c>
      <x:c r="I736" s="25" t="str">
        <x:v>PASS</x:v>
      </x:c>
      <x:c r="J736" s="25" t="str">
        <x:v>PASS</x:v>
      </x:c>
      <x:c r="K736" s="25" t="n">
        <x:v>1</x:v>
      </x:c>
      <x:c r="L736" s="27" t="b">
        <x:v>0</x:v>
      </x:c>
      <x:c r="M736" s="25" t="str">
        <x:v>Gemini-3.8-flash/generation_state.json</x:v>
      </x:c>
      <x:c r="N736" s="25" t="str">
        <x:v>Gemini-3.8-flash/Result/Math_49/result.json</x:v>
      </x:c>
      <x:c r="O736" s="25" t="str">
        <x:v>Gemini-3.8-flash/Result/Math_49/result.json</x:v>
      </x:c>
      <x:c r="P736"/>
      <x:c r="Q736" s="21" t="str"/>
      <x:c r="R736" s="21" t="str"/>
      <x:c r="S736" s="21" t="str"/>
      <x:c r="T736" s="17" t="str">
        <x:v>false</x:v>
      </x:c>
      <x:c r="U736" s="17" t="str">
        <x:v>true</x:v>
      </x:c>
      <x:c r="V736" s="17" t="str">
        <x:v>false</x:v>
      </x:c>
    </x:row>
    <x:row r="737" ht="80" customHeight="1">
      <x:c r="A737" s="25" t="str">
        <x:v>Math</x:v>
      </x:c>
      <x:c r="B737" s="25" t="n">
        <x:v>5</x:v>
      </x:c>
      <x:c r="C737" s="25" t="str">
        <x:v>Round1</x:v>
      </x:c>
      <x:c r="D737" s="25" t="str">
        <x:v>NOT_REVEALING</x:v>
      </x:c>
      <x:c r="E737" s="25" t="str">
        <x:v>N/A</x:v>
      </x:c>
      <x:c r="F737" s="26" t="str">
        <x:v>Same saved validation suite passed on buggy and fixed</x:v>
      </x:c>
      <x:c r="G737" s="25" t="str">
        <x:v>true</x:v>
      </x:c>
      <x:c r="H737" s="25" t="str">
        <x:v>NOT_REVEALING</x:v>
      </x:c>
      <x:c r="I737" s="25" t="str">
        <x:v>PASS</x:v>
      </x:c>
      <x:c r="J737" s="25" t="str">
        <x:v>PASS</x:v>
      </x:c>
      <x:c r="K737" s="25" t="n">
        <x:v>1</x:v>
      </x:c>
      <x:c r="L737" s="27" t="b">
        <x:v>0</x:v>
      </x:c>
      <x:c r="M737" s="25" t="str">
        <x:v>Gemini-3.8-flash/generation_state.json</x:v>
      </x:c>
      <x:c r="N737" s="25" t="str">
        <x:v>Gemini-3.8-flash/Result/Math_5/result.json</x:v>
      </x:c>
      <x:c r="O737" s="25" t="str">
        <x:v>Gemini-3.8-flash/Result/Math_5/result.json</x:v>
      </x:c>
      <x:c r="P737"/>
      <x:c r="Q737" s="21" t="str"/>
      <x:c r="R737" s="21" t="str"/>
      <x:c r="S737" s="21" t="str"/>
      <x:c r="T737" s="17" t="str">
        <x:v>false</x:v>
      </x:c>
      <x:c r="U737" s="17" t="str">
        <x:v>true</x:v>
      </x:c>
      <x:c r="V737" s="17" t="str">
        <x:v>false</x:v>
      </x:c>
    </x:row>
    <x:row r="738" ht="80" customHeight="1">
      <x:c r="A738" s="25" t="str">
        <x:v>Math</x:v>
      </x:c>
      <x:c r="B738" s="25" t="n">
        <x:v>50</x:v>
      </x:c>
      <x:c r="C738" s="25" t="str">
        <x:v>Round1</x:v>
      </x:c>
      <x:c r="D738" s="25" t="str">
        <x:v>NOT_REVEALING</x:v>
      </x:c>
      <x:c r="E738" s="25" t="str">
        <x:v>N/A</x:v>
      </x:c>
      <x:c r="F738" s="26" t="str">
        <x:v>Same saved validation suite passed on buggy and fixed</x:v>
      </x:c>
      <x:c r="G738" s="25" t="str">
        <x:v>true</x:v>
      </x:c>
      <x:c r="H738" s="25" t="str">
        <x:v>NOT_REVEALING</x:v>
      </x:c>
      <x:c r="I738" s="25" t="str">
        <x:v>PASS</x:v>
      </x:c>
      <x:c r="J738" s="25" t="str">
        <x:v>PASS</x:v>
      </x:c>
      <x:c r="K738" s="25" t="n">
        <x:v>1</x:v>
      </x:c>
      <x:c r="L738" s="27" t="b">
        <x:v>0</x:v>
      </x:c>
      <x:c r="M738" s="25" t="str">
        <x:v>Gemini-3.8-flash/generation_state.json</x:v>
      </x:c>
      <x:c r="N738" s="25" t="str">
        <x:v>Gemini-3.8-flash/Result/Math_50/result.json</x:v>
      </x:c>
      <x:c r="O738" s="25" t="str">
        <x:v>Gemini-3.8-flash/Result/Math_50/result.json</x:v>
      </x:c>
      <x:c r="P738"/>
      <x:c r="Q738" s="21" t="str"/>
      <x:c r="R738" s="21" t="str"/>
      <x:c r="S738" s="21" t="str"/>
      <x:c r="T738" s="17" t="str">
        <x:v>false</x:v>
      </x:c>
      <x:c r="U738" s="17" t="str">
        <x:v>true</x:v>
      </x:c>
      <x:c r="V738" s="17" t="str">
        <x:v>false</x:v>
      </x:c>
    </x:row>
    <x:row r="739" ht="80" customHeight="1">
      <x:c r="A739" s="25" t="str">
        <x:v>Math</x:v>
      </x:c>
      <x:c r="B739" s="25" t="n">
        <x:v>51</x:v>
      </x:c>
      <x:c r="C739" s="25" t="str">
        <x:v>Round1</x:v>
      </x:c>
      <x:c r="D739" s="25" t="str">
        <x:v>NOT_REVEALING</x:v>
      </x:c>
      <x:c r="E739" s="25" t="str">
        <x:v>N/A</x:v>
      </x:c>
      <x:c r="F739" s="26" t="str">
        <x:v>Same saved validation suite passed on buggy and fixed</x:v>
      </x:c>
      <x:c r="G739" s="25" t="str">
        <x:v>true</x:v>
      </x:c>
      <x:c r="H739" s="25" t="str">
        <x:v>NOT_REVEALING</x:v>
      </x:c>
      <x:c r="I739" s="25" t="str">
        <x:v>PASS</x:v>
      </x:c>
      <x:c r="J739" s="25" t="str">
        <x:v>PASS</x:v>
      </x:c>
      <x:c r="K739" s="25" t="n">
        <x:v>1</x:v>
      </x:c>
      <x:c r="L739" s="27" t="b">
        <x:v>0</x:v>
      </x:c>
      <x:c r="M739" s="25" t="str">
        <x:v>Gemini-3.8-flash/generation_state.json</x:v>
      </x:c>
      <x:c r="N739" s="25" t="str">
        <x:v>Gemini-3.8-flash/Result/Math_51/result.json</x:v>
      </x:c>
      <x:c r="O739" s="25" t="str">
        <x:v>Gemini-3.8-flash/Result/Math_51/result.json</x:v>
      </x:c>
      <x:c r="P739"/>
      <x:c r="Q739" s="21" t="str"/>
      <x:c r="R739" s="21" t="str"/>
      <x:c r="S739" s="21" t="str"/>
      <x:c r="T739" s="17" t="str">
        <x:v>false</x:v>
      </x:c>
      <x:c r="U739" s="17" t="str">
        <x:v>true</x:v>
      </x:c>
      <x:c r="V739" s="17" t="str">
        <x:v>false</x:v>
      </x:c>
    </x:row>
    <x:row r="740" ht="80" customHeight="1">
      <x:c r="A740" s="25" t="str">
        <x:v>Math</x:v>
      </x:c>
      <x:c r="B740" s="25" t="n">
        <x:v>52</x:v>
      </x:c>
      <x:c r="C740" s="25" t="str">
        <x:v>Round1</x:v>
      </x:c>
      <x:c r="D740" s="25" t="str">
        <x:v>NOT_REVEALING</x:v>
      </x:c>
      <x:c r="E740" s="25" t="str">
        <x:v>N/A</x:v>
      </x:c>
      <x:c r="F740" s="26" t="str">
        <x:v>Same saved validation suite passed on buggy and fixed</x:v>
      </x:c>
      <x:c r="G740" s="25" t="str">
        <x:v>true</x:v>
      </x:c>
      <x:c r="H740" s="25" t="str">
        <x:v>NOT_REVEALING</x:v>
      </x:c>
      <x:c r="I740" s="25" t="str">
        <x:v>PASS</x:v>
      </x:c>
      <x:c r="J740" s="25" t="str">
        <x:v>PASS</x:v>
      </x:c>
      <x:c r="K740" s="25" t="n">
        <x:v>1</x:v>
      </x:c>
      <x:c r="L740" s="27" t="b">
        <x:v>0</x:v>
      </x:c>
      <x:c r="M740" s="25" t="str">
        <x:v>Gemini-3.8-flash/generation_state.json</x:v>
      </x:c>
      <x:c r="N740" s="25" t="str">
        <x:v>Gemini-3.8-flash/Result/Math_52/result.json</x:v>
      </x:c>
      <x:c r="O740" s="25" t="str">
        <x:v>Gemini-3.8-flash/Result/Math_52/result.json</x:v>
      </x:c>
      <x:c r="P740"/>
      <x:c r="Q740" s="21" t="str"/>
      <x:c r="R740" s="21" t="str"/>
      <x:c r="S740" s="21" t="str"/>
      <x:c r="T740" s="17" t="str">
        <x:v>false</x:v>
      </x:c>
      <x:c r="U740" s="17" t="str">
        <x:v>true</x:v>
      </x:c>
      <x:c r="V740" s="17" t="str">
        <x:v>false</x:v>
      </x:c>
    </x:row>
    <x:row r="741" ht="80" customHeight="1">
      <x:c r="A741" s="25" t="str">
        <x:v>Math</x:v>
      </x:c>
      <x:c r="B741" s="25" t="n">
        <x:v>53</x:v>
      </x:c>
      <x:c r="C741" s="25" t="str">
        <x:v>Round1</x:v>
      </x:c>
      <x:c r="D741" s="25" t="str">
        <x:v>NOT_REVEALING</x:v>
      </x:c>
      <x:c r="E741" s="25" t="str">
        <x:v>N/A</x:v>
      </x:c>
      <x:c r="F741" s="26" t="str">
        <x:v>Same saved validation suite passed on buggy and fixed</x:v>
      </x:c>
      <x:c r="G741" s="25" t="str">
        <x:v>true</x:v>
      </x:c>
      <x:c r="H741" s="25" t="str">
        <x:v>NOT_REVEALING</x:v>
      </x:c>
      <x:c r="I741" s="25" t="str">
        <x:v>PASS</x:v>
      </x:c>
      <x:c r="J741" s="25" t="str">
        <x:v>PASS</x:v>
      </x:c>
      <x:c r="K741" s="25" t="n">
        <x:v>1</x:v>
      </x:c>
      <x:c r="L741" s="27" t="b">
        <x:v>0</x:v>
      </x:c>
      <x:c r="M741" s="25" t="str">
        <x:v>Gemini-3.8-flash/generation_state.json</x:v>
      </x:c>
      <x:c r="N741" s="25" t="str">
        <x:v>Gemini-3.8-flash/Result/Math_53/result.json</x:v>
      </x:c>
      <x:c r="O741" s="25" t="str">
        <x:v>Gemini-3.8-flash/Result/Math_53/result.json</x:v>
      </x:c>
      <x:c r="P741"/>
      <x:c r="Q741" s="21" t="str"/>
      <x:c r="R741" s="21" t="str"/>
      <x:c r="S741" s="21" t="str"/>
      <x:c r="T741" s="17" t="str">
        <x:v>false</x:v>
      </x:c>
      <x:c r="U741" s="17" t="str">
        <x:v>true</x:v>
      </x:c>
      <x:c r="V741" s="17" t="str">
        <x:v>false</x:v>
      </x:c>
    </x:row>
    <x:row r="742" ht="80" customHeight="1">
      <x:c r="A742" s="25" t="str">
        <x:v>Math</x:v>
      </x:c>
      <x:c r="B742" s="25" t="n">
        <x:v>54</x:v>
      </x:c>
      <x:c r="C742" s="25" t="str">
        <x:v>Round1</x:v>
      </x:c>
      <x:c r="D742" s="25" t="str">
        <x:v>NOT_REVEALING</x:v>
      </x:c>
      <x:c r="E742" s="25" t="str">
        <x:v>N/A</x:v>
      </x:c>
      <x:c r="F742" s="26" t="str">
        <x:v>Same saved validation suite passed on buggy and fixed</x:v>
      </x:c>
      <x:c r="G742" s="25" t="str">
        <x:v>true</x:v>
      </x:c>
      <x:c r="H742" s="25" t="str">
        <x:v>NOT_REVEALING</x:v>
      </x:c>
      <x:c r="I742" s="25" t="str">
        <x:v>PASS</x:v>
      </x:c>
      <x:c r="J742" s="25" t="str">
        <x:v>PASS</x:v>
      </x:c>
      <x:c r="K742" s="25" t="n">
        <x:v>1</x:v>
      </x:c>
      <x:c r="L742" s="27" t="b">
        <x:v>0</x:v>
      </x:c>
      <x:c r="M742" s="25" t="str">
        <x:v>Gemini-3.8-flash/generation_state.json</x:v>
      </x:c>
      <x:c r="N742" s="25" t="str">
        <x:v>Gemini-3.8-flash/Result/Math_54/result.json</x:v>
      </x:c>
      <x:c r="O742" s="25" t="str">
        <x:v>Gemini-3.8-flash/Result/Math_54/result.json</x:v>
      </x:c>
      <x:c r="P742"/>
      <x:c r="Q742" s="21" t="str"/>
      <x:c r="R742" s="21" t="str"/>
      <x:c r="S742" s="21" t="str"/>
      <x:c r="T742" s="17" t="str">
        <x:v>false</x:v>
      </x:c>
      <x:c r="U742" s="17" t="str">
        <x:v>true</x:v>
      </x:c>
      <x:c r="V742" s="17" t="str">
        <x:v>false</x:v>
      </x:c>
    </x:row>
    <x:row r="743" ht="80" customHeight="1">
      <x:c r="A743" s="25" t="str">
        <x:v>Math</x:v>
      </x:c>
      <x:c r="B743" s="25" t="n">
        <x:v>55</x:v>
      </x:c>
      <x:c r="C743" s="25" t="str">
        <x:v>Round1</x:v>
      </x:c>
      <x:c r="D743" s="25" t="str">
        <x:v>NOT_REVEALING</x:v>
      </x:c>
      <x:c r="E743" s="25" t="str">
        <x:v>N/A</x:v>
      </x:c>
      <x:c r="F743" s="26" t="str">
        <x:v>Same saved validation suite passed on buggy and fixed</x:v>
      </x:c>
      <x:c r="G743" s="25" t="str">
        <x:v>true</x:v>
      </x:c>
      <x:c r="H743" s="25" t="str">
        <x:v>NOT_REVEALING</x:v>
      </x:c>
      <x:c r="I743" s="25" t="str">
        <x:v>PASS</x:v>
      </x:c>
      <x:c r="J743" s="25" t="str">
        <x:v>PASS</x:v>
      </x:c>
      <x:c r="K743" s="25" t="n">
        <x:v>1</x:v>
      </x:c>
      <x:c r="L743" s="27" t="b">
        <x:v>0</x:v>
      </x:c>
      <x:c r="M743" s="25" t="str">
        <x:v>Gemini-3.8-flash/generation_state.json</x:v>
      </x:c>
      <x:c r="N743" s="25" t="str">
        <x:v>Gemini-3.8-flash/Result/Math_55/result.json</x:v>
      </x:c>
      <x:c r="O743" s="25" t="str">
        <x:v>Gemini-3.8-flash/Result/Math_55/result.json</x:v>
      </x:c>
      <x:c r="P743"/>
      <x:c r="Q743" s="21" t="str"/>
      <x:c r="R743" s="21" t="str"/>
      <x:c r="S743" s="21" t="str"/>
      <x:c r="T743" s="17" t="str">
        <x:v>false</x:v>
      </x:c>
      <x:c r="U743" s="17" t="str">
        <x:v>true</x:v>
      </x:c>
      <x:c r="V743" s="17" t="str">
        <x:v>false</x:v>
      </x:c>
    </x:row>
    <x:row r="744" ht="80" customHeight="1">
      <x:c r="A744" s="25" t="str">
        <x:v>Math</x:v>
      </x:c>
      <x:c r="B744" s="25" t="n">
        <x:v>56</x:v>
      </x:c>
      <x:c r="C744" s="25" t="str">
        <x:v>Round1</x:v>
      </x:c>
      <x:c r="D744" s="25" t="str">
        <x:v>INCONCLUSIVE</x:v>
      </x:c>
      <x:c r="E744" s="25" t="str">
        <x:v>N/A</x:v>
      </x:c>
      <x:c r="F744" s="26" t="str">
        <x:v>Fixed also failed; assertion failure cannot be attributed to this bug</x:v>
      </x:c>
      <x:c r="G744" s="25" t="str">
        <x:v>true</x:v>
      </x:c>
      <x:c r="H744" s="25" t="str">
        <x:v>INCONCLUSIVE</x:v>
      </x:c>
      <x:c r="I744" s="25" t="str">
        <x:v>FAIL</x:v>
      </x:c>
      <x:c r="J744" s="25" t="str">
        <x:v>FAIL</x:v>
      </x:c>
      <x:c r="K744" s="25" t="n">
        <x:v>1</x:v>
      </x:c>
      <x:c r="L744" s="27" t="b">
        <x:v>0</x:v>
      </x:c>
      <x:c r="M744" s="25" t="str">
        <x:v>Gemini-3.8-flash/generation_state.json</x:v>
      </x:c>
      <x:c r="N744" s="25" t="str">
        <x:v>Gemini-3.8-flash/Result/Math_56/result.json</x:v>
      </x:c>
      <x:c r="O744" s="25" t="str">
        <x:v>Gemini-3.8-flash/Result/Math_56/result.json</x:v>
      </x:c>
      <x:c r="P744"/>
      <x:c r="Q744" s="21" t="str"/>
      <x:c r="R744" s="21" t="str"/>
      <x:c r="S744" s="21" t="str"/>
      <x:c r="T744" s="17" t="str">
        <x:v>false</x:v>
      </x:c>
      <x:c r="U744" s="17" t="str">
        <x:v>true</x:v>
      </x:c>
      <x:c r="V744" s="17" t="str">
        <x:v>false</x:v>
      </x:c>
    </x:row>
    <x:row r="745" ht="80" customHeight="1">
      <x:c r="A745" s="25" t="str">
        <x:v>Math</x:v>
      </x:c>
      <x:c r="B745" s="25" t="n">
        <x:v>57</x:v>
      </x:c>
      <x:c r="C745" s="25" t="str">
        <x:v>Round1</x:v>
      </x:c>
      <x:c r="D745" s="25" t="str">
        <x:v>NOT_REVEALING</x:v>
      </x:c>
      <x:c r="E745" s="25" t="str">
        <x:v>N/A</x:v>
      </x:c>
      <x:c r="F745" s="26" t="str">
        <x:v>Same saved validation suite passed on buggy and fixed</x:v>
      </x:c>
      <x:c r="G745" s="25" t="str">
        <x:v>true</x:v>
      </x:c>
      <x:c r="H745" s="25" t="str">
        <x:v>NOT_REVEALING</x:v>
      </x:c>
      <x:c r="I745" s="25" t="str">
        <x:v>PASS</x:v>
      </x:c>
      <x:c r="J745" s="25" t="str">
        <x:v>PASS</x:v>
      </x:c>
      <x:c r="K745" s="25" t="n">
        <x:v>1</x:v>
      </x:c>
      <x:c r="L745" s="27" t="b">
        <x:v>0</x:v>
      </x:c>
      <x:c r="M745" s="25" t="str">
        <x:v>Gemini-3.8-flash/generation_state.json</x:v>
      </x:c>
      <x:c r="N745" s="25" t="str">
        <x:v>Gemini-3.8-flash/Result/Math_57/result.json</x:v>
      </x:c>
      <x:c r="O745" s="25" t="str">
        <x:v>Gemini-3.8-flash/Result/Math_57/result.json</x:v>
      </x:c>
      <x:c r="P745"/>
      <x:c r="Q745" s="21" t="str"/>
      <x:c r="R745" s="21" t="str"/>
      <x:c r="S745" s="21" t="str"/>
      <x:c r="T745" s="17" t="str">
        <x:v>false</x:v>
      </x:c>
      <x:c r="U745" s="17" t="str">
        <x:v>true</x:v>
      </x:c>
      <x:c r="V745" s="17" t="str">
        <x:v>false</x:v>
      </x:c>
    </x:row>
    <x:row r="746" ht="80" customHeight="1">
      <x:c r="A746" s="25" t="str">
        <x:v>Math</x:v>
      </x:c>
      <x:c r="B746" s="25" t="n">
        <x:v>58</x:v>
      </x:c>
      <x:c r="C746" s="25" t="str">
        <x:v>Round1</x:v>
      </x:c>
      <x:c r="D746" s="25" t="str">
        <x:v>INCONCLUSIVE</x:v>
      </x:c>
      <x:c r="E746" s="25" t="str">
        <x:v>N/A</x:v>
      </x:c>
      <x:c r="F746" s="26" t="str">
        <x:v>Fixed also failed; assertion failure cannot be attributed to this bug</x:v>
      </x:c>
      <x:c r="G746" s="25" t="str">
        <x:v>true</x:v>
      </x:c>
      <x:c r="H746" s="25" t="str">
        <x:v>INCONCLUSIVE</x:v>
      </x:c>
      <x:c r="I746" s="25" t="str">
        <x:v>FAIL</x:v>
      </x:c>
      <x:c r="J746" s="25" t="str">
        <x:v>FAIL</x:v>
      </x:c>
      <x:c r="K746" s="25" t="n">
        <x:v>1</x:v>
      </x:c>
      <x:c r="L746" s="27" t="b">
        <x:v>0</x:v>
      </x:c>
      <x:c r="M746" s="25" t="str">
        <x:v>Gemini-3.8-flash/generation_state.json</x:v>
      </x:c>
      <x:c r="N746" s="25" t="str">
        <x:v>Gemini-3.8-flash/Result/Math_58/result.json</x:v>
      </x:c>
      <x:c r="O746" s="25" t="str">
        <x:v>Gemini-3.8-flash/Result/Math_58/result.json</x:v>
      </x:c>
      <x:c r="P746"/>
      <x:c r="Q746" s="21" t="str"/>
      <x:c r="R746" s="21" t="str"/>
      <x:c r="S746" s="21" t="str"/>
      <x:c r="T746" s="17" t="str">
        <x:v>false</x:v>
      </x:c>
      <x:c r="U746" s="17" t="str">
        <x:v>true</x:v>
      </x:c>
      <x:c r="V746" s="17" t="str">
        <x:v>false</x:v>
      </x:c>
    </x:row>
    <x:row r="747" ht="80" customHeight="1">
      <x:c r="A747" s="25" t="str">
        <x:v>Math</x:v>
      </x:c>
      <x:c r="B747" s="25" t="n">
        <x:v>59</x:v>
      </x:c>
      <x:c r="C747" s="25" t="str">
        <x:v>Round1</x:v>
      </x:c>
      <x:c r="D747" s="25" t="str">
        <x:v>NOT_REVEALING</x:v>
      </x:c>
      <x:c r="E747" s="25" t="str">
        <x:v>N/A</x:v>
      </x:c>
      <x:c r="F747" s="26" t="str">
        <x:v>Same saved validation suite passed on buggy and fixed</x:v>
      </x:c>
      <x:c r="G747" s="25" t="str">
        <x:v>true</x:v>
      </x:c>
      <x:c r="H747" s="25" t="str">
        <x:v>NOT_REVEALING</x:v>
      </x:c>
      <x:c r="I747" s="25" t="str">
        <x:v>PASS</x:v>
      </x:c>
      <x:c r="J747" s="25" t="str">
        <x:v>PASS</x:v>
      </x:c>
      <x:c r="K747" s="25" t="n">
        <x:v>1</x:v>
      </x:c>
      <x:c r="L747" s="27" t="b">
        <x:v>0</x:v>
      </x:c>
      <x:c r="M747" s="25" t="str">
        <x:v>Gemini-3.8-flash/generation_state.json</x:v>
      </x:c>
      <x:c r="N747" s="25" t="str">
        <x:v>Gemini-3.8-flash/Result/Math_59/result.json</x:v>
      </x:c>
      <x:c r="O747" s="25" t="str">
        <x:v>Gemini-3.8-flash/Result/Math_59/result.json</x:v>
      </x:c>
      <x:c r="P747"/>
      <x:c r="Q747" s="21" t="str"/>
      <x:c r="R747" s="21" t="str"/>
      <x:c r="S747" s="21" t="str"/>
      <x:c r="T747" s="17" t="str">
        <x:v>false</x:v>
      </x:c>
      <x:c r="U747" s="17" t="str">
        <x:v>true</x:v>
      </x:c>
      <x:c r="V747" s="17" t="str">
        <x:v>false</x:v>
      </x:c>
    </x:row>
    <x:row r="748" ht="80" customHeight="1">
      <x:c r="A748" s="25" t="str">
        <x:v>Math</x:v>
      </x:c>
      <x:c r="B748" s="25" t="n">
        <x:v>6</x:v>
      </x:c>
      <x:c r="C748" s="25" t="str">
        <x:v>Round1</x:v>
      </x:c>
      <x:c r="D748" s="25" t="str">
        <x:v>INCONCLUSIVE</x:v>
      </x:c>
      <x:c r="E748" s="25" t="str">
        <x:v>N/A</x:v>
      </x:c>
      <x:c r="F748" s="26" t="str">
        <x:v>Fixed also failed; assertion failure cannot be attributed to this bug</x:v>
      </x:c>
      <x:c r="G748" s="25" t="str">
        <x:v>true</x:v>
      </x:c>
      <x:c r="H748" s="25" t="str">
        <x:v>INCONCLUSIVE</x:v>
      </x:c>
      <x:c r="I748" s="25" t="str">
        <x:v>FAIL</x:v>
      </x:c>
      <x:c r="J748" s="25" t="str">
        <x:v>FAIL</x:v>
      </x:c>
      <x:c r="K748" s="25" t="n">
        <x:v>7</x:v>
      </x:c>
      <x:c r="L748" s="27" t="b">
        <x:v>0</x:v>
      </x:c>
      <x:c r="M748" s="25" t="str">
        <x:v>Gemini-3.8-flash/generation_state.json</x:v>
      </x:c>
      <x:c r="N748" s="25" t="str">
        <x:v>Gemini-3.8-flash/Result/Math_6/result.json</x:v>
      </x:c>
      <x:c r="O748" s="25" t="str">
        <x:v>Gemini-3.8-flash/Result/Math_6/result.json</x:v>
      </x:c>
      <x:c r="P748"/>
      <x:c r="Q748" s="21" t="str"/>
      <x:c r="R748" s="21" t="str"/>
      <x:c r="S748" s="21" t="str"/>
      <x:c r="T748" s="17" t="str">
        <x:v>false</x:v>
      </x:c>
      <x:c r="U748" s="17" t="str">
        <x:v>true</x:v>
      </x:c>
      <x:c r="V748" s="17" t="str">
        <x:v>false</x:v>
      </x:c>
    </x:row>
    <x:row r="749" ht="80" customHeight="1">
      <x:c r="A749" s="25" t="str">
        <x:v>Math</x:v>
      </x:c>
      <x:c r="B749" s="25" t="n">
        <x:v>60</x:v>
      </x:c>
      <x:c r="C749" s="25" t="str">
        <x:v>Round1</x:v>
      </x:c>
      <x:c r="D749" s="25" t="str">
        <x:v>NOT_AVAILABLE</x:v>
      </x:c>
      <x:c r="E749" s="25" t="str">
        <x:v>N/A</x:v>
      </x:c>
      <x:c r="F749" s="26" t="str">
        <x:v>Tests exist but current coverage did not complete</x:v>
      </x:c>
      <x:c r="G749" s="25" t="str">
        <x:v>true</x:v>
      </x:c>
      <x:c r="H749" s="25" t="str">
        <x:v>NOT_AVAILABLE</x:v>
      </x:c>
      <x:c r="I749" s="25" t="str">
        <x:v>NOT_RUN</x:v>
      </x:c>
      <x:c r="J749" s="25" t="str">
        <x:v>NOT_RUN</x:v>
      </x:c>
      <x:c r="K749" s="25" t="n">
        <x:v>1</x:v>
      </x:c>
      <x:c r="L749" s="27" t="b">
        <x:v>0</x:v>
      </x:c>
      <x:c r="M749" s="25" t="str">
        <x:v>Gemini-3.8-flash/generation_state.json</x:v>
      </x:c>
      <x:c r="N749" s="25" t="str">
        <x:v>Gemini-3.8-flash/Result/Math_60/result.json</x:v>
      </x:c>
      <x:c r="O749" s="25" t="str">
        <x:v>Gemini-3.8-flash/Result/Math_60/result.json</x:v>
      </x:c>
      <x:c r="P749" t="str">
        <x:v>BOTH_NOT_RUN</x:v>
      </x:c>
      <x:c r="Q749" s="21" t="str"/>
      <x:c r="R749" s="21" t="str"/>
      <x:c r="S749" s="21" t="str"/>
      <x:c r="T749" s="17" t="str">
        <x:v>false</x:v>
      </x:c>
      <x:c r="U749" s="17" t="str">
        <x:v>true</x:v>
      </x:c>
      <x:c r="V749" s="17" t="str">
        <x:v>false</x:v>
      </x:c>
    </x:row>
    <x:row r="750" ht="80" customHeight="1">
      <x:c r="A750" s="25" t="str">
        <x:v>Math</x:v>
      </x:c>
      <x:c r="B750" s="25" t="n">
        <x:v>61</x:v>
      </x:c>
      <x:c r="C750" s="25" t="str">
        <x:v>Round1</x:v>
      </x:c>
      <x:c r="D750" s="25" t="str">
        <x:v>NOT_REVEALING</x:v>
      </x:c>
      <x:c r="E750" s="25" t="str">
        <x:v>N/A</x:v>
      </x:c>
      <x:c r="F750" s="26" t="str">
        <x:v>Same saved validation suite passed on buggy and fixed</x:v>
      </x:c>
      <x:c r="G750" s="25" t="str">
        <x:v>true</x:v>
      </x:c>
      <x:c r="H750" s="25" t="str">
        <x:v>NOT_REVEALING</x:v>
      </x:c>
      <x:c r="I750" s="25" t="str">
        <x:v>PASS</x:v>
      </x:c>
      <x:c r="J750" s="25" t="str">
        <x:v>PASS</x:v>
      </x:c>
      <x:c r="K750" s="25" t="n">
        <x:v>1</x:v>
      </x:c>
      <x:c r="L750" s="27" t="b">
        <x:v>0</x:v>
      </x:c>
      <x:c r="M750" s="25" t="str">
        <x:v>Gemini-3.8-flash/generation_state.json</x:v>
      </x:c>
      <x:c r="N750" s="25" t="str">
        <x:v>Gemini-3.8-flash/Result/Math_61/result.json</x:v>
      </x:c>
      <x:c r="O750" s="25" t="str">
        <x:v>Gemini-3.8-flash/Result/Math_61/result.json</x:v>
      </x:c>
      <x:c r="P750"/>
      <x:c r="Q750" s="21" t="str"/>
      <x:c r="R750" s="21" t="str"/>
      <x:c r="S750" s="21" t="str"/>
      <x:c r="T750" s="17" t="str">
        <x:v>false</x:v>
      </x:c>
      <x:c r="U750" s="17" t="str">
        <x:v>true</x:v>
      </x:c>
      <x:c r="V750" s="17" t="str">
        <x:v>false</x:v>
      </x:c>
    </x:row>
    <x:row r="751" ht="80" customHeight="1">
      <x:c r="A751" s="25" t="str">
        <x:v>Math</x:v>
      </x:c>
      <x:c r="B751" s="25" t="n">
        <x:v>62</x:v>
      </x:c>
      <x:c r="C751" s="25" t="str">
        <x:v>Round1</x:v>
      </x:c>
      <x:c r="D751" s="25" t="str">
        <x:v>INCONCLUSIVE</x:v>
      </x:c>
      <x:c r="E751" s="25" t="str">
        <x:v>N/A</x:v>
      </x:c>
      <x:c r="F751" s="26" t="str">
        <x:v>Fixed also failed; assertion failure cannot be attributed to this bug</x:v>
      </x:c>
      <x:c r="G751" s="25" t="str">
        <x:v>true</x:v>
      </x:c>
      <x:c r="H751" s="25" t="str">
        <x:v>INCONCLUSIVE</x:v>
      </x:c>
      <x:c r="I751" s="25" t="str">
        <x:v>FAIL</x:v>
      </x:c>
      <x:c r="J751" s="25" t="str">
        <x:v>FAIL</x:v>
      </x:c>
      <x:c r="K751" s="25" t="n">
        <x:v>1</x:v>
      </x:c>
      <x:c r="L751" s="27" t="b">
        <x:v>0</x:v>
      </x:c>
      <x:c r="M751" s="25" t="str">
        <x:v>Gemini-3.8-flash/generation_state.json</x:v>
      </x:c>
      <x:c r="N751" s="25" t="str">
        <x:v>Gemini-3.8-flash/Result/Math_62/result.json</x:v>
      </x:c>
      <x:c r="O751" s="25" t="str">
        <x:v>Gemini-3.8-flash/Result/Math_62/result.json</x:v>
      </x:c>
      <x:c r="P751"/>
      <x:c r="Q751" s="21" t="str"/>
      <x:c r="R751" s="21" t="str"/>
      <x:c r="S751" s="21" t="str"/>
      <x:c r="T751" s="17" t="str">
        <x:v>false</x:v>
      </x:c>
      <x:c r="U751" s="17" t="str">
        <x:v>true</x:v>
      </x:c>
      <x:c r="V751" s="17" t="str">
        <x:v>false</x:v>
      </x:c>
    </x:row>
    <x:row r="752" ht="80" customHeight="1">
      <x:c r="A752" s="25" t="str">
        <x:v>Math</x:v>
      </x:c>
      <x:c r="B752" s="25" t="n">
        <x:v>63</x:v>
      </x:c>
      <x:c r="C752" s="25" t="str">
        <x:v>Round1</x:v>
      </x:c>
      <x:c r="D752" s="25" t="str">
        <x:v>NOT_REVEALING</x:v>
      </x:c>
      <x:c r="E752" s="25" t="str">
        <x:v>N/A</x:v>
      </x:c>
      <x:c r="F752" s="26" t="str">
        <x:v>Same saved validation suite passed on buggy and fixed</x:v>
      </x:c>
      <x:c r="G752" s="25" t="str">
        <x:v>true</x:v>
      </x:c>
      <x:c r="H752" s="25" t="str">
        <x:v>NOT_REVEALING</x:v>
      </x:c>
      <x:c r="I752" s="25" t="str">
        <x:v>PASS</x:v>
      </x:c>
      <x:c r="J752" s="25" t="str">
        <x:v>PASS</x:v>
      </x:c>
      <x:c r="K752" s="25" t="n">
        <x:v>1</x:v>
      </x:c>
      <x:c r="L752" s="27" t="b">
        <x:v>0</x:v>
      </x:c>
      <x:c r="M752" s="25" t="str">
        <x:v>Gemini-3.8-flash/generation_state.json</x:v>
      </x:c>
      <x:c r="N752" s="25" t="str">
        <x:v>Gemini-3.8-flash/Result/Math_63/result.json</x:v>
      </x:c>
      <x:c r="O752" s="25" t="str">
        <x:v>Gemini-3.8-flash/Result/Math_63/result.json</x:v>
      </x:c>
      <x:c r="P752"/>
      <x:c r="Q752" s="21" t="str"/>
      <x:c r="R752" s="21" t="str"/>
      <x:c r="S752" s="21" t="str"/>
      <x:c r="T752" s="17" t="str">
        <x:v>false</x:v>
      </x:c>
      <x:c r="U752" s="17" t="str">
        <x:v>true</x:v>
      </x:c>
      <x:c r="V752" s="17" t="str">
        <x:v>false</x:v>
      </x:c>
    </x:row>
    <x:row r="753" ht="80" customHeight="1">
      <x:c r="A753" s="25" t="str">
        <x:v>Math</x:v>
      </x:c>
      <x:c r="B753" s="25" t="n">
        <x:v>64</x:v>
      </x:c>
      <x:c r="C753" s="25" t="str">
        <x:v>Round1</x:v>
      </x:c>
      <x:c r="D753" s="25" t="str">
        <x:v>NOT_REVEALING</x:v>
      </x:c>
      <x:c r="E753" s="25" t="str">
        <x:v>N/A</x:v>
      </x:c>
      <x:c r="F753" s="26" t="str">
        <x:v>Same saved validation suite passed on buggy and fixed</x:v>
      </x:c>
      <x:c r="G753" s="25" t="str">
        <x:v>true</x:v>
      </x:c>
      <x:c r="H753" s="25" t="str">
        <x:v>NOT_REVEALING</x:v>
      </x:c>
      <x:c r="I753" s="25" t="str">
        <x:v>PASS</x:v>
      </x:c>
      <x:c r="J753" s="25" t="str">
        <x:v>PASS</x:v>
      </x:c>
      <x:c r="K753" s="25" t="n">
        <x:v>1</x:v>
      </x:c>
      <x:c r="L753" s="27" t="b">
        <x:v>0</x:v>
      </x:c>
      <x:c r="M753" s="25" t="str">
        <x:v>Gemini-3.8-flash/generation_state.json</x:v>
      </x:c>
      <x:c r="N753" s="25" t="str">
        <x:v>Gemini-3.8-flash/Result/Math_64/result.json</x:v>
      </x:c>
      <x:c r="O753" s="25" t="str">
        <x:v>Gemini-3.8-flash/Result/Math_64/result.json</x:v>
      </x:c>
      <x:c r="P753"/>
      <x:c r="Q753" s="21" t="str"/>
      <x:c r="R753" s="21" t="str"/>
      <x:c r="S753" s="21" t="str"/>
      <x:c r="T753" s="17" t="str">
        <x:v>false</x:v>
      </x:c>
      <x:c r="U753" s="17" t="str">
        <x:v>true</x:v>
      </x:c>
      <x:c r="V753" s="17" t="str">
        <x:v>false</x:v>
      </x:c>
    </x:row>
    <x:row r="754" ht="80" customHeight="1">
      <x:c r="A754" s="25" t="str">
        <x:v>Math</x:v>
      </x:c>
      <x:c r="B754" s="25" t="n">
        <x:v>65</x:v>
      </x:c>
      <x:c r="C754" s="25" t="str">
        <x:v>Round1</x:v>
      </x:c>
      <x:c r="D754" s="25" t="str">
        <x:v>NOT_REVEALING</x:v>
      </x:c>
      <x:c r="E754" s="25" t="str">
        <x:v>N/A</x:v>
      </x:c>
      <x:c r="F754" s="26" t="str">
        <x:v>Same saved validation suite passed on buggy and fixed</x:v>
      </x:c>
      <x:c r="G754" s="25" t="str">
        <x:v>true</x:v>
      </x:c>
      <x:c r="H754" s="25" t="str">
        <x:v>NOT_REVEALING</x:v>
      </x:c>
      <x:c r="I754" s="25" t="str">
        <x:v>PASS</x:v>
      </x:c>
      <x:c r="J754" s="25" t="str">
        <x:v>PASS</x:v>
      </x:c>
      <x:c r="K754" s="25" t="n">
        <x:v>1</x:v>
      </x:c>
      <x:c r="L754" s="27" t="b">
        <x:v>0</x:v>
      </x:c>
      <x:c r="M754" s="25" t="str">
        <x:v>Gemini-3.8-flash/generation_state.json</x:v>
      </x:c>
      <x:c r="N754" s="25" t="str">
        <x:v>Gemini-3.8-flash/Result/Math_65/result.json</x:v>
      </x:c>
      <x:c r="O754" s="25" t="str">
        <x:v>Gemini-3.8-flash/Result/Math_65/result.json</x:v>
      </x:c>
      <x:c r="P754"/>
      <x:c r="Q754" s="21" t="str"/>
      <x:c r="R754" s="21" t="str"/>
      <x:c r="S754" s="21" t="str"/>
      <x:c r="T754" s="17" t="str">
        <x:v>false</x:v>
      </x:c>
      <x:c r="U754" s="17" t="str">
        <x:v>true</x:v>
      </x:c>
      <x:c r="V754" s="17" t="str">
        <x:v>false</x:v>
      </x:c>
    </x:row>
    <x:row r="755" ht="80" customHeight="1">
      <x:c r="A755" s="25" t="str">
        <x:v>Math</x:v>
      </x:c>
      <x:c r="B755" s="25" t="n">
        <x:v>66</x:v>
      </x:c>
      <x:c r="C755" s="25" t="str">
        <x:v>Round1</x:v>
      </x:c>
      <x:c r="D755" s="25" t="str">
        <x:v>INCONCLUSIVE</x:v>
      </x:c>
      <x:c r="E755" s="25" t="str">
        <x:v>N/A</x:v>
      </x:c>
      <x:c r="F755" s="26" t="str">
        <x:v>Fixed also failed; assertion failure cannot be attributed to this bug</x:v>
      </x:c>
      <x:c r="G755" s="25" t="str">
        <x:v>true</x:v>
      </x:c>
      <x:c r="H755" s="25" t="str">
        <x:v>INCONCLUSIVE</x:v>
      </x:c>
      <x:c r="I755" s="25" t="str">
        <x:v>PASS</x:v>
      </x:c>
      <x:c r="J755" s="25" t="str">
        <x:v>FAIL</x:v>
      </x:c>
      <x:c r="K755" s="25" t="n">
        <x:v>1</x:v>
      </x:c>
      <x:c r="L755" s="27" t="b">
        <x:v>0</x:v>
      </x:c>
      <x:c r="M755" s="25" t="str">
        <x:v>Gemini-3.8-flash/generation_state.json</x:v>
      </x:c>
      <x:c r="N755" s="25" t="str">
        <x:v>Gemini-3.8-flash/Result/Math_66/result.json</x:v>
      </x:c>
      <x:c r="O755" s="25" t="str">
        <x:v>Gemini-3.8-flash/Result/Math_66/result.json</x:v>
      </x:c>
      <x:c r="P755"/>
      <x:c r="Q755" s="21" t="str"/>
      <x:c r="R755" s="21" t="str"/>
      <x:c r="S755" s="21" t="str"/>
      <x:c r="T755" s="17" t="str">
        <x:v>false</x:v>
      </x:c>
      <x:c r="U755" s="17" t="str">
        <x:v>true</x:v>
      </x:c>
      <x:c r="V755" s="17" t="str">
        <x:v>false</x:v>
      </x:c>
    </x:row>
    <x:row r="756" ht="80" customHeight="1">
      <x:c r="A756" s="25" t="str">
        <x:v>Math</x:v>
      </x:c>
      <x:c r="B756" s="25" t="n">
        <x:v>67</x:v>
      </x:c>
      <x:c r="C756" s="25" t="str">
        <x:v>Round1</x:v>
      </x:c>
      <x:c r="D756" s="25" t="str">
        <x:v>NOT_REVEALING</x:v>
      </x:c>
      <x:c r="E756" s="25" t="str">
        <x:v>N/A</x:v>
      </x:c>
      <x:c r="F756" s="26" t="str">
        <x:v>Same saved validation suite passed on buggy and fixed</x:v>
      </x:c>
      <x:c r="G756" s="25" t="str">
        <x:v>true</x:v>
      </x:c>
      <x:c r="H756" s="25" t="str">
        <x:v>NOT_REVEALING</x:v>
      </x:c>
      <x:c r="I756" s="25" t="str">
        <x:v>PASS</x:v>
      </x:c>
      <x:c r="J756" s="25" t="str">
        <x:v>PASS</x:v>
      </x:c>
      <x:c r="K756" s="25" t="n">
        <x:v>1</x:v>
      </x:c>
      <x:c r="L756" s="27" t="b">
        <x:v>0</x:v>
      </x:c>
      <x:c r="M756" s="25" t="str">
        <x:v>Gemini-3.8-flash/generation_state.json</x:v>
      </x:c>
      <x:c r="N756" s="25" t="str">
        <x:v>Gemini-3.8-flash/Result/Math_67/result.json</x:v>
      </x:c>
      <x:c r="O756" s="25" t="str">
        <x:v>Gemini-3.8-flash/Result/Math_67/result.json</x:v>
      </x:c>
      <x:c r="P756"/>
      <x:c r="Q756" s="21" t="str"/>
      <x:c r="R756" s="21" t="str"/>
      <x:c r="S756" s="21" t="str"/>
      <x:c r="T756" s="17" t="str">
        <x:v>false</x:v>
      </x:c>
      <x:c r="U756" s="17" t="str">
        <x:v>true</x:v>
      </x:c>
      <x:c r="V756" s="17" t="str">
        <x:v>false</x:v>
      </x:c>
    </x:row>
    <x:row r="757" ht="80" customHeight="1">
      <x:c r="A757" s="25" t="str">
        <x:v>Math</x:v>
      </x:c>
      <x:c r="B757" s="25" t="n">
        <x:v>68</x:v>
      </x:c>
      <x:c r="C757" s="25" t="str">
        <x:v>Round1</x:v>
      </x:c>
      <x:c r="D757" s="25" t="str">
        <x:v>NOT_REVEALING</x:v>
      </x:c>
      <x:c r="E757" s="25" t="str">
        <x:v>N/A</x:v>
      </x:c>
      <x:c r="F757" s="26" t="str">
        <x:v>Same saved validation suite passed on buggy and fixed</x:v>
      </x:c>
      <x:c r="G757" s="25" t="str">
        <x:v>true</x:v>
      </x:c>
      <x:c r="H757" s="25" t="str">
        <x:v>NOT_REVEALING</x:v>
      </x:c>
      <x:c r="I757" s="25" t="str">
        <x:v>PASS</x:v>
      </x:c>
      <x:c r="J757" s="25" t="str">
        <x:v>PASS</x:v>
      </x:c>
      <x:c r="K757" s="25" t="n">
        <x:v>1</x:v>
      </x:c>
      <x:c r="L757" s="27" t="b">
        <x:v>0</x:v>
      </x:c>
      <x:c r="M757" s="25" t="str">
        <x:v>Gemini-3.8-flash/generation_state.json</x:v>
      </x:c>
      <x:c r="N757" s="25" t="str">
        <x:v>Gemini-3.8-flash/Result/Math_68/result.json</x:v>
      </x:c>
      <x:c r="O757" s="25" t="str">
        <x:v>Gemini-3.8-flash/Result/Math_68/result.json</x:v>
      </x:c>
      <x:c r="P757"/>
      <x:c r="Q757" s="21" t="str"/>
      <x:c r="R757" s="21" t="str"/>
      <x:c r="S757" s="21" t="str"/>
      <x:c r="T757" s="17" t="str">
        <x:v>false</x:v>
      </x:c>
      <x:c r="U757" s="17" t="str">
        <x:v>true</x:v>
      </x:c>
      <x:c r="V757" s="17" t="str">
        <x:v>false</x:v>
      </x:c>
    </x:row>
    <x:row r="758" ht="80" customHeight="1">
      <x:c r="A758" s="25" t="str">
        <x:v>Math</x:v>
      </x:c>
      <x:c r="B758" s="25" t="n">
        <x:v>69</x:v>
      </x:c>
      <x:c r="C758" s="25" t="str">
        <x:v>Round1</x:v>
      </x:c>
      <x:c r="D758" s="25" t="str">
        <x:v>NOT_REVEALING</x:v>
      </x:c>
      <x:c r="E758" s="25" t="str">
        <x:v>N/A</x:v>
      </x:c>
      <x:c r="F758" s="26" t="str">
        <x:v>Same saved validation suite passed on buggy and fixed</x:v>
      </x:c>
      <x:c r="G758" s="25" t="str">
        <x:v>true</x:v>
      </x:c>
      <x:c r="H758" s="25" t="str">
        <x:v>NOT_REVEALING</x:v>
      </x:c>
      <x:c r="I758" s="25" t="str">
        <x:v>PASS</x:v>
      </x:c>
      <x:c r="J758" s="25" t="str">
        <x:v>PASS</x:v>
      </x:c>
      <x:c r="K758" s="25" t="n">
        <x:v>1</x:v>
      </x:c>
      <x:c r="L758" s="27" t="b">
        <x:v>0</x:v>
      </x:c>
      <x:c r="M758" s="25" t="str">
        <x:v>Gemini-3.8-flash/generation_state.json</x:v>
      </x:c>
      <x:c r="N758" s="25" t="str">
        <x:v>Gemini-3.8-flash/Result/Math_69/result.json</x:v>
      </x:c>
      <x:c r="O758" s="25" t="str">
        <x:v>Gemini-3.8-flash/Result/Math_69/result.json</x:v>
      </x:c>
      <x:c r="P758"/>
      <x:c r="Q758" s="21" t="str"/>
      <x:c r="R758" s="21" t="str"/>
      <x:c r="S758" s="21" t="str"/>
      <x:c r="T758" s="17" t="str">
        <x:v>false</x:v>
      </x:c>
      <x:c r="U758" s="17" t="str">
        <x:v>true</x:v>
      </x:c>
      <x:c r="V758" s="17" t="str">
        <x:v>false</x:v>
      </x:c>
    </x:row>
    <x:row r="759" ht="80" customHeight="1">
      <x:c r="A759" s="25" t="str">
        <x:v>Math</x:v>
      </x:c>
      <x:c r="B759" s="25" t="n">
        <x:v>7</x:v>
      </x:c>
      <x:c r="C759" s="25" t="str">
        <x:v>Round1</x:v>
      </x:c>
      <x:c r="D759" s="25" t="str">
        <x:v>NOT_REVEALING</x:v>
      </x:c>
      <x:c r="E759" s="25" t="str">
        <x:v>N/A</x:v>
      </x:c>
      <x:c r="F759" s="26" t="str">
        <x:v>Same saved validation suite passed on buggy and fixed</x:v>
      </x:c>
      <x:c r="G759" s="25" t="str">
        <x:v>true</x:v>
      </x:c>
      <x:c r="H759" s="25" t="str">
        <x:v>NOT_REVEALING</x:v>
      </x:c>
      <x:c r="I759" s="25" t="str">
        <x:v>PASS</x:v>
      </x:c>
      <x:c r="J759" s="25" t="str">
        <x:v>PASS</x:v>
      </x:c>
      <x:c r="K759" s="25" t="n">
        <x:v>1</x:v>
      </x:c>
      <x:c r="L759" s="27" t="b">
        <x:v>0</x:v>
      </x:c>
      <x:c r="M759" s="25" t="str">
        <x:v>Gemini-3.8-flash/generation_state.json</x:v>
      </x:c>
      <x:c r="N759" s="25" t="str">
        <x:v>Gemini-3.8-flash/Result/Math_7/result.json</x:v>
      </x:c>
      <x:c r="O759" s="25" t="str">
        <x:v>Gemini-3.8-flash/Result/Math_7/result.json</x:v>
      </x:c>
      <x:c r="P759"/>
      <x:c r="Q759" s="21" t="str"/>
      <x:c r="R759" s="21" t="str"/>
      <x:c r="S759" s="21" t="str"/>
      <x:c r="T759" s="17" t="str">
        <x:v>false</x:v>
      </x:c>
      <x:c r="U759" s="17" t="str">
        <x:v>true</x:v>
      </x:c>
      <x:c r="V759" s="17" t="str">
        <x:v>false</x:v>
      </x:c>
    </x:row>
    <x:row r="760" ht="80" customHeight="1">
      <x:c r="A760" s="25" t="str">
        <x:v>Math</x:v>
      </x:c>
      <x:c r="B760" s="25" t="n">
        <x:v>70</x:v>
      </x:c>
      <x:c r="C760" s="25" t="str">
        <x:v>Round1</x:v>
      </x:c>
      <x:c r="D760" s="25" t="str">
        <x:v>NOT_AVAILABLE</x:v>
      </x:c>
      <x:c r="E760" s="25" t="str">
        <x:v>N/A</x:v>
      </x:c>
      <x:c r="F760" s="26" t="str">
        <x:v>Tests exist but current coverage did not complete</x:v>
      </x:c>
      <x:c r="G760" s="25" t="str">
        <x:v>true</x:v>
      </x:c>
      <x:c r="H760" s="25" t="str">
        <x:v>NOT_AVAILABLE</x:v>
      </x:c>
      <x:c r="I760" s="25" t="str">
        <x:v>NOT_RUN</x:v>
      </x:c>
      <x:c r="J760" s="25" t="str">
        <x:v>NOT_RUN</x:v>
      </x:c>
      <x:c r="K760" s="25" t="n">
        <x:v>1</x:v>
      </x:c>
      <x:c r="L760" s="27" t="b">
        <x:v>0</x:v>
      </x:c>
      <x:c r="M760" s="25" t="str">
        <x:v>Gemini-3.8-flash/generation_state.json</x:v>
      </x:c>
      <x:c r="N760" s="25" t="str">
        <x:v>Gemini-3.8-flash/Result/Math_70/result.json</x:v>
      </x:c>
      <x:c r="O760" s="25" t="str">
        <x:v>Gemini-3.8-flash/Result/Math_70/result.json</x:v>
      </x:c>
      <x:c r="P760" t="str">
        <x:v>BOTH_NOT_RUN</x:v>
      </x:c>
      <x:c r="Q760" s="21" t="str"/>
      <x:c r="R760" s="21" t="str"/>
      <x:c r="S760" s="21" t="str"/>
      <x:c r="T760" s="17" t="str">
        <x:v>false</x:v>
      </x:c>
      <x:c r="U760" s="17" t="str">
        <x:v>true</x:v>
      </x:c>
      <x:c r="V760" s="17" t="str">
        <x:v>false</x:v>
      </x:c>
    </x:row>
    <x:row r="761" ht="80" customHeight="1">
      <x:c r="A761" s="25" t="str">
        <x:v>Math</x:v>
      </x:c>
      <x:c r="B761" s="25" t="n">
        <x:v>71</x:v>
      </x:c>
      <x:c r="C761" s="25" t="str">
        <x:v>Round1</x:v>
      </x:c>
      <x:c r="D761" s="25" t="str">
        <x:v>NOT_REVEALING</x:v>
      </x:c>
      <x:c r="E761" s="25" t="str">
        <x:v>N/A</x:v>
      </x:c>
      <x:c r="F761" s="26" t="str">
        <x:v>Same saved validation suite passed on buggy and fixed</x:v>
      </x:c>
      <x:c r="G761" s="25" t="str">
        <x:v>true</x:v>
      </x:c>
      <x:c r="H761" s="25" t="str">
        <x:v>NOT_REVEALING</x:v>
      </x:c>
      <x:c r="I761" s="25" t="str">
        <x:v>PASS</x:v>
      </x:c>
      <x:c r="J761" s="25" t="str">
        <x:v>PASS</x:v>
      </x:c>
      <x:c r="K761" s="25" t="n">
        <x:v>2</x:v>
      </x:c>
      <x:c r="L761" s="27" t="b">
        <x:v>0</x:v>
      </x:c>
      <x:c r="M761" s="25" t="str">
        <x:v>Gemini-3.8-flash/generation_state.json</x:v>
      </x:c>
      <x:c r="N761" s="25" t="str">
        <x:v>Gemini-3.8-flash/Result/Math_71/result.json</x:v>
      </x:c>
      <x:c r="O761" s="25" t="str">
        <x:v>Gemini-3.8-flash/Result/Math_71/result.json</x:v>
      </x:c>
      <x:c r="P761"/>
      <x:c r="Q761" s="21" t="str"/>
      <x:c r="R761" s="21" t="str"/>
      <x:c r="S761" s="21" t="str"/>
      <x:c r="T761" s="17" t="str">
        <x:v>false</x:v>
      </x:c>
      <x:c r="U761" s="17" t="str">
        <x:v>true</x:v>
      </x:c>
      <x:c r="V761" s="17" t="str">
        <x:v>false</x:v>
      </x:c>
    </x:row>
    <x:row r="762" ht="80" customHeight="1">
      <x:c r="A762" s="25" t="str">
        <x:v>Math</x:v>
      </x:c>
      <x:c r="B762" s="25" t="n">
        <x:v>72</x:v>
      </x:c>
      <x:c r="C762" s="25" t="str">
        <x:v>Round1</x:v>
      </x:c>
      <x:c r="D762" s="25" t="str">
        <x:v>NOT_REVEALING</x:v>
      </x:c>
      <x:c r="E762" s="25" t="str">
        <x:v>N/A</x:v>
      </x:c>
      <x:c r="F762" s="26" t="str">
        <x:v>Same saved validation suite passed on buggy and fixed</x:v>
      </x:c>
      <x:c r="G762" s="25" t="str">
        <x:v>true</x:v>
      </x:c>
      <x:c r="H762" s="25" t="str">
        <x:v>NOT_REVEALING</x:v>
      </x:c>
      <x:c r="I762" s="25" t="str">
        <x:v>PASS</x:v>
      </x:c>
      <x:c r="J762" s="25" t="str">
        <x:v>PASS</x:v>
      </x:c>
      <x:c r="K762" s="25" t="n">
        <x:v>1</x:v>
      </x:c>
      <x:c r="L762" s="27" t="b">
        <x:v>0</x:v>
      </x:c>
      <x:c r="M762" s="25" t="str">
        <x:v>Gemini-3.8-flash/generation_state.json</x:v>
      </x:c>
      <x:c r="N762" s="25" t="str">
        <x:v>Gemini-3.8-flash/Result/Math_72/result.json</x:v>
      </x:c>
      <x:c r="O762" s="25" t="str">
        <x:v>Gemini-3.8-flash/Result/Math_72/result.json</x:v>
      </x:c>
      <x:c r="P762"/>
      <x:c r="Q762" s="21" t="str"/>
      <x:c r="R762" s="21" t="str"/>
      <x:c r="S762" s="21" t="str"/>
      <x:c r="T762" s="17" t="str">
        <x:v>false</x:v>
      </x:c>
      <x:c r="U762" s="17" t="str">
        <x:v>true</x:v>
      </x:c>
      <x:c r="V762" s="17" t="str">
        <x:v>false</x:v>
      </x:c>
    </x:row>
    <x:row r="763" ht="80" customHeight="1">
      <x:c r="A763" s="25" t="str">
        <x:v>Math</x:v>
      </x:c>
      <x:c r="B763" s="25" t="n">
        <x:v>73</x:v>
      </x:c>
      <x:c r="C763" s="25" t="str">
        <x:v>Round1</x:v>
      </x:c>
      <x:c r="D763" s="25" t="str">
        <x:v>NOT_REVEALING</x:v>
      </x:c>
      <x:c r="E763" s="25" t="str">
        <x:v>N/A</x:v>
      </x:c>
      <x:c r="F763" s="26" t="str">
        <x:v>Same saved validation suite passed on buggy and fixed</x:v>
      </x:c>
      <x:c r="G763" s="25" t="str">
        <x:v>true</x:v>
      </x:c>
      <x:c r="H763" s="25" t="str">
        <x:v>NOT_REVEALING</x:v>
      </x:c>
      <x:c r="I763" s="25" t="str">
        <x:v>PASS</x:v>
      </x:c>
      <x:c r="J763" s="25" t="str">
        <x:v>PASS</x:v>
      </x:c>
      <x:c r="K763" s="25" t="n">
        <x:v>1</x:v>
      </x:c>
      <x:c r="L763" s="27" t="b">
        <x:v>0</x:v>
      </x:c>
      <x:c r="M763" s="25" t="str">
        <x:v>Gemini-3.8-flash/generation_state.json</x:v>
      </x:c>
      <x:c r="N763" s="25" t="str">
        <x:v>Gemini-3.8-flash/Result/Math_73/result.json</x:v>
      </x:c>
      <x:c r="O763" s="25" t="str">
        <x:v>Gemini-3.8-flash/Result/Math_73/result.json</x:v>
      </x:c>
      <x:c r="P763"/>
      <x:c r="Q763" s="21" t="str"/>
      <x:c r="R763" s="21" t="str"/>
      <x:c r="S763" s="21" t="str"/>
      <x:c r="T763" s="17" t="str">
        <x:v>false</x:v>
      </x:c>
      <x:c r="U763" s="17" t="str">
        <x:v>true</x:v>
      </x:c>
      <x:c r="V763" s="17" t="str">
        <x:v>false</x:v>
      </x:c>
    </x:row>
    <x:row r="764" ht="80" customHeight="1">
      <x:c r="A764" s="25" t="str">
        <x:v>Math</x:v>
      </x:c>
      <x:c r="B764" s="25" t="n">
        <x:v>74</x:v>
      </x:c>
      <x:c r="C764" s="25" t="str">
        <x:v>Round1</x:v>
      </x:c>
      <x:c r="D764" s="25" t="str">
        <x:v>NOT_REVEALING</x:v>
      </x:c>
      <x:c r="E764" s="25" t="str">
        <x:v>N/A</x:v>
      </x:c>
      <x:c r="F764" s="26" t="str">
        <x:v>Same saved validation suite passed on buggy and fixed</x:v>
      </x:c>
      <x:c r="G764" s="25" t="str">
        <x:v>true</x:v>
      </x:c>
      <x:c r="H764" s="25" t="str">
        <x:v>NOT_REVEALING</x:v>
      </x:c>
      <x:c r="I764" s="25" t="str">
        <x:v>PASS</x:v>
      </x:c>
      <x:c r="J764" s="25" t="str">
        <x:v>PASS</x:v>
      </x:c>
      <x:c r="K764" s="25" t="n">
        <x:v>1</x:v>
      </x:c>
      <x:c r="L764" s="27" t="b">
        <x:v>0</x:v>
      </x:c>
      <x:c r="M764" s="25" t="str">
        <x:v>Gemini-3.8-flash/generation_state.json</x:v>
      </x:c>
      <x:c r="N764" s="25" t="str">
        <x:v>Gemini-3.8-flash/Result/Math_74/result.json</x:v>
      </x:c>
      <x:c r="O764" s="25" t="str">
        <x:v>Gemini-3.8-flash/Result/Math_74/result.json</x:v>
      </x:c>
      <x:c r="P764"/>
      <x:c r="Q764" s="21" t="str"/>
      <x:c r="R764" s="21" t="str"/>
      <x:c r="S764" s="21" t="str"/>
      <x:c r="T764" s="17" t="str">
        <x:v>false</x:v>
      </x:c>
      <x:c r="U764" s="17" t="str">
        <x:v>true</x:v>
      </x:c>
      <x:c r="V764" s="17" t="str">
        <x:v>false</x:v>
      </x:c>
    </x:row>
    <x:row r="765" ht="80" customHeight="1">
      <x:c r="A765" s="25" t="str">
        <x:v>Math</x:v>
      </x:c>
      <x:c r="B765" s="25" t="n">
        <x:v>75</x:v>
      </x:c>
      <x:c r="C765" s="25" t="str">
        <x:v>Round1</x:v>
      </x:c>
      <x:c r="D765" s="25" t="str">
        <x:v>NOT_REVEALING</x:v>
      </x:c>
      <x:c r="E765" s="25" t="str">
        <x:v>N/A</x:v>
      </x:c>
      <x:c r="F765" s="26" t="str">
        <x:v>Same saved validation suite passed on buggy and fixed</x:v>
      </x:c>
      <x:c r="G765" s="25" t="str">
        <x:v>true</x:v>
      </x:c>
      <x:c r="H765" s="25" t="str">
        <x:v>NOT_REVEALING</x:v>
      </x:c>
      <x:c r="I765" s="25" t="str">
        <x:v>PASS</x:v>
      </x:c>
      <x:c r="J765" s="25" t="str">
        <x:v>PASS</x:v>
      </x:c>
      <x:c r="K765" s="25" t="n">
        <x:v>1</x:v>
      </x:c>
      <x:c r="L765" s="27" t="b">
        <x:v>0</x:v>
      </x:c>
      <x:c r="M765" s="25" t="str">
        <x:v>Gemini-3.8-flash/generation_state.json</x:v>
      </x:c>
      <x:c r="N765" s="25" t="str">
        <x:v>Gemini-3.8-flash/Result/Math_75/result.json</x:v>
      </x:c>
      <x:c r="O765" s="25" t="str">
        <x:v>Gemini-3.8-flash/Result/Math_75/result.json</x:v>
      </x:c>
      <x:c r="P765"/>
      <x:c r="Q765" s="21" t="str"/>
      <x:c r="R765" s="21" t="str"/>
      <x:c r="S765" s="21" t="str"/>
      <x:c r="T765" s="17" t="str">
        <x:v>false</x:v>
      </x:c>
      <x:c r="U765" s="17" t="str">
        <x:v>true</x:v>
      </x:c>
      <x:c r="V765" s="17" t="str">
        <x:v>false</x:v>
      </x:c>
    </x:row>
    <x:row r="766" ht="80" customHeight="1">
      <x:c r="A766" s="25" t="str">
        <x:v>Math</x:v>
      </x:c>
      <x:c r="B766" s="25" t="n">
        <x:v>76</x:v>
      </x:c>
      <x:c r="C766" s="25" t="str">
        <x:v>Round1</x:v>
      </x:c>
      <x:c r="D766" s="25" t="str">
        <x:v>INCONCLUSIVE</x:v>
      </x:c>
      <x:c r="E766" s="25" t="str">
        <x:v>N/A</x:v>
      </x:c>
      <x:c r="F766" s="26" t="str">
        <x:v>Fixed also failed; assertion failure cannot be attributed to this bug</x:v>
      </x:c>
      <x:c r="G766" s="25" t="str">
        <x:v>true</x:v>
      </x:c>
      <x:c r="H766" s="25" t="str">
        <x:v>INCONCLUSIVE</x:v>
      </x:c>
      <x:c r="I766" s="25" t="str">
        <x:v>FAIL</x:v>
      </x:c>
      <x:c r="J766" s="25" t="str">
        <x:v>FAIL</x:v>
      </x:c>
      <x:c r="K766" s="25" t="n">
        <x:v>1</x:v>
      </x:c>
      <x:c r="L766" s="27" t="b">
        <x:v>0</x:v>
      </x:c>
      <x:c r="M766" s="25" t="str">
        <x:v>Gemini-3.8-flash/generation_state.json</x:v>
      </x:c>
      <x:c r="N766" s="25" t="str">
        <x:v>Gemini-3.8-flash/Result/Math_76/result.json</x:v>
      </x:c>
      <x:c r="O766" s="25" t="str">
        <x:v>Gemini-3.8-flash/Result/Math_76/result.json</x:v>
      </x:c>
      <x:c r="P766"/>
      <x:c r="Q766" s="21" t="str"/>
      <x:c r="R766" s="21" t="str"/>
      <x:c r="S766" s="21" t="str"/>
      <x:c r="T766" s="17" t="str">
        <x:v>false</x:v>
      </x:c>
      <x:c r="U766" s="17" t="str">
        <x:v>true</x:v>
      </x:c>
      <x:c r="V766" s="17" t="str">
        <x:v>false</x:v>
      </x:c>
    </x:row>
    <x:row r="767" ht="80" customHeight="1">
      <x:c r="A767" s="25" t="str">
        <x:v>Math</x:v>
      </x:c>
      <x:c r="B767" s="25" t="n">
        <x:v>77</x:v>
      </x:c>
      <x:c r="C767" s="25" t="str">
        <x:v>Round1</x:v>
      </x:c>
      <x:c r="D767" s="25" t="str">
        <x:v>NOT_REVEALING</x:v>
      </x:c>
      <x:c r="E767" s="25" t="str">
        <x:v>N/A</x:v>
      </x:c>
      <x:c r="F767" s="26" t="str">
        <x:v>Same saved validation suite passed on buggy and fixed</x:v>
      </x:c>
      <x:c r="G767" s="25" t="str">
        <x:v>true</x:v>
      </x:c>
      <x:c r="H767" s="25" t="str">
        <x:v>NOT_REVEALING</x:v>
      </x:c>
      <x:c r="I767" s="25" t="str">
        <x:v>PASS</x:v>
      </x:c>
      <x:c r="J767" s="25" t="str">
        <x:v>PASS</x:v>
      </x:c>
      <x:c r="K767" s="25" t="n">
        <x:v>2</x:v>
      </x:c>
      <x:c r="L767" s="27" t="b">
        <x:v>0</x:v>
      </x:c>
      <x:c r="M767" s="25" t="str">
        <x:v>Gemini-3.8-flash/generation_state.json</x:v>
      </x:c>
      <x:c r="N767" s="25" t="str">
        <x:v>Gemini-3.8-flash/Result/Math_77/result.json</x:v>
      </x:c>
      <x:c r="O767" s="25" t="str">
        <x:v>Gemini-3.8-flash/Result/Math_77/result.json</x:v>
      </x:c>
      <x:c r="P767"/>
      <x:c r="Q767" s="21" t="str"/>
      <x:c r="R767" s="21" t="str"/>
      <x:c r="S767" s="21" t="str"/>
      <x:c r="T767" s="17" t="str">
        <x:v>false</x:v>
      </x:c>
      <x:c r="U767" s="17" t="str">
        <x:v>true</x:v>
      </x:c>
      <x:c r="V767" s="17" t="str">
        <x:v>false</x:v>
      </x:c>
    </x:row>
    <x:row r="768" ht="80" customHeight="1">
      <x:c r="A768" s="25" t="str">
        <x:v>Math</x:v>
      </x:c>
      <x:c r="B768" s="25" t="n">
        <x:v>78</x:v>
      </x:c>
      <x:c r="C768" s="25" t="str">
        <x:v>Round1</x:v>
      </x:c>
      <x:c r="D768" s="25" t="str">
        <x:v>INCONCLUSIVE</x:v>
      </x:c>
      <x:c r="E768" s="25" t="str">
        <x:v>N/A</x:v>
      </x:c>
      <x:c r="F768" s="26" t="str">
        <x:v>Fixed also failed; assertion failure cannot be attributed to this bug</x:v>
      </x:c>
      <x:c r="G768" s="25" t="str">
        <x:v>true</x:v>
      </x:c>
      <x:c r="H768" s="25" t="str">
        <x:v>INCONCLUSIVE</x:v>
      </x:c>
      <x:c r="I768" s="25" t="str">
        <x:v>FAIL</x:v>
      </x:c>
      <x:c r="J768" s="25" t="str">
        <x:v>FAIL</x:v>
      </x:c>
      <x:c r="K768" s="25" t="n">
        <x:v>1</x:v>
      </x:c>
      <x:c r="L768" s="27" t="b">
        <x:v>0</x:v>
      </x:c>
      <x:c r="M768" s="25" t="str">
        <x:v>Gemini-3.8-flash/generation_state.json</x:v>
      </x:c>
      <x:c r="N768" s="25" t="str">
        <x:v>Gemini-3.8-flash/Result/Math_78/result.json</x:v>
      </x:c>
      <x:c r="O768" s="25" t="str">
        <x:v>Gemini-3.8-flash/Result/Math_78/result.json</x:v>
      </x:c>
      <x:c r="P768"/>
      <x:c r="Q768" s="21" t="str"/>
      <x:c r="R768" s="21" t="str"/>
      <x:c r="S768" s="21" t="str"/>
      <x:c r="T768" s="17" t="str">
        <x:v>false</x:v>
      </x:c>
      <x:c r="U768" s="17" t="str">
        <x:v>true</x:v>
      </x:c>
      <x:c r="V768" s="17" t="str">
        <x:v>false</x:v>
      </x:c>
    </x:row>
    <x:row r="769" ht="80" customHeight="1">
      <x:c r="A769" s="25" t="str">
        <x:v>Math</x:v>
      </x:c>
      <x:c r="B769" s="25" t="n">
        <x:v>79</x:v>
      </x:c>
      <x:c r="C769" s="25" t="str">
        <x:v>Round1</x:v>
      </x:c>
      <x:c r="D769" s="25" t="str">
        <x:v>NOT_REVEALING</x:v>
      </x:c>
      <x:c r="E769" s="25" t="str">
        <x:v>N/A</x:v>
      </x:c>
      <x:c r="F769" s="26" t="str">
        <x:v>Same saved validation suite passed on buggy and fixed</x:v>
      </x:c>
      <x:c r="G769" s="25" t="str">
        <x:v>true</x:v>
      </x:c>
      <x:c r="H769" s="25" t="str">
        <x:v>NOT_REVEALING</x:v>
      </x:c>
      <x:c r="I769" s="25" t="str">
        <x:v>PASS</x:v>
      </x:c>
      <x:c r="J769" s="25" t="str">
        <x:v>PASS</x:v>
      </x:c>
      <x:c r="K769" s="25" t="n">
        <x:v>1</x:v>
      </x:c>
      <x:c r="L769" s="27" t="b">
        <x:v>0</x:v>
      </x:c>
      <x:c r="M769" s="25" t="str">
        <x:v>Gemini-3.8-flash/generation_state.json</x:v>
      </x:c>
      <x:c r="N769" s="25" t="str">
        <x:v>Gemini-3.8-flash/Result/Math_79/result.json</x:v>
      </x:c>
      <x:c r="O769" s="25" t="str">
        <x:v>Gemini-3.8-flash/Result/Math_79/result.json</x:v>
      </x:c>
      <x:c r="P769"/>
      <x:c r="Q769" s="21" t="str"/>
      <x:c r="R769" s="21" t="str"/>
      <x:c r="S769" s="21" t="str"/>
      <x:c r="T769" s="17" t="str">
        <x:v>false</x:v>
      </x:c>
      <x:c r="U769" s="17" t="str">
        <x:v>true</x:v>
      </x:c>
      <x:c r="V769" s="17" t="str">
        <x:v>false</x:v>
      </x:c>
    </x:row>
    <x:row r="770" ht="80" customHeight="1">
      <x:c r="A770" s="25" t="str">
        <x:v>Math</x:v>
      </x:c>
      <x:c r="B770" s="25" t="n">
        <x:v>8</x:v>
      </x:c>
      <x:c r="C770" s="25" t="str">
        <x:v>Round1</x:v>
      </x:c>
      <x:c r="D770" s="25" t="str">
        <x:v>NOT_REVEALING</x:v>
      </x:c>
      <x:c r="E770" s="25" t="str">
        <x:v>N/A</x:v>
      </x:c>
      <x:c r="F770" s="26" t="str">
        <x:v>Same saved validation suite passed on buggy and fixed</x:v>
      </x:c>
      <x:c r="G770" s="25" t="str">
        <x:v>true</x:v>
      </x:c>
      <x:c r="H770" s="25" t="str">
        <x:v>NOT_REVEALING</x:v>
      </x:c>
      <x:c r="I770" s="25" t="str">
        <x:v>PASS</x:v>
      </x:c>
      <x:c r="J770" s="25" t="str">
        <x:v>PASS</x:v>
      </x:c>
      <x:c r="K770" s="25" t="n">
        <x:v>1</x:v>
      </x:c>
      <x:c r="L770" s="27" t="b">
        <x:v>0</x:v>
      </x:c>
      <x:c r="M770" s="25" t="str">
        <x:v>Gemini-3.8-flash/generation_state.json</x:v>
      </x:c>
      <x:c r="N770" s="25" t="str">
        <x:v>Gemini-3.8-flash/Result/Math_8/result.json</x:v>
      </x:c>
      <x:c r="O770" s="25" t="str">
        <x:v>Gemini-3.8-flash/Result/Math_8/result.json</x:v>
      </x:c>
      <x:c r="P770"/>
      <x:c r="Q770" s="21" t="str"/>
      <x:c r="R770" s="21" t="str"/>
      <x:c r="S770" s="21" t="str"/>
      <x:c r="T770" s="17" t="str">
        <x:v>false</x:v>
      </x:c>
      <x:c r="U770" s="17" t="str">
        <x:v>true</x:v>
      </x:c>
      <x:c r="V770" s="17" t="str">
        <x:v>false</x:v>
      </x:c>
    </x:row>
    <x:row r="771" ht="80" customHeight="1">
      <x:c r="A771" s="25" t="str">
        <x:v>Math</x:v>
      </x:c>
      <x:c r="B771" s="25" t="n">
        <x:v>80</x:v>
      </x:c>
      <x:c r="C771" s="25" t="str">
        <x:v>Round1</x:v>
      </x:c>
      <x:c r="D771" s="25" t="str">
        <x:v>INCONCLUSIVE</x:v>
      </x:c>
      <x:c r="E771" s="25" t="str">
        <x:v>N/A</x:v>
      </x:c>
      <x:c r="F771" s="26" t="str">
        <x:v>Fixed also failed; assertion failure cannot be attributed to this bug</x:v>
      </x:c>
      <x:c r="G771" s="25" t="str">
        <x:v>true</x:v>
      </x:c>
      <x:c r="H771" s="25" t="str">
        <x:v>INCONCLUSIVE</x:v>
      </x:c>
      <x:c r="I771" s="25" t="str">
        <x:v>FAIL</x:v>
      </x:c>
      <x:c r="J771" s="25" t="str">
        <x:v>FAIL</x:v>
      </x:c>
      <x:c r="K771" s="25" t="n">
        <x:v>1</x:v>
      </x:c>
      <x:c r="L771" s="27" t="b">
        <x:v>0</x:v>
      </x:c>
      <x:c r="M771" s="25" t="str">
        <x:v>Gemini-3.8-flash/generation_state.json</x:v>
      </x:c>
      <x:c r="N771" s="25" t="str">
        <x:v>Gemini-3.8-flash/Result/Math_80/result.json</x:v>
      </x:c>
      <x:c r="O771" s="25" t="str">
        <x:v>Gemini-3.8-flash/Result/Math_80/result.json</x:v>
      </x:c>
      <x:c r="P771"/>
      <x:c r="Q771" s="21" t="str"/>
      <x:c r="R771" s="21" t="str"/>
      <x:c r="S771" s="21" t="str"/>
      <x:c r="T771" s="17" t="str">
        <x:v>false</x:v>
      </x:c>
      <x:c r="U771" s="17" t="str">
        <x:v>true</x:v>
      </x:c>
      <x:c r="V771" s="17" t="str">
        <x:v>false</x:v>
      </x:c>
    </x:row>
    <x:row r="772" ht="80" customHeight="1">
      <x:c r="A772" s="25" t="str">
        <x:v>Math</x:v>
      </x:c>
      <x:c r="B772" s="25" t="n">
        <x:v>81</x:v>
      </x:c>
      <x:c r="C772" s="25" t="str">
        <x:v>Round1</x:v>
      </x:c>
      <x:c r="D772" s="25" t="str">
        <x:v>INCONCLUSIVE</x:v>
      </x:c>
      <x:c r="E772" s="25" t="str">
        <x:v>N/A</x:v>
      </x:c>
      <x:c r="F772" s="26" t="str">
        <x:v>Fixed also failed; assertion failure cannot be attributed to this bug</x:v>
      </x:c>
      <x:c r="G772" s="25" t="str">
        <x:v>true</x:v>
      </x:c>
      <x:c r="H772" s="25" t="str">
        <x:v>INCONCLUSIVE</x:v>
      </x:c>
      <x:c r="I772" s="25" t="str">
        <x:v>FAIL</x:v>
      </x:c>
      <x:c r="J772" s="25" t="str">
        <x:v>FAIL</x:v>
      </x:c>
      <x:c r="K772" s="25" t="n">
        <x:v>1</x:v>
      </x:c>
      <x:c r="L772" s="27" t="b">
        <x:v>0</x:v>
      </x:c>
      <x:c r="M772" s="25" t="str">
        <x:v>Gemini-3.8-flash/generation_state.json</x:v>
      </x:c>
      <x:c r="N772" s="25" t="str">
        <x:v>Gemini-3.8-flash/Result/Math_81/result.json</x:v>
      </x:c>
      <x:c r="O772" s="25" t="str">
        <x:v>Gemini-3.8-flash/Result/Math_81/result.json</x:v>
      </x:c>
      <x:c r="P772"/>
      <x:c r="Q772" s="21" t="str"/>
      <x:c r="R772" s="21" t="str"/>
      <x:c r="S772" s="21" t="str"/>
      <x:c r="T772" s="17" t="str">
        <x:v>false</x:v>
      </x:c>
      <x:c r="U772" s="17" t="str">
        <x:v>true</x:v>
      </x:c>
      <x:c r="V772" s="17" t="str">
        <x:v>false</x:v>
      </x:c>
    </x:row>
    <x:row r="773" ht="80" customHeight="1">
      <x:c r="A773" s="25" t="str">
        <x:v>Math</x:v>
      </x:c>
      <x:c r="B773" s="25" t="n">
        <x:v>82</x:v>
      </x:c>
      <x:c r="C773" s="25" t="str">
        <x:v>Round1</x:v>
      </x:c>
      <x:c r="D773" s="25" t="str">
        <x:v>NOT_REVEALING</x:v>
      </x:c>
      <x:c r="E773" s="25" t="str">
        <x:v>N/A</x:v>
      </x:c>
      <x:c r="F773" s="26" t="str">
        <x:v>Same saved validation suite passed on buggy and fixed</x:v>
      </x:c>
      <x:c r="G773" s="25" t="str">
        <x:v>true</x:v>
      </x:c>
      <x:c r="H773" s="25" t="str">
        <x:v>NOT_REVEALING</x:v>
      </x:c>
      <x:c r="I773" s="25" t="str">
        <x:v>PASS</x:v>
      </x:c>
      <x:c r="J773" s="25" t="str">
        <x:v>PASS</x:v>
      </x:c>
      <x:c r="K773" s="25" t="n">
        <x:v>1</x:v>
      </x:c>
      <x:c r="L773" s="27" t="b">
        <x:v>0</x:v>
      </x:c>
      <x:c r="M773" s="25" t="str">
        <x:v>Gemini-3.8-flash/generation_state.json</x:v>
      </x:c>
      <x:c r="N773" s="25" t="str">
        <x:v>Gemini-3.8-flash/Result/Math_82/result.json</x:v>
      </x:c>
      <x:c r="O773" s="25" t="str">
        <x:v>Gemini-3.8-flash/Result/Math_82/result.json</x:v>
      </x:c>
      <x:c r="P773"/>
      <x:c r="Q773" s="21" t="str"/>
      <x:c r="R773" s="21" t="str"/>
      <x:c r="S773" s="21" t="str"/>
      <x:c r="T773" s="17" t="str">
        <x:v>false</x:v>
      </x:c>
      <x:c r="U773" s="17" t="str">
        <x:v>true</x:v>
      </x:c>
      <x:c r="V773" s="17" t="str">
        <x:v>false</x:v>
      </x:c>
    </x:row>
    <x:row r="774" ht="80" customHeight="1">
      <x:c r="A774" s="25" t="str">
        <x:v>Math</x:v>
      </x:c>
      <x:c r="B774" s="25" t="n">
        <x:v>83</x:v>
      </x:c>
      <x:c r="C774" s="25" t="str">
        <x:v>Round1</x:v>
      </x:c>
      <x:c r="D774" s="25" t="str">
        <x:v>NOT_REVEALING</x:v>
      </x:c>
      <x:c r="E774" s="25" t="str">
        <x:v>N/A</x:v>
      </x:c>
      <x:c r="F774" s="26" t="str">
        <x:v>Same saved validation suite passed on buggy and fixed</x:v>
      </x:c>
      <x:c r="G774" s="25" t="str">
        <x:v>true</x:v>
      </x:c>
      <x:c r="H774" s="25" t="str">
        <x:v>NOT_REVEALING</x:v>
      </x:c>
      <x:c r="I774" s="25" t="str">
        <x:v>PASS</x:v>
      </x:c>
      <x:c r="J774" s="25" t="str">
        <x:v>PASS</x:v>
      </x:c>
      <x:c r="K774" s="25" t="n">
        <x:v>1</x:v>
      </x:c>
      <x:c r="L774" s="27" t="b">
        <x:v>0</x:v>
      </x:c>
      <x:c r="M774" s="25" t="str">
        <x:v>Gemini-3.8-flash/generation_state.json</x:v>
      </x:c>
      <x:c r="N774" s="25" t="str">
        <x:v>Gemini-3.8-flash/Result/Math_83/result.json</x:v>
      </x:c>
      <x:c r="O774" s="25" t="str">
        <x:v>Gemini-3.8-flash/Result/Math_83/result.json</x:v>
      </x:c>
      <x:c r="P774"/>
      <x:c r="Q774" s="21" t="str"/>
      <x:c r="R774" s="21" t="str"/>
      <x:c r="S774" s="21" t="str"/>
      <x:c r="T774" s="17" t="str">
        <x:v>false</x:v>
      </x:c>
      <x:c r="U774" s="17" t="str">
        <x:v>true</x:v>
      </x:c>
      <x:c r="V774" s="17" t="str">
        <x:v>false</x:v>
      </x:c>
    </x:row>
    <x:row r="775" ht="80" customHeight="1">
      <x:c r="A775" s="25" t="str">
        <x:v>Math</x:v>
      </x:c>
      <x:c r="B775" s="25" t="n">
        <x:v>84</x:v>
      </x:c>
      <x:c r="C775" s="25" t="str">
        <x:v>Round1</x:v>
      </x:c>
      <x:c r="D775" s="25" t="str">
        <x:v>NOT_AVAILABLE</x:v>
      </x:c>
      <x:c r="E775" s="25" t="str">
        <x:v>N/A</x:v>
      </x:c>
      <x:c r="F775" s="26" t="str">
        <x:v>Tests exist but current coverage did not complete</x:v>
      </x:c>
      <x:c r="G775" s="25" t="str">
        <x:v>true</x:v>
      </x:c>
      <x:c r="H775" s="25" t="str">
        <x:v>NOT_AVAILABLE</x:v>
      </x:c>
      <x:c r="I775" s="25" t="str">
        <x:v>NOT_RUN</x:v>
      </x:c>
      <x:c r="J775" s="25" t="str">
        <x:v>FAIL</x:v>
      </x:c>
      <x:c r="K775" s="25" t="n">
        <x:v>1</x:v>
      </x:c>
      <x:c r="L775" s="27" t="b">
        <x:v>0</x:v>
      </x:c>
      <x:c r="M775" s="25" t="str">
        <x:v>Gemini-3.8-flash/generation_state.json</x:v>
      </x:c>
      <x:c r="N775" s="25" t="str">
        <x:v>Gemini-3.8-flash/Result/Math_84/result.json</x:v>
      </x:c>
      <x:c r="O775" s="25" t="str">
        <x:v>Gemini-3.8-flash/Result/Math_84/result.json</x:v>
      </x:c>
      <x:c r="P775" t="str">
        <x:v>BUGGY_NOT_RUN</x:v>
      </x:c>
      <x:c r="Q775" s="21" t="str"/>
      <x:c r="R775" s="21" t="str"/>
      <x:c r="S775" s="21" t="str"/>
      <x:c r="T775" s="17" t="str">
        <x:v>false</x:v>
      </x:c>
      <x:c r="U775" s="17" t="str">
        <x:v>true</x:v>
      </x:c>
      <x:c r="V775" s="17" t="str">
        <x:v>false</x:v>
      </x:c>
    </x:row>
    <x:row r="776" ht="80" customHeight="1">
      <x:c r="A776" s="25" t="str">
        <x:v>Math</x:v>
      </x:c>
      <x:c r="B776" s="25" t="n">
        <x:v>85</x:v>
      </x:c>
      <x:c r="C776" s="25" t="str">
        <x:v>Round1</x:v>
      </x:c>
      <x:c r="D776" s="25" t="str">
        <x:v>NOT_REVEALING</x:v>
      </x:c>
      <x:c r="E776" s="25" t="str">
        <x:v>N/A</x:v>
      </x:c>
      <x:c r="F776" s="26" t="str">
        <x:v>Same saved validation suite passed on buggy and fixed</x:v>
      </x:c>
      <x:c r="G776" s="25" t="str">
        <x:v>true</x:v>
      </x:c>
      <x:c r="H776" s="25" t="str">
        <x:v>NOT_REVEALING</x:v>
      </x:c>
      <x:c r="I776" s="25" t="str">
        <x:v>PASS</x:v>
      </x:c>
      <x:c r="J776" s="25" t="str">
        <x:v>PASS</x:v>
      </x:c>
      <x:c r="K776" s="25" t="n">
        <x:v>1</x:v>
      </x:c>
      <x:c r="L776" s="27" t="b">
        <x:v>0</x:v>
      </x:c>
      <x:c r="M776" s="25" t="str">
        <x:v>Gemini-3.8-flash/generation_state.json</x:v>
      </x:c>
      <x:c r="N776" s="25" t="str">
        <x:v>Gemini-3.8-flash/Result/Math_85/result.json</x:v>
      </x:c>
      <x:c r="O776" s="25" t="str">
        <x:v>Gemini-3.8-flash/Result/Math_85/result.json</x:v>
      </x:c>
      <x:c r="P776"/>
      <x:c r="Q776" s="21" t="str"/>
      <x:c r="R776" s="21" t="str"/>
      <x:c r="S776" s="21" t="str"/>
      <x:c r="T776" s="17" t="str">
        <x:v>false</x:v>
      </x:c>
      <x:c r="U776" s="17" t="str">
        <x:v>true</x:v>
      </x:c>
      <x:c r="V776" s="17" t="str">
        <x:v>false</x:v>
      </x:c>
    </x:row>
    <x:row r="777" ht="80" customHeight="1">
      <x:c r="A777" s="25" t="str">
        <x:v>Math</x:v>
      </x:c>
      <x:c r="B777" s="25" t="n">
        <x:v>86</x:v>
      </x:c>
      <x:c r="C777" s="25" t="str">
        <x:v>Round1</x:v>
      </x:c>
      <x:c r="D777" s="25" t="str">
        <x:v>INCONCLUSIVE</x:v>
      </x:c>
      <x:c r="E777" s="25" t="str">
        <x:v>N/A</x:v>
      </x:c>
      <x:c r="F777" s="26" t="str">
        <x:v>Fixed also failed; assertion failure cannot be attributed to this bug</x:v>
      </x:c>
      <x:c r="G777" s="25" t="str">
        <x:v>true</x:v>
      </x:c>
      <x:c r="H777" s="25" t="str">
        <x:v>INCONCLUSIVE</x:v>
      </x:c>
      <x:c r="I777" s="25" t="str">
        <x:v>FAIL</x:v>
      </x:c>
      <x:c r="J777" s="25" t="str">
        <x:v>FAIL</x:v>
      </x:c>
      <x:c r="K777" s="25" t="n">
        <x:v>1</x:v>
      </x:c>
      <x:c r="L777" s="27" t="b">
        <x:v>0</x:v>
      </x:c>
      <x:c r="M777" s="25" t="str">
        <x:v>Gemini-3.8-flash/generation_state.json</x:v>
      </x:c>
      <x:c r="N777" s="25" t="str">
        <x:v>Gemini-3.8-flash/Result/Math_86/result.json</x:v>
      </x:c>
      <x:c r="O777" s="25" t="str">
        <x:v>Gemini-3.8-flash/Result/Math_86/result.json</x:v>
      </x:c>
      <x:c r="P777"/>
      <x:c r="Q777" s="21" t="str"/>
      <x:c r="R777" s="21" t="str"/>
      <x:c r="S777" s="21" t="str"/>
      <x:c r="T777" s="17" t="str">
        <x:v>false</x:v>
      </x:c>
      <x:c r="U777" s="17" t="str">
        <x:v>true</x:v>
      </x:c>
      <x:c r="V777" s="17" t="str">
        <x:v>false</x:v>
      </x:c>
    </x:row>
    <x:row r="778" ht="80" customHeight="1">
      <x:c r="A778" s="25" t="str">
        <x:v>Math</x:v>
      </x:c>
      <x:c r="B778" s="25" t="n">
        <x:v>87</x:v>
      </x:c>
      <x:c r="C778" s="25" t="str">
        <x:v>Round1</x:v>
      </x:c>
      <x:c r="D778" s="25" t="str">
        <x:v>NOT_REVEALING</x:v>
      </x:c>
      <x:c r="E778" s="25" t="str">
        <x:v>N/A</x:v>
      </x:c>
      <x:c r="F778" s="26" t="str">
        <x:v>Same saved validation suite passed on buggy and fixed</x:v>
      </x:c>
      <x:c r="G778" s="25" t="str">
        <x:v>true</x:v>
      </x:c>
      <x:c r="H778" s="25" t="str">
        <x:v>NOT_REVEALING</x:v>
      </x:c>
      <x:c r="I778" s="25" t="str">
        <x:v>PASS</x:v>
      </x:c>
      <x:c r="J778" s="25" t="str">
        <x:v>PASS</x:v>
      </x:c>
      <x:c r="K778" s="25" t="n">
        <x:v>1</x:v>
      </x:c>
      <x:c r="L778" s="27" t="b">
        <x:v>0</x:v>
      </x:c>
      <x:c r="M778" s="25" t="str">
        <x:v>Gemini-3.8-flash/generation_state.json</x:v>
      </x:c>
      <x:c r="N778" s="25" t="str">
        <x:v>Gemini-3.8-flash/Result/Math_87/result.json</x:v>
      </x:c>
      <x:c r="O778" s="25" t="str">
        <x:v>Gemini-3.8-flash/Result/Math_87/result.json</x:v>
      </x:c>
      <x:c r="P778"/>
      <x:c r="Q778" s="21" t="str"/>
      <x:c r="R778" s="21" t="str"/>
      <x:c r="S778" s="21" t="str"/>
      <x:c r="T778" s="17" t="str">
        <x:v>false</x:v>
      </x:c>
      <x:c r="U778" s="17" t="str">
        <x:v>true</x:v>
      </x:c>
      <x:c r="V778" s="17" t="str">
        <x:v>false</x:v>
      </x:c>
    </x:row>
    <x:row r="779" ht="80" customHeight="1">
      <x:c r="A779" s="25" t="str">
        <x:v>Math</x:v>
      </x:c>
      <x:c r="B779" s="25" t="n">
        <x:v>88</x:v>
      </x:c>
      <x:c r="C779" s="25" t="str">
        <x:v>Round1</x:v>
      </x:c>
      <x:c r="D779" s="25" t="str">
        <x:v>NOT_REVEALING</x:v>
      </x:c>
      <x:c r="E779" s="25" t="str">
        <x:v>N/A</x:v>
      </x:c>
      <x:c r="F779" s="26" t="str">
        <x:v>Same saved validation suite passed on buggy and fixed</x:v>
      </x:c>
      <x:c r="G779" s="25" t="str">
        <x:v>true</x:v>
      </x:c>
      <x:c r="H779" s="25" t="str">
        <x:v>NOT_REVEALING</x:v>
      </x:c>
      <x:c r="I779" s="25" t="str">
        <x:v>PASS</x:v>
      </x:c>
      <x:c r="J779" s="25" t="str">
        <x:v>PASS</x:v>
      </x:c>
      <x:c r="K779" s="25" t="n">
        <x:v>1</x:v>
      </x:c>
      <x:c r="L779" s="27" t="b">
        <x:v>0</x:v>
      </x:c>
      <x:c r="M779" s="25" t="str">
        <x:v>Gemini-3.8-flash/generation_state.json</x:v>
      </x:c>
      <x:c r="N779" s="25" t="str">
        <x:v>Gemini-3.8-flash/Result/Math_88/result.json</x:v>
      </x:c>
      <x:c r="O779" s="25" t="str">
        <x:v>Gemini-3.8-flash/Result/Math_88/result.json</x:v>
      </x:c>
      <x:c r="P779"/>
      <x:c r="Q779" s="21" t="str"/>
      <x:c r="R779" s="21" t="str"/>
      <x:c r="S779" s="21" t="str"/>
      <x:c r="T779" s="17" t="str">
        <x:v>false</x:v>
      </x:c>
      <x:c r="U779" s="17" t="str">
        <x:v>true</x:v>
      </x:c>
      <x:c r="V779" s="17" t="str">
        <x:v>false</x:v>
      </x:c>
    </x:row>
    <x:row r="780" ht="80" customHeight="1">
      <x:c r="A780" s="25" t="str">
        <x:v>Math</x:v>
      </x:c>
      <x:c r="B780" s="25" t="n">
        <x:v>89</x:v>
      </x:c>
      <x:c r="C780" s="25" t="str">
        <x:v>Round1</x:v>
      </x:c>
      <x:c r="D780" s="25" t="str">
        <x:v>NOT_REVEALING</x:v>
      </x:c>
      <x:c r="E780" s="25" t="str">
        <x:v>N/A</x:v>
      </x:c>
      <x:c r="F780" s="26" t="str">
        <x:v>Same saved validation suite passed on buggy and fixed</x:v>
      </x:c>
      <x:c r="G780" s="25" t="str">
        <x:v>true</x:v>
      </x:c>
      <x:c r="H780" s="25" t="str">
        <x:v>NOT_REVEALING</x:v>
      </x:c>
      <x:c r="I780" s="25" t="str">
        <x:v>PASS</x:v>
      </x:c>
      <x:c r="J780" s="25" t="str">
        <x:v>PASS</x:v>
      </x:c>
      <x:c r="K780" s="25" t="n">
        <x:v>1</x:v>
      </x:c>
      <x:c r="L780" s="27" t="b">
        <x:v>0</x:v>
      </x:c>
      <x:c r="M780" s="25" t="str">
        <x:v>Gemini-3.8-flash/generation_state.json</x:v>
      </x:c>
      <x:c r="N780" s="25" t="str">
        <x:v>Gemini-3.8-flash/Result/Math_89/result.json</x:v>
      </x:c>
      <x:c r="O780" s="25" t="str">
        <x:v>Gemini-3.8-flash/Result/Math_89/result.json</x:v>
      </x:c>
      <x:c r="P780"/>
      <x:c r="Q780" s="21" t="str"/>
      <x:c r="R780" s="21" t="str"/>
      <x:c r="S780" s="21" t="str"/>
      <x:c r="T780" s="17" t="str">
        <x:v>false</x:v>
      </x:c>
      <x:c r="U780" s="17" t="str">
        <x:v>true</x:v>
      </x:c>
      <x:c r="V780" s="17" t="str">
        <x:v>false</x:v>
      </x:c>
    </x:row>
    <x:row r="781" ht="80" customHeight="1">
      <x:c r="A781" s="25" t="str">
        <x:v>Math</x:v>
      </x:c>
      <x:c r="B781" s="25" t="n">
        <x:v>9</x:v>
      </x:c>
      <x:c r="C781" s="25" t="str">
        <x:v>Round1</x:v>
      </x:c>
      <x:c r="D781" s="25" t="str">
        <x:v>NOT_REVEALING</x:v>
      </x:c>
      <x:c r="E781" s="25" t="str">
        <x:v>N/A</x:v>
      </x:c>
      <x:c r="F781" s="26" t="str">
        <x:v>Same saved validation suite passed on buggy and fixed</x:v>
      </x:c>
      <x:c r="G781" s="25" t="str">
        <x:v>true</x:v>
      </x:c>
      <x:c r="H781" s="25" t="str">
        <x:v>NOT_REVEALING</x:v>
      </x:c>
      <x:c r="I781" s="25" t="str">
        <x:v>PASS</x:v>
      </x:c>
      <x:c r="J781" s="25" t="str">
        <x:v>PASS</x:v>
      </x:c>
      <x:c r="K781" s="25" t="n">
        <x:v>1</x:v>
      </x:c>
      <x:c r="L781" s="27" t="b">
        <x:v>0</x:v>
      </x:c>
      <x:c r="M781" s="25" t="str">
        <x:v>Gemini-3.8-flash/generation_state.json</x:v>
      </x:c>
      <x:c r="N781" s="25" t="str">
        <x:v>Gemini-3.8-flash/Result/Math_9/result.json</x:v>
      </x:c>
      <x:c r="O781" s="25" t="str">
        <x:v>Gemini-3.8-flash/Result/Math_9/result.json</x:v>
      </x:c>
      <x:c r="P781"/>
      <x:c r="Q781" s="21" t="str"/>
      <x:c r="R781" s="21" t="str"/>
      <x:c r="S781" s="21" t="str"/>
      <x:c r="T781" s="17" t="str">
        <x:v>false</x:v>
      </x:c>
      <x:c r="U781" s="17" t="str">
        <x:v>true</x:v>
      </x:c>
      <x:c r="V781" s="17" t="str">
        <x:v>false</x:v>
      </x:c>
    </x:row>
    <x:row r="782" ht="80" customHeight="1">
      <x:c r="A782" s="25" t="str">
        <x:v>Math</x:v>
      </x:c>
      <x:c r="B782" s="25" t="n">
        <x:v>90</x:v>
      </x:c>
      <x:c r="C782" s="25" t="str">
        <x:v>Round1</x:v>
      </x:c>
      <x:c r="D782" s="25" t="str">
        <x:v>NOT_REVEALING</x:v>
      </x:c>
      <x:c r="E782" s="25" t="str">
        <x:v>N/A</x:v>
      </x:c>
      <x:c r="F782" s="26" t="str">
        <x:v>Same saved validation suite passed on buggy and fixed</x:v>
      </x:c>
      <x:c r="G782" s="25" t="str">
        <x:v>true</x:v>
      </x:c>
      <x:c r="H782" s="25" t="str">
        <x:v>NOT_REVEALING</x:v>
      </x:c>
      <x:c r="I782" s="25" t="str">
        <x:v>PASS</x:v>
      </x:c>
      <x:c r="J782" s="25" t="str">
        <x:v>PASS</x:v>
      </x:c>
      <x:c r="K782" s="25" t="n">
        <x:v>1</x:v>
      </x:c>
      <x:c r="L782" s="27" t="b">
        <x:v>0</x:v>
      </x:c>
      <x:c r="M782" s="25" t="str">
        <x:v>Gemini-3.8-flash/generation_state.json</x:v>
      </x:c>
      <x:c r="N782" s="25" t="str">
        <x:v>Gemini-3.8-flash/Result/Math_90/result.json</x:v>
      </x:c>
      <x:c r="O782" s="25" t="str">
        <x:v>Gemini-3.8-flash/Result/Math_90/result.json</x:v>
      </x:c>
      <x:c r="P782"/>
      <x:c r="Q782" s="21" t="str"/>
      <x:c r="R782" s="21" t="str"/>
      <x:c r="S782" s="21" t="str"/>
      <x:c r="T782" s="17" t="str">
        <x:v>false</x:v>
      </x:c>
      <x:c r="U782" s="17" t="str">
        <x:v>true</x:v>
      </x:c>
      <x:c r="V782" s="17" t="str">
        <x:v>false</x:v>
      </x:c>
    </x:row>
    <x:row r="783" ht="80" customHeight="1">
      <x:c r="A783" s="25" t="str">
        <x:v>Math</x:v>
      </x:c>
      <x:c r="B783" s="25" t="n">
        <x:v>91</x:v>
      </x:c>
      <x:c r="C783" s="25" t="str">
        <x:v>Round1</x:v>
      </x:c>
      <x:c r="D783" s="25" t="str">
        <x:v>NOT_AVAILABLE</x:v>
      </x:c>
      <x:c r="E783" s="25" t="str">
        <x:v>N/A</x:v>
      </x:c>
      <x:c r="F783" s="26" t="str">
        <x:v>Tests exist but current coverage did not complete</x:v>
      </x:c>
      <x:c r="G783" s="25" t="str">
        <x:v>true</x:v>
      </x:c>
      <x:c r="H783" s="25" t="str">
        <x:v>NOT_AVAILABLE</x:v>
      </x:c>
      <x:c r="I783" s="25" t="str">
        <x:v>NOT_RUN</x:v>
      </x:c>
      <x:c r="J783" s="25" t="str">
        <x:v>NOT_RUN</x:v>
      </x:c>
      <x:c r="K783" s="25" t="n">
        <x:v>1</x:v>
      </x:c>
      <x:c r="L783" s="27" t="b">
        <x:v>0</x:v>
      </x:c>
      <x:c r="M783" s="25" t="str">
        <x:v>Gemini-3.8-flash/generation_state.json</x:v>
      </x:c>
      <x:c r="N783" s="25" t="str">
        <x:v>Gemini-3.8-flash/Result/Math_91/result.json</x:v>
      </x:c>
      <x:c r="O783" s="25" t="str">
        <x:v>Gemini-3.8-flash/Result/Math_91/result.json</x:v>
      </x:c>
      <x:c r="P783" t="str">
        <x:v>BOTH_NOT_RUN</x:v>
      </x:c>
      <x:c r="Q783" s="21" t="str"/>
      <x:c r="R783" s="21" t="str"/>
      <x:c r="S783" s="21" t="str"/>
      <x:c r="T783" s="17" t="str">
        <x:v>false</x:v>
      </x:c>
      <x:c r="U783" s="17" t="str">
        <x:v>true</x:v>
      </x:c>
      <x:c r="V783" s="17" t="str">
        <x:v>false</x:v>
      </x:c>
    </x:row>
    <x:row r="784" ht="80" customHeight="1">
      <x:c r="A784" s="25" t="str">
        <x:v>Math</x:v>
      </x:c>
      <x:c r="B784" s="25" t="n">
        <x:v>92</x:v>
      </x:c>
      <x:c r="C784" s="25" t="str">
        <x:v>Round1</x:v>
      </x:c>
      <x:c r="D784" s="25" t="str">
        <x:v>NOT_REVEALING</x:v>
      </x:c>
      <x:c r="E784" s="25" t="str">
        <x:v>N/A</x:v>
      </x:c>
      <x:c r="F784" s="26" t="str">
        <x:v>Same saved validation suite passed on buggy and fixed</x:v>
      </x:c>
      <x:c r="G784" s="25" t="str">
        <x:v>true</x:v>
      </x:c>
      <x:c r="H784" s="25" t="str">
        <x:v>NOT_REVEALING</x:v>
      </x:c>
      <x:c r="I784" s="25" t="str">
        <x:v>PASS</x:v>
      </x:c>
      <x:c r="J784" s="25" t="str">
        <x:v>PASS</x:v>
      </x:c>
      <x:c r="K784" s="25" t="n">
        <x:v>1</x:v>
      </x:c>
      <x:c r="L784" s="27" t="b">
        <x:v>0</x:v>
      </x:c>
      <x:c r="M784" s="25" t="str">
        <x:v>Gemini-3.8-flash/generation_state.json</x:v>
      </x:c>
      <x:c r="N784" s="25" t="str">
        <x:v>Gemini-3.8-flash/Result/Math_92/result.json</x:v>
      </x:c>
      <x:c r="O784" s="25" t="str">
        <x:v>Gemini-3.8-flash/Result/Math_92/result.json</x:v>
      </x:c>
      <x:c r="P784"/>
      <x:c r="Q784" s="21" t="str"/>
      <x:c r="R784" s="21" t="str"/>
      <x:c r="S784" s="21" t="str"/>
      <x:c r="T784" s="17" t="str">
        <x:v>false</x:v>
      </x:c>
      <x:c r="U784" s="17" t="str">
        <x:v>true</x:v>
      </x:c>
      <x:c r="V784" s="17" t="str">
        <x:v>false</x:v>
      </x:c>
    </x:row>
    <x:row r="785" ht="80" customHeight="1">
      <x:c r="A785" s="25" t="str">
        <x:v>Math</x:v>
      </x:c>
      <x:c r="B785" s="25" t="n">
        <x:v>93</x:v>
      </x:c>
      <x:c r="C785" s="25" t="str">
        <x:v>Round1</x:v>
      </x:c>
      <x:c r="D785" s="25" t="str">
        <x:v>NOT_REVEALING</x:v>
      </x:c>
      <x:c r="E785" s="25" t="str">
        <x:v>N/A</x:v>
      </x:c>
      <x:c r="F785" s="26" t="str">
        <x:v>Same saved validation suite passed on buggy and fixed</x:v>
      </x:c>
      <x:c r="G785" s="25" t="str">
        <x:v>true</x:v>
      </x:c>
      <x:c r="H785" s="25" t="str">
        <x:v>NOT_REVEALING</x:v>
      </x:c>
      <x:c r="I785" s="25" t="str">
        <x:v>PASS</x:v>
      </x:c>
      <x:c r="J785" s="25" t="str">
        <x:v>PASS</x:v>
      </x:c>
      <x:c r="K785" s="25" t="n">
        <x:v>1</x:v>
      </x:c>
      <x:c r="L785" s="27" t="b">
        <x:v>0</x:v>
      </x:c>
      <x:c r="M785" s="25" t="str">
        <x:v>Gemini-3.8-flash/generation_state.json</x:v>
      </x:c>
      <x:c r="N785" s="25" t="str">
        <x:v>Gemini-3.8-flash/Result/Math_93/result.json</x:v>
      </x:c>
      <x:c r="O785" s="25" t="str">
        <x:v>Gemini-3.8-flash/Result/Math_93/result.json</x:v>
      </x:c>
      <x:c r="P785"/>
      <x:c r="Q785" s="21" t="str"/>
      <x:c r="R785" s="21" t="str"/>
      <x:c r="S785" s="21" t="str"/>
      <x:c r="T785" s="17" t="str">
        <x:v>false</x:v>
      </x:c>
      <x:c r="U785" s="17" t="str">
        <x:v>true</x:v>
      </x:c>
      <x:c r="V785" s="17" t="str">
        <x:v>false</x:v>
      </x:c>
    </x:row>
    <x:row r="786" ht="80" customHeight="1">
      <x:c r="A786" s="25" t="str">
        <x:v>Math</x:v>
      </x:c>
      <x:c r="B786" s="25" t="n">
        <x:v>94</x:v>
      </x:c>
      <x:c r="C786" s="25" t="str">
        <x:v>Round1</x:v>
      </x:c>
      <x:c r="D786" s="25" t="str">
        <x:v>NOT_REVEALING</x:v>
      </x:c>
      <x:c r="E786" s="25" t="str">
        <x:v>N/A</x:v>
      </x:c>
      <x:c r="F786" s="26" t="str">
        <x:v>Same saved validation suite passed on buggy and fixed</x:v>
      </x:c>
      <x:c r="G786" s="25" t="str">
        <x:v>true</x:v>
      </x:c>
      <x:c r="H786" s="25" t="str">
        <x:v>NOT_REVEALING</x:v>
      </x:c>
      <x:c r="I786" s="25" t="str">
        <x:v>PASS</x:v>
      </x:c>
      <x:c r="J786" s="25" t="str">
        <x:v>PASS</x:v>
      </x:c>
      <x:c r="K786" s="25" t="n">
        <x:v>1</x:v>
      </x:c>
      <x:c r="L786" s="27" t="b">
        <x:v>0</x:v>
      </x:c>
      <x:c r="M786" s="25" t="str">
        <x:v>Gemini-3.8-flash/generation_state.json</x:v>
      </x:c>
      <x:c r="N786" s="25" t="str">
        <x:v>Gemini-3.8-flash/Result/Math_94/result.json</x:v>
      </x:c>
      <x:c r="O786" s="25" t="str">
        <x:v>Gemini-3.8-flash/Result/Math_94/result.json</x:v>
      </x:c>
      <x:c r="P786"/>
      <x:c r="Q786" s="21" t="str"/>
      <x:c r="R786" s="21" t="str"/>
      <x:c r="S786" s="21" t="str"/>
      <x:c r="T786" s="17" t="str">
        <x:v>false</x:v>
      </x:c>
      <x:c r="U786" s="17" t="str">
        <x:v>true</x:v>
      </x:c>
      <x:c r="V786" s="17" t="str">
        <x:v>false</x:v>
      </x:c>
    </x:row>
    <x:row r="787" ht="80" customHeight="1">
      <x:c r="A787" s="25" t="str">
        <x:v>Math</x:v>
      </x:c>
      <x:c r="B787" s="25" t="n">
        <x:v>95</x:v>
      </x:c>
      <x:c r="C787" s="25" t="str">
        <x:v>Round1</x:v>
      </x:c>
      <x:c r="D787" s="25" t="str">
        <x:v>NOT_REVEALING</x:v>
      </x:c>
      <x:c r="E787" s="25" t="str">
        <x:v>N/A</x:v>
      </x:c>
      <x:c r="F787" s="26" t="str">
        <x:v>Same saved validation suite passed on buggy and fixed</x:v>
      </x:c>
      <x:c r="G787" s="25" t="str">
        <x:v>true</x:v>
      </x:c>
      <x:c r="H787" s="25" t="str">
        <x:v>NOT_REVEALING</x:v>
      </x:c>
      <x:c r="I787" s="25" t="str">
        <x:v>PASS</x:v>
      </x:c>
      <x:c r="J787" s="25" t="str">
        <x:v>PASS</x:v>
      </x:c>
      <x:c r="K787" s="25" t="n">
        <x:v>1</x:v>
      </x:c>
      <x:c r="L787" s="27" t="b">
        <x:v>0</x:v>
      </x:c>
      <x:c r="M787" s="25" t="str">
        <x:v>Gemini-3.8-flash/generation_state.json</x:v>
      </x:c>
      <x:c r="N787" s="25" t="str">
        <x:v>Gemini-3.8-flash/Result/Math_95/result.json</x:v>
      </x:c>
      <x:c r="O787" s="25" t="str">
        <x:v>Gemini-3.8-flash/Result/Math_95/result.json</x:v>
      </x:c>
      <x:c r="P787"/>
      <x:c r="Q787" s="21" t="str"/>
      <x:c r="R787" s="21" t="str"/>
      <x:c r="S787" s="21" t="str"/>
      <x:c r="T787" s="17" t="str">
        <x:v>false</x:v>
      </x:c>
      <x:c r="U787" s="17" t="str">
        <x:v>true</x:v>
      </x:c>
      <x:c r="V787" s="17" t="str">
        <x:v>false</x:v>
      </x:c>
    </x:row>
    <x:row r="788" ht="80" customHeight="1">
      <x:c r="A788" s="25" t="str">
        <x:v>Math</x:v>
      </x:c>
      <x:c r="B788" s="25" t="n">
        <x:v>96</x:v>
      </x:c>
      <x:c r="C788" s="25" t="str">
        <x:v>Round1</x:v>
      </x:c>
      <x:c r="D788" s="25" t="str">
        <x:v>NOT_REVEALING</x:v>
      </x:c>
      <x:c r="E788" s="25" t="str">
        <x:v>N/A</x:v>
      </x:c>
      <x:c r="F788" s="26" t="str">
        <x:v>Same saved validation suite passed on buggy and fixed</x:v>
      </x:c>
      <x:c r="G788" s="25" t="str">
        <x:v>true</x:v>
      </x:c>
      <x:c r="H788" s="25" t="str">
        <x:v>NOT_REVEALING</x:v>
      </x:c>
      <x:c r="I788" s="25" t="str">
        <x:v>PASS</x:v>
      </x:c>
      <x:c r="J788" s="25" t="str">
        <x:v>PASS</x:v>
      </x:c>
      <x:c r="K788" s="25" t="n">
        <x:v>1</x:v>
      </x:c>
      <x:c r="L788" s="27" t="b">
        <x:v>0</x:v>
      </x:c>
      <x:c r="M788" s="25" t="str">
        <x:v>Gemini-3.8-flash/generation_state.json</x:v>
      </x:c>
      <x:c r="N788" s="25" t="str">
        <x:v>Gemini-3.8-flash/Result/Math_96/result.json</x:v>
      </x:c>
      <x:c r="O788" s="25" t="str">
        <x:v>Gemini-3.8-flash/Result/Math_96/result.json</x:v>
      </x:c>
      <x:c r="P788"/>
      <x:c r="Q788" s="21" t="str"/>
      <x:c r="R788" s="21" t="str"/>
      <x:c r="S788" s="21" t="str"/>
      <x:c r="T788" s="17" t="str">
        <x:v>false</x:v>
      </x:c>
      <x:c r="U788" s="17" t="str">
        <x:v>true</x:v>
      </x:c>
      <x:c r="V788" s="17" t="str">
        <x:v>false</x:v>
      </x:c>
    </x:row>
    <x:row r="789" ht="80" customHeight="1">
      <x:c r="A789" s="25" t="str">
        <x:v>Math</x:v>
      </x:c>
      <x:c r="B789" s="25" t="n">
        <x:v>97</x:v>
      </x:c>
      <x:c r="C789" s="25" t="str">
        <x:v>Round1</x:v>
      </x:c>
      <x:c r="D789" s="25" t="str">
        <x:v>NOT_REVEALING</x:v>
      </x:c>
      <x:c r="E789" s="25" t="str">
        <x:v>N/A</x:v>
      </x:c>
      <x:c r="F789" s="26" t="str">
        <x:v>Same saved validation suite passed on buggy and fixed</x:v>
      </x:c>
      <x:c r="G789" s="25" t="str">
        <x:v>true</x:v>
      </x:c>
      <x:c r="H789" s="25" t="str">
        <x:v>NOT_REVEALING</x:v>
      </x:c>
      <x:c r="I789" s="25" t="str">
        <x:v>PASS</x:v>
      </x:c>
      <x:c r="J789" s="25" t="str">
        <x:v>PASS</x:v>
      </x:c>
      <x:c r="K789" s="25" t="n">
        <x:v>1</x:v>
      </x:c>
      <x:c r="L789" s="27" t="b">
        <x:v>0</x:v>
      </x:c>
      <x:c r="M789" s="25" t="str">
        <x:v>Gemini-3.8-flash/generation_state.json</x:v>
      </x:c>
      <x:c r="N789" s="25" t="str">
        <x:v>Gemini-3.8-flash/Result/Math_97/result.json</x:v>
      </x:c>
      <x:c r="O789" s="25" t="str">
        <x:v>Gemini-3.8-flash/Result/Math_97/result.json</x:v>
      </x:c>
      <x:c r="P789"/>
      <x:c r="Q789" s="21" t="str"/>
      <x:c r="R789" s="21" t="str"/>
      <x:c r="S789" s="21" t="str"/>
      <x:c r="T789" s="17" t="str">
        <x:v>false</x:v>
      </x:c>
      <x:c r="U789" s="17" t="str">
        <x:v>true</x:v>
      </x:c>
      <x:c r="V789" s="17" t="str">
        <x:v>false</x:v>
      </x:c>
    </x:row>
    <x:row r="790" ht="80" customHeight="1">
      <x:c r="A790" s="25" t="str">
        <x:v>Math</x:v>
      </x:c>
      <x:c r="B790" s="25" t="n">
        <x:v>98</x:v>
      </x:c>
      <x:c r="C790" s="25" t="str">
        <x:v>Round1</x:v>
      </x:c>
      <x:c r="D790" s="25" t="str">
        <x:v>NOT_REVEALING</x:v>
      </x:c>
      <x:c r="E790" s="25" t="str">
        <x:v>N/A</x:v>
      </x:c>
      <x:c r="F790" s="26" t="str">
        <x:v>Same saved validation suite passed on buggy and fixed</x:v>
      </x:c>
      <x:c r="G790" s="25" t="str">
        <x:v>true</x:v>
      </x:c>
      <x:c r="H790" s="25" t="str">
        <x:v>NOT_REVEALING</x:v>
      </x:c>
      <x:c r="I790" s="25" t="str">
        <x:v>PASS</x:v>
      </x:c>
      <x:c r="J790" s="25" t="str">
        <x:v>PASS</x:v>
      </x:c>
      <x:c r="K790" s="25" t="n">
        <x:v>2</x:v>
      </x:c>
      <x:c r="L790" s="27" t="b">
        <x:v>0</x:v>
      </x:c>
      <x:c r="M790" s="25" t="str">
        <x:v>Gemini-3.8-flash/generation_state.json</x:v>
      </x:c>
      <x:c r="N790" s="25" t="str">
        <x:v>Gemini-3.8-flash/Result/Math_98/result.json</x:v>
      </x:c>
      <x:c r="O790" s="25" t="str">
        <x:v>Gemini-3.8-flash/Result/Math_98/result.json</x:v>
      </x:c>
      <x:c r="P790"/>
      <x:c r="Q790" s="21" t="str"/>
      <x:c r="R790" s="21" t="str"/>
      <x:c r="S790" s="21" t="str"/>
      <x:c r="T790" s="17" t="str">
        <x:v>false</x:v>
      </x:c>
      <x:c r="U790" s="17" t="str">
        <x:v>true</x:v>
      </x:c>
      <x:c r="V790" s="17" t="str">
        <x:v>false</x:v>
      </x:c>
    </x:row>
    <x:row r="791" ht="80" customHeight="1">
      <x:c r="A791" s="25" t="str">
        <x:v>Math</x:v>
      </x:c>
      <x:c r="B791" s="25" t="n">
        <x:v>99</x:v>
      </x:c>
      <x:c r="C791" s="25" t="str">
        <x:v>Round1</x:v>
      </x:c>
      <x:c r="D791" s="25" t="str">
        <x:v>NOT_REVEALING</x:v>
      </x:c>
      <x:c r="E791" s="25" t="str">
        <x:v>N/A</x:v>
      </x:c>
      <x:c r="F791" s="26" t="str">
        <x:v>Same saved validation suite passed on buggy and fixed</x:v>
      </x:c>
      <x:c r="G791" s="25" t="str">
        <x:v>true</x:v>
      </x:c>
      <x:c r="H791" s="25" t="str">
        <x:v>NOT_REVEALING</x:v>
      </x:c>
      <x:c r="I791" s="25" t="str">
        <x:v>PASS</x:v>
      </x:c>
      <x:c r="J791" s="25" t="str">
        <x:v>PASS</x:v>
      </x:c>
      <x:c r="K791" s="25" t="n">
        <x:v>1</x:v>
      </x:c>
      <x:c r="L791" s="27" t="b">
        <x:v>0</x:v>
      </x:c>
      <x:c r="M791" s="25" t="str">
        <x:v>Gemini-3.8-flash/generation_state.json</x:v>
      </x:c>
      <x:c r="N791" s="25" t="str">
        <x:v>Gemini-3.8-flash/Result/Math_99/result.json</x:v>
      </x:c>
      <x:c r="O791" s="25" t="str">
        <x:v>Gemini-3.8-flash/Result/Math_99/result.json</x:v>
      </x:c>
      <x:c r="P791"/>
      <x:c r="Q791" s="21" t="str"/>
      <x:c r="R791" s="21" t="str"/>
      <x:c r="S791" s="21" t="str"/>
      <x:c r="T791" s="17" t="str">
        <x:v>false</x:v>
      </x:c>
      <x:c r="U791" s="17" t="str">
        <x:v>true</x:v>
      </x:c>
      <x:c r="V791" s="17" t="str">
        <x:v>false</x:v>
      </x:c>
    </x:row>
    <x:row r="792" ht="80" customHeight="1">
      <x:c r="A792" s="25" t="str">
        <x:v>Mockito</x:v>
      </x:c>
      <x:c r="B792" s="25" t="n">
        <x:v>1</x:v>
      </x:c>
      <x:c r="C792" s="25" t="str">
        <x:v>Round1</x:v>
      </x:c>
      <x:c r="D792" s="25" t="str">
        <x:v>INCONCLUSIVE</x:v>
      </x:c>
      <x:c r="E792" s="25" t="str">
        <x:v>N/A</x:v>
      </x:c>
      <x:c r="F792" s="26" t="str">
        <x:v>Fixed also failed; assertion failure cannot be attributed to this bug</x:v>
      </x:c>
      <x:c r="G792" s="25" t="str">
        <x:v>true</x:v>
      </x:c>
      <x:c r="H792" s="25" t="str">
        <x:v>INCONCLUSIVE</x:v>
      </x:c>
      <x:c r="I792" s="25" t="str">
        <x:v>FAIL</x:v>
      </x:c>
      <x:c r="J792" s="25" t="str">
        <x:v>FAIL</x:v>
      </x:c>
      <x:c r="K792" s="25" t="n">
        <x:v>1</x:v>
      </x:c>
      <x:c r="L792" s="27" t="b">
        <x:v>0</x:v>
      </x:c>
      <x:c r="M792" s="25" t="str">
        <x:v>Gemini-3.8-flash/generation_state.json</x:v>
      </x:c>
      <x:c r="N792" s="25" t="str">
        <x:v>Gemini-3.8-flash/Result/Mockito_1/result.json</x:v>
      </x:c>
      <x:c r="O792" s="25" t="str">
        <x:v>Gemini-3.8-flash/Result/Mockito_1/result.json</x:v>
      </x:c>
      <x:c r="P792"/>
      <x:c r="Q792" s="21" t="str"/>
      <x:c r="R792" s="21" t="str"/>
      <x:c r="S792" s="21" t="str"/>
      <x:c r="T792" s="17" t="str">
        <x:v>false</x:v>
      </x:c>
      <x:c r="U792" s="17" t="str">
        <x:v>true</x:v>
      </x:c>
      <x:c r="V792" s="17" t="str">
        <x:v>false</x:v>
      </x:c>
    </x:row>
    <x:row r="793" ht="80" customHeight="1">
      <x:c r="A793" s="25" t="str">
        <x:v>Mockito</x:v>
      </x:c>
      <x:c r="B793" s="25" t="n">
        <x:v>10</x:v>
      </x:c>
      <x:c r="C793" s="25" t="str">
        <x:v>Round1</x:v>
      </x:c>
      <x:c r="D793" s="25" t="str">
        <x:v>INCONCLUSIVE</x:v>
      </x:c>
      <x:c r="E793" s="25" t="str">
        <x:v>N/A</x:v>
      </x:c>
      <x:c r="F793" s="26" t="str">
        <x:v>Fixed also failed; assertion failure cannot be attributed to this bug</x:v>
      </x:c>
      <x:c r="G793" s="25" t="str">
        <x:v>true</x:v>
      </x:c>
      <x:c r="H793" s="25" t="str">
        <x:v>INCONCLUSIVE</x:v>
      </x:c>
      <x:c r="I793" s="25" t="str">
        <x:v>FAIL</x:v>
      </x:c>
      <x:c r="J793" s="25" t="str">
        <x:v>FAIL</x:v>
      </x:c>
      <x:c r="K793" s="25" t="n">
        <x:v>1</x:v>
      </x:c>
      <x:c r="L793" s="27" t="b">
        <x:v>0</x:v>
      </x:c>
      <x:c r="M793" s="25" t="str">
        <x:v>Gemini-3.8-flash/generation_state.json</x:v>
      </x:c>
      <x:c r="N793" s="25" t="str">
        <x:v>Gemini-3.8-flash/Result/Mockito_10/result.json</x:v>
      </x:c>
      <x:c r="O793" s="25" t="str">
        <x:v>Gemini-3.8-flash/Result/Mockito_10/result.json</x:v>
      </x:c>
      <x:c r="P793"/>
      <x:c r="Q793" s="21" t="str"/>
      <x:c r="R793" s="21" t="str"/>
      <x:c r="S793" s="21" t="str"/>
      <x:c r="T793" s="17" t="str">
        <x:v>false</x:v>
      </x:c>
      <x:c r="U793" s="17" t="str">
        <x:v>true</x:v>
      </x:c>
      <x:c r="V793" s="17" t="str">
        <x:v>false</x:v>
      </x:c>
    </x:row>
    <x:row r="794" ht="80" customHeight="1">
      <x:c r="A794" s="25" t="str">
        <x:v>Mockito</x:v>
      </x:c>
      <x:c r="B794" s="25" t="n">
        <x:v>11</x:v>
      </x:c>
      <x:c r="C794" s="25" t="str">
        <x:v>Round1</x:v>
      </x:c>
      <x:c r="D794" s="25" t="str">
        <x:v>INCONCLUSIVE</x:v>
      </x:c>
      <x:c r="E794" s="25" t="str">
        <x:v>N/A</x:v>
      </x:c>
      <x:c r="F794" s="26" t="str">
        <x:v>Fixed also failed; assertion failure cannot be attributed to this bug</x:v>
      </x:c>
      <x:c r="G794" s="25" t="str">
        <x:v>true</x:v>
      </x:c>
      <x:c r="H794" s="25" t="str">
        <x:v>INCONCLUSIVE</x:v>
      </x:c>
      <x:c r="I794" s="25" t="str">
        <x:v>PASS</x:v>
      </x:c>
      <x:c r="J794" s="25" t="str">
        <x:v>FAIL</x:v>
      </x:c>
      <x:c r="K794" s="25" t="n">
        <x:v>1</x:v>
      </x:c>
      <x:c r="L794" s="27" t="b">
        <x:v>0</x:v>
      </x:c>
      <x:c r="M794" s="25" t="str">
        <x:v>Gemini-3.8-flash/generation_state.json</x:v>
      </x:c>
      <x:c r="N794" s="25" t="str">
        <x:v>Gemini-3.8-flash/Result/Mockito_11/result.json</x:v>
      </x:c>
      <x:c r="O794" s="25" t="str">
        <x:v>Gemini-3.8-flash/Result/Mockito_11/result.json</x:v>
      </x:c>
      <x:c r="P794"/>
      <x:c r="Q794" s="21" t="str"/>
      <x:c r="R794" s="21" t="str"/>
      <x:c r="S794" s="21" t="str"/>
      <x:c r="T794" s="17" t="str">
        <x:v>false</x:v>
      </x:c>
      <x:c r="U794" s="17" t="str">
        <x:v>true</x:v>
      </x:c>
      <x:c r="V794" s="17" t="str">
        <x:v>false</x:v>
      </x:c>
    </x:row>
    <x:row r="795" ht="80" customHeight="1">
      <x:c r="A795" s="25" t="str">
        <x:v>Mockito</x:v>
      </x:c>
      <x:c r="B795" s="25" t="n">
        <x:v>12</x:v>
      </x:c>
      <x:c r="C795" s="25" t="str">
        <x:v>Round1</x:v>
      </x:c>
      <x:c r="D795" s="25" t="str">
        <x:v>INCONCLUSIVE</x:v>
      </x:c>
      <x:c r="E795" s="25" t="str">
        <x:v>N/A</x:v>
      </x:c>
      <x:c r="F795" s="26" t="str">
        <x:v>Fixed also failed; assertion failure cannot be attributed to this bug</x:v>
      </x:c>
      <x:c r="G795" s="25" t="str">
        <x:v>true</x:v>
      </x:c>
      <x:c r="H795" s="25" t="str">
        <x:v>INCONCLUSIVE</x:v>
      </x:c>
      <x:c r="I795" s="25" t="str">
        <x:v>PASS</x:v>
      </x:c>
      <x:c r="J795" s="25" t="str">
        <x:v>FAIL</x:v>
      </x:c>
      <x:c r="K795" s="25" t="n">
        <x:v>1</x:v>
      </x:c>
      <x:c r="L795" s="27" t="b">
        <x:v>0</x:v>
      </x:c>
      <x:c r="M795" s="25" t="str">
        <x:v>Gemini-3.8-flash/generation_state.json</x:v>
      </x:c>
      <x:c r="N795" s="25" t="str">
        <x:v>Gemini-3.8-flash/Result/Mockito_12/result.json</x:v>
      </x:c>
      <x:c r="O795" s="25" t="str">
        <x:v>Gemini-3.8-flash/Result/Mockito_12/result.json</x:v>
      </x:c>
      <x:c r="P795"/>
      <x:c r="Q795" s="21" t="str"/>
      <x:c r="R795" s="21" t="str"/>
      <x:c r="S795" s="21" t="str"/>
      <x:c r="T795" s="17" t="str">
        <x:v>false</x:v>
      </x:c>
      <x:c r="U795" s="17" t="str">
        <x:v>true</x:v>
      </x:c>
      <x:c r="V795" s="17" t="str">
        <x:v>false</x:v>
      </x:c>
    </x:row>
    <x:row r="796" ht="80" customHeight="1">
      <x:c r="A796" s="25" t="str">
        <x:v>Mockito</x:v>
      </x:c>
      <x:c r="B796" s="25" t="n">
        <x:v>13</x:v>
      </x:c>
      <x:c r="C796" s="25" t="str">
        <x:v>Round1</x:v>
      </x:c>
      <x:c r="D796" s="25" t="str">
        <x:v>NOT_AVAILABLE</x:v>
      </x:c>
      <x:c r="E796" s="25" t="str">
        <x:v>N/A</x:v>
      </x:c>
      <x:c r="F796" s="26" t="str">
        <x:v>Tests exist but current coverage did not complete</x:v>
      </x:c>
      <x:c r="G796" s="25" t="str">
        <x:v>true</x:v>
      </x:c>
      <x:c r="H796" s="25" t="str">
        <x:v>NOT_AVAILABLE</x:v>
      </x:c>
      <x:c r="I796" s="25" t="str">
        <x:v>NOT_RUN</x:v>
      </x:c>
      <x:c r="J796" s="25" t="str">
        <x:v>NOT_RUN</x:v>
      </x:c>
      <x:c r="K796" s="25" t="n">
        <x:v>1</x:v>
      </x:c>
      <x:c r="L796" s="27" t="b">
        <x:v>0</x:v>
      </x:c>
      <x:c r="M796" s="25" t="str">
        <x:v>Gemini-3.8-flash/generation_state.json</x:v>
      </x:c>
      <x:c r="N796" s="25" t="str">
        <x:v>Gemini-3.8-flash/Result/Mockito_13/result.json</x:v>
      </x:c>
      <x:c r="O796" s="25" t="str">
        <x:v>Gemini-3.8-flash/Result/Mockito_13/result.json</x:v>
      </x:c>
      <x:c r="P796" t="str">
        <x:v>BOTH_NOT_RUN</x:v>
      </x:c>
      <x:c r="Q796" s="21" t="str"/>
      <x:c r="R796" s="21" t="str"/>
      <x:c r="S796" s="21" t="str"/>
      <x:c r="T796" s="17" t="str">
        <x:v>false</x:v>
      </x:c>
      <x:c r="U796" s="17" t="str">
        <x:v>true</x:v>
      </x:c>
      <x:c r="V796" s="17" t="str">
        <x:v>false</x:v>
      </x:c>
    </x:row>
    <x:row r="797" ht="80" customHeight="1">
      <x:c r="A797" s="25" t="str">
        <x:v>Mockito</x:v>
      </x:c>
      <x:c r="B797" s="25" t="n">
        <x:v>14</x:v>
      </x:c>
      <x:c r="C797" s="25" t="str">
        <x:v>Round1</x:v>
      </x:c>
      <x:c r="D797" s="25" t="str">
        <x:v>NOT_AVAILABLE</x:v>
      </x:c>
      <x:c r="E797" s="25" t="str">
        <x:v>N/A</x:v>
      </x:c>
      <x:c r="F797" s="26" t="str">
        <x:v>Tests exist but current coverage did not complete</x:v>
      </x:c>
      <x:c r="G797" s="25" t="str">
        <x:v>true</x:v>
      </x:c>
      <x:c r="H797" s="25" t="str">
        <x:v>NOT_AVAILABLE</x:v>
      </x:c>
      <x:c r="I797" s="25" t="str">
        <x:v>NOT_RUN</x:v>
      </x:c>
      <x:c r="J797" s="25" t="str">
        <x:v>NOT_RUN</x:v>
      </x:c>
      <x:c r="K797" s="25" t="n">
        <x:v>2</x:v>
      </x:c>
      <x:c r="L797" s="27" t="b">
        <x:v>0</x:v>
      </x:c>
      <x:c r="M797" s="25" t="str">
        <x:v>Gemini-3.8-flash/generation_state.json</x:v>
      </x:c>
      <x:c r="N797" s="25" t="str">
        <x:v>Gemini-3.8-flash/Result/Mockito_14/result.json</x:v>
      </x:c>
      <x:c r="O797" s="25" t="str">
        <x:v>Gemini-3.8-flash/Result/Mockito_14/result.json</x:v>
      </x:c>
      <x:c r="P797" t="str">
        <x:v>BOTH_NOT_RUN</x:v>
      </x:c>
      <x:c r="Q797" s="21" t="str"/>
      <x:c r="R797" s="21" t="str"/>
      <x:c r="S797" s="21" t="str"/>
      <x:c r="T797" s="17" t="str">
        <x:v>false</x:v>
      </x:c>
      <x:c r="U797" s="17" t="str">
        <x:v>true</x:v>
      </x:c>
      <x:c r="V797" s="17" t="str">
        <x:v>false</x:v>
      </x:c>
    </x:row>
    <x:row r="798" ht="80" customHeight="1">
      <x:c r="A798" s="25" t="str">
        <x:v>Mockito</x:v>
      </x:c>
      <x:c r="B798" s="25" t="n">
        <x:v>15</x:v>
      </x:c>
      <x:c r="C798" s="25" t="str">
        <x:v>Round1</x:v>
      </x:c>
      <x:c r="D798" s="25" t="str">
        <x:v>NOT_REVEALING</x:v>
      </x:c>
      <x:c r="E798" s="25" t="str">
        <x:v>N/A</x:v>
      </x:c>
      <x:c r="F798" s="26" t="str">
        <x:v>Same saved validation suite passed on buggy and fixed</x:v>
      </x:c>
      <x:c r="G798" s="25" t="str">
        <x:v>true</x:v>
      </x:c>
      <x:c r="H798" s="25" t="str">
        <x:v>NOT_REVEALING</x:v>
      </x:c>
      <x:c r="I798" s="25" t="str">
        <x:v>PASS</x:v>
      </x:c>
      <x:c r="J798" s="25" t="str">
        <x:v>PASS</x:v>
      </x:c>
      <x:c r="K798" s="25" t="n">
        <x:v>1</x:v>
      </x:c>
      <x:c r="L798" s="27" t="b">
        <x:v>0</x:v>
      </x:c>
      <x:c r="M798" s="25" t="str">
        <x:v>Gemini-3.8-flash/generation_state.json</x:v>
      </x:c>
      <x:c r="N798" s="25" t="str">
        <x:v>Gemini-3.8-flash/Result/Mockito_15/result.json</x:v>
      </x:c>
      <x:c r="O798" s="25" t="str">
        <x:v>Gemini-3.8-flash/Result/Mockito_15/result.json</x:v>
      </x:c>
      <x:c r="P798"/>
      <x:c r="Q798" s="21" t="str"/>
      <x:c r="R798" s="21" t="str"/>
      <x:c r="S798" s="21" t="str"/>
      <x:c r="T798" s="17" t="str">
        <x:v>false</x:v>
      </x:c>
      <x:c r="U798" s="17" t="str">
        <x:v>true</x:v>
      </x:c>
      <x:c r="V798" s="17" t="str">
        <x:v>false</x:v>
      </x:c>
    </x:row>
    <x:row r="799" ht="80" customHeight="1">
      <x:c r="A799" s="25" t="str">
        <x:v>Mockito</x:v>
      </x:c>
      <x:c r="B799" s="25" t="n">
        <x:v>16</x:v>
      </x:c>
      <x:c r="C799" s="25" t="str">
        <x:v>Round1</x:v>
      </x:c>
      <x:c r="D799" s="25" t="str">
        <x:v>NOT_AVAILABLE</x:v>
      </x:c>
      <x:c r="E799" s="25" t="str">
        <x:v>N/A</x:v>
      </x:c>
      <x:c r="F799" s="26" t="str">
        <x:v>Tests exist but current coverage did not complete</x:v>
      </x:c>
      <x:c r="G799" s="25" t="str">
        <x:v>true</x:v>
      </x:c>
      <x:c r="H799" s="25" t="str">
        <x:v>NOT_AVAILABLE</x:v>
      </x:c>
      <x:c r="I799" s="25" t="str">
        <x:v>NOT_RUN</x:v>
      </x:c>
      <x:c r="J799" s="25" t="str">
        <x:v>NOT_RUN</x:v>
      </x:c>
      <x:c r="K799" s="25" t="n">
        <x:v>2</x:v>
      </x:c>
      <x:c r="L799" s="27" t="b">
        <x:v>0</x:v>
      </x:c>
      <x:c r="M799" s="25" t="str">
        <x:v>Gemini-3.8-flash/generation_state.json</x:v>
      </x:c>
      <x:c r="N799" s="25" t="str">
        <x:v>Gemini-3.8-flash/Result/Mockito_16/result.json</x:v>
      </x:c>
      <x:c r="O799" s="25" t="str">
        <x:v>Gemini-3.8-flash/Result/Mockito_16/result.json</x:v>
      </x:c>
      <x:c r="P799" t="str">
        <x:v>BOTH_NOT_RUN</x:v>
      </x:c>
      <x:c r="Q799" s="21" t="str"/>
      <x:c r="R799" s="21" t="str"/>
      <x:c r="S799" s="21" t="str"/>
      <x:c r="T799" s="17" t="str">
        <x:v>false</x:v>
      </x:c>
      <x:c r="U799" s="17" t="str">
        <x:v>true</x:v>
      </x:c>
      <x:c r="V799" s="17" t="str">
        <x:v>false</x:v>
      </x:c>
    </x:row>
    <x:row r="800" ht="80" customHeight="1">
      <x:c r="A800" s="25" t="str">
        <x:v>Mockito</x:v>
      </x:c>
      <x:c r="B800" s="25" t="n">
        <x:v>17</x:v>
      </x:c>
      <x:c r="C800" s="25" t="str">
        <x:v>Round1</x:v>
      </x:c>
      <x:c r="D800" s="25" t="str">
        <x:v>NOT_AVAILABLE</x:v>
      </x:c>
      <x:c r="E800" s="25" t="str">
        <x:v>N/A</x:v>
      </x:c>
      <x:c r="F800" s="26" t="str">
        <x:v>Tests exist but current coverage did not complete</x:v>
      </x:c>
      <x:c r="G800" s="25" t="str">
        <x:v>true</x:v>
      </x:c>
      <x:c r="H800" s="25" t="str">
        <x:v>NOT_AVAILABLE</x:v>
      </x:c>
      <x:c r="I800" s="25" t="str">
        <x:v>NOT_RUN</x:v>
      </x:c>
      <x:c r="J800" s="25" t="str">
        <x:v>NOT_RUN</x:v>
      </x:c>
      <x:c r="K800" s="25" t="n">
        <x:v>2</x:v>
      </x:c>
      <x:c r="L800" s="27" t="b">
        <x:v>0</x:v>
      </x:c>
      <x:c r="M800" s="25" t="str">
        <x:v>Gemini-3.8-flash/generation_state.json</x:v>
      </x:c>
      <x:c r="N800" s="25" t="str">
        <x:v>Gemini-3.8-flash/Result/Mockito_17/result.json</x:v>
      </x:c>
      <x:c r="O800" s="25" t="str">
        <x:v>Gemini-3.8-flash/Result/Mockito_17/result.json</x:v>
      </x:c>
      <x:c r="P800" t="str">
        <x:v>BOTH_NOT_RUN</x:v>
      </x:c>
      <x:c r="Q800" s="21" t="str"/>
      <x:c r="R800" s="21" t="str"/>
      <x:c r="S800" s="21" t="str"/>
      <x:c r="T800" s="17" t="str">
        <x:v>false</x:v>
      </x:c>
      <x:c r="U800" s="17" t="str">
        <x:v>true</x:v>
      </x:c>
      <x:c r="V800" s="17" t="str">
        <x:v>false</x:v>
      </x:c>
    </x:row>
    <x:row r="801" ht="80" customHeight="1">
      <x:c r="A801" s="25" t="str">
        <x:v>Mockito</x:v>
      </x:c>
      <x:c r="B801" s="25" t="n">
        <x:v>18</x:v>
      </x:c>
      <x:c r="C801" s="25" t="str">
        <x:v>Round1</x:v>
      </x:c>
      <x:c r="D801" s="25" t="str">
        <x:v>NOT_AVAILABLE</x:v>
      </x:c>
      <x:c r="E801" s="25" t="str">
        <x:v>N/A</x:v>
      </x:c>
      <x:c r="F801" s="26" t="str">
        <x:v>Tests exist but current coverage did not complete</x:v>
      </x:c>
      <x:c r="G801" s="25" t="str">
        <x:v>true</x:v>
      </x:c>
      <x:c r="H801" s="25" t="str">
        <x:v>NOT_AVAILABLE</x:v>
      </x:c>
      <x:c r="I801" s="25" t="str">
        <x:v>NOT_RUN</x:v>
      </x:c>
      <x:c r="J801" s="25" t="str">
        <x:v>NOT_RUN</x:v>
      </x:c>
      <x:c r="K801" s="25" t="n">
        <x:v>1</x:v>
      </x:c>
      <x:c r="L801" s="27" t="b">
        <x:v>0</x:v>
      </x:c>
      <x:c r="M801" s="25" t="str">
        <x:v>Gemini-3.8-flash/generation_state.json</x:v>
      </x:c>
      <x:c r="N801" s="25" t="str">
        <x:v>Gemini-3.8-flash/Result/Mockito_18/result.json</x:v>
      </x:c>
      <x:c r="O801" s="25" t="str">
        <x:v>Gemini-3.8-flash/Result/Mockito_18/result.json</x:v>
      </x:c>
      <x:c r="P801" t="str">
        <x:v>BOTH_NOT_RUN</x:v>
      </x:c>
      <x:c r="Q801" s="21" t="str"/>
      <x:c r="R801" s="21" t="str"/>
      <x:c r="S801" s="21" t="str"/>
      <x:c r="T801" s="17" t="str">
        <x:v>false</x:v>
      </x:c>
      <x:c r="U801" s="17" t="str">
        <x:v>true</x:v>
      </x:c>
      <x:c r="V801" s="17" t="str">
        <x:v>false</x:v>
      </x:c>
    </x:row>
    <x:row r="802" ht="80" customHeight="1">
      <x:c r="A802" s="25" t="str">
        <x:v>Mockito</x:v>
      </x:c>
      <x:c r="B802" s="25" t="n">
        <x:v>19</x:v>
      </x:c>
      <x:c r="C802" s="25" t="str">
        <x:v>Round1</x:v>
      </x:c>
      <x:c r="D802" s="25" t="str">
        <x:v>NOT_AVAILABLE</x:v>
      </x:c>
      <x:c r="E802" s="25" t="str">
        <x:v>N/A</x:v>
      </x:c>
      <x:c r="F802" s="26" t="str">
        <x:v>fixed test_compile=FAIL</x:v>
      </x:c>
      <x:c r="G802" s="25" t="str">
        <x:v>true</x:v>
      </x:c>
      <x:c r="H802" s="25" t="str">
        <x:v>NOT_AVAILABLE</x:v>
      </x:c>
      <x:c r="I802" s="25" t="str">
        <x:v>FAIL</x:v>
      </x:c>
      <x:c r="J802" s="25" t="str">
        <x:v>NOT_RUN</x:v>
      </x:c>
      <x:c r="K802" s="25" t="n">
        <x:v>5</x:v>
      </x:c>
      <x:c r="L802" s="27" t="b">
        <x:v>0</x:v>
      </x:c>
      <x:c r="M802" s="25" t="str">
        <x:v>Gemini-3.8-flash/generation_state.json</x:v>
      </x:c>
      <x:c r="N802" s="25" t="str">
        <x:v>Gemini-3.8-flash/Result/Mockito_19/result.json</x:v>
      </x:c>
      <x:c r="O802" s="25" t="str">
        <x:v>Gemini-3.8-flash/Result/Mockito_19/result.json</x:v>
      </x:c>
      <x:c r="P802" t="str">
        <x:v>FIXED_NOT_RUN</x:v>
      </x:c>
      <x:c r="Q802" s="21" t="str"/>
      <x:c r="R802" s="21" t="str"/>
      <x:c r="S802" s="21" t="str"/>
      <x:c r="T802" s="17" t="str">
        <x:v>false</x:v>
      </x:c>
      <x:c r="U802" s="17" t="str">
        <x:v>true</x:v>
      </x:c>
      <x:c r="V802" s="17" t="str">
        <x:v>false</x:v>
      </x:c>
    </x:row>
    <x:row r="803" ht="80" customHeight="1">
      <x:c r="A803" s="25" t="str">
        <x:v>Mockito</x:v>
      </x:c>
      <x:c r="B803" s="25" t="n">
        <x:v>2</x:v>
      </x:c>
      <x:c r="C803" s="25" t="str">
        <x:v>Round1</x:v>
      </x:c>
      <x:c r="D803" s="25" t="str">
        <x:v>INCONCLUSIVE</x:v>
      </x:c>
      <x:c r="E803" s="25" t="str">
        <x:v>N/A</x:v>
      </x:c>
      <x:c r="F803" s="26" t="str">
        <x:v>Fixed also failed; assertion failure cannot be attributed to this bug</x:v>
      </x:c>
      <x:c r="G803" s="25" t="str">
        <x:v>true</x:v>
      </x:c>
      <x:c r="H803" s="25" t="str">
        <x:v>INCONCLUSIVE</x:v>
      </x:c>
      <x:c r="I803" s="25" t="str">
        <x:v>PASS</x:v>
      </x:c>
      <x:c r="J803" s="25" t="str">
        <x:v>FAIL</x:v>
      </x:c>
      <x:c r="K803" s="25" t="n">
        <x:v>1</x:v>
      </x:c>
      <x:c r="L803" s="27" t="b">
        <x:v>0</x:v>
      </x:c>
      <x:c r="M803" s="25" t="str">
        <x:v>Gemini-3.8-flash/generation_state.json</x:v>
      </x:c>
      <x:c r="N803" s="25" t="str">
        <x:v>Gemini-3.8-flash/Result/Mockito_2/result.json</x:v>
      </x:c>
      <x:c r="O803" s="25" t="str">
        <x:v>Gemini-3.8-flash/Result/Mockito_2/result.json</x:v>
      </x:c>
      <x:c r="P803"/>
      <x:c r="Q803" s="21" t="str"/>
      <x:c r="R803" s="21" t="str"/>
      <x:c r="S803" s="21" t="str"/>
      <x:c r="T803" s="17" t="str">
        <x:v>false</x:v>
      </x:c>
      <x:c r="U803" s="17" t="str">
        <x:v>true</x:v>
      </x:c>
      <x:c r="V803" s="17" t="str">
        <x:v>false</x:v>
      </x:c>
    </x:row>
    <x:row r="804" ht="80" customHeight="1">
      <x:c r="A804" s="25" t="str">
        <x:v>Mockito</x:v>
      </x:c>
      <x:c r="B804" s="25" t="n">
        <x:v>20</x:v>
      </x:c>
      <x:c r="C804" s="25" t="str">
        <x:v>Round1</x:v>
      </x:c>
      <x:c r="D804" s="25" t="str">
        <x:v>INCONCLUSIVE</x:v>
      </x:c>
      <x:c r="E804" s="25" t="str">
        <x:v>N/A</x:v>
      </x:c>
      <x:c r="F804" s="26" t="str">
        <x:v>Fixed also failed; assertion failure cannot be attributed to this bug</x:v>
      </x:c>
      <x:c r="G804" s="25" t="str">
        <x:v>true</x:v>
      </x:c>
      <x:c r="H804" s="25" t="str">
        <x:v>INCONCLUSIVE</x:v>
      </x:c>
      <x:c r="I804" s="25" t="str">
        <x:v>PASS</x:v>
      </x:c>
      <x:c r="J804" s="25" t="str">
        <x:v>FAIL</x:v>
      </x:c>
      <x:c r="K804" s="25" t="n">
        <x:v>1</x:v>
      </x:c>
      <x:c r="L804" s="27" t="b">
        <x:v>0</x:v>
      </x:c>
      <x:c r="M804" s="25" t="str">
        <x:v>Gemini-3.8-flash/generation_state.json</x:v>
      </x:c>
      <x:c r="N804" s="25" t="str">
        <x:v>Gemini-3.8-flash/Result/Mockito_20/result.json</x:v>
      </x:c>
      <x:c r="O804" s="25" t="str">
        <x:v>Gemini-3.8-flash/Result/Mockito_20/result.json</x:v>
      </x:c>
      <x:c r="P804"/>
      <x:c r="Q804" s="21" t="str"/>
      <x:c r="R804" s="21" t="str"/>
      <x:c r="S804" s="21" t="str"/>
      <x:c r="T804" s="17" t="str">
        <x:v>false</x:v>
      </x:c>
      <x:c r="U804" s="17" t="str">
        <x:v>true</x:v>
      </x:c>
      <x:c r="V804" s="17" t="str">
        <x:v>false</x:v>
      </x:c>
    </x:row>
    <x:row r="805" ht="80" customHeight="1">
      <x:c r="A805" s="25" t="str">
        <x:v>Mockito</x:v>
      </x:c>
      <x:c r="B805" s="25" t="n">
        <x:v>21</x:v>
      </x:c>
      <x:c r="C805" s="25" t="str">
        <x:v>Round1</x:v>
      </x:c>
      <x:c r="D805" s="25" t="str">
        <x:v>INCONCLUSIVE</x:v>
      </x:c>
      <x:c r="E805" s="25" t="str">
        <x:v>N/A</x:v>
      </x:c>
      <x:c r="F805" s="26" t="str">
        <x:v>Fixed also failed; assertion failure cannot be attributed to this bug</x:v>
      </x:c>
      <x:c r="G805" s="25" t="str">
        <x:v>true</x:v>
      </x:c>
      <x:c r="H805" s="25" t="str">
        <x:v>INCONCLUSIVE</x:v>
      </x:c>
      <x:c r="I805" s="25" t="str">
        <x:v>PASS</x:v>
      </x:c>
      <x:c r="J805" s="25" t="str">
        <x:v>FAIL</x:v>
      </x:c>
      <x:c r="K805" s="25" t="n">
        <x:v>1</x:v>
      </x:c>
      <x:c r="L805" s="27" t="b">
        <x:v>0</x:v>
      </x:c>
      <x:c r="M805" s="25" t="str">
        <x:v>Gemini-3.8-flash/generation_state.json</x:v>
      </x:c>
      <x:c r="N805" s="25" t="str">
        <x:v>Gemini-3.8-flash/Result/Mockito_21/result.json</x:v>
      </x:c>
      <x:c r="O805" s="25" t="str">
        <x:v>Gemini-3.8-flash/Result/Mockito_21/result.json</x:v>
      </x:c>
      <x:c r="P805"/>
      <x:c r="Q805" s="21" t="str"/>
      <x:c r="R805" s="21" t="str"/>
      <x:c r="S805" s="21" t="str"/>
      <x:c r="T805" s="17" t="str">
        <x:v>false</x:v>
      </x:c>
      <x:c r="U805" s="17" t="str">
        <x:v>true</x:v>
      </x:c>
      <x:c r="V805" s="17" t="str">
        <x:v>false</x:v>
      </x:c>
    </x:row>
    <x:row r="806" ht="80" customHeight="1">
      <x:c r="A806" s="25" t="str">
        <x:v>Mockito</x:v>
      </x:c>
      <x:c r="B806" s="25" t="n">
        <x:v>22</x:v>
      </x:c>
      <x:c r="C806" s="25" t="str">
        <x:v>Round1</x:v>
      </x:c>
      <x:c r="D806" s="25" t="str">
        <x:v>NOT_REVEALING</x:v>
      </x:c>
      <x:c r="E806" s="25" t="str">
        <x:v>N/A</x:v>
      </x:c>
      <x:c r="F806" s="26" t="str">
        <x:v>Same saved validation suite passed on buggy and fixed</x:v>
      </x:c>
      <x:c r="G806" s="25" t="str">
        <x:v>true</x:v>
      </x:c>
      <x:c r="H806" s="25" t="str">
        <x:v>NOT_REVEALING</x:v>
      </x:c>
      <x:c r="I806" s="25" t="str">
        <x:v>PASS</x:v>
      </x:c>
      <x:c r="J806" s="25" t="str">
        <x:v>PASS</x:v>
      </x:c>
      <x:c r="K806" s="25" t="n">
        <x:v>1</x:v>
      </x:c>
      <x:c r="L806" s="27" t="b">
        <x:v>0</x:v>
      </x:c>
      <x:c r="M806" s="25" t="str">
        <x:v>Gemini-3.8-flash/generation_state.json</x:v>
      </x:c>
      <x:c r="N806" s="25" t="str">
        <x:v>Gemini-3.8-flash/Result/Mockito_22/result.json</x:v>
      </x:c>
      <x:c r="O806" s="25" t="str">
        <x:v>Gemini-3.8-flash/Result/Mockito_22/result.json</x:v>
      </x:c>
      <x:c r="P806"/>
      <x:c r="Q806" s="21" t="str"/>
      <x:c r="R806" s="21" t="str"/>
      <x:c r="S806" s="21" t="str"/>
      <x:c r="T806" s="17" t="str">
        <x:v>false</x:v>
      </x:c>
      <x:c r="U806" s="17" t="str">
        <x:v>true</x:v>
      </x:c>
      <x:c r="V806" s="17" t="str">
        <x:v>false</x:v>
      </x:c>
    </x:row>
    <x:row r="807" ht="80" customHeight="1">
      <x:c r="A807" s="25" t="str">
        <x:v>Mockito</x:v>
      </x:c>
      <x:c r="B807" s="25" t="n">
        <x:v>23</x:v>
      </x:c>
      <x:c r="C807" s="25" t="str">
        <x:v>Round1</x:v>
      </x:c>
      <x:c r="D807" s="25" t="str">
        <x:v>INCONCLUSIVE</x:v>
      </x:c>
      <x:c r="E807" s="25" t="str">
        <x:v>N/A</x:v>
      </x:c>
      <x:c r="F807" s="26" t="str">
        <x:v>Fixed also failed; assertion failure cannot be attributed to this bug</x:v>
      </x:c>
      <x:c r="G807" s="25" t="str">
        <x:v>true</x:v>
      </x:c>
      <x:c r="H807" s="25" t="str">
        <x:v>INCONCLUSIVE</x:v>
      </x:c>
      <x:c r="I807" s="25" t="str">
        <x:v>FAIL</x:v>
      </x:c>
      <x:c r="J807" s="25" t="str">
        <x:v>FAIL</x:v>
      </x:c>
      <x:c r="K807" s="25" t="n">
        <x:v>1</x:v>
      </x:c>
      <x:c r="L807" s="27" t="b">
        <x:v>0</x:v>
      </x:c>
      <x:c r="M807" s="25" t="str">
        <x:v>Gemini-3.8-flash/generation_state.json</x:v>
      </x:c>
      <x:c r="N807" s="25" t="str">
        <x:v>Gemini-3.8-flash/Result/Mockito_23/result.json</x:v>
      </x:c>
      <x:c r="O807" s="25" t="str">
        <x:v>Gemini-3.8-flash/Result/Mockito_23/result.json</x:v>
      </x:c>
      <x:c r="P807"/>
      <x:c r="Q807" s="21" t="str"/>
      <x:c r="R807" s="21" t="str"/>
      <x:c r="S807" s="21" t="str"/>
      <x:c r="T807" s="17" t="str">
        <x:v>false</x:v>
      </x:c>
      <x:c r="U807" s="17" t="str">
        <x:v>true</x:v>
      </x:c>
      <x:c r="V807" s="17" t="str">
        <x:v>false</x:v>
      </x:c>
    </x:row>
    <x:row r="808" ht="80" customHeight="1">
      <x:c r="A808" s="25" t="str">
        <x:v>Mockito</x:v>
      </x:c>
      <x:c r="B808" s="25" t="n">
        <x:v>24</x:v>
      </x:c>
      <x:c r="C808" s="25" t="str">
        <x:v>Round1</x:v>
      </x:c>
      <x:c r="D808" s="25" t="str">
        <x:v>INCONCLUSIVE</x:v>
      </x:c>
      <x:c r="E808" s="25" t="str">
        <x:v>N/A</x:v>
      </x:c>
      <x:c r="F808" s="26" t="str">
        <x:v>Fixed also failed; assertion failure cannot be attributed to this bug</x:v>
      </x:c>
      <x:c r="G808" s="25" t="str">
        <x:v>true</x:v>
      </x:c>
      <x:c r="H808" s="25" t="str">
        <x:v>INCONCLUSIVE</x:v>
      </x:c>
      <x:c r="I808" s="25" t="str">
        <x:v>PASS</x:v>
      </x:c>
      <x:c r="J808" s="25" t="str">
        <x:v>FAIL</x:v>
      </x:c>
      <x:c r="K808" s="25" t="n">
        <x:v>1</x:v>
      </x:c>
      <x:c r="L808" s="27" t="b">
        <x:v>0</x:v>
      </x:c>
      <x:c r="M808" s="25" t="str">
        <x:v>Gemini-3.8-flash/generation_state.json</x:v>
      </x:c>
      <x:c r="N808" s="25" t="str">
        <x:v>Gemini-3.8-flash/Result/Mockito_24/result.json</x:v>
      </x:c>
      <x:c r="O808" s="25" t="str">
        <x:v>Gemini-3.8-flash/Result/Mockito_24/result.json</x:v>
      </x:c>
      <x:c r="P808"/>
      <x:c r="Q808" s="21" t="str"/>
      <x:c r="R808" s="21" t="str"/>
      <x:c r="S808" s="21" t="str"/>
      <x:c r="T808" s="17" t="str">
        <x:v>false</x:v>
      </x:c>
      <x:c r="U808" s="17" t="str">
        <x:v>true</x:v>
      </x:c>
      <x:c r="V808" s="17" t="str">
        <x:v>false</x:v>
      </x:c>
    </x:row>
    <x:row r="809" ht="80" customHeight="1">
      <x:c r="A809" s="25" t="str">
        <x:v>Mockito</x:v>
      </x:c>
      <x:c r="B809" s="25" t="n">
        <x:v>25</x:v>
      </x:c>
      <x:c r="C809" s="25" t="str">
        <x:v>Round1</x:v>
      </x:c>
      <x:c r="D809" s="25" t="str">
        <x:v>INCONCLUSIVE</x:v>
      </x:c>
      <x:c r="E809" s="25" t="str">
        <x:v>N/A</x:v>
      </x:c>
      <x:c r="F809" s="26" t="str">
        <x:v>Fixed also failed; assertion failure cannot be attributed to this bug</x:v>
      </x:c>
      <x:c r="G809" s="25" t="str">
        <x:v>true</x:v>
      </x:c>
      <x:c r="H809" s="25" t="str">
        <x:v>INCONCLUSIVE</x:v>
      </x:c>
      <x:c r="I809" s="25" t="str">
        <x:v>FAIL</x:v>
      </x:c>
      <x:c r="J809" s="25" t="str">
        <x:v>FAIL</x:v>
      </x:c>
      <x:c r="K809" s="25" t="n">
        <x:v>1</x:v>
      </x:c>
      <x:c r="L809" s="27" t="b">
        <x:v>0</x:v>
      </x:c>
      <x:c r="M809" s="25" t="str">
        <x:v>Gemini-3.8-flash/generation_state.json</x:v>
      </x:c>
      <x:c r="N809" s="25" t="str">
        <x:v>Gemini-3.8-flash/Result/Mockito_25/result.json</x:v>
      </x:c>
      <x:c r="O809" s="25" t="str">
        <x:v>Gemini-3.8-flash/Result/Mockito_25/result.json</x:v>
      </x:c>
      <x:c r="P809"/>
      <x:c r="Q809" s="21" t="str"/>
      <x:c r="R809" s="21" t="str"/>
      <x:c r="S809" s="21" t="str"/>
      <x:c r="T809" s="17" t="str">
        <x:v>false</x:v>
      </x:c>
      <x:c r="U809" s="17" t="str">
        <x:v>true</x:v>
      </x:c>
      <x:c r="V809" s="17" t="str">
        <x:v>false</x:v>
      </x:c>
    </x:row>
    <x:row r="810" ht="80" customHeight="1">
      <x:c r="A810" s="25" t="str">
        <x:v>Mockito</x:v>
      </x:c>
      <x:c r="B810" s="25" t="n">
        <x:v>26</x:v>
      </x:c>
      <x:c r="C810" s="25" t="str">
        <x:v>Round1</x:v>
      </x:c>
      <x:c r="D810" s="25" t="str">
        <x:v>INCONCLUSIVE</x:v>
      </x:c>
      <x:c r="E810" s="25" t="str">
        <x:v>N/A</x:v>
      </x:c>
      <x:c r="F810" s="26" t="str">
        <x:v>Fixed also failed; assertion failure cannot be attributed to this bug</x:v>
      </x:c>
      <x:c r="G810" s="25" t="str">
        <x:v>true</x:v>
      </x:c>
      <x:c r="H810" s="25" t="str">
        <x:v>INCONCLUSIVE</x:v>
      </x:c>
      <x:c r="I810" s="25" t="str">
        <x:v>PASS</x:v>
      </x:c>
      <x:c r="J810" s="25" t="str">
        <x:v>FAIL</x:v>
      </x:c>
      <x:c r="K810" s="25" t="n">
        <x:v>1</x:v>
      </x:c>
      <x:c r="L810" s="27" t="b">
        <x:v>0</x:v>
      </x:c>
      <x:c r="M810" s="25" t="str">
        <x:v>Gemini-3.8-flash/generation_state.json</x:v>
      </x:c>
      <x:c r="N810" s="25" t="str">
        <x:v>Gemini-3.8-flash/Result/Mockito_26/result.json</x:v>
      </x:c>
      <x:c r="O810" s="25" t="str">
        <x:v>Gemini-3.8-flash/Result/Mockito_26/result.json</x:v>
      </x:c>
      <x:c r="P810"/>
      <x:c r="Q810" s="21" t="str"/>
      <x:c r="R810" s="21" t="str"/>
      <x:c r="S810" s="21" t="str"/>
      <x:c r="T810" s="17" t="str">
        <x:v>false</x:v>
      </x:c>
      <x:c r="U810" s="17" t="str">
        <x:v>true</x:v>
      </x:c>
      <x:c r="V810" s="17" t="str">
        <x:v>false</x:v>
      </x:c>
    </x:row>
    <x:row r="811" ht="80" customHeight="1">
      <x:c r="A811" s="25" t="str">
        <x:v>Mockito</x:v>
      </x:c>
      <x:c r="B811" s="25" t="n">
        <x:v>27</x:v>
      </x:c>
      <x:c r="C811" s="25" t="str">
        <x:v>Round1</x:v>
      </x:c>
      <x:c r="D811" s="25" t="str">
        <x:v>NOT_AVAILABLE</x:v>
      </x:c>
      <x:c r="E811" s="25" t="str">
        <x:v>N/A</x:v>
      </x:c>
      <x:c r="F811" s="26" t="str">
        <x:v>Tests exist but current coverage did not complete</x:v>
      </x:c>
      <x:c r="G811" s="25" t="str">
        <x:v>true</x:v>
      </x:c>
      <x:c r="H811" s="25" t="str">
        <x:v>NOT_AVAILABLE</x:v>
      </x:c>
      <x:c r="I811" s="25" t="str">
        <x:v>NOT_RUN</x:v>
      </x:c>
      <x:c r="J811" s="25" t="str">
        <x:v>NOT_RUN</x:v>
      </x:c>
      <x:c r="K811" s="25" t="n">
        <x:v>1</x:v>
      </x:c>
      <x:c r="L811" s="27" t="b">
        <x:v>0</x:v>
      </x:c>
      <x:c r="M811" s="25" t="str">
        <x:v>Gemini-3.8-flash/generation_state.json</x:v>
      </x:c>
      <x:c r="N811" s="25" t="str">
        <x:v>Gemini-3.8-flash/Result/Mockito_27/result.json</x:v>
      </x:c>
      <x:c r="O811" s="25" t="str">
        <x:v>Gemini-3.8-flash/Result/Mockito_27/result.json</x:v>
      </x:c>
      <x:c r="P811" t="str">
        <x:v>BOTH_NOT_RUN</x:v>
      </x:c>
      <x:c r="Q811" s="21" t="str"/>
      <x:c r="R811" s="21" t="str"/>
      <x:c r="S811" s="21" t="str"/>
      <x:c r="T811" s="17" t="str">
        <x:v>false</x:v>
      </x:c>
      <x:c r="U811" s="17" t="str">
        <x:v>true</x:v>
      </x:c>
      <x:c r="V811" s="17" t="str">
        <x:v>false</x:v>
      </x:c>
    </x:row>
    <x:row r="812" ht="80" customHeight="1">
      <x:c r="A812" s="25" t="str">
        <x:v>Mockito</x:v>
      </x:c>
      <x:c r="B812" s="25" t="n">
        <x:v>28</x:v>
      </x:c>
      <x:c r="C812" s="25" t="str">
        <x:v>Round1</x:v>
      </x:c>
      <x:c r="D812" s="25" t="str">
        <x:v>NOT_REVEALING</x:v>
      </x:c>
      <x:c r="E812" s="25" t="str">
        <x:v>N/A</x:v>
      </x:c>
      <x:c r="F812" s="26" t="str">
        <x:v>Same saved validation suite passed on buggy and fixed</x:v>
      </x:c>
      <x:c r="G812" s="25" t="str">
        <x:v>true</x:v>
      </x:c>
      <x:c r="H812" s="25" t="str">
        <x:v>NOT_REVEALING</x:v>
      </x:c>
      <x:c r="I812" s="25" t="str">
        <x:v>PASS</x:v>
      </x:c>
      <x:c r="J812" s="25" t="str">
        <x:v>PASS</x:v>
      </x:c>
      <x:c r="K812" s="25" t="n">
        <x:v>1</x:v>
      </x:c>
      <x:c r="L812" s="27" t="b">
        <x:v>0</x:v>
      </x:c>
      <x:c r="M812" s="25" t="str">
        <x:v>Gemini-3.8-flash/generation_state.json</x:v>
      </x:c>
      <x:c r="N812" s="25" t="str">
        <x:v>Gemini-3.8-flash/Result/Mockito_28/result.json</x:v>
      </x:c>
      <x:c r="O812" s="25" t="str">
        <x:v>Gemini-3.8-flash/Result/Mockito_28/result.json</x:v>
      </x:c>
      <x:c r="P812"/>
      <x:c r="Q812" s="21" t="str"/>
      <x:c r="R812" s="21" t="str"/>
      <x:c r="S812" s="21" t="str"/>
      <x:c r="T812" s="17" t="str">
        <x:v>false</x:v>
      </x:c>
      <x:c r="U812" s="17" t="str">
        <x:v>true</x:v>
      </x:c>
      <x:c r="V812" s="17" t="str">
        <x:v>false</x:v>
      </x:c>
    </x:row>
    <x:row r="813" ht="80" customHeight="1">
      <x:c r="A813" s="25" t="str">
        <x:v>Mockito</x:v>
      </x:c>
      <x:c r="B813" s="25" t="n">
        <x:v>29</x:v>
      </x:c>
      <x:c r="C813" s="25" t="str">
        <x:v>Round1</x:v>
      </x:c>
      <x:c r="D813" s="25" t="str">
        <x:v>INCONCLUSIVE</x:v>
      </x:c>
      <x:c r="E813" s="25" t="str">
        <x:v>N/A</x:v>
      </x:c>
      <x:c r="F813" s="26" t="str">
        <x:v>Fixed also failed; assertion failure cannot be attributed to this bug</x:v>
      </x:c>
      <x:c r="G813" s="25" t="str">
        <x:v>true</x:v>
      </x:c>
      <x:c r="H813" s="25" t="str">
        <x:v>INCONCLUSIVE</x:v>
      </x:c>
      <x:c r="I813" s="25" t="str">
        <x:v>FAIL</x:v>
      </x:c>
      <x:c r="J813" s="25" t="str">
        <x:v>FAIL</x:v>
      </x:c>
      <x:c r="K813" s="25" t="n">
        <x:v>1</x:v>
      </x:c>
      <x:c r="L813" s="27" t="b">
        <x:v>0</x:v>
      </x:c>
      <x:c r="M813" s="25" t="str">
        <x:v>Gemini-3.8-flash/generation_state.json</x:v>
      </x:c>
      <x:c r="N813" s="25" t="str">
        <x:v>Gemini-3.8-flash/Result/Mockito_29/result.json</x:v>
      </x:c>
      <x:c r="O813" s="25" t="str">
        <x:v>Gemini-3.8-flash/Result/Mockito_29/result.json</x:v>
      </x:c>
      <x:c r="P813"/>
      <x:c r="Q813" s="21" t="str"/>
      <x:c r="R813" s="21" t="str"/>
      <x:c r="S813" s="21" t="str"/>
      <x:c r="T813" s="17" t="str">
        <x:v>false</x:v>
      </x:c>
      <x:c r="U813" s="17" t="str">
        <x:v>true</x:v>
      </x:c>
      <x:c r="V813" s="17" t="str">
        <x:v>false</x:v>
      </x:c>
    </x:row>
    <x:row r="814" ht="80" customHeight="1">
      <x:c r="A814" s="25" t="str">
        <x:v>Mockito</x:v>
      </x:c>
      <x:c r="B814" s="25" t="n">
        <x:v>3</x:v>
      </x:c>
      <x:c r="C814" s="25" t="str">
        <x:v>Round1</x:v>
      </x:c>
      <x:c r="D814" s="25" t="str">
        <x:v>NOT_AVAILABLE</x:v>
      </x:c>
      <x:c r="E814" s="25" t="str">
        <x:v>N/A</x:v>
      </x:c>
      <x:c r="F814" s="26" t="str">
        <x:v>Tests exist but current coverage did not complete</x:v>
      </x:c>
      <x:c r="G814" s="25" t="str">
        <x:v>true</x:v>
      </x:c>
      <x:c r="H814" s="25" t="str">
        <x:v>NOT_AVAILABLE</x:v>
      </x:c>
      <x:c r="I814" s="25" t="str">
        <x:v>NOT_RUN</x:v>
      </x:c>
      <x:c r="J814" s="25" t="str">
        <x:v>NOT_RUN</x:v>
      </x:c>
      <x:c r="K814" s="25" t="n">
        <x:v>1</x:v>
      </x:c>
      <x:c r="L814" s="27" t="b">
        <x:v>0</x:v>
      </x:c>
      <x:c r="M814" s="25" t="str">
        <x:v>Gemini-3.8-flash/generation_state.json</x:v>
      </x:c>
      <x:c r="N814" s="25" t="str">
        <x:v>Gemini-3.8-flash/Result/Mockito_3/result.json</x:v>
      </x:c>
      <x:c r="O814" s="25" t="str">
        <x:v>Gemini-3.8-flash/Result/Mockito_3/result.json</x:v>
      </x:c>
      <x:c r="P814" t="str">
        <x:v>BOTH_NOT_RUN</x:v>
      </x:c>
      <x:c r="Q814" s="21" t="str"/>
      <x:c r="R814" s="21" t="str"/>
      <x:c r="S814" s="21" t="str"/>
      <x:c r="T814" s="17" t="str">
        <x:v>false</x:v>
      </x:c>
      <x:c r="U814" s="17" t="str">
        <x:v>true</x:v>
      </x:c>
      <x:c r="V814" s="17" t="str">
        <x:v>false</x:v>
      </x:c>
    </x:row>
    <x:row r="815" ht="80" customHeight="1">
      <x:c r="A815" s="25" t="str">
        <x:v>Mockito</x:v>
      </x:c>
      <x:c r="B815" s="25" t="n">
        <x:v>30</x:v>
      </x:c>
      <x:c r="C815" s="25" t="str">
        <x:v>Round1</x:v>
      </x:c>
      <x:c r="D815" s="25" t="str">
        <x:v>NOT_REVEALING</x:v>
      </x:c>
      <x:c r="E815" s="25" t="str">
        <x:v>N/A</x:v>
      </x:c>
      <x:c r="F815" s="26" t="str">
        <x:v>Same saved validation suite passed on buggy and fixed; Class generation unavailable: Mockito_30/org/mockito/exceptions/Reporter.java; status=FAILED; finish_reason=None; Gateway TTFT Timeout</x:v>
      </x:c>
      <x:c r="G815" s="25" t="str">
        <x:v>true</x:v>
      </x:c>
      <x:c r="H815" s="25" t="str">
        <x:v>NOT_REVEALING</x:v>
      </x:c>
      <x:c r="I815" s="25" t="str">
        <x:v>PASS</x:v>
      </x:c>
      <x:c r="J815" s="25" t="str">
        <x:v>PASS</x:v>
      </x:c>
      <x:c r="K815" s="25" t="n">
        <x:v>1</x:v>
      </x:c>
      <x:c r="L815" s="27" t="b">
        <x:v>0</x:v>
      </x:c>
      <x:c r="M815" s="25" t="str">
        <x:v>Gemini-3.8-flash/generation_state.json</x:v>
      </x:c>
      <x:c r="N815" s="25" t="str">
        <x:v>Gemini-3.8-flash/Result/Mockito_30/result.json</x:v>
      </x:c>
      <x:c r="O815" s="25" t="str">
        <x:v>Gemini-3.8-flash/Result/Mockito_30/result.json</x:v>
      </x:c>
      <x:c r="P815"/>
      <x:c r="Q815" s="21" t="str">
        <x:v>Mockito_30/org/mockito/exceptions/Reporter.java</x:v>
      </x:c>
      <x:c r="R815" s="21" t="str"/>
      <x:c r="S815" s="21" t="str"/>
      <x:c r="T815" s="17" t="str">
        <x:v>false</x:v>
      </x:c>
      <x:c r="U815" s="17" t="str">
        <x:v>true</x:v>
      </x:c>
      <x:c r="V815" s="17" t="str">
        <x:v>false</x:v>
      </x:c>
    </x:row>
    <x:row r="816" ht="80" customHeight="1">
      <x:c r="A816" s="25" t="str">
        <x:v>Mockito</x:v>
      </x:c>
      <x:c r="B816" s="25" t="n">
        <x:v>31</x:v>
      </x:c>
      <x:c r="C816" s="25" t="str">
        <x:v>Round1</x:v>
      </x:c>
      <x:c r="D816" s="25" t="str">
        <x:v>NOT_REVEALING</x:v>
      </x:c>
      <x:c r="E816" s="25" t="str">
        <x:v>N/A</x:v>
      </x:c>
      <x:c r="F816" s="26" t="str">
        <x:v>Same saved validation suite passed on buggy and fixed</x:v>
      </x:c>
      <x:c r="G816" s="25" t="str">
        <x:v>true</x:v>
      </x:c>
      <x:c r="H816" s="25" t="str">
        <x:v>NOT_REVEALING</x:v>
      </x:c>
      <x:c r="I816" s="25" t="str">
        <x:v>PASS</x:v>
      </x:c>
      <x:c r="J816" s="25" t="str">
        <x:v>PASS</x:v>
      </x:c>
      <x:c r="K816" s="25" t="n">
        <x:v>1</x:v>
      </x:c>
      <x:c r="L816" s="27" t="b">
        <x:v>0</x:v>
      </x:c>
      <x:c r="M816" s="25" t="str">
        <x:v>Gemini-3.8-flash/generation_state.json</x:v>
      </x:c>
      <x:c r="N816" s="25" t="str">
        <x:v>Gemini-3.8-flash/Result/Mockito_31/result.json</x:v>
      </x:c>
      <x:c r="O816" s="25" t="str">
        <x:v>Gemini-3.8-flash/Result/Mockito_31/result.json</x:v>
      </x:c>
      <x:c r="P816"/>
      <x:c r="Q816" s="21" t="str"/>
      <x:c r="R816" s="21" t="str"/>
      <x:c r="S816" s="21" t="str"/>
      <x:c r="T816" s="17" t="str">
        <x:v>false</x:v>
      </x:c>
      <x:c r="U816" s="17" t="str">
        <x:v>true</x:v>
      </x:c>
      <x:c r="V816" s="17" t="str">
        <x:v>false</x:v>
      </x:c>
    </x:row>
    <x:row r="817" ht="80" customHeight="1">
      <x:c r="A817" s="25" t="str">
        <x:v>Mockito</x:v>
      </x:c>
      <x:c r="B817" s="25" t="n">
        <x:v>32</x:v>
      </x:c>
      <x:c r="C817" s="25" t="str">
        <x:v>Round1</x:v>
      </x:c>
      <x:c r="D817" s="25" t="str">
        <x:v>NOT_AVAILABLE</x:v>
      </x:c>
      <x:c r="E817" s="25" t="str">
        <x:v>N/A</x:v>
      </x:c>
      <x:c r="F817" s="26" t="str">
        <x:v>Tests exist but current coverage did not complete</x:v>
      </x:c>
      <x:c r="G817" s="25" t="str">
        <x:v>true</x:v>
      </x:c>
      <x:c r="H817" s="25" t="str">
        <x:v>NOT_AVAILABLE</x:v>
      </x:c>
      <x:c r="I817" s="25" t="str">
        <x:v>NOT_RUN</x:v>
      </x:c>
      <x:c r="J817" s="25" t="str">
        <x:v>NOT_RUN</x:v>
      </x:c>
      <x:c r="K817" s="25" t="n">
        <x:v>1</x:v>
      </x:c>
      <x:c r="L817" s="27" t="b">
        <x:v>0</x:v>
      </x:c>
      <x:c r="M817" s="25" t="str">
        <x:v>Gemini-3.8-flash/generation_state.json</x:v>
      </x:c>
      <x:c r="N817" s="25" t="str">
        <x:v>Gemini-3.8-flash/Result/Mockito_32/result.json</x:v>
      </x:c>
      <x:c r="O817" s="25" t="str">
        <x:v>Gemini-3.8-flash/Result/Mockito_32/result.json</x:v>
      </x:c>
      <x:c r="P817" t="str">
        <x:v>BOTH_NOT_RUN</x:v>
      </x:c>
      <x:c r="Q817" s="21" t="str"/>
      <x:c r="R817" s="21" t="str"/>
      <x:c r="S817" s="21" t="str"/>
      <x:c r="T817" s="17" t="str">
        <x:v>false</x:v>
      </x:c>
      <x:c r="U817" s="17" t="str">
        <x:v>true</x:v>
      </x:c>
      <x:c r="V817" s="17" t="str">
        <x:v>false</x:v>
      </x:c>
    </x:row>
    <x:row r="818" ht="80" customHeight="1">
      <x:c r="A818" s="25" t="str">
        <x:v>Mockito</x:v>
      </x:c>
      <x:c r="B818" s="25" t="n">
        <x:v>33</x:v>
      </x:c>
      <x:c r="C818" s="25" t="str">
        <x:v>Round1</x:v>
      </x:c>
      <x:c r="D818" s="25" t="str">
        <x:v>INCONCLUSIVE</x:v>
      </x:c>
      <x:c r="E818" s="25" t="str">
        <x:v>N/A</x:v>
      </x:c>
      <x:c r="F818" s="26" t="str">
        <x:v>Fixed also failed; assertion failure cannot be attributed to this bug</x:v>
      </x:c>
      <x:c r="G818" s="25" t="str">
        <x:v>true</x:v>
      </x:c>
      <x:c r="H818" s="25" t="str">
        <x:v>INCONCLUSIVE</x:v>
      </x:c>
      <x:c r="I818" s="25" t="str">
        <x:v>FAIL</x:v>
      </x:c>
      <x:c r="J818" s="25" t="str">
        <x:v>FAIL</x:v>
      </x:c>
      <x:c r="K818" s="25" t="n">
        <x:v>1</x:v>
      </x:c>
      <x:c r="L818" s="27" t="b">
        <x:v>0</x:v>
      </x:c>
      <x:c r="M818" s="25" t="str">
        <x:v>Gemini-3.8-flash/generation_state.json</x:v>
      </x:c>
      <x:c r="N818" s="25" t="str">
        <x:v>Gemini-3.8-flash/Result/Mockito_33/result.json</x:v>
      </x:c>
      <x:c r="O818" s="25" t="str">
        <x:v>Gemini-3.8-flash/Result/Mockito_33/result.json</x:v>
      </x:c>
      <x:c r="P818"/>
      <x:c r="Q818" s="21" t="str"/>
      <x:c r="R818" s="21" t="str"/>
      <x:c r="S818" s="21" t="str"/>
      <x:c r="T818" s="17" t="str">
        <x:v>false</x:v>
      </x:c>
      <x:c r="U818" s="17" t="str">
        <x:v>true</x:v>
      </x:c>
      <x:c r="V818" s="17" t="str">
        <x:v>false</x:v>
      </x:c>
    </x:row>
    <x:row r="819" ht="80" customHeight="1">
      <x:c r="A819" s="25" t="str">
        <x:v>Mockito</x:v>
      </x:c>
      <x:c r="B819" s="25" t="n">
        <x:v>34</x:v>
      </x:c>
      <x:c r="C819" s="25" t="str">
        <x:v>Round1</x:v>
      </x:c>
      <x:c r="D819" s="25" t="str">
        <x:v>INCONCLUSIVE</x:v>
      </x:c>
      <x:c r="E819" s="25" t="str">
        <x:v>N/A</x:v>
      </x:c>
      <x:c r="F819" s="26" t="str">
        <x:v>Fixed also failed; assertion failure cannot be attributed to this bug</x:v>
      </x:c>
      <x:c r="G819" s="25" t="str">
        <x:v>true</x:v>
      </x:c>
      <x:c r="H819" s="25" t="str">
        <x:v>INCONCLUSIVE</x:v>
      </x:c>
      <x:c r="I819" s="25" t="str">
        <x:v>FAIL</x:v>
      </x:c>
      <x:c r="J819" s="25" t="str">
        <x:v>FAIL</x:v>
      </x:c>
      <x:c r="K819" s="25" t="n">
        <x:v>1</x:v>
      </x:c>
      <x:c r="L819" s="27" t="b">
        <x:v>0</x:v>
      </x:c>
      <x:c r="M819" s="25" t="str">
        <x:v>Gemini-3.8-flash/generation_state.json</x:v>
      </x:c>
      <x:c r="N819" s="25" t="str">
        <x:v>Gemini-3.8-flash/Result/Mockito_34/result.json</x:v>
      </x:c>
      <x:c r="O819" s="25" t="str">
        <x:v>Gemini-3.8-flash/Result/Mockito_34/result.json</x:v>
      </x:c>
      <x:c r="P819"/>
      <x:c r="Q819" s="21" t="str"/>
      <x:c r="R819" s="21" t="str"/>
      <x:c r="S819" s="21" t="str"/>
      <x:c r="T819" s="17" t="str">
        <x:v>false</x:v>
      </x:c>
      <x:c r="U819" s="17" t="str">
        <x:v>true</x:v>
      </x:c>
      <x:c r="V819" s="17" t="str">
        <x:v>false</x:v>
      </x:c>
    </x:row>
    <x:row r="820" ht="80" customHeight="1">
      <x:c r="A820" s="25" t="str">
        <x:v>Mockito</x:v>
      </x:c>
      <x:c r="B820" s="25" t="n">
        <x:v>35</x:v>
      </x:c>
      <x:c r="C820" s="25" t="str">
        <x:v>Round1</x:v>
      </x:c>
      <x:c r="D820" s="25" t="str">
        <x:v>INCONCLUSIVE</x:v>
      </x:c>
      <x:c r="E820" s="25" t="str">
        <x:v>N/A</x:v>
      </x:c>
      <x:c r="F820" s="26" t="str">
        <x:v>Fixed also failed; assertion failure cannot be attributed to this bug</x:v>
      </x:c>
      <x:c r="G820" s="25" t="str">
        <x:v>true</x:v>
      </x:c>
      <x:c r="H820" s="25" t="str">
        <x:v>INCONCLUSIVE</x:v>
      </x:c>
      <x:c r="I820" s="25" t="str">
        <x:v>PASS</x:v>
      </x:c>
      <x:c r="J820" s="25" t="str">
        <x:v>FAIL</x:v>
      </x:c>
      <x:c r="K820" s="25" t="n">
        <x:v>1</x:v>
      </x:c>
      <x:c r="L820" s="27" t="b">
        <x:v>0</x:v>
      </x:c>
      <x:c r="M820" s="25" t="str">
        <x:v>Gemini-3.8-flash/generation_state.json</x:v>
      </x:c>
      <x:c r="N820" s="25" t="str">
        <x:v>Gemini-3.8-flash/Result/Mockito_35/result.json</x:v>
      </x:c>
      <x:c r="O820" s="25" t="str">
        <x:v>Gemini-3.8-flash/Result/Mockito_35/result.json</x:v>
      </x:c>
      <x:c r="P820"/>
      <x:c r="Q820" s="21" t="str"/>
      <x:c r="R820" s="21" t="str"/>
      <x:c r="S820" s="21" t="str"/>
      <x:c r="T820" s="17" t="str">
        <x:v>false</x:v>
      </x:c>
      <x:c r="U820" s="17" t="str">
        <x:v>true</x:v>
      </x:c>
      <x:c r="V820" s="17" t="str">
        <x:v>false</x:v>
      </x:c>
    </x:row>
    <x:row r="821" ht="80" customHeight="1">
      <x:c r="A821" s="25" t="str">
        <x:v>Mockito</x:v>
      </x:c>
      <x:c r="B821" s="25" t="n">
        <x:v>36</x:v>
      </x:c>
      <x:c r="C821" s="25" t="str">
        <x:v>Round1</x:v>
      </x:c>
      <x:c r="D821" s="25" t="str">
        <x:v>INCONCLUSIVE</x:v>
      </x:c>
      <x:c r="E821" s="25" t="str">
        <x:v>N/A</x:v>
      </x:c>
      <x:c r="F821" s="26" t="str">
        <x:v>Fixed also failed; assertion failure cannot be attributed to this bug</x:v>
      </x:c>
      <x:c r="G821" s="25" t="str">
        <x:v>true</x:v>
      </x:c>
      <x:c r="H821" s="25" t="str">
        <x:v>INCONCLUSIVE</x:v>
      </x:c>
      <x:c r="I821" s="25" t="str">
        <x:v>FAIL</x:v>
      </x:c>
      <x:c r="J821" s="25" t="str">
        <x:v>FAIL</x:v>
      </x:c>
      <x:c r="K821" s="25" t="n">
        <x:v>1</x:v>
      </x:c>
      <x:c r="L821" s="27" t="b">
        <x:v>0</x:v>
      </x:c>
      <x:c r="M821" s="25" t="str">
        <x:v>Gemini-3.8-flash/generation_state.json</x:v>
      </x:c>
      <x:c r="N821" s="25" t="str">
        <x:v>Gemini-3.8-flash/Result/Mockito_36/result.json</x:v>
      </x:c>
      <x:c r="O821" s="25" t="str">
        <x:v>Gemini-3.8-flash/Result/Mockito_36/result.json</x:v>
      </x:c>
      <x:c r="P821"/>
      <x:c r="Q821" s="21" t="str"/>
      <x:c r="R821" s="21" t="str"/>
      <x:c r="S821" s="21" t="str"/>
      <x:c r="T821" s="17" t="str">
        <x:v>false</x:v>
      </x:c>
      <x:c r="U821" s="17" t="str">
        <x:v>true</x:v>
      </x:c>
      <x:c r="V821" s="17" t="str">
        <x:v>false</x:v>
      </x:c>
    </x:row>
    <x:row r="822" ht="80" customHeight="1">
      <x:c r="A822" s="25" t="str">
        <x:v>Mockito</x:v>
      </x:c>
      <x:c r="B822" s="25" t="n">
        <x:v>37</x:v>
      </x:c>
      <x:c r="C822" s="25" t="str">
        <x:v>Round1</x:v>
      </x:c>
      <x:c r="D822" s="25" t="str">
        <x:v>INCONCLUSIVE</x:v>
      </x:c>
      <x:c r="E822" s="25" t="str">
        <x:v>N/A</x:v>
      </x:c>
      <x:c r="F822" s="26" t="str">
        <x:v>Fixed also failed; assertion failure cannot be attributed to this bug</x:v>
      </x:c>
      <x:c r="G822" s="25" t="str">
        <x:v>true</x:v>
      </x:c>
      <x:c r="H822" s="25" t="str">
        <x:v>INCONCLUSIVE</x:v>
      </x:c>
      <x:c r="I822" s="25" t="str">
        <x:v>FAIL</x:v>
      </x:c>
      <x:c r="J822" s="25" t="str">
        <x:v>FAIL</x:v>
      </x:c>
      <x:c r="K822" s="25" t="n">
        <x:v>1</x:v>
      </x:c>
      <x:c r="L822" s="27" t="b">
        <x:v>0</x:v>
      </x:c>
      <x:c r="M822" s="25" t="str">
        <x:v>Gemini-3.8-flash/generation_state.json</x:v>
      </x:c>
      <x:c r="N822" s="25" t="str">
        <x:v>Gemini-3.8-flash/Result/Mockito_37/result.json</x:v>
      </x:c>
      <x:c r="O822" s="25" t="str">
        <x:v>Gemini-3.8-flash/Result/Mockito_37/result.json</x:v>
      </x:c>
      <x:c r="P822"/>
      <x:c r="Q822" s="21" t="str"/>
      <x:c r="R822" s="21" t="str"/>
      <x:c r="S822" s="21" t="str"/>
      <x:c r="T822" s="17" t="str">
        <x:v>false</x:v>
      </x:c>
      <x:c r="U822" s="17" t="str">
        <x:v>true</x:v>
      </x:c>
      <x:c r="V822" s="17" t="str">
        <x:v>false</x:v>
      </x:c>
    </x:row>
    <x:row r="823" ht="80" customHeight="1">
      <x:c r="A823" s="25" t="str">
        <x:v>Mockito</x:v>
      </x:c>
      <x:c r="B823" s="25" t="n">
        <x:v>38</x:v>
      </x:c>
      <x:c r="C823" s="25" t="str">
        <x:v>Round1</x:v>
      </x:c>
      <x:c r="D823" s="25" t="str">
        <x:v>NOT_AVAILABLE</x:v>
      </x:c>
      <x:c r="E823" s="25" t="str">
        <x:v>N/A</x:v>
      </x:c>
      <x:c r="F823" s="26" t="str">
        <x:v>Tests exist but current coverage did not complete</x:v>
      </x:c>
      <x:c r="G823" s="25" t="str">
        <x:v>true</x:v>
      </x:c>
      <x:c r="H823" s="25" t="str">
        <x:v>NOT_AVAILABLE</x:v>
      </x:c>
      <x:c r="I823" s="25" t="str">
        <x:v>NOT_RUN</x:v>
      </x:c>
      <x:c r="J823" s="25" t="str">
        <x:v>NOT_RUN</x:v>
      </x:c>
      <x:c r="K823" s="25" t="n">
        <x:v>1</x:v>
      </x:c>
      <x:c r="L823" s="27" t="b">
        <x:v>0</x:v>
      </x:c>
      <x:c r="M823" s="25" t="str">
        <x:v>Gemini-3.8-flash/generation_state.json</x:v>
      </x:c>
      <x:c r="N823" s="25" t="str">
        <x:v>Gemini-3.8-flash/Result/Mockito_38/result.json</x:v>
      </x:c>
      <x:c r="O823" s="25" t="str">
        <x:v>Gemini-3.8-flash/Result/Mockito_38/result.json</x:v>
      </x:c>
      <x:c r="P823" t="str">
        <x:v>BOTH_NOT_RUN</x:v>
      </x:c>
      <x:c r="Q823" s="21" t="str"/>
      <x:c r="R823" s="21" t="str"/>
      <x:c r="S823" s="21" t="str"/>
      <x:c r="T823" s="17" t="str">
        <x:v>false</x:v>
      </x:c>
      <x:c r="U823" s="17" t="str">
        <x:v>true</x:v>
      </x:c>
      <x:c r="V823" s="17" t="str">
        <x:v>false</x:v>
      </x:c>
    </x:row>
    <x:row r="824" ht="80" customHeight="1">
      <x:c r="A824" s="25" t="str">
        <x:v>Mockito</x:v>
      </x:c>
      <x:c r="B824" s="25" t="n">
        <x:v>4</x:v>
      </x:c>
      <x:c r="C824" s="25" t="str">
        <x:v>Round1</x:v>
      </x:c>
      <x:c r="D824" s="25" t="str">
        <x:v>INCONCLUSIVE</x:v>
      </x:c>
      <x:c r="E824" s="25" t="str">
        <x:v>N/A</x:v>
      </x:c>
      <x:c r="F824" s="26" t="str">
        <x:v>Fixed also failed; assertion failure cannot be attributed to this bug</x:v>
      </x:c>
      <x:c r="G824" s="25" t="str">
        <x:v>true</x:v>
      </x:c>
      <x:c r="H824" s="25" t="str">
        <x:v>INCONCLUSIVE</x:v>
      </x:c>
      <x:c r="I824" s="25" t="str">
        <x:v>FAIL</x:v>
      </x:c>
      <x:c r="J824" s="25" t="str">
        <x:v>FAIL</x:v>
      </x:c>
      <x:c r="K824" s="25" t="n">
        <x:v>1</x:v>
      </x:c>
      <x:c r="L824" s="27" t="b">
        <x:v>0</x:v>
      </x:c>
      <x:c r="M824" s="25" t="str">
        <x:v>Gemini-3.8-flash/generation_state.json</x:v>
      </x:c>
      <x:c r="N824" s="25" t="str">
        <x:v>Gemini-3.8-flash/Result/Mockito_4/result.json</x:v>
      </x:c>
      <x:c r="O824" s="25" t="str">
        <x:v>Gemini-3.8-flash/Result/Mockito_4/result.json</x:v>
      </x:c>
      <x:c r="P824"/>
      <x:c r="Q824" s="21" t="str"/>
      <x:c r="R824" s="21" t="str"/>
      <x:c r="S824" s="21" t="str"/>
      <x:c r="T824" s="17" t="str">
        <x:v>false</x:v>
      </x:c>
      <x:c r="U824" s="17" t="str">
        <x:v>true</x:v>
      </x:c>
      <x:c r="V824" s="17" t="str">
        <x:v>false</x:v>
      </x:c>
    </x:row>
    <x:row r="825" ht="80" customHeight="1">
      <x:c r="A825" s="25" t="str">
        <x:v>Mockito</x:v>
      </x:c>
      <x:c r="B825" s="25" t="n">
        <x:v>5</x:v>
      </x:c>
      <x:c r="C825" s="25" t="str">
        <x:v>Round1</x:v>
      </x:c>
      <x:c r="D825" s="25" t="str">
        <x:v>NOT_REVEALING</x:v>
      </x:c>
      <x:c r="E825" s="25" t="str">
        <x:v>N/A</x:v>
      </x:c>
      <x:c r="F825" s="26" t="str">
        <x:v>Same saved validation suite passed on buggy and fixed</x:v>
      </x:c>
      <x:c r="G825" s="25" t="str">
        <x:v>true</x:v>
      </x:c>
      <x:c r="H825" s="25" t="str">
        <x:v>NOT_REVEALING</x:v>
      </x:c>
      <x:c r="I825" s="25" t="str">
        <x:v>PASS</x:v>
      </x:c>
      <x:c r="J825" s="25" t="str">
        <x:v>PASS</x:v>
      </x:c>
      <x:c r="K825" s="25" t="n">
        <x:v>1</x:v>
      </x:c>
      <x:c r="L825" s="27" t="b">
        <x:v>0</x:v>
      </x:c>
      <x:c r="M825" s="25" t="str">
        <x:v>Gemini-3.8-flash/generation_state.json</x:v>
      </x:c>
      <x:c r="N825" s="25" t="str">
        <x:v>Gemini-3.8-flash/Result/Mockito_5/result.json</x:v>
      </x:c>
      <x:c r="O825" s="25" t="str">
        <x:v>Gemini-3.8-flash/Result/Mockito_5/result.json</x:v>
      </x:c>
      <x:c r="P825"/>
      <x:c r="Q825" s="21" t="str"/>
      <x:c r="R825" s="21" t="str"/>
      <x:c r="S825" s="21" t="str"/>
      <x:c r="T825" s="17" t="str">
        <x:v>false</x:v>
      </x:c>
      <x:c r="U825" s="17" t="str">
        <x:v>true</x:v>
      </x:c>
      <x:c r="V825" s="17" t="str">
        <x:v>false</x:v>
      </x:c>
    </x:row>
    <x:row r="826" ht="80" customHeight="1">
      <x:c r="A826" s="25" t="str">
        <x:v>Mockito</x:v>
      </x:c>
      <x:c r="B826" s="25" t="n">
        <x:v>6</x:v>
      </x:c>
      <x:c r="C826" s="25" t="str">
        <x:v>Round1</x:v>
      </x:c>
      <x:c r="D826" s="25" t="str">
        <x:v>NOT_REVEALING</x:v>
      </x:c>
      <x:c r="E826" s="25" t="str">
        <x:v>N/A</x:v>
      </x:c>
      <x:c r="F826" s="26" t="str">
        <x:v>Same saved validation suite passed on buggy and fixed</x:v>
      </x:c>
      <x:c r="G826" s="25" t="str">
        <x:v>true</x:v>
      </x:c>
      <x:c r="H826" s="25" t="str">
        <x:v>NOT_REVEALING</x:v>
      </x:c>
      <x:c r="I826" s="25" t="str">
        <x:v>PASS</x:v>
      </x:c>
      <x:c r="J826" s="25" t="str">
        <x:v>PASS</x:v>
      </x:c>
      <x:c r="K826" s="25" t="n">
        <x:v>1</x:v>
      </x:c>
      <x:c r="L826" s="27" t="b">
        <x:v>0</x:v>
      </x:c>
      <x:c r="M826" s="25" t="str">
        <x:v>Gemini-3.8-flash/generation_state.json</x:v>
      </x:c>
      <x:c r="N826" s="25" t="str">
        <x:v>Gemini-3.8-flash/Result/Mockito_6/result.json</x:v>
      </x:c>
      <x:c r="O826" s="25" t="str">
        <x:v>Gemini-3.8-flash/Result/Mockito_6/result.json</x:v>
      </x:c>
      <x:c r="P826"/>
      <x:c r="Q826" s="21" t="str"/>
      <x:c r="R826" s="21" t="str"/>
      <x:c r="S826" s="21" t="str"/>
      <x:c r="T826" s="17" t="str">
        <x:v>false</x:v>
      </x:c>
      <x:c r="U826" s="17" t="str">
        <x:v>true</x:v>
      </x:c>
      <x:c r="V826" s="17" t="str">
        <x:v>false</x:v>
      </x:c>
    </x:row>
    <x:row r="827" ht="80" customHeight="1">
      <x:c r="A827" s="25" t="str">
        <x:v>Mockito</x:v>
      </x:c>
      <x:c r="B827" s="25" t="n">
        <x:v>7</x:v>
      </x:c>
      <x:c r="C827" s="25" t="str">
        <x:v>Round1</x:v>
      </x:c>
      <x:c r="D827" s="25" t="str">
        <x:v>NOT_AVAILABLE</x:v>
      </x:c>
      <x:c r="E827" s="25" t="str">
        <x:v>N/A</x:v>
      </x:c>
      <x:c r="F827" s="26" t="str">
        <x:v>Tests exist but current coverage did not complete</x:v>
      </x:c>
      <x:c r="G827" s="25" t="str">
        <x:v>true</x:v>
      </x:c>
      <x:c r="H827" s="25" t="str">
        <x:v>NOT_AVAILABLE</x:v>
      </x:c>
      <x:c r="I827" s="25" t="str">
        <x:v>NOT_RUN</x:v>
      </x:c>
      <x:c r="J827" s="25" t="str">
        <x:v>NOT_RUN</x:v>
      </x:c>
      <x:c r="K827" s="25" t="n">
        <x:v>1</x:v>
      </x:c>
      <x:c r="L827" s="27" t="b">
        <x:v>0</x:v>
      </x:c>
      <x:c r="M827" s="25" t="str">
        <x:v>Gemini-3.8-flash/generation_state.json</x:v>
      </x:c>
      <x:c r="N827" s="25" t="str">
        <x:v>Gemini-3.8-flash/Result/Mockito_7/result.json</x:v>
      </x:c>
      <x:c r="O827" s="25" t="str">
        <x:v>Gemini-3.8-flash/Result/Mockito_7/result.json</x:v>
      </x:c>
      <x:c r="P827" t="str">
        <x:v>BOTH_NOT_RUN</x:v>
      </x:c>
      <x:c r="Q827" s="21" t="str"/>
      <x:c r="R827" s="21" t="str"/>
      <x:c r="S827" s="21" t="str"/>
      <x:c r="T827" s="17" t="str">
        <x:v>false</x:v>
      </x:c>
      <x:c r="U827" s="17" t="str">
        <x:v>true</x:v>
      </x:c>
      <x:c r="V827" s="17" t="str">
        <x:v>false</x:v>
      </x:c>
    </x:row>
    <x:row r="828" ht="80" customHeight="1">
      <x:c r="A828" s="25" t="str">
        <x:v>Mockito</x:v>
      </x:c>
      <x:c r="B828" s="25" t="n">
        <x:v>8</x:v>
      </x:c>
      <x:c r="C828" s="25" t="str">
        <x:v>Round1</x:v>
      </x:c>
      <x:c r="D828" s="25" t="str">
        <x:v>REVEALING</x:v>
      </x:c>
      <x:c r="E828" s="25" t="str">
        <x:v>N/A</x:v>
      </x:c>
      <x:c r="F828" s="26" t="str">
        <x:v>Same saved validation suite failed on buggy and passed on fixed</x:v>
      </x:c>
      <x:c r="G828" s="25" t="str">
        <x:v>true</x:v>
      </x:c>
      <x:c r="H828" s="25" t="str">
        <x:v>REVEALING</x:v>
      </x:c>
      <x:c r="I828" s="25" t="str">
        <x:v>FAIL</x:v>
      </x:c>
      <x:c r="J828" s="25" t="str">
        <x:v>PASS</x:v>
      </x:c>
      <x:c r="K828" s="25" t="n">
        <x:v>1</x:v>
      </x:c>
      <x:c r="L828" s="27" t="b">
        <x:v>0</x:v>
      </x:c>
      <x:c r="M828" s="25" t="str">
        <x:v>Gemini-3.8-flash/generation_state.json</x:v>
      </x:c>
      <x:c r="N828" s="25" t="str">
        <x:v>Gemini-3.8-flash/Result/Mockito_8/result.json</x:v>
      </x:c>
      <x:c r="O828" s="25" t="str">
        <x:v>Gemini-3.8-flash/Result/Mockito_8/result.json</x:v>
      </x:c>
      <x:c r="P828"/>
      <x:c r="Q828" s="21" t="str"/>
      <x:c r="R828" s="21" t="str"/>
      <x:c r="S828" s="21" t="str"/>
      <x:c r="T828" s="17" t="str">
        <x:v>false</x:v>
      </x:c>
      <x:c r="U828" s="17" t="str">
        <x:v>true</x:v>
      </x:c>
      <x:c r="V828" s="17" t="str">
        <x:v>false</x:v>
      </x:c>
    </x:row>
    <x:row r="829" ht="80" customHeight="1">
      <x:c r="A829" s="25" t="str">
        <x:v>Mockito</x:v>
      </x:c>
      <x:c r="B829" s="25" t="n">
        <x:v>9</x:v>
      </x:c>
      <x:c r="C829" s="25" t="str">
        <x:v>Round1</x:v>
      </x:c>
      <x:c r="D829" s="25" t="str">
        <x:v>NOT_AVAILABLE</x:v>
      </x:c>
      <x:c r="E829" s="25" t="str">
        <x:v>N/A</x:v>
      </x:c>
      <x:c r="F829" s="26" t="str">
        <x:v>Tests exist but current coverage did not complete</x:v>
      </x:c>
      <x:c r="G829" s="25" t="str">
        <x:v>true</x:v>
      </x:c>
      <x:c r="H829" s="25" t="str">
        <x:v>NOT_AVAILABLE</x:v>
      </x:c>
      <x:c r="I829" s="25" t="str">
        <x:v>NOT_RUN</x:v>
      </x:c>
      <x:c r="J829" s="25" t="str">
        <x:v>NOT_RUN</x:v>
      </x:c>
      <x:c r="K829" s="25" t="n">
        <x:v>1</x:v>
      </x:c>
      <x:c r="L829" s="27" t="b">
        <x:v>0</x:v>
      </x:c>
      <x:c r="M829" s="25" t="str">
        <x:v>Gemini-3.8-flash/generation_state.json</x:v>
      </x:c>
      <x:c r="N829" s="25" t="str">
        <x:v>Gemini-3.8-flash/Result/Mockito_9/result.json</x:v>
      </x:c>
      <x:c r="O829" s="25" t="str">
        <x:v>Gemini-3.8-flash/Result/Mockito_9/result.json</x:v>
      </x:c>
      <x:c r="P829" t="str">
        <x:v>BOTH_NOT_RUN</x:v>
      </x:c>
      <x:c r="Q829" s="21" t="str"/>
      <x:c r="R829" s="21" t="str"/>
      <x:c r="S829" s="21" t="str"/>
      <x:c r="T829" s="17" t="str">
        <x:v>false</x:v>
      </x:c>
      <x:c r="U829" s="17" t="str">
        <x:v>true</x:v>
      </x:c>
      <x:c r="V829" s="17" t="str">
        <x:v>false</x:v>
      </x:c>
    </x:row>
    <x:row r="830" ht="80" customHeight="1">
      <x:c r="A830" s="25" t="str">
        <x:v>Time</x:v>
      </x:c>
      <x:c r="B830" s="25" t="n">
        <x:v>1</x:v>
      </x:c>
      <x:c r="C830" s="25" t="str">
        <x:v>Round1</x:v>
      </x:c>
      <x:c r="D830" s="25" t="str">
        <x:v>NOT_AVAILABLE</x:v>
      </x:c>
      <x:c r="E830" s="25" t="str">
        <x:v>N/A</x:v>
      </x:c>
      <x:c r="F830" s="26" t="str">
        <x:v>Tests exist but current coverage did not complete</x:v>
      </x:c>
      <x:c r="G830" s="25" t="str">
        <x:v>true</x:v>
      </x:c>
      <x:c r="H830" s="25" t="str">
        <x:v>NOT_AVAILABLE</x:v>
      </x:c>
      <x:c r="I830" s="25" t="str">
        <x:v>NOT_RUN</x:v>
      </x:c>
      <x:c r="J830" s="25" t="str">
        <x:v>NOT_RUN</x:v>
      </x:c>
      <x:c r="K830" s="25" t="n">
        <x:v>2</x:v>
      </x:c>
      <x:c r="L830" s="27" t="b">
        <x:v>0</x:v>
      </x:c>
      <x:c r="M830" s="25" t="str">
        <x:v>Gemini-3.8-flash/generation_state.json</x:v>
      </x:c>
      <x:c r="N830" s="25" t="str">
        <x:v>Gemini-3.8-flash/Result/Time_1/result.json</x:v>
      </x:c>
      <x:c r="O830" s="25" t="str">
        <x:v>Gemini-3.8-flash/Result/Time_1/result.json</x:v>
      </x:c>
      <x:c r="P830" t="str">
        <x:v>BOTH_NOT_RUN</x:v>
      </x:c>
      <x:c r="Q830" s="21" t="str"/>
      <x:c r="R830" s="21" t="str"/>
      <x:c r="S830" s="21" t="str"/>
      <x:c r="T830" s="17" t="str">
        <x:v>false</x:v>
      </x:c>
      <x:c r="U830" s="17" t="str">
        <x:v>true</x:v>
      </x:c>
      <x:c r="V830" s="17" t="str">
        <x:v>false</x:v>
      </x:c>
    </x:row>
    <x:row r="831" ht="80" customHeight="1">
      <x:c r="A831" s="25" t="str">
        <x:v>Time</x:v>
      </x:c>
      <x:c r="B831" s="25" t="n">
        <x:v>10</x:v>
      </x:c>
      <x:c r="C831" s="25" t="str">
        <x:v>Round1</x:v>
      </x:c>
      <x:c r="D831" s="25" t="str">
        <x:v>NOT_REVEALING</x:v>
      </x:c>
      <x:c r="E831" s="25" t="str">
        <x:v>N/A</x:v>
      </x:c>
      <x:c r="F831" s="26" t="str">
        <x:v>Same saved validation suite passed on buggy and fixed</x:v>
      </x:c>
      <x:c r="G831" s="25" t="str">
        <x:v>true</x:v>
      </x:c>
      <x:c r="H831" s="25" t="str">
        <x:v>NOT_REVEALING</x:v>
      </x:c>
      <x:c r="I831" s="25" t="str">
        <x:v>PASS</x:v>
      </x:c>
      <x:c r="J831" s="25" t="str">
        <x:v>PASS</x:v>
      </x:c>
      <x:c r="K831" s="25" t="n">
        <x:v>1</x:v>
      </x:c>
      <x:c r="L831" s="27" t="b">
        <x:v>0</x:v>
      </x:c>
      <x:c r="M831" s="25" t="str">
        <x:v>Gemini-3.8-flash/generation_state.json</x:v>
      </x:c>
      <x:c r="N831" s="25" t="str">
        <x:v>Gemini-3.8-flash/Result/Time_10/result.json</x:v>
      </x:c>
      <x:c r="O831" s="25" t="str">
        <x:v>Gemini-3.8-flash/Result/Time_10/result.json</x:v>
      </x:c>
      <x:c r="P831"/>
      <x:c r="Q831" s="21" t="str"/>
      <x:c r="R831" s="21" t="str"/>
      <x:c r="S831" s="21" t="str"/>
      <x:c r="T831" s="17" t="str">
        <x:v>false</x:v>
      </x:c>
      <x:c r="U831" s="17" t="str">
        <x:v>true</x:v>
      </x:c>
      <x:c r="V831" s="17" t="str">
        <x:v>false</x:v>
      </x:c>
    </x:row>
    <x:row r="832" ht="80" customHeight="1">
      <x:c r="A832" s="25" t="str">
        <x:v>Time</x:v>
      </x:c>
      <x:c r="B832" s="25" t="n">
        <x:v>11</x:v>
      </x:c>
      <x:c r="C832" s="25" t="str">
        <x:v>Round1</x:v>
      </x:c>
      <x:c r="D832" s="25" t="str">
        <x:v>INCONCLUSIVE</x:v>
      </x:c>
      <x:c r="E832" s="25" t="str">
        <x:v>N/A</x:v>
      </x:c>
      <x:c r="F832" s="26" t="str">
        <x:v>Fixed also failed; assertion failure cannot be attributed to this bug</x:v>
      </x:c>
      <x:c r="G832" s="25" t="str">
        <x:v>true</x:v>
      </x:c>
      <x:c r="H832" s="25" t="str">
        <x:v>INCONCLUSIVE</x:v>
      </x:c>
      <x:c r="I832" s="25" t="str">
        <x:v>FAIL</x:v>
      </x:c>
      <x:c r="J832" s="25" t="str">
        <x:v>FAIL</x:v>
      </x:c>
      <x:c r="K832" s="25" t="n">
        <x:v>1</x:v>
      </x:c>
      <x:c r="L832" s="27" t="b">
        <x:v>0</x:v>
      </x:c>
      <x:c r="M832" s="25" t="str">
        <x:v>Gemini-3.8-flash/generation_state.json</x:v>
      </x:c>
      <x:c r="N832" s="25" t="str">
        <x:v>Gemini-3.8-flash/Result/Time_11/result.json</x:v>
      </x:c>
      <x:c r="O832" s="25" t="str">
        <x:v>Gemini-3.8-flash/Result/Time_11/result.json</x:v>
      </x:c>
      <x:c r="P832"/>
      <x:c r="Q832" s="21" t="str"/>
      <x:c r="R832" s="21" t="str"/>
      <x:c r="S832" s="21" t="str"/>
      <x:c r="T832" s="17" t="str">
        <x:v>false</x:v>
      </x:c>
      <x:c r="U832" s="17" t="str">
        <x:v>true</x:v>
      </x:c>
      <x:c r="V832" s="17" t="str">
        <x:v>false</x:v>
      </x:c>
    </x:row>
    <x:row r="833" ht="80" customHeight="1">
      <x:c r="A833" s="25" t="str">
        <x:v>Time</x:v>
      </x:c>
      <x:c r="B833" s="25" t="n">
        <x:v>12</x:v>
      </x:c>
      <x:c r="C833" s="25" t="str">
        <x:v>Round1</x:v>
      </x:c>
      <x:c r="D833" s="25" t="str">
        <x:v>NOT_AVAILABLE</x:v>
      </x:c>
      <x:c r="E833" s="25" t="str">
        <x:v>N/A</x:v>
      </x:c>
      <x:c r="F833" s="26" t="str">
        <x:v>Tests exist but current coverage did not complete</x:v>
      </x:c>
      <x:c r="G833" s="25" t="str">
        <x:v>true</x:v>
      </x:c>
      <x:c r="H833" s="25" t="str">
        <x:v>NOT_AVAILABLE</x:v>
      </x:c>
      <x:c r="I833" s="25" t="str">
        <x:v>NOT_RUN</x:v>
      </x:c>
      <x:c r="J833" s="25" t="str">
        <x:v>NOT_RUN</x:v>
      </x:c>
      <x:c r="K833" s="25" t="n">
        <x:v>2</x:v>
      </x:c>
      <x:c r="L833" s="27" t="b">
        <x:v>0</x:v>
      </x:c>
      <x:c r="M833" s="25" t="str">
        <x:v>Gemini-3.8-flash/generation_state.json</x:v>
      </x:c>
      <x:c r="N833" s="25" t="str">
        <x:v>Gemini-3.8-flash/Result/Time_12/result.json</x:v>
      </x:c>
      <x:c r="O833" s="25" t="str">
        <x:v>Gemini-3.8-flash/Result/Time_12/result.json</x:v>
      </x:c>
      <x:c r="P833" t="str">
        <x:v>BOTH_NOT_RUN</x:v>
      </x:c>
      <x:c r="Q833" s="21" t="str"/>
      <x:c r="R833" s="21" t="str"/>
      <x:c r="S833" s="21" t="str"/>
      <x:c r="T833" s="17" t="str">
        <x:v>false</x:v>
      </x:c>
      <x:c r="U833" s="17" t="str">
        <x:v>true</x:v>
      </x:c>
      <x:c r="V833" s="17" t="str">
        <x:v>false</x:v>
      </x:c>
    </x:row>
    <x:row r="834" ht="80" customHeight="1">
      <x:c r="A834" s="25" t="str">
        <x:v>Time</x:v>
      </x:c>
      <x:c r="B834" s="25" t="n">
        <x:v>13</x:v>
      </x:c>
      <x:c r="C834" s="25" t="str">
        <x:v>Round1</x:v>
      </x:c>
      <x:c r="D834" s="25" t="str">
        <x:v>NOT_AVAILABLE</x:v>
      </x:c>
      <x:c r="E834" s="25" t="str">
        <x:v>N/A</x:v>
      </x:c>
      <x:c r="F834" s="26" t="str">
        <x:v>Tests exist but current coverage did not complete</x:v>
      </x:c>
      <x:c r="G834" s="25" t="str">
        <x:v>true</x:v>
      </x:c>
      <x:c r="H834" s="25" t="str">
        <x:v>NOT_AVAILABLE</x:v>
      </x:c>
      <x:c r="I834" s="25" t="str">
        <x:v>NOT_RUN</x:v>
      </x:c>
      <x:c r="J834" s="25" t="str">
        <x:v>NOT_RUN</x:v>
      </x:c>
      <x:c r="K834" s="25" t="n">
        <x:v>1</x:v>
      </x:c>
      <x:c r="L834" s="27" t="b">
        <x:v>0</x:v>
      </x:c>
      <x:c r="M834" s="25" t="str">
        <x:v>Gemini-3.8-flash/generation_state.json</x:v>
      </x:c>
      <x:c r="N834" s="25" t="str">
        <x:v>Gemini-3.8-flash/Result/Time_13/result.json</x:v>
      </x:c>
      <x:c r="O834" s="25" t="str">
        <x:v>Gemini-3.8-flash/Result/Time_13/result.json</x:v>
      </x:c>
      <x:c r="P834" t="str">
        <x:v>BOTH_NOT_RUN</x:v>
      </x:c>
      <x:c r="Q834" s="21" t="str"/>
      <x:c r="R834" s="21" t="str"/>
      <x:c r="S834" s="21" t="str"/>
      <x:c r="T834" s="17" t="str">
        <x:v>false</x:v>
      </x:c>
      <x:c r="U834" s="17" t="str">
        <x:v>true</x:v>
      </x:c>
      <x:c r="V834" s="17" t="str">
        <x:v>false</x:v>
      </x:c>
    </x:row>
    <x:row r="835" ht="80" customHeight="1">
      <x:c r="A835" s="25" t="str">
        <x:v>Time</x:v>
      </x:c>
      <x:c r="B835" s="25" t="n">
        <x:v>14</x:v>
      </x:c>
      <x:c r="C835" s="25" t="str">
        <x:v>Round1</x:v>
      </x:c>
      <x:c r="D835" s="25" t="str">
        <x:v>NOT_AVAILABLE</x:v>
      </x:c>
      <x:c r="E835" s="25" t="str">
        <x:v>N/A</x:v>
      </x:c>
      <x:c r="F835" s="26" t="str">
        <x:v>Tests exist but current coverage did not complete</x:v>
      </x:c>
      <x:c r="G835" s="25" t="str">
        <x:v>true</x:v>
      </x:c>
      <x:c r="H835" s="25" t="str">
        <x:v>NOT_AVAILABLE</x:v>
      </x:c>
      <x:c r="I835" s="25" t="str">
        <x:v>NOT_RUN</x:v>
      </x:c>
      <x:c r="J835" s="25" t="str">
        <x:v>NOT_RUN</x:v>
      </x:c>
      <x:c r="K835" s="25" t="n">
        <x:v>1</x:v>
      </x:c>
      <x:c r="L835" s="27" t="b">
        <x:v>0</x:v>
      </x:c>
      <x:c r="M835" s="25" t="str">
        <x:v>Gemini-3.8-flash/generation_state.json</x:v>
      </x:c>
      <x:c r="N835" s="25" t="str">
        <x:v>Gemini-3.8-flash/Result/Time_14/result.json</x:v>
      </x:c>
      <x:c r="O835" s="25" t="str">
        <x:v>Gemini-3.8-flash/Result/Time_14/result.json</x:v>
      </x:c>
      <x:c r="P835" t="str">
        <x:v>BOTH_NOT_RUN</x:v>
      </x:c>
      <x:c r="Q835" s="21" t="str"/>
      <x:c r="R835" s="21" t="str"/>
      <x:c r="S835" s="21" t="str"/>
      <x:c r="T835" s="17" t="str">
        <x:v>false</x:v>
      </x:c>
      <x:c r="U835" s="17" t="str">
        <x:v>true</x:v>
      </x:c>
      <x:c r="V835" s="17" t="str">
        <x:v>false</x:v>
      </x:c>
    </x:row>
    <x:row r="836" ht="80" customHeight="1">
      <x:c r="A836" s="25" t="str">
        <x:v>Time</x:v>
      </x:c>
      <x:c r="B836" s="25" t="n">
        <x:v>15</x:v>
      </x:c>
      <x:c r="C836" s="25" t="str">
        <x:v>Round1</x:v>
      </x:c>
      <x:c r="D836" s="25" t="str">
        <x:v>INCONCLUSIVE</x:v>
      </x:c>
      <x:c r="E836" s="25" t="str">
        <x:v>N/A</x:v>
      </x:c>
      <x:c r="F836" s="26" t="str">
        <x:v>Fixed also failed; assertion failure cannot be attributed to this bug</x:v>
      </x:c>
      <x:c r="G836" s="25" t="str">
        <x:v>true</x:v>
      </x:c>
      <x:c r="H836" s="25" t="str">
        <x:v>INCONCLUSIVE</x:v>
      </x:c>
      <x:c r="I836" s="25" t="str">
        <x:v>FAIL</x:v>
      </x:c>
      <x:c r="J836" s="25" t="str">
        <x:v>FAIL</x:v>
      </x:c>
      <x:c r="K836" s="25" t="n">
        <x:v>1</x:v>
      </x:c>
      <x:c r="L836" s="27" t="b">
        <x:v>0</x:v>
      </x:c>
      <x:c r="M836" s="25" t="str">
        <x:v>Gemini-3.8-flash/generation_state.json</x:v>
      </x:c>
      <x:c r="N836" s="25" t="str">
        <x:v>Gemini-3.8-flash/Result/Time_15/result.json</x:v>
      </x:c>
      <x:c r="O836" s="25" t="str">
        <x:v>Gemini-3.8-flash/Result/Time_15/result.json</x:v>
      </x:c>
      <x:c r="P836"/>
      <x:c r="Q836" s="21" t="str"/>
      <x:c r="R836" s="21" t="str"/>
      <x:c r="S836" s="21" t="str"/>
      <x:c r="T836" s="17" t="str">
        <x:v>false</x:v>
      </x:c>
      <x:c r="U836" s="17" t="str">
        <x:v>true</x:v>
      </x:c>
      <x:c r="V836" s="17" t="str">
        <x:v>false</x:v>
      </x:c>
    </x:row>
    <x:row r="837" ht="80" customHeight="1">
      <x:c r="A837" s="25" t="str">
        <x:v>Time</x:v>
      </x:c>
      <x:c r="B837" s="25" t="n">
        <x:v>16</x:v>
      </x:c>
      <x:c r="C837" s="25" t="str">
        <x:v>Round1</x:v>
      </x:c>
      <x:c r="D837" s="25" t="str">
        <x:v>INCONCLUSIVE</x:v>
      </x:c>
      <x:c r="E837" s="25" t="str">
        <x:v>N/A</x:v>
      </x:c>
      <x:c r="F837" s="26" t="str">
        <x:v>Fixed also failed; assertion failure cannot be attributed to this bug</x:v>
      </x:c>
      <x:c r="G837" s="25" t="str">
        <x:v>true</x:v>
      </x:c>
      <x:c r="H837" s="25" t="str">
        <x:v>INCONCLUSIVE</x:v>
      </x:c>
      <x:c r="I837" s="25" t="str">
        <x:v>FAIL</x:v>
      </x:c>
      <x:c r="J837" s="25" t="str">
        <x:v>FAIL</x:v>
      </x:c>
      <x:c r="K837" s="25" t="n">
        <x:v>1</x:v>
      </x:c>
      <x:c r="L837" s="27" t="b">
        <x:v>0</x:v>
      </x:c>
      <x:c r="M837" s="25" t="str">
        <x:v>Gemini-3.8-flash/generation_state.json</x:v>
      </x:c>
      <x:c r="N837" s="25" t="str">
        <x:v>Gemini-3.8-flash/Result/Time_16/result.json</x:v>
      </x:c>
      <x:c r="O837" s="25" t="str">
        <x:v>Gemini-3.8-flash/Result/Time_16/result.json</x:v>
      </x:c>
      <x:c r="P837"/>
      <x:c r="Q837" s="21" t="str"/>
      <x:c r="R837" s="21" t="str"/>
      <x:c r="S837" s="21" t="str"/>
      <x:c r="T837" s="17" t="str">
        <x:v>false</x:v>
      </x:c>
      <x:c r="U837" s="17" t="str">
        <x:v>true</x:v>
      </x:c>
      <x:c r="V837" s="17" t="str">
        <x:v>false</x:v>
      </x:c>
    </x:row>
    <x:row r="838" ht="80" customHeight="1">
      <x:c r="A838" s="25" t="str">
        <x:v>Time</x:v>
      </x:c>
      <x:c r="B838" s="25" t="n">
        <x:v>17</x:v>
      </x:c>
      <x:c r="C838" s="25" t="str">
        <x:v>Round1</x:v>
      </x:c>
      <x:c r="D838" s="25" t="str">
        <x:v>NOT_AVAILABLE</x:v>
      </x:c>
      <x:c r="E838" s="25" t="str">
        <x:v>N/A</x:v>
      </x:c>
      <x:c r="F838" s="26" t="str">
        <x:v>Tests exist but current coverage did not complete</x:v>
      </x:c>
      <x:c r="G838" s="25" t="str">
        <x:v>true</x:v>
      </x:c>
      <x:c r="H838" s="25" t="str">
        <x:v>NOT_AVAILABLE</x:v>
      </x:c>
      <x:c r="I838" s="25" t="str">
        <x:v>NOT_RUN</x:v>
      </x:c>
      <x:c r="J838" s="25" t="str">
        <x:v>NOT_RUN</x:v>
      </x:c>
      <x:c r="K838" s="25" t="n">
        <x:v>1</x:v>
      </x:c>
      <x:c r="L838" s="27" t="b">
        <x:v>0</x:v>
      </x:c>
      <x:c r="M838" s="25" t="str">
        <x:v>Gemini-3.8-flash/generation_state.json</x:v>
      </x:c>
      <x:c r="N838" s="25" t="str">
        <x:v>Gemini-3.8-flash/Result/Time_17/result.json</x:v>
      </x:c>
      <x:c r="O838" s="25" t="str">
        <x:v>Gemini-3.8-flash/Result/Time_17/result.json</x:v>
      </x:c>
      <x:c r="P838" t="str">
        <x:v>BOTH_NOT_RUN</x:v>
      </x:c>
      <x:c r="Q838" s="21" t="str"/>
      <x:c r="R838" s="21" t="str"/>
      <x:c r="S838" s="21" t="str"/>
      <x:c r="T838" s="17" t="str">
        <x:v>false</x:v>
      </x:c>
      <x:c r="U838" s="17" t="str">
        <x:v>true</x:v>
      </x:c>
      <x:c r="V838" s="17" t="str">
        <x:v>false</x:v>
      </x:c>
    </x:row>
    <x:row r="839" ht="80" customHeight="1">
      <x:c r="A839" s="25" t="str">
        <x:v>Time</x:v>
      </x:c>
      <x:c r="B839" s="25" t="n">
        <x:v>18</x:v>
      </x:c>
      <x:c r="C839" s="25" t="str">
        <x:v>Round1</x:v>
      </x:c>
      <x:c r="D839" s="25" t="str">
        <x:v>NOT_AVAILABLE</x:v>
      </x:c>
      <x:c r="E839" s="25" t="str">
        <x:v>N/A</x:v>
      </x:c>
      <x:c r="F839" s="26" t="str">
        <x:v>Tests exist but current coverage did not complete</x:v>
      </x:c>
      <x:c r="G839" s="25" t="str">
        <x:v>true</x:v>
      </x:c>
      <x:c r="H839" s="25" t="str">
        <x:v>NOT_AVAILABLE</x:v>
      </x:c>
      <x:c r="I839" s="25" t="str">
        <x:v>NOT_RUN</x:v>
      </x:c>
      <x:c r="J839" s="25" t="str">
        <x:v>NOT_RUN</x:v>
      </x:c>
      <x:c r="K839" s="25" t="n">
        <x:v>1</x:v>
      </x:c>
      <x:c r="L839" s="27" t="b">
        <x:v>0</x:v>
      </x:c>
      <x:c r="M839" s="25" t="str">
        <x:v>Gemini-3.8-flash/generation_state.json</x:v>
      </x:c>
      <x:c r="N839" s="25" t="str">
        <x:v>Gemini-3.8-flash/Result/Time_18/result.json</x:v>
      </x:c>
      <x:c r="O839" s="25" t="str">
        <x:v>Gemini-3.8-flash/Result/Time_18/result.json</x:v>
      </x:c>
      <x:c r="P839" t="str">
        <x:v>BOTH_NOT_RUN</x:v>
      </x:c>
      <x:c r="Q839" s="21" t="str"/>
      <x:c r="R839" s="21" t="str"/>
      <x:c r="S839" s="21" t="str"/>
      <x:c r="T839" s="17" t="str">
        <x:v>false</x:v>
      </x:c>
      <x:c r="U839" s="17" t="str">
        <x:v>true</x:v>
      </x:c>
      <x:c r="V839" s="17" t="str">
        <x:v>false</x:v>
      </x:c>
    </x:row>
    <x:row r="840" ht="80" customHeight="1">
      <x:c r="A840" s="25" t="str">
        <x:v>Time</x:v>
      </x:c>
      <x:c r="B840" s="25" t="n">
        <x:v>19</x:v>
      </x:c>
      <x:c r="C840" s="25" t="str">
        <x:v>Round1</x:v>
      </x:c>
      <x:c r="D840" s="25" t="str">
        <x:v>INCONCLUSIVE</x:v>
      </x:c>
      <x:c r="E840" s="25" t="str">
        <x:v>N/A</x:v>
      </x:c>
      <x:c r="F840" s="26" t="str">
        <x:v>Fixed also failed; assertion failure cannot be attributed to this bug</x:v>
      </x:c>
      <x:c r="G840" s="25" t="str">
        <x:v>true</x:v>
      </x:c>
      <x:c r="H840" s="25" t="str">
        <x:v>INCONCLUSIVE</x:v>
      </x:c>
      <x:c r="I840" s="25" t="str">
        <x:v>FAIL</x:v>
      </x:c>
      <x:c r="J840" s="25" t="str">
        <x:v>FAIL</x:v>
      </x:c>
      <x:c r="K840" s="25" t="n">
        <x:v>1</x:v>
      </x:c>
      <x:c r="L840" s="27" t="b">
        <x:v>0</x:v>
      </x:c>
      <x:c r="M840" s="25" t="str">
        <x:v>Gemini-3.8-flash/generation_state.json</x:v>
      </x:c>
      <x:c r="N840" s="25" t="str">
        <x:v>Gemini-3.8-flash/Result/Time_19/result.json</x:v>
      </x:c>
      <x:c r="O840" s="25" t="str">
        <x:v>Gemini-3.8-flash/Result/Time_19/result.json</x:v>
      </x:c>
      <x:c r="P840"/>
      <x:c r="Q840" s="21" t="str"/>
      <x:c r="R840" s="21" t="str"/>
      <x:c r="S840" s="21" t="str"/>
      <x:c r="T840" s="17" t="str">
        <x:v>false</x:v>
      </x:c>
      <x:c r="U840" s="17" t="str">
        <x:v>true</x:v>
      </x:c>
      <x:c r="V840" s="17" t="str">
        <x:v>false</x:v>
      </x:c>
    </x:row>
    <x:row r="841" ht="80" customHeight="1">
      <x:c r="A841" s="25" t="str">
        <x:v>Time</x:v>
      </x:c>
      <x:c r="B841" s="25" t="n">
        <x:v>2</x:v>
      </x:c>
      <x:c r="C841" s="25" t="str">
        <x:v>Round1</x:v>
      </x:c>
      <x:c r="D841" s="25" t="str">
        <x:v>NOT_AVAILABLE</x:v>
      </x:c>
      <x:c r="E841" s="25" t="str">
        <x:v>N/A</x:v>
      </x:c>
      <x:c r="F841" s="26" t="str">
        <x:v>Tests exist but current coverage did not complete</x:v>
      </x:c>
      <x:c r="G841" s="25" t="str">
        <x:v>true</x:v>
      </x:c>
      <x:c r="H841" s="25" t="str">
        <x:v>NOT_AVAILABLE</x:v>
      </x:c>
      <x:c r="I841" s="25" t="str">
        <x:v>NOT_RUN</x:v>
      </x:c>
      <x:c r="J841" s="25" t="str">
        <x:v>NOT_RUN</x:v>
      </x:c>
      <x:c r="K841" s="25" t="n">
        <x:v>2</x:v>
      </x:c>
      <x:c r="L841" s="27" t="b">
        <x:v>0</x:v>
      </x:c>
      <x:c r="M841" s="25" t="str">
        <x:v>Gemini-3.8-flash/generation_state.json</x:v>
      </x:c>
      <x:c r="N841" s="25" t="str">
        <x:v>Gemini-3.8-flash/Result/Time_2/result.json</x:v>
      </x:c>
      <x:c r="O841" s="25" t="str">
        <x:v>Gemini-3.8-flash/Result/Time_2/result.json</x:v>
      </x:c>
      <x:c r="P841" t="str">
        <x:v>BOTH_NOT_RUN</x:v>
      </x:c>
      <x:c r="Q841" s="21" t="str"/>
      <x:c r="R841" s="21" t="str"/>
      <x:c r="S841" s="21" t="str"/>
      <x:c r="T841" s="17" t="str">
        <x:v>false</x:v>
      </x:c>
      <x:c r="U841" s="17" t="str">
        <x:v>true</x:v>
      </x:c>
      <x:c r="V841" s="17" t="str">
        <x:v>false</x:v>
      </x:c>
    </x:row>
    <x:row r="842" ht="80" customHeight="1">
      <x:c r="A842" s="25" t="str">
        <x:v>Time</x:v>
      </x:c>
      <x:c r="B842" s="25" t="n">
        <x:v>20</x:v>
      </x:c>
      <x:c r="C842" s="25" t="str">
        <x:v>Round1</x:v>
      </x:c>
      <x:c r="D842" s="25" t="str">
        <x:v>INCONCLUSIVE</x:v>
      </x:c>
      <x:c r="E842" s="25" t="str">
        <x:v>N/A</x:v>
      </x:c>
      <x:c r="F842" s="26" t="str">
        <x:v>Fixed also failed; assertion failure cannot be attributed to this bug</x:v>
      </x:c>
      <x:c r="G842" s="25" t="str">
        <x:v>true</x:v>
      </x:c>
      <x:c r="H842" s="25" t="str">
        <x:v>INCONCLUSIVE</x:v>
      </x:c>
      <x:c r="I842" s="25" t="str">
        <x:v>FAIL</x:v>
      </x:c>
      <x:c r="J842" s="25" t="str">
        <x:v>FAIL</x:v>
      </x:c>
      <x:c r="K842" s="25" t="n">
        <x:v>1</x:v>
      </x:c>
      <x:c r="L842" s="27" t="b">
        <x:v>0</x:v>
      </x:c>
      <x:c r="M842" s="25" t="str">
        <x:v>Gemini-3.8-flash/generation_state.json</x:v>
      </x:c>
      <x:c r="N842" s="25" t="str">
        <x:v>Gemini-3.8-flash/Result/Time_20/result.json</x:v>
      </x:c>
      <x:c r="O842" s="25" t="str">
        <x:v>Gemini-3.8-flash/Result/Time_20/result.json</x:v>
      </x:c>
      <x:c r="P842"/>
      <x:c r="Q842" s="21" t="str"/>
      <x:c r="R842" s="21" t="str"/>
      <x:c r="S842" s="21" t="str"/>
      <x:c r="T842" s="17" t="str">
        <x:v>false</x:v>
      </x:c>
      <x:c r="U842" s="17" t="str">
        <x:v>true</x:v>
      </x:c>
      <x:c r="V842" s="17" t="str">
        <x:v>false</x:v>
      </x:c>
    </x:row>
    <x:row r="843" ht="80" customHeight="1">
      <x:c r="A843" s="25" t="str">
        <x:v>Time</x:v>
      </x:c>
      <x:c r="B843" s="25" t="n">
        <x:v>22</x:v>
      </x:c>
      <x:c r="C843" s="25" t="str">
        <x:v>Round1</x:v>
      </x:c>
      <x:c r="D843" s="25" t="str">
        <x:v>NOT_AVAILABLE</x:v>
      </x:c>
      <x:c r="E843" s="25" t="str">
        <x:v>N/A</x:v>
      </x:c>
      <x:c r="F843" s="26" t="str">
        <x:v>Tests exist but current coverage did not complete</x:v>
      </x:c>
      <x:c r="G843" s="25" t="str">
        <x:v>true</x:v>
      </x:c>
      <x:c r="H843" s="25" t="str">
        <x:v>NOT_AVAILABLE</x:v>
      </x:c>
      <x:c r="I843" s="25" t="str">
        <x:v>NOT_RUN</x:v>
      </x:c>
      <x:c r="J843" s="25" t="str">
        <x:v>NOT_RUN</x:v>
      </x:c>
      <x:c r="K843" s="25" t="n">
        <x:v>1</x:v>
      </x:c>
      <x:c r="L843" s="27" t="b">
        <x:v>0</x:v>
      </x:c>
      <x:c r="M843" s="25" t="str">
        <x:v>Gemini-3.8-flash/generation_state.json</x:v>
      </x:c>
      <x:c r="N843" s="25" t="str">
        <x:v>Gemini-3.8-flash/Result/Time_22/result.json</x:v>
      </x:c>
      <x:c r="O843" s="25" t="str">
        <x:v>Gemini-3.8-flash/Result/Time_22/result.json</x:v>
      </x:c>
      <x:c r="P843" t="str">
        <x:v>BOTH_NOT_RUN</x:v>
      </x:c>
      <x:c r="Q843" s="21" t="str"/>
      <x:c r="R843" s="21" t="str"/>
      <x:c r="S843" s="21" t="str"/>
      <x:c r="T843" s="17" t="str">
        <x:v>false</x:v>
      </x:c>
      <x:c r="U843" s="17" t="str">
        <x:v>true</x:v>
      </x:c>
      <x:c r="V843" s="17" t="str">
        <x:v>false</x:v>
      </x:c>
    </x:row>
    <x:row r="844" ht="80" customHeight="1">
      <x:c r="A844" s="25" t="str">
        <x:v>Time</x:v>
      </x:c>
      <x:c r="B844" s="25" t="n">
        <x:v>23</x:v>
      </x:c>
      <x:c r="C844" s="25" t="str">
        <x:v>Round1</x:v>
      </x:c>
      <x:c r="D844" s="25" t="str">
        <x:v>NOT_AVAILABLE</x:v>
      </x:c>
      <x:c r="E844" s="25" t="str">
        <x:v>N/A</x:v>
      </x:c>
      <x:c r="F844" s="26" t="str">
        <x:v>Tests exist but current coverage did not complete</x:v>
      </x:c>
      <x:c r="G844" s="25" t="str">
        <x:v>true</x:v>
      </x:c>
      <x:c r="H844" s="25" t="str">
        <x:v>NOT_AVAILABLE</x:v>
      </x:c>
      <x:c r="I844" s="25" t="str">
        <x:v>NOT_RUN</x:v>
      </x:c>
      <x:c r="J844" s="25" t="str">
        <x:v>NOT_RUN</x:v>
      </x:c>
      <x:c r="K844" s="25" t="n">
        <x:v>1</x:v>
      </x:c>
      <x:c r="L844" s="27" t="b">
        <x:v>0</x:v>
      </x:c>
      <x:c r="M844" s="25" t="str">
        <x:v>Gemini-3.8-flash/generation_state.json</x:v>
      </x:c>
      <x:c r="N844" s="25" t="str">
        <x:v>Gemini-3.8-flash/Result/Time_23/result.json</x:v>
      </x:c>
      <x:c r="O844" s="25" t="str">
        <x:v>Gemini-3.8-flash/Result/Time_23/result.json</x:v>
      </x:c>
      <x:c r="P844" t="str">
        <x:v>BOTH_NOT_RUN</x:v>
      </x:c>
      <x:c r="Q844" s="21" t="str"/>
      <x:c r="R844" s="21" t="str"/>
      <x:c r="S844" s="21" t="str"/>
      <x:c r="T844" s="17" t="str">
        <x:v>false</x:v>
      </x:c>
      <x:c r="U844" s="17" t="str">
        <x:v>true</x:v>
      </x:c>
      <x:c r="V844" s="17" t="str">
        <x:v>false</x:v>
      </x:c>
    </x:row>
    <x:row r="845" ht="80" customHeight="1">
      <x:c r="A845" s="25" t="str">
        <x:v>Time</x:v>
      </x:c>
      <x:c r="B845" s="25" t="n">
        <x:v>24</x:v>
      </x:c>
      <x:c r="C845" s="25" t="str">
        <x:v>Round1</x:v>
      </x:c>
      <x:c r="D845" s="25" t="str">
        <x:v>INCONCLUSIVE</x:v>
      </x:c>
      <x:c r="E845" s="25" t="str">
        <x:v>N/A</x:v>
      </x:c>
      <x:c r="F845" s="26" t="str">
        <x:v>Fixed also failed; assertion failure cannot be attributed to this bug</x:v>
      </x:c>
      <x:c r="G845" s="25" t="str">
        <x:v>true</x:v>
      </x:c>
      <x:c r="H845" s="25" t="str">
        <x:v>INCONCLUSIVE</x:v>
      </x:c>
      <x:c r="I845" s="25" t="str">
        <x:v>FAIL</x:v>
      </x:c>
      <x:c r="J845" s="25" t="str">
        <x:v>FAIL</x:v>
      </x:c>
      <x:c r="K845" s="25" t="n">
        <x:v>1</x:v>
      </x:c>
      <x:c r="L845" s="27" t="b">
        <x:v>0</x:v>
      </x:c>
      <x:c r="M845" s="25" t="str">
        <x:v>Gemini-3.8-flash/generation_state.json</x:v>
      </x:c>
      <x:c r="N845" s="25" t="str">
        <x:v>Gemini-3.8-flash/Result/Time_24/result.json</x:v>
      </x:c>
      <x:c r="O845" s="25" t="str">
        <x:v>Gemini-3.8-flash/Result/Time_24/result.json</x:v>
      </x:c>
      <x:c r="P845"/>
      <x:c r="Q845" s="21" t="str"/>
      <x:c r="R845" s="21" t="str"/>
      <x:c r="S845" s="21" t="str"/>
      <x:c r="T845" s="17" t="str">
        <x:v>false</x:v>
      </x:c>
      <x:c r="U845" s="17" t="str">
        <x:v>true</x:v>
      </x:c>
      <x:c r="V845" s="17" t="str">
        <x:v>false</x:v>
      </x:c>
    </x:row>
    <x:row r="846" ht="80" customHeight="1">
      <x:c r="A846" s="25" t="str">
        <x:v>Time</x:v>
      </x:c>
      <x:c r="B846" s="25" t="n">
        <x:v>25</x:v>
      </x:c>
      <x:c r="C846" s="25" t="str">
        <x:v>Round1</x:v>
      </x:c>
      <x:c r="D846" s="25" t="str">
        <x:v>NOT_AVAILABLE</x:v>
      </x:c>
      <x:c r="E846" s="25" t="str">
        <x:v>N/A</x:v>
      </x:c>
      <x:c r="F846" s="26" t="str">
        <x:v>Tests exist but current coverage did not complete</x:v>
      </x:c>
      <x:c r="G846" s="25" t="str">
        <x:v>true</x:v>
      </x:c>
      <x:c r="H846" s="25" t="str">
        <x:v>NOT_AVAILABLE</x:v>
      </x:c>
      <x:c r="I846" s="25" t="str">
        <x:v>NOT_RUN</x:v>
      </x:c>
      <x:c r="J846" s="25" t="str">
        <x:v>NOT_RUN</x:v>
      </x:c>
      <x:c r="K846" s="25" t="n">
        <x:v>1</x:v>
      </x:c>
      <x:c r="L846" s="27" t="b">
        <x:v>0</x:v>
      </x:c>
      <x:c r="M846" s="25" t="str">
        <x:v>Gemini-3.8-flash/generation_state.json</x:v>
      </x:c>
      <x:c r="N846" s="25" t="str">
        <x:v>Gemini-3.8-flash/Result/Time_25/result.json</x:v>
      </x:c>
      <x:c r="O846" s="25" t="str">
        <x:v>Gemini-3.8-flash/Result/Time_25/result.json</x:v>
      </x:c>
      <x:c r="P846" t="str">
        <x:v>BOTH_NOT_RUN</x:v>
      </x:c>
      <x:c r="Q846" s="21" t="str"/>
      <x:c r="R846" s="21" t="str"/>
      <x:c r="S846" s="21" t="str"/>
      <x:c r="T846" s="17" t="str">
        <x:v>false</x:v>
      </x:c>
      <x:c r="U846" s="17" t="str">
        <x:v>true</x:v>
      </x:c>
      <x:c r="V846" s="17" t="str">
        <x:v>false</x:v>
      </x:c>
    </x:row>
    <x:row r="847" ht="80" customHeight="1">
      <x:c r="A847" s="25" t="str">
        <x:v>Time</x:v>
      </x:c>
      <x:c r="B847" s="25" t="n">
        <x:v>26</x:v>
      </x:c>
      <x:c r="C847" s="25" t="str">
        <x:v>Round1</x:v>
      </x:c>
      <x:c r="D847" s="25" t="str">
        <x:v>NOT_AVAILABLE</x:v>
      </x:c>
      <x:c r="E847" s="25" t="str">
        <x:v>N/A</x:v>
      </x:c>
      <x:c r="F847" s="26" t="str">
        <x:v>Tests exist but current coverage did not complete</x:v>
      </x:c>
      <x:c r="G847" s="25" t="str">
        <x:v>true</x:v>
      </x:c>
      <x:c r="H847" s="25" t="str">
        <x:v>NOT_AVAILABLE</x:v>
      </x:c>
      <x:c r="I847" s="25" t="str">
        <x:v>NOT_RUN</x:v>
      </x:c>
      <x:c r="J847" s="25" t="str">
        <x:v>NOT_RUN</x:v>
      </x:c>
      <x:c r="K847" s="25" t="n">
        <x:v>3</x:v>
      </x:c>
      <x:c r="L847" s="27" t="b">
        <x:v>0</x:v>
      </x:c>
      <x:c r="M847" s="25" t="str">
        <x:v>Gemini-3.8-flash/generation_state.json</x:v>
      </x:c>
      <x:c r="N847" s="25" t="str">
        <x:v>Gemini-3.8-flash/Result/Time_26/result.json</x:v>
      </x:c>
      <x:c r="O847" s="25" t="str">
        <x:v>Gemini-3.8-flash/Result/Time_26/result.json</x:v>
      </x:c>
      <x:c r="P847" t="str">
        <x:v>BOTH_NOT_RUN</x:v>
      </x:c>
      <x:c r="Q847" s="21" t="str"/>
      <x:c r="R847" s="21" t="str"/>
      <x:c r="S847" s="21" t="str"/>
      <x:c r="T847" s="17" t="str">
        <x:v>false</x:v>
      </x:c>
      <x:c r="U847" s="17" t="str">
        <x:v>true</x:v>
      </x:c>
      <x:c r="V847" s="17" t="str">
        <x:v>false</x:v>
      </x:c>
    </x:row>
    <x:row r="848" ht="80" customHeight="1">
      <x:c r="A848" s="25" t="str">
        <x:v>Time</x:v>
      </x:c>
      <x:c r="B848" s="25" t="n">
        <x:v>27</x:v>
      </x:c>
      <x:c r="C848" s="25" t="str">
        <x:v>Round1</x:v>
      </x:c>
      <x:c r="D848" s="25" t="str">
        <x:v>NOT_AVAILABLE</x:v>
      </x:c>
      <x:c r="E848" s="25" t="str">
        <x:v>N/A</x:v>
      </x:c>
      <x:c r="F848" s="26" t="str">
        <x:v>Tests exist but current coverage did not complete</x:v>
      </x:c>
      <x:c r="G848" s="25" t="str">
        <x:v>true</x:v>
      </x:c>
      <x:c r="H848" s="25" t="str">
        <x:v>NOT_AVAILABLE</x:v>
      </x:c>
      <x:c r="I848" s="25" t="str">
        <x:v>NOT_RUN</x:v>
      </x:c>
      <x:c r="J848" s="25" t="str">
        <x:v>NOT_RUN</x:v>
      </x:c>
      <x:c r="K848" s="25" t="n">
        <x:v>1</x:v>
      </x:c>
      <x:c r="L848" s="27" t="b">
        <x:v>0</x:v>
      </x:c>
      <x:c r="M848" s="25" t="str">
        <x:v>Gemini-3.8-flash/generation_state.json</x:v>
      </x:c>
      <x:c r="N848" s="25" t="str">
        <x:v>Gemini-3.8-flash/Result/Time_27/result.json</x:v>
      </x:c>
      <x:c r="O848" s="25" t="str">
        <x:v>Gemini-3.8-flash/Result/Time_27/result.json</x:v>
      </x:c>
      <x:c r="P848" t="str">
        <x:v>BOTH_NOT_RUN</x:v>
      </x:c>
      <x:c r="Q848" s="21" t="str"/>
      <x:c r="R848" s="21" t="str"/>
      <x:c r="S848" s="21" t="str"/>
      <x:c r="T848" s="17" t="str">
        <x:v>false</x:v>
      </x:c>
      <x:c r="U848" s="17" t="str">
        <x:v>true</x:v>
      </x:c>
      <x:c r="V848" s="17" t="str">
        <x:v>false</x:v>
      </x:c>
    </x:row>
    <x:row r="849" ht="80" customHeight="1">
      <x:c r="A849" s="25" t="str">
        <x:v>Time</x:v>
      </x:c>
      <x:c r="B849" s="25" t="n">
        <x:v>3</x:v>
      </x:c>
      <x:c r="C849" s="25" t="str">
        <x:v>Round1</x:v>
      </x:c>
      <x:c r="D849" s="25" t="str">
        <x:v>NOT_AVAILABLE</x:v>
      </x:c>
      <x:c r="E849" s="25" t="str">
        <x:v>N/A</x:v>
      </x:c>
      <x:c r="F849" s="26" t="str">
        <x:v>Tests exist but current coverage did not complete</x:v>
      </x:c>
      <x:c r="G849" s="25" t="str">
        <x:v>true</x:v>
      </x:c>
      <x:c r="H849" s="25" t="str">
        <x:v>NOT_AVAILABLE</x:v>
      </x:c>
      <x:c r="I849" s="25" t="str">
        <x:v>NOT_RUN</x:v>
      </x:c>
      <x:c r="J849" s="25" t="str">
        <x:v>NOT_RUN</x:v>
      </x:c>
      <x:c r="K849" s="25" t="n">
        <x:v>1</x:v>
      </x:c>
      <x:c r="L849" s="27" t="b">
        <x:v>0</x:v>
      </x:c>
      <x:c r="M849" s="25" t="str">
        <x:v>Gemini-3.8-flash/generation_state.json</x:v>
      </x:c>
      <x:c r="N849" s="25" t="str">
        <x:v>Gemini-3.8-flash/Result/Time_3/result.json</x:v>
      </x:c>
      <x:c r="O849" s="25" t="str">
        <x:v>Gemini-3.8-flash/Result/Time_3/result.json</x:v>
      </x:c>
      <x:c r="P849" t="str">
        <x:v>BOTH_NOT_RUN</x:v>
      </x:c>
      <x:c r="Q849" s="21" t="str"/>
      <x:c r="R849" s="21" t="str"/>
      <x:c r="S849" s="21" t="str"/>
      <x:c r="T849" s="17" t="str">
        <x:v>false</x:v>
      </x:c>
      <x:c r="U849" s="17" t="str">
        <x:v>true</x:v>
      </x:c>
      <x:c r="V849" s="17" t="str">
        <x:v>false</x:v>
      </x:c>
    </x:row>
    <x:row r="850" ht="80" customHeight="1">
      <x:c r="A850" s="25" t="str">
        <x:v>Time</x:v>
      </x:c>
      <x:c r="B850" s="25" t="n">
        <x:v>4</x:v>
      </x:c>
      <x:c r="C850" s="25" t="str">
        <x:v>Round1</x:v>
      </x:c>
      <x:c r="D850" s="25" t="str">
        <x:v>NOT_AVAILABLE</x:v>
      </x:c>
      <x:c r="E850" s="25" t="str">
        <x:v>N/A</x:v>
      </x:c>
      <x:c r="F850" s="26" t="str">
        <x:v>Tests exist but current coverage did not complete</x:v>
      </x:c>
      <x:c r="G850" s="25" t="str">
        <x:v>true</x:v>
      </x:c>
      <x:c r="H850" s="25" t="str">
        <x:v>NOT_AVAILABLE</x:v>
      </x:c>
      <x:c r="I850" s="25" t="str">
        <x:v>NOT_RUN</x:v>
      </x:c>
      <x:c r="J850" s="25" t="str">
        <x:v>NOT_RUN</x:v>
      </x:c>
      <x:c r="K850" s="25" t="n">
        <x:v>1</x:v>
      </x:c>
      <x:c r="L850" s="27" t="b">
        <x:v>0</x:v>
      </x:c>
      <x:c r="M850" s="25" t="str">
        <x:v>Gemini-3.8-flash/generation_state.json</x:v>
      </x:c>
      <x:c r="N850" s="25" t="str">
        <x:v>Gemini-3.8-flash/Result/Time_4/result.json</x:v>
      </x:c>
      <x:c r="O850" s="25" t="str">
        <x:v>Gemini-3.8-flash/Result/Time_4/result.json</x:v>
      </x:c>
      <x:c r="P850" t="str">
        <x:v>BOTH_NOT_RUN</x:v>
      </x:c>
      <x:c r="Q850" s="21" t="str"/>
      <x:c r="R850" s="21" t="str"/>
      <x:c r="S850" s="21" t="str"/>
      <x:c r="T850" s="17" t="str">
        <x:v>false</x:v>
      </x:c>
      <x:c r="U850" s="17" t="str">
        <x:v>true</x:v>
      </x:c>
      <x:c r="V850" s="17" t="str">
        <x:v>false</x:v>
      </x:c>
    </x:row>
    <x:row r="851" ht="80" customHeight="1">
      <x:c r="A851" s="25" t="str">
        <x:v>Time</x:v>
      </x:c>
      <x:c r="B851" s="25" t="n">
        <x:v>5</x:v>
      </x:c>
      <x:c r="C851" s="25" t="str">
        <x:v>Round1</x:v>
      </x:c>
      <x:c r="D851" s="25" t="str">
        <x:v>NOT_AVAILABLE</x:v>
      </x:c>
      <x:c r="E851" s="25" t="str">
        <x:v>N/A</x:v>
      </x:c>
      <x:c r="F851" s="26" t="str">
        <x:v>Tests exist but current coverage did not complete</x:v>
      </x:c>
      <x:c r="G851" s="25" t="str">
        <x:v>true</x:v>
      </x:c>
      <x:c r="H851" s="25" t="str">
        <x:v>NOT_AVAILABLE</x:v>
      </x:c>
      <x:c r="I851" s="25" t="str">
        <x:v>NOT_RUN</x:v>
      </x:c>
      <x:c r="J851" s="25" t="str">
        <x:v>NOT_RUN</x:v>
      </x:c>
      <x:c r="K851" s="25" t="n">
        <x:v>1</x:v>
      </x:c>
      <x:c r="L851" s="27" t="b">
        <x:v>0</x:v>
      </x:c>
      <x:c r="M851" s="25" t="str">
        <x:v>Gemini-3.8-flash/generation_state.json</x:v>
      </x:c>
      <x:c r="N851" s="25" t="str">
        <x:v>Gemini-3.8-flash/Result/Time_5/result.json</x:v>
      </x:c>
      <x:c r="O851" s="25" t="str">
        <x:v>Gemini-3.8-flash/Result/Time_5/result.json</x:v>
      </x:c>
      <x:c r="P851" t="str">
        <x:v>BOTH_NOT_RUN</x:v>
      </x:c>
      <x:c r="Q851" s="21" t="str"/>
      <x:c r="R851" s="21" t="str"/>
      <x:c r="S851" s="21" t="str"/>
      <x:c r="T851" s="17" t="str">
        <x:v>false</x:v>
      </x:c>
      <x:c r="U851" s="17" t="str">
        <x:v>true</x:v>
      </x:c>
      <x:c r="V851" s="17" t="str">
        <x:v>false</x:v>
      </x:c>
    </x:row>
    <x:row r="852" ht="80" customHeight="1">
      <x:c r="A852" s="25" t="str">
        <x:v>Time</x:v>
      </x:c>
      <x:c r="B852" s="25" t="n">
        <x:v>6</x:v>
      </x:c>
      <x:c r="C852" s="25" t="str">
        <x:v>Round1</x:v>
      </x:c>
      <x:c r="D852" s="25" t="str">
        <x:v>NOT_AVAILABLE</x:v>
      </x:c>
      <x:c r="E852" s="25" t="str">
        <x:v>N/A</x:v>
      </x:c>
      <x:c r="F852" s="26" t="str">
        <x:v>Tests exist but current coverage did not complete</x:v>
      </x:c>
      <x:c r="G852" s="25" t="str">
        <x:v>true</x:v>
      </x:c>
      <x:c r="H852" s="25" t="str">
        <x:v>NOT_AVAILABLE</x:v>
      </x:c>
      <x:c r="I852" s="25" t="str">
        <x:v>NOT_RUN</x:v>
      </x:c>
      <x:c r="J852" s="25" t="str">
        <x:v>NOT_RUN</x:v>
      </x:c>
      <x:c r="K852" s="25" t="n">
        <x:v>1</x:v>
      </x:c>
      <x:c r="L852" s="27" t="b">
        <x:v>0</x:v>
      </x:c>
      <x:c r="M852" s="25" t="str">
        <x:v>Gemini-3.8-flash/generation_state.json</x:v>
      </x:c>
      <x:c r="N852" s="25" t="str">
        <x:v>Gemini-3.8-flash/Result/Time_6/result.json</x:v>
      </x:c>
      <x:c r="O852" s="25" t="str">
        <x:v>Gemini-3.8-flash/Result/Time_6/result.json</x:v>
      </x:c>
      <x:c r="P852" t="str">
        <x:v>BOTH_NOT_RUN</x:v>
      </x:c>
      <x:c r="Q852" s="21" t="str"/>
      <x:c r="R852" s="21" t="str"/>
      <x:c r="S852" s="21" t="str"/>
      <x:c r="T852" s="17" t="str">
        <x:v>false</x:v>
      </x:c>
      <x:c r="U852" s="17" t="str">
        <x:v>true</x:v>
      </x:c>
      <x:c r="V852" s="17" t="str">
        <x:v>false</x:v>
      </x:c>
    </x:row>
    <x:row r="853" ht="80" customHeight="1">
      <x:c r="A853" s="25" t="str">
        <x:v>Time</x:v>
      </x:c>
      <x:c r="B853" s="25" t="n">
        <x:v>7</x:v>
      </x:c>
      <x:c r="C853" s="25" t="str">
        <x:v>Round1</x:v>
      </x:c>
      <x:c r="D853" s="25" t="str">
        <x:v>NOT_AVAILABLE</x:v>
      </x:c>
      <x:c r="E853" s="25" t="str">
        <x:v>N/A</x:v>
      </x:c>
      <x:c r="F853" s="26" t="str">
        <x:v>Tests exist but current coverage did not complete</x:v>
      </x:c>
      <x:c r="G853" s="25" t="str">
        <x:v>true</x:v>
      </x:c>
      <x:c r="H853" s="25" t="str">
        <x:v>NOT_AVAILABLE</x:v>
      </x:c>
      <x:c r="I853" s="25" t="str">
        <x:v>NOT_RUN</x:v>
      </x:c>
      <x:c r="J853" s="25" t="str">
        <x:v>NOT_RUN</x:v>
      </x:c>
      <x:c r="K853" s="25" t="n">
        <x:v>1</x:v>
      </x:c>
      <x:c r="L853" s="27" t="b">
        <x:v>0</x:v>
      </x:c>
      <x:c r="M853" s="25" t="str">
        <x:v>Gemini-3.8-flash/generation_state.json</x:v>
      </x:c>
      <x:c r="N853" s="25" t="str">
        <x:v>Gemini-3.8-flash/Result/Time_7/result.json</x:v>
      </x:c>
      <x:c r="O853" s="25" t="str">
        <x:v>Gemini-3.8-flash/Result/Time_7/result.json</x:v>
      </x:c>
      <x:c r="P853" t="str">
        <x:v>BOTH_NOT_RUN</x:v>
      </x:c>
      <x:c r="Q853" s="21" t="str"/>
      <x:c r="R853" s="21" t="str"/>
      <x:c r="S853" s="21" t="str"/>
      <x:c r="T853" s="17" t="str">
        <x:v>false</x:v>
      </x:c>
      <x:c r="U853" s="17" t="str">
        <x:v>true</x:v>
      </x:c>
      <x:c r="V853" s="17" t="str">
        <x:v>false</x:v>
      </x:c>
    </x:row>
    <x:row r="854" ht="80" customHeight="1">
      <x:c r="A854" s="25" t="str">
        <x:v>Time</x:v>
      </x:c>
      <x:c r="B854" s="25" t="n">
        <x:v>8</x:v>
      </x:c>
      <x:c r="C854" s="25" t="str">
        <x:v>Round1</x:v>
      </x:c>
      <x:c r="D854" s="25" t="str">
        <x:v>NOT_AVAILABLE</x:v>
      </x:c>
      <x:c r="E854" s="25" t="str">
        <x:v>N/A</x:v>
      </x:c>
      <x:c r="F854" s="26" t="str">
        <x:v>Tests exist but current coverage did not complete</x:v>
      </x:c>
      <x:c r="G854" s="25" t="str">
        <x:v>true</x:v>
      </x:c>
      <x:c r="H854" s="25" t="str">
        <x:v>NOT_AVAILABLE</x:v>
      </x:c>
      <x:c r="I854" s="25" t="str">
        <x:v>NOT_RUN</x:v>
      </x:c>
      <x:c r="J854" s="25" t="str">
        <x:v>NOT_RUN</x:v>
      </x:c>
      <x:c r="K854" s="25" t="n">
        <x:v>1</x:v>
      </x:c>
      <x:c r="L854" s="27" t="b">
        <x:v>0</x:v>
      </x:c>
      <x:c r="M854" s="25" t="str">
        <x:v>Gemini-3.8-flash/generation_state.json</x:v>
      </x:c>
      <x:c r="N854" s="25" t="str">
        <x:v>Gemini-3.8-flash/Result/Time_8/result.json</x:v>
      </x:c>
      <x:c r="O854" s="25" t="str">
        <x:v>Gemini-3.8-flash/Result/Time_8/result.json</x:v>
      </x:c>
      <x:c r="P854" t="str">
        <x:v>BOTH_NOT_RUN</x:v>
      </x:c>
      <x:c r="Q854" s="21" t="str"/>
      <x:c r="R854" s="21" t="str"/>
      <x:c r="S854" s="21" t="str"/>
      <x:c r="T854" s="17" t="str">
        <x:v>false</x:v>
      </x:c>
      <x:c r="U854" s="17" t="str">
        <x:v>true</x:v>
      </x:c>
      <x:c r="V854" s="17" t="str">
        <x:v>false</x:v>
      </x:c>
    </x:row>
    <x:row r="855" ht="80" customHeight="1">
      <x:c r="A855" s="25" t="str">
        <x:v>Time</x:v>
      </x:c>
      <x:c r="B855" s="25" t="n">
        <x:v>9</x:v>
      </x:c>
      <x:c r="C855" s="25" t="str">
        <x:v>Round1</x:v>
      </x:c>
      <x:c r="D855" s="25" t="str">
        <x:v>NOT_AVAILABLE</x:v>
      </x:c>
      <x:c r="E855" s="25" t="str">
        <x:v>N/A</x:v>
      </x:c>
      <x:c r="F855" s="26" t="str">
        <x:v>Tests exist but current coverage did not complete</x:v>
      </x:c>
      <x:c r="G855" s="25" t="str">
        <x:v>true</x:v>
      </x:c>
      <x:c r="H855" s="25" t="str">
        <x:v>NOT_AVAILABLE</x:v>
      </x:c>
      <x:c r="I855" s="25" t="str">
        <x:v>NOT_RUN</x:v>
      </x:c>
      <x:c r="J855" s="25" t="str">
        <x:v>NOT_RUN</x:v>
      </x:c>
      <x:c r="K855" s="25" t="n">
        <x:v>1</x:v>
      </x:c>
      <x:c r="L855" s="27" t="b">
        <x:v>0</x:v>
      </x:c>
      <x:c r="M855" s="25" t="str">
        <x:v>Gemini-3.8-flash/generation_state.json</x:v>
      </x:c>
      <x:c r="N855" s="25" t="str">
        <x:v>Gemini-3.8-flash/Result/Time_9/result.json</x:v>
      </x:c>
      <x:c r="O855" s="25" t="str">
        <x:v>Gemini-3.8-flash/Result/Time_9/result.json</x:v>
      </x:c>
      <x:c r="P855" t="str">
        <x:v>BOTH_NOT_RUN</x:v>
      </x:c>
      <x:c r="Q855" s="21" t="str"/>
      <x:c r="R855" s="21" t="str"/>
      <x:c r="S855" s="21" t="str"/>
      <x:c r="T855" s="17" t="str">
        <x:v>false</x:v>
      </x:c>
      <x:c r="U855" s="17" t="str">
        <x:v>true</x:v>
      </x:c>
      <x:c r="V855" s="17" t="str">
        <x:v>false</x:v>
      </x:c>
    </x:row>
  </x:sheetData>
  <x:pageMargins left="0.7" right="0.7" top="0.75" bottom="0.75" header="0.3" footer="0.3"/>
  <x:tableParts count="1">
    <x:tablePart xmlns:r="http://schemas.openxmlformats.org/officeDocument/2006/relationships" r:id="R69f172f92f65420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24" hidden="0" customWidth="1"/>
    <x:col min="5" max="5" width="15" hidden="0" customWidth="1"/>
    <x:col min="6" max="6" width="15" hidden="0" customWidth="1"/>
  </x:cols>
  <x:sheetData>
    <x:row r="2">
      <x:c r="B2" s="29" t="str">
        <x:v>Bug verdicts by project and round</x:v>
      </x:c>
    </x:row>
    <x:row r="3" ht="32" customHeight="1">
      <x:c r="B3" s="31" t="str">
        <x:v>One bug per round. FAIL = no usable tests or latest whole-bug generation failed. Partial class failures use execution results. NOT_AVAILABLE = compile, run, coverage or paired validation unavailable.</x:v>
      </x:c>
      <x:c r="C3" s="31"/>
      <x:c r="D3" s="31"/>
      <x:c r="E3" s="31"/>
      <x:c r="F3" s="31"/>
      <x:c r="G3" s="31"/>
      <x:c r="H3" s="31"/>
      <x:c r="I3" s="31"/>
    </x:row>
    <x:row r="4" ht="32" customHeight="1">
      <x:c r="B4" s="31" t="str">
        <x:v>All rounds pools 1 recorded round(s), 854 cases. See BugResults for evidence and StatusChecks for totals.</x:v>
      </x:c>
      <x:c r="C4" s="31"/>
      <x:c r="D4" s="31"/>
      <x:c r="E4" s="31"/>
      <x:c r="F4" s="31"/>
      <x:c r="G4" s="31"/>
      <x:c r="H4" s="31"/>
      <x:c r="I4" s="31"/>
    </x:row>
    <x:row r="6" ht="42" customHeight="1">
      <x:c r="B6" s="20" t="str">
        <x:v>Project</x:v>
      </x:c>
      <x:c r="C6" s="20" t="str">
        <x:v>Round</x:v>
      </x:c>
      <x:c r="D6" s="20" t="str">
        <x:v>Verdict</x:v>
      </x:c>
      <x:c r="E6" s="20" t="str">
        <x:v>Count</x:v>
      </x:c>
      <x:c r="F6" s="20" t="str">
        <x:v>Share</x:v>
      </x:c>
    </x:row>
    <x:row r="7" ht="23" customHeight="1">
      <x:c r="B7" s="17" t="str">
        <x:v>All projects</x:v>
      </x:c>
      <x:c r="C7" s="17" t="str">
        <x:v>All rounds</x:v>
      </x:c>
      <x:c r="D7" s="17" t="str">
        <x:v>REVEALING</x:v>
      </x:c>
      <x:c r="E7" s="17" t="n">
        <x:f>COUNTIF('BugResults'!$D$2:$D$855,"REVEALING")</x:f>
        <x:v>6</x:v>
      </x:c>
      <x:c r="F7" s="33" t="n">
        <x:f>E7/854</x:f>
        <x:v>0.00702576112412178</x:v>
      </x:c>
    </x:row>
    <x:row r="8" ht="23" customHeight="1">
      <x:c r="B8" s="17" t="str">
        <x:v>All projects</x:v>
      </x:c>
      <x:c r="C8" s="17" t="str">
        <x:v>All rounds</x:v>
      </x:c>
      <x:c r="D8" s="17" t="str">
        <x:v>NOT_REVEALING</x:v>
      </x:c>
      <x:c r="E8" s="17" t="n">
        <x:f>COUNTIF('BugResults'!$D$2:$D$855,"NOT_REVEALING")</x:f>
        <x:v>251</x:v>
      </x:c>
      <x:c r="F8" s="33" t="n">
        <x:f>E8/854</x:f>
        <x:v>0.2939110070257611</x:v>
      </x:c>
    </x:row>
    <x:row r="9" ht="23" customHeight="1">
      <x:c r="B9" s="17" t="str">
        <x:v>All projects</x:v>
      </x:c>
      <x:c r="C9" s="17" t="str">
        <x:v>All rounds</x:v>
      </x:c>
      <x:c r="D9" s="17" t="str">
        <x:v>NOT_AVAILABLE</x:v>
      </x:c>
      <x:c r="E9" s="17" t="n">
        <x:f>COUNTIF('BugResults'!$D$2:$D$855,"NOT_AVAILABLE")</x:f>
        <x:v>363</x:v>
      </x:c>
      <x:c r="F9" s="33" t="n">
        <x:f>E9/854</x:f>
        <x:v>0.42505854800936765</x:v>
      </x:c>
    </x:row>
    <x:row r="10" ht="23" customHeight="1">
      <x:c r="B10" s="17" t="str">
        <x:v>All projects</x:v>
      </x:c>
      <x:c r="C10" s="17" t="str">
        <x:v>All rounds</x:v>
      </x:c>
      <x:c r="D10" s="17" t="str">
        <x:v>INCONCLUSIVE</x:v>
      </x:c>
      <x:c r="E10" s="17" t="n">
        <x:f>COUNTIF('BugResults'!$D$2:$D$855,"INCONCLUSIVE")</x:f>
        <x:v>232</x:v>
      </x:c>
      <x:c r="F10" s="33" t="n">
        <x:f>E10/854</x:f>
        <x:v>0.2716627634660422</x:v>
      </x:c>
    </x:row>
    <x:row r="11" ht="23" customHeight="1">
      <x:c r="B11" s="17" t="str">
        <x:v>All projects</x:v>
      </x:c>
      <x:c r="C11" s="17" t="str">
        <x:v>All rounds</x:v>
      </x:c>
      <x:c r="D11" s="17" t="str">
        <x:v>FAIL</x:v>
      </x:c>
      <x:c r="E11" s="17" t="n">
        <x:f>COUNTIF('BugResults'!$D$2:$D$855,"FAIL")</x:f>
        <x:v>2</x:v>
      </x:c>
      <x:c r="F11" s="33" t="n">
        <x:f>E11/854</x:f>
        <x:v>0.00234192037470726</x:v>
      </x:c>
    </x:row>
    <x:row r="12" ht="23" customHeight="1">
      <x:c r="B12" s="17" t="str">
        <x:v>All projects</x:v>
      </x:c>
      <x:c r="C12" s="17" t="str">
        <x:v>Round1</x:v>
      </x:c>
      <x:c r="D12" s="17" t="str">
        <x:v>REVEALING</x:v>
      </x:c>
      <x:c r="E12" s="17" t="n">
        <x:f>COUNTIF('BugResults'!$D$2:$D$855,"REVEALING")</x:f>
        <x:v>6</x:v>
      </x:c>
      <x:c r="F12" s="33" t="n">
        <x:f>E12/854</x:f>
        <x:v>0.00702576112412178</x:v>
      </x:c>
    </x:row>
    <x:row r="13" ht="23" customHeight="1">
      <x:c r="B13" s="17" t="str">
        <x:v>All projects</x:v>
      </x:c>
      <x:c r="C13" s="17" t="str">
        <x:v>Round1</x:v>
      </x:c>
      <x:c r="D13" s="17" t="str">
        <x:v>NOT_REVEALING</x:v>
      </x:c>
      <x:c r="E13" s="17" t="n">
        <x:f>COUNTIF('BugResults'!$D$2:$D$855,"NOT_REVEALING")</x:f>
        <x:v>251</x:v>
      </x:c>
      <x:c r="F13" s="33" t="n">
        <x:f>E13/854</x:f>
        <x:v>0.2939110070257611</x:v>
      </x:c>
    </x:row>
    <x:row r="14" ht="23" customHeight="1">
      <x:c r="B14" s="17" t="str">
        <x:v>All projects</x:v>
      </x:c>
      <x:c r="C14" s="17" t="str">
        <x:v>Round1</x:v>
      </x:c>
      <x:c r="D14" s="17" t="str">
        <x:v>NOT_AVAILABLE</x:v>
      </x:c>
      <x:c r="E14" s="17" t="n">
        <x:f>COUNTIF('BugResults'!$D$2:$D$855,"NOT_AVAILABLE")</x:f>
        <x:v>363</x:v>
      </x:c>
      <x:c r="F14" s="33" t="n">
        <x:f>E14/854</x:f>
        <x:v>0.42505854800936765</x:v>
      </x:c>
    </x:row>
    <x:row r="15" ht="23" customHeight="1">
      <x:c r="B15" s="17" t="str">
        <x:v>All projects</x:v>
      </x:c>
      <x:c r="C15" s="17" t="str">
        <x:v>Round1</x:v>
      </x:c>
      <x:c r="D15" s="17" t="str">
        <x:v>INCONCLUSIVE</x:v>
      </x:c>
      <x:c r="E15" s="17" t="n">
        <x:f>COUNTIF('BugResults'!$D$2:$D$855,"INCONCLUSIVE")</x:f>
        <x:v>232</x:v>
      </x:c>
      <x:c r="F15" s="33" t="n">
        <x:f>E15/854</x:f>
        <x:v>0.2716627634660422</x:v>
      </x:c>
    </x:row>
    <x:row r="16" ht="23" customHeight="1">
      <x:c r="B16" s="17" t="str">
        <x:v>All projects</x:v>
      </x:c>
      <x:c r="C16" s="17" t="str">
        <x:v>Round1</x:v>
      </x:c>
      <x:c r="D16" s="17" t="str">
        <x:v>FAIL</x:v>
      </x:c>
      <x:c r="E16" s="17" t="n">
        <x:f>COUNTIF('BugResults'!$D$2:$D$855,"FAIL")</x:f>
        <x:v>2</x:v>
      </x:c>
      <x:c r="F16" s="33" t="n">
        <x:f>E16/854</x:f>
        <x:v>0.00234192037470726</x:v>
      </x:c>
    </x:row>
    <x:row r="17" ht="23" customHeight="1">
      <x:c r="B17" s="17" t="str">
        <x:v>All projects</x:v>
      </x:c>
      <x:c r="C17" s="17" t="str">
        <x:v>Round2</x:v>
      </x:c>
      <x:c r="D17" s="17" t="str">
        <x:v>REVEALING</x:v>
      </x:c>
      <x:c r="E17" s="17" t="n">
        <x:f>0</x:f>
        <x:v>0</x:v>
      </x:c>
      <x:c r="F17" s="33" t="str">
        <x:f>"—"</x:f>
        <x:v>—</x:v>
      </x:c>
    </x:row>
    <x:row r="18" ht="23" customHeight="1">
      <x:c r="B18" s="17" t="str">
        <x:v>All projects</x:v>
      </x:c>
      <x:c r="C18" s="17" t="str">
        <x:v>Round2</x:v>
      </x:c>
      <x:c r="D18" s="17" t="str">
        <x:v>NOT_REVEALING</x:v>
      </x:c>
      <x:c r="E18" s="17" t="n">
        <x:f>0</x:f>
        <x:v>0</x:v>
      </x:c>
      <x:c r="F18" s="33" t="str">
        <x:f>"—"</x:f>
        <x:v>—</x:v>
      </x:c>
    </x:row>
    <x:row r="19" ht="23" customHeight="1">
      <x:c r="B19" s="17" t="str">
        <x:v>All projects</x:v>
      </x:c>
      <x:c r="C19" s="17" t="str">
        <x:v>Round2</x:v>
      </x:c>
      <x:c r="D19" s="17" t="str">
        <x:v>NOT_AVAILABLE</x:v>
      </x:c>
      <x:c r="E19" s="17" t="n">
        <x:f>0</x:f>
        <x:v>0</x:v>
      </x:c>
      <x:c r="F19" s="33" t="str">
        <x:f>"—"</x:f>
        <x:v>—</x:v>
      </x:c>
    </x:row>
    <x:row r="20" ht="23" customHeight="1">
      <x:c r="B20" s="17" t="str">
        <x:v>All projects</x:v>
      </x:c>
      <x:c r="C20" s="17" t="str">
        <x:v>Round2</x:v>
      </x:c>
      <x:c r="D20" s="17" t="str">
        <x:v>INCONCLUSIVE</x:v>
      </x:c>
      <x:c r="E20" s="17" t="n">
        <x:f>0</x:f>
        <x:v>0</x:v>
      </x:c>
      <x:c r="F20" s="33" t="str">
        <x:f>"—"</x:f>
        <x:v>—</x:v>
      </x:c>
    </x:row>
    <x:row r="21" ht="23" customHeight="1">
      <x:c r="B21" s="17" t="str">
        <x:v>All projects</x:v>
      </x:c>
      <x:c r="C21" s="17" t="str">
        <x:v>Round2</x:v>
      </x:c>
      <x:c r="D21" s="17" t="str">
        <x:v>FAIL</x:v>
      </x:c>
      <x:c r="E21" s="17" t="n">
        <x:f>0</x:f>
        <x:v>0</x:v>
      </x:c>
      <x:c r="F21" s="33" t="str">
        <x:f>"—"</x:f>
        <x:v>—</x:v>
      </x:c>
    </x:row>
    <x:row r="22" ht="23" customHeight="1">
      <x:c r="B22" s="17" t="str">
        <x:v>Chart</x:v>
      </x:c>
      <x:c r="C22" s="17" t="str">
        <x:v>All rounds</x:v>
      </x:c>
      <x:c r="D22" s="17" t="str">
        <x:v>REVEALING</x:v>
      </x:c>
      <x:c r="E22" s="17" t="n">
        <x:f>COUNTIF('BugResults'!$D$2:$D$27,"REVEALING")</x:f>
        <x:v>0</x:v>
      </x:c>
      <x:c r="F22" s="33" t="n">
        <x:f>E22/26</x:f>
        <x:v>0</x:v>
      </x:c>
    </x:row>
    <x:row r="23" ht="23" customHeight="1">
      <x:c r="B23" s="17" t="str">
        <x:v>Chart</x:v>
      </x:c>
      <x:c r="C23" s="17" t="str">
        <x:v>All rounds</x:v>
      </x:c>
      <x:c r="D23" s="17" t="str">
        <x:v>NOT_REVEALING</x:v>
      </x:c>
      <x:c r="E23" s="17" t="n">
        <x:f>COUNTIF('BugResults'!$D$2:$D$27,"NOT_REVEALING")</x:f>
        <x:v>12</x:v>
      </x:c>
      <x:c r="F23" s="33" t="n">
        <x:f>E23/26</x:f>
        <x:v>0.46153846153846156</x:v>
      </x:c>
    </x:row>
    <x:row r="24" ht="23" customHeight="1">
      <x:c r="B24" s="17" t="str">
        <x:v>Chart</x:v>
      </x:c>
      <x:c r="C24" s="17" t="str">
        <x:v>All rounds</x:v>
      </x:c>
      <x:c r="D24" s="17" t="str">
        <x:v>NOT_AVAILABLE</x:v>
      </x:c>
      <x:c r="E24" s="17" t="n">
        <x:f>COUNTIF('BugResults'!$D$2:$D$27,"NOT_AVAILABLE")</x:f>
        <x:v>9</x:v>
      </x:c>
      <x:c r="F24" s="33" t="n">
        <x:f>E24/26</x:f>
        <x:v>0.34615384615384615</x:v>
      </x:c>
    </x:row>
    <x:row r="25" ht="23" customHeight="1">
      <x:c r="B25" s="17" t="str">
        <x:v>Chart</x:v>
      </x:c>
      <x:c r="C25" s="17" t="str">
        <x:v>All rounds</x:v>
      </x:c>
      <x:c r="D25" s="17" t="str">
        <x:v>INCONCLUSIVE</x:v>
      </x:c>
      <x:c r="E25" s="17" t="n">
        <x:f>COUNTIF('BugResults'!$D$2:$D$27,"INCONCLUSIVE")</x:f>
        <x:v>5</x:v>
      </x:c>
      <x:c r="F25" s="33" t="n">
        <x:f>E25/26</x:f>
        <x:v>0.19230769230769232</x:v>
      </x:c>
    </x:row>
    <x:row r="26" ht="23" customHeight="1">
      <x:c r="B26" s="17" t="str">
        <x:v>Chart</x:v>
      </x:c>
      <x:c r="C26" s="17" t="str">
        <x:v>All rounds</x:v>
      </x:c>
      <x:c r="D26" s="17" t="str">
        <x:v>FAIL</x:v>
      </x:c>
      <x:c r="E26" s="17" t="n">
        <x:f>COUNTIF('BugResults'!$D$2:$D$27,"FAIL")</x:f>
        <x:v>0</x:v>
      </x:c>
      <x:c r="F26" s="33" t="n">
        <x:f>E26/26</x:f>
        <x:v>0</x:v>
      </x:c>
    </x:row>
    <x:row r="27" ht="23" customHeight="1">
      <x:c r="B27" s="17" t="str">
        <x:v>Chart</x:v>
      </x:c>
      <x:c r="C27" s="17" t="str">
        <x:v>Round1</x:v>
      </x:c>
      <x:c r="D27" s="17" t="str">
        <x:v>REVEALING</x:v>
      </x:c>
      <x:c r="E27" s="17" t="n">
        <x:f>COUNTIF('BugResults'!$D$2:$D$27,"REVEALING")</x:f>
        <x:v>0</x:v>
      </x:c>
      <x:c r="F27" s="33" t="n">
        <x:f>E27/26</x:f>
        <x:v>0</x:v>
      </x:c>
    </x:row>
    <x:row r="28" ht="23" customHeight="1">
      <x:c r="B28" s="17" t="str">
        <x:v>Chart</x:v>
      </x:c>
      <x:c r="C28" s="17" t="str">
        <x:v>Round1</x:v>
      </x:c>
      <x:c r="D28" s="17" t="str">
        <x:v>NOT_REVEALING</x:v>
      </x:c>
      <x:c r="E28" s="17" t="n">
        <x:f>COUNTIF('BugResults'!$D$2:$D$27,"NOT_REVEALING")</x:f>
        <x:v>12</x:v>
      </x:c>
      <x:c r="F28" s="33" t="n">
        <x:f>E28/26</x:f>
        <x:v>0.46153846153846156</x:v>
      </x:c>
    </x:row>
    <x:row r="29" ht="23" customHeight="1">
      <x:c r="B29" s="17" t="str">
        <x:v>Chart</x:v>
      </x:c>
      <x:c r="C29" s="17" t="str">
        <x:v>Round1</x:v>
      </x:c>
      <x:c r="D29" s="17" t="str">
        <x:v>NOT_AVAILABLE</x:v>
      </x:c>
      <x:c r="E29" s="17" t="n">
        <x:f>COUNTIF('BugResults'!$D$2:$D$27,"NOT_AVAILABLE")</x:f>
        <x:v>9</x:v>
      </x:c>
      <x:c r="F29" s="33" t="n">
        <x:f>E29/26</x:f>
        <x:v>0.34615384615384615</x:v>
      </x:c>
    </x:row>
    <x:row r="30" ht="23" customHeight="1">
      <x:c r="B30" s="17" t="str">
        <x:v>Chart</x:v>
      </x:c>
      <x:c r="C30" s="17" t="str">
        <x:v>Round1</x:v>
      </x:c>
      <x:c r="D30" s="17" t="str">
        <x:v>INCONCLUSIVE</x:v>
      </x:c>
      <x:c r="E30" s="17" t="n">
        <x:f>COUNTIF('BugResults'!$D$2:$D$27,"INCONCLUSIVE")</x:f>
        <x:v>5</x:v>
      </x:c>
      <x:c r="F30" s="33" t="n">
        <x:f>E30/26</x:f>
        <x:v>0.19230769230769232</x:v>
      </x:c>
    </x:row>
    <x:row r="31" ht="23" customHeight="1">
      <x:c r="B31" s="17" t="str">
        <x:v>Chart</x:v>
      </x:c>
      <x:c r="C31" s="17" t="str">
        <x:v>Round1</x:v>
      </x:c>
      <x:c r="D31" s="17" t="str">
        <x:v>FAIL</x:v>
      </x:c>
      <x:c r="E31" s="17" t="n">
        <x:f>COUNTIF('BugResults'!$D$2:$D$27,"FAIL")</x:f>
        <x:v>0</x:v>
      </x:c>
      <x:c r="F31" s="33" t="n">
        <x:f>E31/26</x:f>
        <x:v>0</x:v>
      </x:c>
    </x:row>
    <x:row r="32" ht="23" customHeight="1">
      <x:c r="B32" s="17" t="str">
        <x:v>Chart</x:v>
      </x:c>
      <x:c r="C32" s="17" t="str">
        <x:v>Round2</x:v>
      </x:c>
      <x:c r="D32" s="17" t="str">
        <x:v>REVEALING</x:v>
      </x:c>
      <x:c r="E32" s="17" t="n">
        <x:f>0</x:f>
        <x:v>0</x:v>
      </x:c>
      <x:c r="F32" s="33" t="str">
        <x:f>"—"</x:f>
        <x:v>—</x:v>
      </x:c>
    </x:row>
    <x:row r="33" ht="23" customHeight="1">
      <x:c r="B33" s="17" t="str">
        <x:v>Chart</x:v>
      </x:c>
      <x:c r="C33" s="17" t="str">
        <x:v>Round2</x:v>
      </x:c>
      <x:c r="D33" s="17" t="str">
        <x:v>NOT_REVEALING</x:v>
      </x:c>
      <x:c r="E33" s="17" t="n">
        <x:f>0</x:f>
        <x:v>0</x:v>
      </x:c>
      <x:c r="F33" s="33" t="str">
        <x:f>"—"</x:f>
        <x:v>—</x:v>
      </x:c>
    </x:row>
    <x:row r="34" ht="23" customHeight="1">
      <x:c r="B34" s="17" t="str">
        <x:v>Chart</x:v>
      </x:c>
      <x:c r="C34" s="17" t="str">
        <x:v>Round2</x:v>
      </x:c>
      <x:c r="D34" s="17" t="str">
        <x:v>NOT_AVAILABLE</x:v>
      </x:c>
      <x:c r="E34" s="17" t="n">
        <x:f>0</x:f>
        <x:v>0</x:v>
      </x:c>
      <x:c r="F34" s="33" t="str">
        <x:f>"—"</x:f>
        <x:v>—</x:v>
      </x:c>
    </x:row>
    <x:row r="35" ht="23" customHeight="1">
      <x:c r="B35" s="17" t="str">
        <x:v>Chart</x:v>
      </x:c>
      <x:c r="C35" s="17" t="str">
        <x:v>Round2</x:v>
      </x:c>
      <x:c r="D35" s="17" t="str">
        <x:v>INCONCLUSIVE</x:v>
      </x:c>
      <x:c r="E35" s="17" t="n">
        <x:f>0</x:f>
        <x:v>0</x:v>
      </x:c>
      <x:c r="F35" s="33" t="str">
        <x:f>"—"</x:f>
        <x:v>—</x:v>
      </x:c>
    </x:row>
    <x:row r="36" ht="23" customHeight="1">
      <x:c r="B36" s="17" t="str">
        <x:v>Chart</x:v>
      </x:c>
      <x:c r="C36" s="17" t="str">
        <x:v>Round2</x:v>
      </x:c>
      <x:c r="D36" s="17" t="str">
        <x:v>FAIL</x:v>
      </x:c>
      <x:c r="E36" s="17" t="n">
        <x:f>0</x:f>
        <x:v>0</x:v>
      </x:c>
      <x:c r="F36" s="33" t="str">
        <x:f>"—"</x:f>
        <x:v>—</x:v>
      </x:c>
    </x:row>
    <x:row r="37" ht="23" customHeight="1">
      <x:c r="B37" s="17" t="str">
        <x:v>Cli</x:v>
      </x:c>
      <x:c r="C37" s="17" t="str">
        <x:v>All rounds</x:v>
      </x:c>
      <x:c r="D37" s="17" t="str">
        <x:v>REVEALING</x:v>
      </x:c>
      <x:c r="E37" s="17" t="n">
        <x:f>COUNTIF('BugResults'!$D$28:$D$66,"REVEALING")</x:f>
        <x:v>0</x:v>
      </x:c>
      <x:c r="F37" s="33" t="n">
        <x:f>E37/39</x:f>
        <x:v>0</x:v>
      </x:c>
    </x:row>
    <x:row r="38" ht="23" customHeight="1">
      <x:c r="B38" s="17" t="str">
        <x:v>Cli</x:v>
      </x:c>
      <x:c r="C38" s="17" t="str">
        <x:v>All rounds</x:v>
      </x:c>
      <x:c r="D38" s="17" t="str">
        <x:v>NOT_REVEALING</x:v>
      </x:c>
      <x:c r="E38" s="17" t="n">
        <x:f>COUNTIF('BugResults'!$D$28:$D$66,"NOT_REVEALING")</x:f>
        <x:v>2</x:v>
      </x:c>
      <x:c r="F38" s="33" t="n">
        <x:f>E38/39</x:f>
        <x:v>0.05128205128205128</x:v>
      </x:c>
    </x:row>
    <x:row r="39" ht="23" customHeight="1">
      <x:c r="B39" s="17" t="str">
        <x:v>Cli</x:v>
      </x:c>
      <x:c r="C39" s="17" t="str">
        <x:v>All rounds</x:v>
      </x:c>
      <x:c r="D39" s="17" t="str">
        <x:v>NOT_AVAILABLE</x:v>
      </x:c>
      <x:c r="E39" s="17" t="n">
        <x:f>COUNTIF('BugResults'!$D$28:$D$66,"NOT_AVAILABLE")</x:f>
        <x:v>7</x:v>
      </x:c>
      <x:c r="F39" s="33" t="n">
        <x:f>E39/39</x:f>
        <x:v>0.1794871794871795</x:v>
      </x:c>
    </x:row>
    <x:row r="40" ht="23" customHeight="1">
      <x:c r="B40" s="17" t="str">
        <x:v>Cli</x:v>
      </x:c>
      <x:c r="C40" s="17" t="str">
        <x:v>All rounds</x:v>
      </x:c>
      <x:c r="D40" s="17" t="str">
        <x:v>INCONCLUSIVE</x:v>
      </x:c>
      <x:c r="E40" s="17" t="n">
        <x:f>COUNTIF('BugResults'!$D$28:$D$66,"INCONCLUSIVE")</x:f>
        <x:v>30</x:v>
      </x:c>
      <x:c r="F40" s="33" t="n">
        <x:f>E40/39</x:f>
        <x:v>0.7692307692307693</x:v>
      </x:c>
    </x:row>
    <x:row r="41" ht="23" customHeight="1">
      <x:c r="B41" s="17" t="str">
        <x:v>Cli</x:v>
      </x:c>
      <x:c r="C41" s="17" t="str">
        <x:v>All rounds</x:v>
      </x:c>
      <x:c r="D41" s="17" t="str">
        <x:v>FAIL</x:v>
      </x:c>
      <x:c r="E41" s="17" t="n">
        <x:f>COUNTIF('BugResults'!$D$28:$D$66,"FAIL")</x:f>
        <x:v>0</x:v>
      </x:c>
      <x:c r="F41" s="33" t="n">
        <x:f>E41/39</x:f>
        <x:v>0</x:v>
      </x:c>
    </x:row>
    <x:row r="42" ht="23" customHeight="1">
      <x:c r="B42" s="17" t="str">
        <x:v>Cli</x:v>
      </x:c>
      <x:c r="C42" s="17" t="str">
        <x:v>Round1</x:v>
      </x:c>
      <x:c r="D42" s="17" t="str">
        <x:v>REVEALING</x:v>
      </x:c>
      <x:c r="E42" s="17" t="n">
        <x:f>COUNTIF('BugResults'!$D$28:$D$66,"REVEALING")</x:f>
        <x:v>0</x:v>
      </x:c>
      <x:c r="F42" s="33" t="n">
        <x:f>E42/39</x:f>
        <x:v>0</x:v>
      </x:c>
    </x:row>
    <x:row r="43" ht="23" customHeight="1">
      <x:c r="B43" s="17" t="str">
        <x:v>Cli</x:v>
      </x:c>
      <x:c r="C43" s="17" t="str">
        <x:v>Round1</x:v>
      </x:c>
      <x:c r="D43" s="17" t="str">
        <x:v>NOT_REVEALING</x:v>
      </x:c>
      <x:c r="E43" s="17" t="n">
        <x:f>COUNTIF('BugResults'!$D$28:$D$66,"NOT_REVEALING")</x:f>
        <x:v>2</x:v>
      </x:c>
      <x:c r="F43" s="33" t="n">
        <x:f>E43/39</x:f>
        <x:v>0.05128205128205128</x:v>
      </x:c>
    </x:row>
    <x:row r="44" ht="23" customHeight="1">
      <x:c r="B44" s="17" t="str">
        <x:v>Cli</x:v>
      </x:c>
      <x:c r="C44" s="17" t="str">
        <x:v>Round1</x:v>
      </x:c>
      <x:c r="D44" s="17" t="str">
        <x:v>NOT_AVAILABLE</x:v>
      </x:c>
      <x:c r="E44" s="17" t="n">
        <x:f>COUNTIF('BugResults'!$D$28:$D$66,"NOT_AVAILABLE")</x:f>
        <x:v>7</x:v>
      </x:c>
      <x:c r="F44" s="33" t="n">
        <x:f>E44/39</x:f>
        <x:v>0.1794871794871795</x:v>
      </x:c>
    </x:row>
    <x:row r="45" ht="23" customHeight="1">
      <x:c r="B45" s="17" t="str">
        <x:v>Cli</x:v>
      </x:c>
      <x:c r="C45" s="17" t="str">
        <x:v>Round1</x:v>
      </x:c>
      <x:c r="D45" s="17" t="str">
        <x:v>INCONCLUSIVE</x:v>
      </x:c>
      <x:c r="E45" s="17" t="n">
        <x:f>COUNTIF('BugResults'!$D$28:$D$66,"INCONCLUSIVE")</x:f>
        <x:v>30</x:v>
      </x:c>
      <x:c r="F45" s="33" t="n">
        <x:f>E45/39</x:f>
        <x:v>0.7692307692307693</x:v>
      </x:c>
    </x:row>
    <x:row r="46" ht="23" customHeight="1">
      <x:c r="B46" s="17" t="str">
        <x:v>Cli</x:v>
      </x:c>
      <x:c r="C46" s="17" t="str">
        <x:v>Round1</x:v>
      </x:c>
      <x:c r="D46" s="17" t="str">
        <x:v>FAIL</x:v>
      </x:c>
      <x:c r="E46" s="17" t="n">
        <x:f>COUNTIF('BugResults'!$D$28:$D$66,"FAIL")</x:f>
        <x:v>0</x:v>
      </x:c>
      <x:c r="F46" s="33" t="n">
        <x:f>E46/39</x:f>
        <x:v>0</x:v>
      </x:c>
    </x:row>
    <x:row r="47" ht="23" customHeight="1">
      <x:c r="B47" s="17" t="str">
        <x:v>Cli</x:v>
      </x:c>
      <x:c r="C47" s="17" t="str">
        <x:v>Round2</x:v>
      </x:c>
      <x:c r="D47" s="17" t="str">
        <x:v>REVEALING</x:v>
      </x:c>
      <x:c r="E47" s="17" t="n">
        <x:f>0</x:f>
        <x:v>0</x:v>
      </x:c>
      <x:c r="F47" s="33" t="str">
        <x:f>"—"</x:f>
        <x:v>—</x:v>
      </x:c>
    </x:row>
    <x:row r="48" ht="23" customHeight="1">
      <x:c r="B48" s="17" t="str">
        <x:v>Cli</x:v>
      </x:c>
      <x:c r="C48" s="17" t="str">
        <x:v>Round2</x:v>
      </x:c>
      <x:c r="D48" s="17" t="str">
        <x:v>NOT_REVEALING</x:v>
      </x:c>
      <x:c r="E48" s="17" t="n">
        <x:f>0</x:f>
        <x:v>0</x:v>
      </x:c>
      <x:c r="F48" s="33" t="str">
        <x:f>"—"</x:f>
        <x:v>—</x:v>
      </x:c>
    </x:row>
    <x:row r="49" ht="23" customHeight="1">
      <x:c r="B49" s="17" t="str">
        <x:v>Cli</x:v>
      </x:c>
      <x:c r="C49" s="17" t="str">
        <x:v>Round2</x:v>
      </x:c>
      <x:c r="D49" s="17" t="str">
        <x:v>NOT_AVAILABLE</x:v>
      </x:c>
      <x:c r="E49" s="17" t="n">
        <x:f>0</x:f>
        <x:v>0</x:v>
      </x:c>
      <x:c r="F49" s="33" t="str">
        <x:f>"—"</x:f>
        <x:v>—</x:v>
      </x:c>
    </x:row>
    <x:row r="50" ht="23" customHeight="1">
      <x:c r="B50" s="17" t="str">
        <x:v>Cli</x:v>
      </x:c>
      <x:c r="C50" s="17" t="str">
        <x:v>Round2</x:v>
      </x:c>
      <x:c r="D50" s="17" t="str">
        <x:v>INCONCLUSIVE</x:v>
      </x:c>
      <x:c r="E50" s="17" t="n">
        <x:f>0</x:f>
        <x:v>0</x:v>
      </x:c>
      <x:c r="F50" s="33" t="str">
        <x:f>"—"</x:f>
        <x:v>—</x:v>
      </x:c>
    </x:row>
    <x:row r="51" ht="23" customHeight="1">
      <x:c r="B51" s="17" t="str">
        <x:v>Cli</x:v>
      </x:c>
      <x:c r="C51" s="17" t="str">
        <x:v>Round2</x:v>
      </x:c>
      <x:c r="D51" s="17" t="str">
        <x:v>FAIL</x:v>
      </x:c>
      <x:c r="E51" s="17" t="n">
        <x:f>0</x:f>
        <x:v>0</x:v>
      </x:c>
      <x:c r="F51" s="33" t="str">
        <x:f>"—"</x:f>
        <x:v>—</x:v>
      </x:c>
    </x:row>
    <x:row r="52" ht="23" customHeight="1">
      <x:c r="B52" s="17" t="str">
        <x:v>Closure</x:v>
      </x:c>
      <x:c r="C52" s="17" t="str">
        <x:v>All rounds</x:v>
      </x:c>
      <x:c r="D52" s="17" t="str">
        <x:v>REVEALING</x:v>
      </x:c>
      <x:c r="E52" s="17" t="n">
        <x:f>COUNTIF('BugResults'!$D$67:$D$240,"REVEALING")</x:f>
        <x:v>1</x:v>
      </x:c>
      <x:c r="F52" s="33" t="n">
        <x:f>E52/174</x:f>
        <x:v>0.005747126436781609</x:v>
      </x:c>
    </x:row>
    <x:row r="53" ht="23" customHeight="1">
      <x:c r="B53" s="17" t="str">
        <x:v>Closure</x:v>
      </x:c>
      <x:c r="C53" s="17" t="str">
        <x:v>All rounds</x:v>
      </x:c>
      <x:c r="D53" s="17" t="str">
        <x:v>NOT_REVEALING</x:v>
      </x:c>
      <x:c r="E53" s="17" t="n">
        <x:f>COUNTIF('BugResults'!$D$67:$D$240,"NOT_REVEALING")</x:f>
        <x:v>3</x:v>
      </x:c>
      <x:c r="F53" s="33" t="n">
        <x:f>E53/174</x:f>
        <x:v>0.017241379310344827</x:v>
      </x:c>
    </x:row>
    <x:row r="54" ht="23" customHeight="1">
      <x:c r="B54" s="17" t="str">
        <x:v>Closure</x:v>
      </x:c>
      <x:c r="C54" s="17" t="str">
        <x:v>All rounds</x:v>
      </x:c>
      <x:c r="D54" s="17" t="str">
        <x:v>NOT_AVAILABLE</x:v>
      </x:c>
      <x:c r="E54" s="17" t="n">
        <x:f>COUNTIF('BugResults'!$D$67:$D$240,"NOT_AVAILABLE")</x:f>
        <x:v>155</x:v>
      </x:c>
      <x:c r="F54" s="33" t="n">
        <x:f>E54/174</x:f>
        <x:v>0.8908045977011494</x:v>
      </x:c>
    </x:row>
    <x:row r="55" ht="23" customHeight="1">
      <x:c r="B55" s="17" t="str">
        <x:v>Closure</x:v>
      </x:c>
      <x:c r="C55" s="17" t="str">
        <x:v>All rounds</x:v>
      </x:c>
      <x:c r="D55" s="17" t="str">
        <x:v>INCONCLUSIVE</x:v>
      </x:c>
      <x:c r="E55" s="17" t="n">
        <x:f>COUNTIF('BugResults'!$D$67:$D$240,"INCONCLUSIVE")</x:f>
        <x:v>15</x:v>
      </x:c>
      <x:c r="F55" s="33" t="n">
        <x:f>E55/174</x:f>
        <x:v>0.08620689655172414</x:v>
      </x:c>
    </x:row>
    <x:row r="56" ht="23" customHeight="1">
      <x:c r="B56" s="17" t="str">
        <x:v>Closure</x:v>
      </x:c>
      <x:c r="C56" s="17" t="str">
        <x:v>All rounds</x:v>
      </x:c>
      <x:c r="D56" s="17" t="str">
        <x:v>FAIL</x:v>
      </x:c>
      <x:c r="E56" s="17" t="n">
        <x:f>COUNTIF('BugResults'!$D$67:$D$240,"FAIL")</x:f>
        <x:v>0</x:v>
      </x:c>
      <x:c r="F56" s="33" t="n">
        <x:f>E56/174</x:f>
        <x:v>0</x:v>
      </x:c>
    </x:row>
    <x:row r="57" ht="23" customHeight="1">
      <x:c r="B57" s="17" t="str">
        <x:v>Closure</x:v>
      </x:c>
      <x:c r="C57" s="17" t="str">
        <x:v>Round1</x:v>
      </x:c>
      <x:c r="D57" s="17" t="str">
        <x:v>REVEALING</x:v>
      </x:c>
      <x:c r="E57" s="17" t="n">
        <x:f>COUNTIF('BugResults'!$D$67:$D$240,"REVEALING")</x:f>
        <x:v>1</x:v>
      </x:c>
      <x:c r="F57" s="33" t="n">
        <x:f>E57/174</x:f>
        <x:v>0.005747126436781609</x:v>
      </x:c>
    </x:row>
    <x:row r="58" ht="23" customHeight="1">
      <x:c r="B58" s="17" t="str">
        <x:v>Closure</x:v>
      </x:c>
      <x:c r="C58" s="17" t="str">
        <x:v>Round1</x:v>
      </x:c>
      <x:c r="D58" s="17" t="str">
        <x:v>NOT_REVEALING</x:v>
      </x:c>
      <x:c r="E58" s="17" t="n">
        <x:f>COUNTIF('BugResults'!$D$67:$D$240,"NOT_REVEALING")</x:f>
        <x:v>3</x:v>
      </x:c>
      <x:c r="F58" s="33" t="n">
        <x:f>E58/174</x:f>
        <x:v>0.017241379310344827</x:v>
      </x:c>
    </x:row>
    <x:row r="59" ht="23" customHeight="1">
      <x:c r="B59" s="17" t="str">
        <x:v>Closure</x:v>
      </x:c>
      <x:c r="C59" s="17" t="str">
        <x:v>Round1</x:v>
      </x:c>
      <x:c r="D59" s="17" t="str">
        <x:v>NOT_AVAILABLE</x:v>
      </x:c>
      <x:c r="E59" s="17" t="n">
        <x:f>COUNTIF('BugResults'!$D$67:$D$240,"NOT_AVAILABLE")</x:f>
        <x:v>155</x:v>
      </x:c>
      <x:c r="F59" s="33" t="n">
        <x:f>E59/174</x:f>
        <x:v>0.8908045977011494</x:v>
      </x:c>
    </x:row>
    <x:row r="60" ht="23" customHeight="1">
      <x:c r="B60" s="17" t="str">
        <x:v>Closure</x:v>
      </x:c>
      <x:c r="C60" s="17" t="str">
        <x:v>Round1</x:v>
      </x:c>
      <x:c r="D60" s="17" t="str">
        <x:v>INCONCLUSIVE</x:v>
      </x:c>
      <x:c r="E60" s="17" t="n">
        <x:f>COUNTIF('BugResults'!$D$67:$D$240,"INCONCLUSIVE")</x:f>
        <x:v>15</x:v>
      </x:c>
      <x:c r="F60" s="33" t="n">
        <x:f>E60/174</x:f>
        <x:v>0.08620689655172414</x:v>
      </x:c>
    </x:row>
    <x:row r="61" ht="23" customHeight="1">
      <x:c r="B61" s="17" t="str">
        <x:v>Closure</x:v>
      </x:c>
      <x:c r="C61" s="17" t="str">
        <x:v>Round1</x:v>
      </x:c>
      <x:c r="D61" s="17" t="str">
        <x:v>FAIL</x:v>
      </x:c>
      <x:c r="E61" s="17" t="n">
        <x:f>COUNTIF('BugResults'!$D$67:$D$240,"FAIL")</x:f>
        <x:v>0</x:v>
      </x:c>
      <x:c r="F61" s="33" t="n">
        <x:f>E61/174</x:f>
        <x:v>0</x:v>
      </x:c>
    </x:row>
    <x:row r="62" ht="23" customHeight="1">
      <x:c r="B62" s="17" t="str">
        <x:v>Closure</x:v>
      </x:c>
      <x:c r="C62" s="17" t="str">
        <x:v>Round2</x:v>
      </x:c>
      <x:c r="D62" s="17" t="str">
        <x:v>REVEALING</x:v>
      </x:c>
      <x:c r="E62" s="17" t="n">
        <x:f>0</x:f>
        <x:v>0</x:v>
      </x:c>
      <x:c r="F62" s="33" t="str">
        <x:f>"—"</x:f>
        <x:v>—</x:v>
      </x:c>
    </x:row>
    <x:row r="63" ht="23" customHeight="1">
      <x:c r="B63" s="17" t="str">
        <x:v>Closure</x:v>
      </x:c>
      <x:c r="C63" s="17" t="str">
        <x:v>Round2</x:v>
      </x:c>
      <x:c r="D63" s="17" t="str">
        <x:v>NOT_REVEALING</x:v>
      </x:c>
      <x:c r="E63" s="17" t="n">
        <x:f>0</x:f>
        <x:v>0</x:v>
      </x:c>
      <x:c r="F63" s="33" t="str">
        <x:f>"—"</x:f>
        <x:v>—</x:v>
      </x:c>
    </x:row>
    <x:row r="64" ht="23" customHeight="1">
      <x:c r="B64" s="17" t="str">
        <x:v>Closure</x:v>
      </x:c>
      <x:c r="C64" s="17" t="str">
        <x:v>Round2</x:v>
      </x:c>
      <x:c r="D64" s="17" t="str">
        <x:v>NOT_AVAILABLE</x:v>
      </x:c>
      <x:c r="E64" s="17" t="n">
        <x:f>0</x:f>
        <x:v>0</x:v>
      </x:c>
      <x:c r="F64" s="33" t="str">
        <x:f>"—"</x:f>
        <x:v>—</x:v>
      </x:c>
    </x:row>
    <x:row r="65" ht="23" customHeight="1">
      <x:c r="B65" s="17" t="str">
        <x:v>Closure</x:v>
      </x:c>
      <x:c r="C65" s="17" t="str">
        <x:v>Round2</x:v>
      </x:c>
      <x:c r="D65" s="17" t="str">
        <x:v>INCONCLUSIVE</x:v>
      </x:c>
      <x:c r="E65" s="17" t="n">
        <x:f>0</x:f>
        <x:v>0</x:v>
      </x:c>
      <x:c r="F65" s="33" t="str">
        <x:f>"—"</x:f>
        <x:v>—</x:v>
      </x:c>
    </x:row>
    <x:row r="66" ht="23" customHeight="1">
      <x:c r="B66" s="17" t="str">
        <x:v>Closure</x:v>
      </x:c>
      <x:c r="C66" s="17" t="str">
        <x:v>Round2</x:v>
      </x:c>
      <x:c r="D66" s="17" t="str">
        <x:v>FAIL</x:v>
      </x:c>
      <x:c r="E66" s="17" t="n">
        <x:f>0</x:f>
        <x:v>0</x:v>
      </x:c>
      <x:c r="F66" s="33" t="str">
        <x:f>"—"</x:f>
        <x:v>—</x:v>
      </x:c>
    </x:row>
    <x:row r="67" ht="23" customHeight="1">
      <x:c r="B67" s="17" t="str">
        <x:v>Codec</x:v>
      </x:c>
      <x:c r="C67" s="17" t="str">
        <x:v>All rounds</x:v>
      </x:c>
      <x:c r="D67" s="17" t="str">
        <x:v>REVEALING</x:v>
      </x:c>
      <x:c r="E67" s="17" t="n">
        <x:f>COUNTIF('BugResults'!$D$241:$D$258,"REVEALING")</x:f>
        <x:v>0</x:v>
      </x:c>
      <x:c r="F67" s="33" t="n">
        <x:f>E67/18</x:f>
        <x:v>0</x:v>
      </x:c>
    </x:row>
    <x:row r="68" ht="23" customHeight="1">
      <x:c r="B68" s="17" t="str">
        <x:v>Codec</x:v>
      </x:c>
      <x:c r="C68" s="17" t="str">
        <x:v>All rounds</x:v>
      </x:c>
      <x:c r="D68" s="17" t="str">
        <x:v>NOT_REVEALING</x:v>
      </x:c>
      <x:c r="E68" s="17" t="n">
        <x:f>COUNTIF('BugResults'!$D$241:$D$258,"NOT_REVEALING")</x:f>
        <x:v>5</x:v>
      </x:c>
      <x:c r="F68" s="33" t="n">
        <x:f>E68/18</x:f>
        <x:v>0.2777777777777778</x:v>
      </x:c>
    </x:row>
    <x:row r="69" ht="23" customHeight="1">
      <x:c r="B69" s="17" t="str">
        <x:v>Codec</x:v>
      </x:c>
      <x:c r="C69" s="17" t="str">
        <x:v>All rounds</x:v>
      </x:c>
      <x:c r="D69" s="17" t="str">
        <x:v>NOT_AVAILABLE</x:v>
      </x:c>
      <x:c r="E69" s="17" t="n">
        <x:f>COUNTIF('BugResults'!$D$241:$D$258,"NOT_AVAILABLE")</x:f>
        <x:v>7</x:v>
      </x:c>
      <x:c r="F69" s="33" t="n">
        <x:f>E69/18</x:f>
        <x:v>0.3888888888888889</x:v>
      </x:c>
    </x:row>
    <x:row r="70" ht="23" customHeight="1">
      <x:c r="B70" s="17" t="str">
        <x:v>Codec</x:v>
      </x:c>
      <x:c r="C70" s="17" t="str">
        <x:v>All rounds</x:v>
      </x:c>
      <x:c r="D70" s="17" t="str">
        <x:v>INCONCLUSIVE</x:v>
      </x:c>
      <x:c r="E70" s="17" t="n">
        <x:f>COUNTIF('BugResults'!$D$241:$D$258,"INCONCLUSIVE")</x:f>
        <x:v>6</x:v>
      </x:c>
      <x:c r="F70" s="33" t="n">
        <x:f>E70/18</x:f>
        <x:v>0.3333333333333333</x:v>
      </x:c>
    </x:row>
    <x:row r="71" ht="23" customHeight="1">
      <x:c r="B71" s="17" t="str">
        <x:v>Codec</x:v>
      </x:c>
      <x:c r="C71" s="17" t="str">
        <x:v>All rounds</x:v>
      </x:c>
      <x:c r="D71" s="17" t="str">
        <x:v>FAIL</x:v>
      </x:c>
      <x:c r="E71" s="17" t="n">
        <x:f>COUNTIF('BugResults'!$D$241:$D$258,"FAIL")</x:f>
        <x:v>0</x:v>
      </x:c>
      <x:c r="F71" s="33" t="n">
        <x:f>E71/18</x:f>
        <x:v>0</x:v>
      </x:c>
    </x:row>
    <x:row r="72" ht="23" customHeight="1">
      <x:c r="B72" s="17" t="str">
        <x:v>Codec</x:v>
      </x:c>
      <x:c r="C72" s="17" t="str">
        <x:v>Round1</x:v>
      </x:c>
      <x:c r="D72" s="17" t="str">
        <x:v>REVEALING</x:v>
      </x:c>
      <x:c r="E72" s="17" t="n">
        <x:f>COUNTIF('BugResults'!$D$241:$D$258,"REVEALING")</x:f>
        <x:v>0</x:v>
      </x:c>
      <x:c r="F72" s="33" t="n">
        <x:f>E72/18</x:f>
        <x:v>0</x:v>
      </x:c>
    </x:row>
    <x:row r="73" ht="23" customHeight="1">
      <x:c r="B73" s="17" t="str">
        <x:v>Codec</x:v>
      </x:c>
      <x:c r="C73" s="17" t="str">
        <x:v>Round1</x:v>
      </x:c>
      <x:c r="D73" s="17" t="str">
        <x:v>NOT_REVEALING</x:v>
      </x:c>
      <x:c r="E73" s="17" t="n">
        <x:f>COUNTIF('BugResults'!$D$241:$D$258,"NOT_REVEALING")</x:f>
        <x:v>5</x:v>
      </x:c>
      <x:c r="F73" s="33" t="n">
        <x:f>E73/18</x:f>
        <x:v>0.2777777777777778</x:v>
      </x:c>
    </x:row>
    <x:row r="74" ht="23" customHeight="1">
      <x:c r="B74" s="17" t="str">
        <x:v>Codec</x:v>
      </x:c>
      <x:c r="C74" s="17" t="str">
        <x:v>Round1</x:v>
      </x:c>
      <x:c r="D74" s="17" t="str">
        <x:v>NOT_AVAILABLE</x:v>
      </x:c>
      <x:c r="E74" s="17" t="n">
        <x:f>COUNTIF('BugResults'!$D$241:$D$258,"NOT_AVAILABLE")</x:f>
        <x:v>7</x:v>
      </x:c>
      <x:c r="F74" s="33" t="n">
        <x:f>E74/18</x:f>
        <x:v>0.3888888888888889</x:v>
      </x:c>
    </x:row>
    <x:row r="75" ht="23" customHeight="1">
      <x:c r="B75" s="17" t="str">
        <x:v>Codec</x:v>
      </x:c>
      <x:c r="C75" s="17" t="str">
        <x:v>Round1</x:v>
      </x:c>
      <x:c r="D75" s="17" t="str">
        <x:v>INCONCLUSIVE</x:v>
      </x:c>
      <x:c r="E75" s="17" t="n">
        <x:f>COUNTIF('BugResults'!$D$241:$D$258,"INCONCLUSIVE")</x:f>
        <x:v>6</x:v>
      </x:c>
      <x:c r="F75" s="33" t="n">
        <x:f>E75/18</x:f>
        <x:v>0.3333333333333333</x:v>
      </x:c>
    </x:row>
    <x:row r="76" ht="23" customHeight="1">
      <x:c r="B76" s="17" t="str">
        <x:v>Codec</x:v>
      </x:c>
      <x:c r="C76" s="17" t="str">
        <x:v>Round1</x:v>
      </x:c>
      <x:c r="D76" s="17" t="str">
        <x:v>FAIL</x:v>
      </x:c>
      <x:c r="E76" s="17" t="n">
        <x:f>COUNTIF('BugResults'!$D$241:$D$258,"FAIL")</x:f>
        <x:v>0</x:v>
      </x:c>
      <x:c r="F76" s="33" t="n">
        <x:f>E76/18</x:f>
        <x:v>0</x:v>
      </x:c>
    </x:row>
    <x:row r="77" ht="23" customHeight="1">
      <x:c r="B77" s="17" t="str">
        <x:v>Codec</x:v>
      </x:c>
      <x:c r="C77" s="17" t="str">
        <x:v>Round2</x:v>
      </x:c>
      <x:c r="D77" s="17" t="str">
        <x:v>REVEALING</x:v>
      </x:c>
      <x:c r="E77" s="17" t="n">
        <x:f>0</x:f>
        <x:v>0</x:v>
      </x:c>
      <x:c r="F77" s="33" t="str">
        <x:f>"—"</x:f>
        <x:v>—</x:v>
      </x:c>
    </x:row>
    <x:row r="78" ht="23" customHeight="1">
      <x:c r="B78" s="17" t="str">
        <x:v>Codec</x:v>
      </x:c>
      <x:c r="C78" s="17" t="str">
        <x:v>Round2</x:v>
      </x:c>
      <x:c r="D78" s="17" t="str">
        <x:v>NOT_REVEALING</x:v>
      </x:c>
      <x:c r="E78" s="17" t="n">
        <x:f>0</x:f>
        <x:v>0</x:v>
      </x:c>
      <x:c r="F78" s="33" t="str">
        <x:f>"—"</x:f>
        <x:v>—</x:v>
      </x:c>
    </x:row>
    <x:row r="79" ht="23" customHeight="1">
      <x:c r="B79" s="17" t="str">
        <x:v>Codec</x:v>
      </x:c>
      <x:c r="C79" s="17" t="str">
        <x:v>Round2</x:v>
      </x:c>
      <x:c r="D79" s="17" t="str">
        <x:v>NOT_AVAILABLE</x:v>
      </x:c>
      <x:c r="E79" s="17" t="n">
        <x:f>0</x:f>
        <x:v>0</x:v>
      </x:c>
      <x:c r="F79" s="33" t="str">
        <x:f>"—"</x:f>
        <x:v>—</x:v>
      </x:c>
    </x:row>
    <x:row r="80" ht="23" customHeight="1">
      <x:c r="B80" s="17" t="str">
        <x:v>Codec</x:v>
      </x:c>
      <x:c r="C80" s="17" t="str">
        <x:v>Round2</x:v>
      </x:c>
      <x:c r="D80" s="17" t="str">
        <x:v>INCONCLUSIVE</x:v>
      </x:c>
      <x:c r="E80" s="17" t="n">
        <x:f>0</x:f>
        <x:v>0</x:v>
      </x:c>
      <x:c r="F80" s="33" t="str">
        <x:f>"—"</x:f>
        <x:v>—</x:v>
      </x:c>
    </x:row>
    <x:row r="81" ht="23" customHeight="1">
      <x:c r="B81" s="17" t="str">
        <x:v>Codec</x:v>
      </x:c>
      <x:c r="C81" s="17" t="str">
        <x:v>Round2</x:v>
      </x:c>
      <x:c r="D81" s="17" t="str">
        <x:v>FAIL</x:v>
      </x:c>
      <x:c r="E81" s="17" t="n">
        <x:f>0</x:f>
        <x:v>0</x:v>
      </x:c>
      <x:c r="F81" s="33" t="str">
        <x:f>"—"</x:f>
        <x:v>—</x:v>
      </x:c>
    </x:row>
    <x:row r="82" ht="23" customHeight="1">
      <x:c r="B82" s="17" t="str">
        <x:v>Collections</x:v>
      </x:c>
      <x:c r="C82" s="17" t="str">
        <x:v>All rounds</x:v>
      </x:c>
      <x:c r="D82" s="17" t="str">
        <x:v>REVEALING</x:v>
      </x:c>
      <x:c r="E82" s="17" t="n">
        <x:f>COUNTIF('BugResults'!$D$259:$D$286,"REVEALING")</x:f>
        <x:v>2</x:v>
      </x:c>
      <x:c r="F82" s="33" t="n">
        <x:f>E82/28</x:f>
        <x:v>0.07142857142857142</x:v>
      </x:c>
    </x:row>
    <x:row r="83" ht="23" customHeight="1">
      <x:c r="B83" s="17" t="str">
        <x:v>Collections</x:v>
      </x:c>
      <x:c r="C83" s="17" t="str">
        <x:v>All rounds</x:v>
      </x:c>
      <x:c r="D83" s="17" t="str">
        <x:v>NOT_REVEALING</x:v>
      </x:c>
      <x:c r="E83" s="17" t="n">
        <x:f>COUNTIF('BugResults'!$D$259:$D$286,"NOT_REVEALING")</x:f>
        <x:v>12</x:v>
      </x:c>
      <x:c r="F83" s="33" t="n">
        <x:f>E83/28</x:f>
        <x:v>0.42857142857142855</x:v>
      </x:c>
    </x:row>
    <x:row r="84" ht="23" customHeight="1">
      <x:c r="B84" s="17" t="str">
        <x:v>Collections</x:v>
      </x:c>
      <x:c r="C84" s="17" t="str">
        <x:v>All rounds</x:v>
      </x:c>
      <x:c r="D84" s="17" t="str">
        <x:v>NOT_AVAILABLE</x:v>
      </x:c>
      <x:c r="E84" s="17" t="n">
        <x:f>COUNTIF('BugResults'!$D$259:$D$286,"NOT_AVAILABLE")</x:f>
        <x:v>3</x:v>
      </x:c>
      <x:c r="F84" s="33" t="n">
        <x:f>E84/28</x:f>
        <x:v>0.10714285714285714</x:v>
      </x:c>
    </x:row>
    <x:row r="85" ht="23" customHeight="1">
      <x:c r="B85" s="17" t="str">
        <x:v>Collections</x:v>
      </x:c>
      <x:c r="C85" s="17" t="str">
        <x:v>All rounds</x:v>
      </x:c>
      <x:c r="D85" s="17" t="str">
        <x:v>INCONCLUSIVE</x:v>
      </x:c>
      <x:c r="E85" s="17" t="n">
        <x:f>COUNTIF('BugResults'!$D$259:$D$286,"INCONCLUSIVE")</x:f>
        <x:v>11</x:v>
      </x:c>
      <x:c r="F85" s="33" t="n">
        <x:f>E85/28</x:f>
        <x:v>0.39285714285714285</x:v>
      </x:c>
    </x:row>
    <x:row r="86" ht="23" customHeight="1">
      <x:c r="B86" s="17" t="str">
        <x:v>Collections</x:v>
      </x:c>
      <x:c r="C86" s="17" t="str">
        <x:v>All rounds</x:v>
      </x:c>
      <x:c r="D86" s="17" t="str">
        <x:v>FAIL</x:v>
      </x:c>
      <x:c r="E86" s="17" t="n">
        <x:f>COUNTIF('BugResults'!$D$259:$D$286,"FAIL")</x:f>
        <x:v>0</x:v>
      </x:c>
      <x:c r="F86" s="33" t="n">
        <x:f>E86/28</x:f>
        <x:v>0</x:v>
      </x:c>
    </x:row>
    <x:row r="87" ht="23" customHeight="1">
      <x:c r="B87" s="17" t="str">
        <x:v>Collections</x:v>
      </x:c>
      <x:c r="C87" s="17" t="str">
        <x:v>Round1</x:v>
      </x:c>
      <x:c r="D87" s="17" t="str">
        <x:v>REVEALING</x:v>
      </x:c>
      <x:c r="E87" s="17" t="n">
        <x:f>COUNTIF('BugResults'!$D$259:$D$286,"REVEALING")</x:f>
        <x:v>2</x:v>
      </x:c>
      <x:c r="F87" s="33" t="n">
        <x:f>E87/28</x:f>
        <x:v>0.07142857142857142</x:v>
      </x:c>
    </x:row>
    <x:row r="88" ht="23" customHeight="1">
      <x:c r="B88" s="17" t="str">
        <x:v>Collections</x:v>
      </x:c>
      <x:c r="C88" s="17" t="str">
        <x:v>Round1</x:v>
      </x:c>
      <x:c r="D88" s="17" t="str">
        <x:v>NOT_REVEALING</x:v>
      </x:c>
      <x:c r="E88" s="17" t="n">
        <x:f>COUNTIF('BugResults'!$D$259:$D$286,"NOT_REVEALING")</x:f>
        <x:v>12</x:v>
      </x:c>
      <x:c r="F88" s="33" t="n">
        <x:f>E88/28</x:f>
        <x:v>0.42857142857142855</x:v>
      </x:c>
    </x:row>
    <x:row r="89" ht="23" customHeight="1">
      <x:c r="B89" s="17" t="str">
        <x:v>Collections</x:v>
      </x:c>
      <x:c r="C89" s="17" t="str">
        <x:v>Round1</x:v>
      </x:c>
      <x:c r="D89" s="17" t="str">
        <x:v>NOT_AVAILABLE</x:v>
      </x:c>
      <x:c r="E89" s="17" t="n">
        <x:f>COUNTIF('BugResults'!$D$259:$D$286,"NOT_AVAILABLE")</x:f>
        <x:v>3</x:v>
      </x:c>
      <x:c r="F89" s="33" t="n">
        <x:f>E89/28</x:f>
        <x:v>0.10714285714285714</x:v>
      </x:c>
    </x:row>
    <x:row r="90" ht="23" customHeight="1">
      <x:c r="B90" s="17" t="str">
        <x:v>Collections</x:v>
      </x:c>
      <x:c r="C90" s="17" t="str">
        <x:v>Round1</x:v>
      </x:c>
      <x:c r="D90" s="17" t="str">
        <x:v>INCONCLUSIVE</x:v>
      </x:c>
      <x:c r="E90" s="17" t="n">
        <x:f>COUNTIF('BugResults'!$D$259:$D$286,"INCONCLUSIVE")</x:f>
        <x:v>11</x:v>
      </x:c>
      <x:c r="F90" s="33" t="n">
        <x:f>E90/28</x:f>
        <x:v>0.39285714285714285</x:v>
      </x:c>
    </x:row>
    <x:row r="91" ht="23" customHeight="1">
      <x:c r="B91" s="17" t="str">
        <x:v>Collections</x:v>
      </x:c>
      <x:c r="C91" s="17" t="str">
        <x:v>Round1</x:v>
      </x:c>
      <x:c r="D91" s="17" t="str">
        <x:v>FAIL</x:v>
      </x:c>
      <x:c r="E91" s="17" t="n">
        <x:f>COUNTIF('BugResults'!$D$259:$D$286,"FAIL")</x:f>
        <x:v>0</x:v>
      </x:c>
      <x:c r="F91" s="33" t="n">
        <x:f>E91/28</x:f>
        <x:v>0</x:v>
      </x:c>
    </x:row>
    <x:row r="92" ht="23" customHeight="1">
      <x:c r="B92" s="17" t="str">
        <x:v>Collections</x:v>
      </x:c>
      <x:c r="C92" s="17" t="str">
        <x:v>Round2</x:v>
      </x:c>
      <x:c r="D92" s="17" t="str">
        <x:v>REVEALING</x:v>
      </x:c>
      <x:c r="E92" s="17" t="n">
        <x:f>0</x:f>
        <x:v>0</x:v>
      </x:c>
      <x:c r="F92" s="33" t="str">
        <x:f>"—"</x:f>
        <x:v>—</x:v>
      </x:c>
    </x:row>
    <x:row r="93" ht="23" customHeight="1">
      <x:c r="B93" s="17" t="str">
        <x:v>Collections</x:v>
      </x:c>
      <x:c r="C93" s="17" t="str">
        <x:v>Round2</x:v>
      </x:c>
      <x:c r="D93" s="17" t="str">
        <x:v>NOT_REVEALING</x:v>
      </x:c>
      <x:c r="E93" s="17" t="n">
        <x:f>0</x:f>
        <x:v>0</x:v>
      </x:c>
      <x:c r="F93" s="33" t="str">
        <x:f>"—"</x:f>
        <x:v>—</x:v>
      </x:c>
    </x:row>
    <x:row r="94" ht="23" customHeight="1">
      <x:c r="B94" s="17" t="str">
        <x:v>Collections</x:v>
      </x:c>
      <x:c r="C94" s="17" t="str">
        <x:v>Round2</x:v>
      </x:c>
      <x:c r="D94" s="17" t="str">
        <x:v>NOT_AVAILABLE</x:v>
      </x:c>
      <x:c r="E94" s="17" t="n">
        <x:f>0</x:f>
        <x:v>0</x:v>
      </x:c>
      <x:c r="F94" s="33" t="str">
        <x:f>"—"</x:f>
        <x:v>—</x:v>
      </x:c>
    </x:row>
    <x:row r="95" ht="23" customHeight="1">
      <x:c r="B95" s="17" t="str">
        <x:v>Collections</x:v>
      </x:c>
      <x:c r="C95" s="17" t="str">
        <x:v>Round2</x:v>
      </x:c>
      <x:c r="D95" s="17" t="str">
        <x:v>INCONCLUSIVE</x:v>
      </x:c>
      <x:c r="E95" s="17" t="n">
        <x:f>0</x:f>
        <x:v>0</x:v>
      </x:c>
      <x:c r="F95" s="33" t="str">
        <x:f>"—"</x:f>
        <x:v>—</x:v>
      </x:c>
    </x:row>
    <x:row r="96" ht="23" customHeight="1">
      <x:c r="B96" s="17" t="str">
        <x:v>Collections</x:v>
      </x:c>
      <x:c r="C96" s="17" t="str">
        <x:v>Round2</x:v>
      </x:c>
      <x:c r="D96" s="17" t="str">
        <x:v>FAIL</x:v>
      </x:c>
      <x:c r="E96" s="17" t="n">
        <x:f>0</x:f>
        <x:v>0</x:v>
      </x:c>
      <x:c r="F96" s="33" t="str">
        <x:f>"—"</x:f>
        <x:v>—</x:v>
      </x:c>
    </x:row>
    <x:row r="97" ht="23" customHeight="1">
      <x:c r="B97" s="17" t="str">
        <x:v>Compress</x:v>
      </x:c>
      <x:c r="C97" s="17" t="str">
        <x:v>All rounds</x:v>
      </x:c>
      <x:c r="D97" s="17" t="str">
        <x:v>REVEALING</x:v>
      </x:c>
      <x:c r="E97" s="17" t="n">
        <x:f>COUNTIF('BugResults'!$D$287:$D$333,"REVEALING")</x:f>
        <x:v>1</x:v>
      </x:c>
      <x:c r="F97" s="33" t="n">
        <x:f>E97/47</x:f>
        <x:v>0.02127659574468085</x:v>
      </x:c>
    </x:row>
    <x:row r="98" ht="23" customHeight="1">
      <x:c r="B98" s="17" t="str">
        <x:v>Compress</x:v>
      </x:c>
      <x:c r="C98" s="17" t="str">
        <x:v>All rounds</x:v>
      </x:c>
      <x:c r="D98" s="17" t="str">
        <x:v>NOT_REVEALING</x:v>
      </x:c>
      <x:c r="E98" s="17" t="n">
        <x:f>COUNTIF('BugResults'!$D$287:$D$333,"NOT_REVEALING")</x:f>
        <x:v>9</x:v>
      </x:c>
      <x:c r="F98" s="33" t="n">
        <x:f>E98/47</x:f>
        <x:v>0.19148936170212766</x:v>
      </x:c>
    </x:row>
    <x:row r="99" ht="23" customHeight="1">
      <x:c r="B99" s="17" t="str">
        <x:v>Compress</x:v>
      </x:c>
      <x:c r="C99" s="17" t="str">
        <x:v>All rounds</x:v>
      </x:c>
      <x:c r="D99" s="17" t="str">
        <x:v>NOT_AVAILABLE</x:v>
      </x:c>
      <x:c r="E99" s="17" t="n">
        <x:f>COUNTIF('BugResults'!$D$287:$D$333,"NOT_AVAILABLE")</x:f>
        <x:v>13</x:v>
      </x:c>
      <x:c r="F99" s="33" t="n">
        <x:f>E99/47</x:f>
        <x:v>0.2765957446808511</x:v>
      </x:c>
    </x:row>
    <x:row r="100" ht="23" customHeight="1">
      <x:c r="B100" s="17" t="str">
        <x:v>Compress</x:v>
      </x:c>
      <x:c r="C100" s="17" t="str">
        <x:v>All rounds</x:v>
      </x:c>
      <x:c r="D100" s="17" t="str">
        <x:v>INCONCLUSIVE</x:v>
      </x:c>
      <x:c r="E100" s="17" t="n">
        <x:f>COUNTIF('BugResults'!$D$287:$D$333,"INCONCLUSIVE")</x:f>
        <x:v>23</x:v>
      </x:c>
      <x:c r="F100" s="33" t="n">
        <x:f>E100/47</x:f>
        <x:v>0.48936170212765956</x:v>
      </x:c>
    </x:row>
    <x:row r="101" ht="23" customHeight="1">
      <x:c r="B101" s="17" t="str">
        <x:v>Compress</x:v>
      </x:c>
      <x:c r="C101" s="17" t="str">
        <x:v>All rounds</x:v>
      </x:c>
      <x:c r="D101" s="17" t="str">
        <x:v>FAIL</x:v>
      </x:c>
      <x:c r="E101" s="17" t="n">
        <x:f>COUNTIF('BugResults'!$D$287:$D$333,"FAIL")</x:f>
        <x:v>1</x:v>
      </x:c>
      <x:c r="F101" s="33" t="n">
        <x:f>E101/47</x:f>
        <x:v>0.02127659574468085</x:v>
      </x:c>
    </x:row>
    <x:row r="102" ht="23" customHeight="1">
      <x:c r="B102" s="17" t="str">
        <x:v>Compress</x:v>
      </x:c>
      <x:c r="C102" s="17" t="str">
        <x:v>Round1</x:v>
      </x:c>
      <x:c r="D102" s="17" t="str">
        <x:v>REVEALING</x:v>
      </x:c>
      <x:c r="E102" s="17" t="n">
        <x:f>COUNTIF('BugResults'!$D$287:$D$333,"REVEALING")</x:f>
        <x:v>1</x:v>
      </x:c>
      <x:c r="F102" s="33" t="n">
        <x:f>E102/47</x:f>
        <x:v>0.02127659574468085</x:v>
      </x:c>
    </x:row>
    <x:row r="103" ht="23" customHeight="1">
      <x:c r="B103" s="17" t="str">
        <x:v>Compress</x:v>
      </x:c>
      <x:c r="C103" s="17" t="str">
        <x:v>Round1</x:v>
      </x:c>
      <x:c r="D103" s="17" t="str">
        <x:v>NOT_REVEALING</x:v>
      </x:c>
      <x:c r="E103" s="17" t="n">
        <x:f>COUNTIF('BugResults'!$D$287:$D$333,"NOT_REVEALING")</x:f>
        <x:v>9</x:v>
      </x:c>
      <x:c r="F103" s="33" t="n">
        <x:f>E103/47</x:f>
        <x:v>0.19148936170212766</x:v>
      </x:c>
    </x:row>
    <x:row r="104" ht="23" customHeight="1">
      <x:c r="B104" s="17" t="str">
        <x:v>Compress</x:v>
      </x:c>
      <x:c r="C104" s="17" t="str">
        <x:v>Round1</x:v>
      </x:c>
      <x:c r="D104" s="17" t="str">
        <x:v>NOT_AVAILABLE</x:v>
      </x:c>
      <x:c r="E104" s="17" t="n">
        <x:f>COUNTIF('BugResults'!$D$287:$D$333,"NOT_AVAILABLE")</x:f>
        <x:v>13</x:v>
      </x:c>
      <x:c r="F104" s="33" t="n">
        <x:f>E104/47</x:f>
        <x:v>0.2765957446808511</x:v>
      </x:c>
    </x:row>
    <x:row r="105" ht="23" customHeight="1">
      <x:c r="B105" s="17" t="str">
        <x:v>Compress</x:v>
      </x:c>
      <x:c r="C105" s="17" t="str">
        <x:v>Round1</x:v>
      </x:c>
      <x:c r="D105" s="17" t="str">
        <x:v>INCONCLUSIVE</x:v>
      </x:c>
      <x:c r="E105" s="17" t="n">
        <x:f>COUNTIF('BugResults'!$D$287:$D$333,"INCONCLUSIVE")</x:f>
        <x:v>23</x:v>
      </x:c>
      <x:c r="F105" s="33" t="n">
        <x:f>E105/47</x:f>
        <x:v>0.48936170212765956</x:v>
      </x:c>
    </x:row>
    <x:row r="106" ht="23" customHeight="1">
      <x:c r="B106" s="17" t="str">
        <x:v>Compress</x:v>
      </x:c>
      <x:c r="C106" s="17" t="str">
        <x:v>Round1</x:v>
      </x:c>
      <x:c r="D106" s="17" t="str">
        <x:v>FAIL</x:v>
      </x:c>
      <x:c r="E106" s="17" t="n">
        <x:f>COUNTIF('BugResults'!$D$287:$D$333,"FAIL")</x:f>
        <x:v>1</x:v>
      </x:c>
      <x:c r="F106" s="33" t="n">
        <x:f>E106/47</x:f>
        <x:v>0.02127659574468085</x:v>
      </x:c>
    </x:row>
    <x:row r="107" ht="23" customHeight="1">
      <x:c r="B107" s="17" t="str">
        <x:v>Compress</x:v>
      </x:c>
      <x:c r="C107" s="17" t="str">
        <x:v>Round2</x:v>
      </x:c>
      <x:c r="D107" s="17" t="str">
        <x:v>REVEALING</x:v>
      </x:c>
      <x:c r="E107" s="17" t="n">
        <x:f>0</x:f>
        <x:v>0</x:v>
      </x:c>
      <x:c r="F107" s="33" t="str">
        <x:f>"—"</x:f>
        <x:v>—</x:v>
      </x:c>
    </x:row>
    <x:row r="108" ht="23" customHeight="1">
      <x:c r="B108" s="17" t="str">
        <x:v>Compress</x:v>
      </x:c>
      <x:c r="C108" s="17" t="str">
        <x:v>Round2</x:v>
      </x:c>
      <x:c r="D108" s="17" t="str">
        <x:v>NOT_REVEALING</x:v>
      </x:c>
      <x:c r="E108" s="17" t="n">
        <x:f>0</x:f>
        <x:v>0</x:v>
      </x:c>
      <x:c r="F108" s="33" t="str">
        <x:f>"—"</x:f>
        <x:v>—</x:v>
      </x:c>
    </x:row>
    <x:row r="109" ht="23" customHeight="1">
      <x:c r="B109" s="17" t="str">
        <x:v>Compress</x:v>
      </x:c>
      <x:c r="C109" s="17" t="str">
        <x:v>Round2</x:v>
      </x:c>
      <x:c r="D109" s="17" t="str">
        <x:v>NOT_AVAILABLE</x:v>
      </x:c>
      <x:c r="E109" s="17" t="n">
        <x:f>0</x:f>
        <x:v>0</x:v>
      </x:c>
      <x:c r="F109" s="33" t="str">
        <x:f>"—"</x:f>
        <x:v>—</x:v>
      </x:c>
    </x:row>
    <x:row r="110" ht="23" customHeight="1">
      <x:c r="B110" s="17" t="str">
        <x:v>Compress</x:v>
      </x:c>
      <x:c r="C110" s="17" t="str">
        <x:v>Round2</x:v>
      </x:c>
      <x:c r="D110" s="17" t="str">
        <x:v>INCONCLUSIVE</x:v>
      </x:c>
      <x:c r="E110" s="17" t="n">
        <x:f>0</x:f>
        <x:v>0</x:v>
      </x:c>
      <x:c r="F110" s="33" t="str">
        <x:f>"—"</x:f>
        <x:v>—</x:v>
      </x:c>
    </x:row>
    <x:row r="111" ht="23" customHeight="1">
      <x:c r="B111" s="17" t="str">
        <x:v>Compress</x:v>
      </x:c>
      <x:c r="C111" s="17" t="str">
        <x:v>Round2</x:v>
      </x:c>
      <x:c r="D111" s="17" t="str">
        <x:v>FAIL</x:v>
      </x:c>
      <x:c r="E111" s="17" t="n">
        <x:f>0</x:f>
        <x:v>0</x:v>
      </x:c>
      <x:c r="F111" s="33" t="str">
        <x:f>"—"</x:f>
        <x:v>—</x:v>
      </x:c>
    </x:row>
    <x:row r="112" ht="23" customHeight="1">
      <x:c r="B112" s="17" t="str">
        <x:v>Csv</x:v>
      </x:c>
      <x:c r="C112" s="17" t="str">
        <x:v>All rounds</x:v>
      </x:c>
      <x:c r="D112" s="17" t="str">
        <x:v>REVEALING</x:v>
      </x:c>
      <x:c r="E112" s="17" t="n">
        <x:f>COUNTIF('BugResults'!$D$334:$D$349,"REVEALING")</x:f>
        <x:v>0</x:v>
      </x:c>
      <x:c r="F112" s="33" t="n">
        <x:f>E112/16</x:f>
        <x:v>0</x:v>
      </x:c>
    </x:row>
    <x:row r="113" ht="23" customHeight="1">
      <x:c r="B113" s="17" t="str">
        <x:v>Csv</x:v>
      </x:c>
      <x:c r="C113" s="17" t="str">
        <x:v>All rounds</x:v>
      </x:c>
      <x:c r="D113" s="17" t="str">
        <x:v>NOT_REVEALING</x:v>
      </x:c>
      <x:c r="E113" s="17" t="n">
        <x:f>COUNTIF('BugResults'!$D$334:$D$349,"NOT_REVEALING")</x:f>
        <x:v>6</x:v>
      </x:c>
      <x:c r="F113" s="33" t="n">
        <x:f>E113/16</x:f>
        <x:v>0.375</x:v>
      </x:c>
    </x:row>
    <x:row r="114" ht="23" customHeight="1">
      <x:c r="B114" s="17" t="str">
        <x:v>Csv</x:v>
      </x:c>
      <x:c r="C114" s="17" t="str">
        <x:v>All rounds</x:v>
      </x:c>
      <x:c r="D114" s="17" t="str">
        <x:v>NOT_AVAILABLE</x:v>
      </x:c>
      <x:c r="E114" s="17" t="n">
        <x:f>COUNTIF('BugResults'!$D$334:$D$349,"NOT_AVAILABLE")</x:f>
        <x:v>8</x:v>
      </x:c>
      <x:c r="F114" s="33" t="n">
        <x:f>E114/16</x:f>
        <x:v>0.5</x:v>
      </x:c>
    </x:row>
    <x:row r="115" ht="23" customHeight="1">
      <x:c r="B115" s="17" t="str">
        <x:v>Csv</x:v>
      </x:c>
      <x:c r="C115" s="17" t="str">
        <x:v>All rounds</x:v>
      </x:c>
      <x:c r="D115" s="17" t="str">
        <x:v>INCONCLUSIVE</x:v>
      </x:c>
      <x:c r="E115" s="17" t="n">
        <x:f>COUNTIF('BugResults'!$D$334:$D$349,"INCONCLUSIVE")</x:f>
        <x:v>2</x:v>
      </x:c>
      <x:c r="F115" s="33" t="n">
        <x:f>E115/16</x:f>
        <x:v>0.125</x:v>
      </x:c>
    </x:row>
    <x:row r="116" ht="23" customHeight="1">
      <x:c r="B116" s="17" t="str">
        <x:v>Csv</x:v>
      </x:c>
      <x:c r="C116" s="17" t="str">
        <x:v>All rounds</x:v>
      </x:c>
      <x:c r="D116" s="17" t="str">
        <x:v>FAIL</x:v>
      </x:c>
      <x:c r="E116" s="17" t="n">
        <x:f>COUNTIF('BugResults'!$D$334:$D$349,"FAIL")</x:f>
        <x:v>0</x:v>
      </x:c>
      <x:c r="F116" s="33" t="n">
        <x:f>E116/16</x:f>
        <x:v>0</x:v>
      </x:c>
    </x:row>
    <x:row r="117" ht="23" customHeight="1">
      <x:c r="B117" s="17" t="str">
        <x:v>Csv</x:v>
      </x:c>
      <x:c r="C117" s="17" t="str">
        <x:v>Round1</x:v>
      </x:c>
      <x:c r="D117" s="17" t="str">
        <x:v>REVEALING</x:v>
      </x:c>
      <x:c r="E117" s="17" t="n">
        <x:f>COUNTIF('BugResults'!$D$334:$D$349,"REVEALING")</x:f>
        <x:v>0</x:v>
      </x:c>
      <x:c r="F117" s="33" t="n">
        <x:f>E117/16</x:f>
        <x:v>0</x:v>
      </x:c>
    </x:row>
    <x:row r="118" ht="23" customHeight="1">
      <x:c r="B118" s="17" t="str">
        <x:v>Csv</x:v>
      </x:c>
      <x:c r="C118" s="17" t="str">
        <x:v>Round1</x:v>
      </x:c>
      <x:c r="D118" s="17" t="str">
        <x:v>NOT_REVEALING</x:v>
      </x:c>
      <x:c r="E118" s="17" t="n">
        <x:f>COUNTIF('BugResults'!$D$334:$D$349,"NOT_REVEALING")</x:f>
        <x:v>6</x:v>
      </x:c>
      <x:c r="F118" s="33" t="n">
        <x:f>E118/16</x:f>
        <x:v>0.375</x:v>
      </x:c>
    </x:row>
    <x:row r="119" ht="23" customHeight="1">
      <x:c r="B119" s="17" t="str">
        <x:v>Csv</x:v>
      </x:c>
      <x:c r="C119" s="17" t="str">
        <x:v>Round1</x:v>
      </x:c>
      <x:c r="D119" s="17" t="str">
        <x:v>NOT_AVAILABLE</x:v>
      </x:c>
      <x:c r="E119" s="17" t="n">
        <x:f>COUNTIF('BugResults'!$D$334:$D$349,"NOT_AVAILABLE")</x:f>
        <x:v>8</x:v>
      </x:c>
      <x:c r="F119" s="33" t="n">
        <x:f>E119/16</x:f>
        <x:v>0.5</x:v>
      </x:c>
    </x:row>
    <x:row r="120" ht="23" customHeight="1">
      <x:c r="B120" s="17" t="str">
        <x:v>Csv</x:v>
      </x:c>
      <x:c r="C120" s="17" t="str">
        <x:v>Round1</x:v>
      </x:c>
      <x:c r="D120" s="17" t="str">
        <x:v>INCONCLUSIVE</x:v>
      </x:c>
      <x:c r="E120" s="17" t="n">
        <x:f>COUNTIF('BugResults'!$D$334:$D$349,"INCONCLUSIVE")</x:f>
        <x:v>2</x:v>
      </x:c>
      <x:c r="F120" s="33" t="n">
        <x:f>E120/16</x:f>
        <x:v>0.125</x:v>
      </x:c>
    </x:row>
    <x:row r="121" ht="23" customHeight="1">
      <x:c r="B121" s="17" t="str">
        <x:v>Csv</x:v>
      </x:c>
      <x:c r="C121" s="17" t="str">
        <x:v>Round1</x:v>
      </x:c>
      <x:c r="D121" s="17" t="str">
        <x:v>FAIL</x:v>
      </x:c>
      <x:c r="E121" s="17" t="n">
        <x:f>COUNTIF('BugResults'!$D$334:$D$349,"FAIL")</x:f>
        <x:v>0</x:v>
      </x:c>
      <x:c r="F121" s="33" t="n">
        <x:f>E121/16</x:f>
        <x:v>0</x:v>
      </x:c>
    </x:row>
    <x:row r="122" ht="23" customHeight="1">
      <x:c r="B122" s="17" t="str">
        <x:v>Csv</x:v>
      </x:c>
      <x:c r="C122" s="17" t="str">
        <x:v>Round2</x:v>
      </x:c>
      <x:c r="D122" s="17" t="str">
        <x:v>REVEALING</x:v>
      </x:c>
      <x:c r="E122" s="17" t="n">
        <x:f>0</x:f>
        <x:v>0</x:v>
      </x:c>
      <x:c r="F122" s="33" t="str">
        <x:f>"—"</x:f>
        <x:v>—</x:v>
      </x:c>
    </x:row>
    <x:row r="123" ht="23" customHeight="1">
      <x:c r="B123" s="17" t="str">
        <x:v>Csv</x:v>
      </x:c>
      <x:c r="C123" s="17" t="str">
        <x:v>Round2</x:v>
      </x:c>
      <x:c r="D123" s="17" t="str">
        <x:v>NOT_REVEALING</x:v>
      </x:c>
      <x:c r="E123" s="17" t="n">
        <x:f>0</x:f>
        <x:v>0</x:v>
      </x:c>
      <x:c r="F123" s="33" t="str">
        <x:f>"—"</x:f>
        <x:v>—</x:v>
      </x:c>
    </x:row>
    <x:row r="124" ht="23" customHeight="1">
      <x:c r="B124" s="17" t="str">
        <x:v>Csv</x:v>
      </x:c>
      <x:c r="C124" s="17" t="str">
        <x:v>Round2</x:v>
      </x:c>
      <x:c r="D124" s="17" t="str">
        <x:v>NOT_AVAILABLE</x:v>
      </x:c>
      <x:c r="E124" s="17" t="n">
        <x:f>0</x:f>
        <x:v>0</x:v>
      </x:c>
      <x:c r="F124" s="33" t="str">
        <x:f>"—"</x:f>
        <x:v>—</x:v>
      </x:c>
    </x:row>
    <x:row r="125" ht="23" customHeight="1">
      <x:c r="B125" s="17" t="str">
        <x:v>Csv</x:v>
      </x:c>
      <x:c r="C125" s="17" t="str">
        <x:v>Round2</x:v>
      </x:c>
      <x:c r="D125" s="17" t="str">
        <x:v>INCONCLUSIVE</x:v>
      </x:c>
      <x:c r="E125" s="17" t="n">
        <x:f>0</x:f>
        <x:v>0</x:v>
      </x:c>
      <x:c r="F125" s="33" t="str">
        <x:f>"—"</x:f>
        <x:v>—</x:v>
      </x:c>
    </x:row>
    <x:row r="126" ht="23" customHeight="1">
      <x:c r="B126" s="17" t="str">
        <x:v>Csv</x:v>
      </x:c>
      <x:c r="C126" s="17" t="str">
        <x:v>Round2</x:v>
      </x:c>
      <x:c r="D126" s="17" t="str">
        <x:v>FAIL</x:v>
      </x:c>
      <x:c r="E126" s="17" t="n">
        <x:f>0</x:f>
        <x:v>0</x:v>
      </x:c>
      <x:c r="F126" s="33" t="str">
        <x:f>"—"</x:f>
        <x:v>—</x:v>
      </x:c>
    </x:row>
    <x:row r="127" ht="23" customHeight="1">
      <x:c r="B127" s="17" t="str">
        <x:v>Gson</x:v>
      </x:c>
      <x:c r="C127" s="17" t="str">
        <x:v>All rounds</x:v>
      </x:c>
      <x:c r="D127" s="17" t="str">
        <x:v>REVEALING</x:v>
      </x:c>
      <x:c r="E127" s="17" t="n">
        <x:f>COUNTIF('BugResults'!$D$350:$D$367,"REVEALING")</x:f>
        <x:v>0</x:v>
      </x:c>
      <x:c r="F127" s="33" t="n">
        <x:f>E127/18</x:f>
        <x:v>0</x:v>
      </x:c>
    </x:row>
    <x:row r="128" ht="23" customHeight="1">
      <x:c r="B128" s="17" t="str">
        <x:v>Gson</x:v>
      </x:c>
      <x:c r="C128" s="17" t="str">
        <x:v>All rounds</x:v>
      </x:c>
      <x:c r="D128" s="17" t="str">
        <x:v>NOT_REVEALING</x:v>
      </x:c>
      <x:c r="E128" s="17" t="n">
        <x:f>COUNTIF('BugResults'!$D$350:$D$367,"NOT_REVEALING")</x:f>
        <x:v>5</x:v>
      </x:c>
      <x:c r="F128" s="33" t="n">
        <x:f>E128/18</x:f>
        <x:v>0.2777777777777778</x:v>
      </x:c>
    </x:row>
    <x:row r="129" ht="23" customHeight="1">
      <x:c r="B129" s="17" t="str">
        <x:v>Gson</x:v>
      </x:c>
      <x:c r="C129" s="17" t="str">
        <x:v>All rounds</x:v>
      </x:c>
      <x:c r="D129" s="17" t="str">
        <x:v>NOT_AVAILABLE</x:v>
      </x:c>
      <x:c r="E129" s="17" t="n">
        <x:f>COUNTIF('BugResults'!$D$350:$D$367,"NOT_AVAILABLE")</x:f>
        <x:v>5</x:v>
      </x:c>
      <x:c r="F129" s="33" t="n">
        <x:f>E129/18</x:f>
        <x:v>0.2777777777777778</x:v>
      </x:c>
    </x:row>
    <x:row r="130" ht="23" customHeight="1">
      <x:c r="B130" s="17" t="str">
        <x:v>Gson</x:v>
      </x:c>
      <x:c r="C130" s="17" t="str">
        <x:v>All rounds</x:v>
      </x:c>
      <x:c r="D130" s="17" t="str">
        <x:v>INCONCLUSIVE</x:v>
      </x:c>
      <x:c r="E130" s="17" t="n">
        <x:f>COUNTIF('BugResults'!$D$350:$D$367,"INCONCLUSIVE")</x:f>
        <x:v>8</x:v>
      </x:c>
      <x:c r="F130" s="33" t="n">
        <x:f>E130/18</x:f>
        <x:v>0.4444444444444444</x:v>
      </x:c>
    </x:row>
    <x:row r="131" ht="23" customHeight="1">
      <x:c r="B131" s="17" t="str">
        <x:v>Gson</x:v>
      </x:c>
      <x:c r="C131" s="17" t="str">
        <x:v>All rounds</x:v>
      </x:c>
      <x:c r="D131" s="17" t="str">
        <x:v>FAIL</x:v>
      </x:c>
      <x:c r="E131" s="17" t="n">
        <x:f>COUNTIF('BugResults'!$D$350:$D$367,"FAIL")</x:f>
        <x:v>0</x:v>
      </x:c>
      <x:c r="F131" s="33" t="n">
        <x:f>E131/18</x:f>
        <x:v>0</x:v>
      </x:c>
    </x:row>
    <x:row r="132" ht="23" customHeight="1">
      <x:c r="B132" s="17" t="str">
        <x:v>Gson</x:v>
      </x:c>
      <x:c r="C132" s="17" t="str">
        <x:v>Round1</x:v>
      </x:c>
      <x:c r="D132" s="17" t="str">
        <x:v>REVEALING</x:v>
      </x:c>
      <x:c r="E132" s="17" t="n">
        <x:f>COUNTIF('BugResults'!$D$350:$D$367,"REVEALING")</x:f>
        <x:v>0</x:v>
      </x:c>
      <x:c r="F132" s="33" t="n">
        <x:f>E132/18</x:f>
        <x:v>0</x:v>
      </x:c>
    </x:row>
    <x:row r="133" ht="23" customHeight="1">
      <x:c r="B133" s="17" t="str">
        <x:v>Gson</x:v>
      </x:c>
      <x:c r="C133" s="17" t="str">
        <x:v>Round1</x:v>
      </x:c>
      <x:c r="D133" s="17" t="str">
        <x:v>NOT_REVEALING</x:v>
      </x:c>
      <x:c r="E133" s="17" t="n">
        <x:f>COUNTIF('BugResults'!$D$350:$D$367,"NOT_REVEALING")</x:f>
        <x:v>5</x:v>
      </x:c>
      <x:c r="F133" s="33" t="n">
        <x:f>E133/18</x:f>
        <x:v>0.2777777777777778</x:v>
      </x:c>
    </x:row>
    <x:row r="134" ht="23" customHeight="1">
      <x:c r="B134" s="17" t="str">
        <x:v>Gson</x:v>
      </x:c>
      <x:c r="C134" s="17" t="str">
        <x:v>Round1</x:v>
      </x:c>
      <x:c r="D134" s="17" t="str">
        <x:v>NOT_AVAILABLE</x:v>
      </x:c>
      <x:c r="E134" s="17" t="n">
        <x:f>COUNTIF('BugResults'!$D$350:$D$367,"NOT_AVAILABLE")</x:f>
        <x:v>5</x:v>
      </x:c>
      <x:c r="F134" s="33" t="n">
        <x:f>E134/18</x:f>
        <x:v>0.2777777777777778</x:v>
      </x:c>
    </x:row>
    <x:row r="135" ht="23" customHeight="1">
      <x:c r="B135" s="17" t="str">
        <x:v>Gson</x:v>
      </x:c>
      <x:c r="C135" s="17" t="str">
        <x:v>Round1</x:v>
      </x:c>
      <x:c r="D135" s="17" t="str">
        <x:v>INCONCLUSIVE</x:v>
      </x:c>
      <x:c r="E135" s="17" t="n">
        <x:f>COUNTIF('BugResults'!$D$350:$D$367,"INCONCLUSIVE")</x:f>
        <x:v>8</x:v>
      </x:c>
      <x:c r="F135" s="33" t="n">
        <x:f>E135/18</x:f>
        <x:v>0.4444444444444444</x:v>
      </x:c>
    </x:row>
    <x:row r="136" ht="23" customHeight="1">
      <x:c r="B136" s="17" t="str">
        <x:v>Gson</x:v>
      </x:c>
      <x:c r="C136" s="17" t="str">
        <x:v>Round1</x:v>
      </x:c>
      <x:c r="D136" s="17" t="str">
        <x:v>FAIL</x:v>
      </x:c>
      <x:c r="E136" s="17" t="n">
        <x:f>COUNTIF('BugResults'!$D$350:$D$367,"FAIL")</x:f>
        <x:v>0</x:v>
      </x:c>
      <x:c r="F136" s="33" t="n">
        <x:f>E136/18</x:f>
        <x:v>0</x:v>
      </x:c>
    </x:row>
    <x:row r="137" ht="23" customHeight="1">
      <x:c r="B137" s="17" t="str">
        <x:v>Gson</x:v>
      </x:c>
      <x:c r="C137" s="17" t="str">
        <x:v>Round2</x:v>
      </x:c>
      <x:c r="D137" s="17" t="str">
        <x:v>REVEALING</x:v>
      </x:c>
      <x:c r="E137" s="17" t="n">
        <x:f>0</x:f>
        <x:v>0</x:v>
      </x:c>
      <x:c r="F137" s="33" t="str">
        <x:f>"—"</x:f>
        <x:v>—</x:v>
      </x:c>
    </x:row>
    <x:row r="138" ht="23" customHeight="1">
      <x:c r="B138" s="17" t="str">
        <x:v>Gson</x:v>
      </x:c>
      <x:c r="C138" s="17" t="str">
        <x:v>Round2</x:v>
      </x:c>
      <x:c r="D138" s="17" t="str">
        <x:v>NOT_REVEALING</x:v>
      </x:c>
      <x:c r="E138" s="17" t="n">
        <x:f>0</x:f>
        <x:v>0</x:v>
      </x:c>
      <x:c r="F138" s="33" t="str">
        <x:f>"—"</x:f>
        <x:v>—</x:v>
      </x:c>
    </x:row>
    <x:row r="139" ht="23" customHeight="1">
      <x:c r="B139" s="17" t="str">
        <x:v>Gson</x:v>
      </x:c>
      <x:c r="C139" s="17" t="str">
        <x:v>Round2</x:v>
      </x:c>
      <x:c r="D139" s="17" t="str">
        <x:v>NOT_AVAILABLE</x:v>
      </x:c>
      <x:c r="E139" s="17" t="n">
        <x:f>0</x:f>
        <x:v>0</x:v>
      </x:c>
      <x:c r="F139" s="33" t="str">
        <x:f>"—"</x:f>
        <x:v>—</x:v>
      </x:c>
    </x:row>
    <x:row r="140" ht="23" customHeight="1">
      <x:c r="B140" s="17" t="str">
        <x:v>Gson</x:v>
      </x:c>
      <x:c r="C140" s="17" t="str">
        <x:v>Round2</x:v>
      </x:c>
      <x:c r="D140" s="17" t="str">
        <x:v>INCONCLUSIVE</x:v>
      </x:c>
      <x:c r="E140" s="17" t="n">
        <x:f>0</x:f>
        <x:v>0</x:v>
      </x:c>
      <x:c r="F140" s="33" t="str">
        <x:f>"—"</x:f>
        <x:v>—</x:v>
      </x:c>
    </x:row>
    <x:row r="141" ht="23" customHeight="1">
      <x:c r="B141" s="17" t="str">
        <x:v>Gson</x:v>
      </x:c>
      <x:c r="C141" s="17" t="str">
        <x:v>Round2</x:v>
      </x:c>
      <x:c r="D141" s="17" t="str">
        <x:v>FAIL</x:v>
      </x:c>
      <x:c r="E141" s="17" t="n">
        <x:f>0</x:f>
        <x:v>0</x:v>
      </x:c>
      <x:c r="F141" s="33" t="str">
        <x:f>"—"</x:f>
        <x:v>—</x:v>
      </x:c>
    </x:row>
    <x:row r="142" ht="23" customHeight="1">
      <x:c r="B142" s="17" t="str">
        <x:v>JacksonCore</x:v>
      </x:c>
      <x:c r="C142" s="17" t="str">
        <x:v>All rounds</x:v>
      </x:c>
      <x:c r="D142" s="17" t="str">
        <x:v>REVEALING</x:v>
      </x:c>
      <x:c r="E142" s="17" t="n">
        <x:f>COUNTIF('BugResults'!$D$368:$D$393,"REVEALING")</x:f>
        <x:v>0</x:v>
      </x:c>
      <x:c r="F142" s="33" t="n">
        <x:f>E142/26</x:f>
        <x:v>0</x:v>
      </x:c>
    </x:row>
    <x:row r="143" ht="23" customHeight="1">
      <x:c r="B143" s="17" t="str">
        <x:v>JacksonCore</x:v>
      </x:c>
      <x:c r="C143" s="17" t="str">
        <x:v>All rounds</x:v>
      </x:c>
      <x:c r="D143" s="17" t="str">
        <x:v>NOT_REVEALING</x:v>
      </x:c>
      <x:c r="E143" s="17" t="n">
        <x:f>COUNTIF('BugResults'!$D$368:$D$393,"NOT_REVEALING")</x:f>
        <x:v>13</x:v>
      </x:c>
      <x:c r="F143" s="33" t="n">
        <x:f>E143/26</x:f>
        <x:v>0.5</x:v>
      </x:c>
    </x:row>
    <x:row r="144" ht="23" customHeight="1">
      <x:c r="B144" s="17" t="str">
        <x:v>JacksonCore</x:v>
      </x:c>
      <x:c r="C144" s="17" t="str">
        <x:v>All rounds</x:v>
      </x:c>
      <x:c r="D144" s="17" t="str">
        <x:v>NOT_AVAILABLE</x:v>
      </x:c>
      <x:c r="E144" s="17" t="n">
        <x:f>COUNTIF('BugResults'!$D$368:$D$393,"NOT_AVAILABLE")</x:f>
        <x:v>6</x:v>
      </x:c>
      <x:c r="F144" s="33" t="n">
        <x:f>E144/26</x:f>
        <x:v>0.23076923076923078</x:v>
      </x:c>
    </x:row>
    <x:row r="145" ht="23" customHeight="1">
      <x:c r="B145" s="17" t="str">
        <x:v>JacksonCore</x:v>
      </x:c>
      <x:c r="C145" s="17" t="str">
        <x:v>All rounds</x:v>
      </x:c>
      <x:c r="D145" s="17" t="str">
        <x:v>INCONCLUSIVE</x:v>
      </x:c>
      <x:c r="E145" s="17" t="n">
        <x:f>COUNTIF('BugResults'!$D$368:$D$393,"INCONCLUSIVE")</x:f>
        <x:v>7</x:v>
      </x:c>
      <x:c r="F145" s="33" t="n">
        <x:f>E145/26</x:f>
        <x:v>0.2692307692307692</x:v>
      </x:c>
    </x:row>
    <x:row r="146" ht="23" customHeight="1">
      <x:c r="B146" s="17" t="str">
        <x:v>JacksonCore</x:v>
      </x:c>
      <x:c r="C146" s="17" t="str">
        <x:v>All rounds</x:v>
      </x:c>
      <x:c r="D146" s="17" t="str">
        <x:v>FAIL</x:v>
      </x:c>
      <x:c r="E146" s="17" t="n">
        <x:f>COUNTIF('BugResults'!$D$368:$D$393,"FAIL")</x:f>
        <x:v>0</x:v>
      </x:c>
      <x:c r="F146" s="33" t="n">
        <x:f>E146/26</x:f>
        <x:v>0</x:v>
      </x:c>
    </x:row>
    <x:row r="147" ht="23" customHeight="1">
      <x:c r="B147" s="17" t="str">
        <x:v>JacksonCore</x:v>
      </x:c>
      <x:c r="C147" s="17" t="str">
        <x:v>Round1</x:v>
      </x:c>
      <x:c r="D147" s="17" t="str">
        <x:v>REVEALING</x:v>
      </x:c>
      <x:c r="E147" s="17" t="n">
        <x:f>COUNTIF('BugResults'!$D$368:$D$393,"REVEALING")</x:f>
        <x:v>0</x:v>
      </x:c>
      <x:c r="F147" s="33" t="n">
        <x:f>E147/26</x:f>
        <x:v>0</x:v>
      </x:c>
    </x:row>
    <x:row r="148" ht="23" customHeight="1">
      <x:c r="B148" s="17" t="str">
        <x:v>JacksonCore</x:v>
      </x:c>
      <x:c r="C148" s="17" t="str">
        <x:v>Round1</x:v>
      </x:c>
      <x:c r="D148" s="17" t="str">
        <x:v>NOT_REVEALING</x:v>
      </x:c>
      <x:c r="E148" s="17" t="n">
        <x:f>COUNTIF('BugResults'!$D$368:$D$393,"NOT_REVEALING")</x:f>
        <x:v>13</x:v>
      </x:c>
      <x:c r="F148" s="33" t="n">
        <x:f>E148/26</x:f>
        <x:v>0.5</x:v>
      </x:c>
    </x:row>
    <x:row r="149" ht="23" customHeight="1">
      <x:c r="B149" s="17" t="str">
        <x:v>JacksonCore</x:v>
      </x:c>
      <x:c r="C149" s="17" t="str">
        <x:v>Round1</x:v>
      </x:c>
      <x:c r="D149" s="17" t="str">
        <x:v>NOT_AVAILABLE</x:v>
      </x:c>
      <x:c r="E149" s="17" t="n">
        <x:f>COUNTIF('BugResults'!$D$368:$D$393,"NOT_AVAILABLE")</x:f>
        <x:v>6</x:v>
      </x:c>
      <x:c r="F149" s="33" t="n">
        <x:f>E149/26</x:f>
        <x:v>0.23076923076923078</x:v>
      </x:c>
    </x:row>
    <x:row r="150" ht="23" customHeight="1">
      <x:c r="B150" s="17" t="str">
        <x:v>JacksonCore</x:v>
      </x:c>
      <x:c r="C150" s="17" t="str">
        <x:v>Round1</x:v>
      </x:c>
      <x:c r="D150" s="17" t="str">
        <x:v>INCONCLUSIVE</x:v>
      </x:c>
      <x:c r="E150" s="17" t="n">
        <x:f>COUNTIF('BugResults'!$D$368:$D$393,"INCONCLUSIVE")</x:f>
        <x:v>7</x:v>
      </x:c>
      <x:c r="F150" s="33" t="n">
        <x:f>E150/26</x:f>
        <x:v>0.2692307692307692</x:v>
      </x:c>
    </x:row>
    <x:row r="151" ht="23" customHeight="1">
      <x:c r="B151" s="17" t="str">
        <x:v>JacksonCore</x:v>
      </x:c>
      <x:c r="C151" s="17" t="str">
        <x:v>Round1</x:v>
      </x:c>
      <x:c r="D151" s="17" t="str">
        <x:v>FAIL</x:v>
      </x:c>
      <x:c r="E151" s="17" t="n">
        <x:f>COUNTIF('BugResults'!$D$368:$D$393,"FAIL")</x:f>
        <x:v>0</x:v>
      </x:c>
      <x:c r="F151" s="33" t="n">
        <x:f>E151/26</x:f>
        <x:v>0</x:v>
      </x:c>
    </x:row>
    <x:row r="152" ht="23" customHeight="1">
      <x:c r="B152" s="17" t="str">
        <x:v>JacksonCore</x:v>
      </x:c>
      <x:c r="C152" s="17" t="str">
        <x:v>Round2</x:v>
      </x:c>
      <x:c r="D152" s="17" t="str">
        <x:v>REVEALING</x:v>
      </x:c>
      <x:c r="E152" s="17" t="n">
        <x:f>0</x:f>
        <x:v>0</x:v>
      </x:c>
      <x:c r="F152" s="33" t="str">
        <x:f>"—"</x:f>
        <x:v>—</x:v>
      </x:c>
    </x:row>
    <x:row r="153" ht="23" customHeight="1">
      <x:c r="B153" s="17" t="str">
        <x:v>JacksonCore</x:v>
      </x:c>
      <x:c r="C153" s="17" t="str">
        <x:v>Round2</x:v>
      </x:c>
      <x:c r="D153" s="17" t="str">
        <x:v>NOT_REVEALING</x:v>
      </x:c>
      <x:c r="E153" s="17" t="n">
        <x:f>0</x:f>
        <x:v>0</x:v>
      </x:c>
      <x:c r="F153" s="33" t="str">
        <x:f>"—"</x:f>
        <x:v>—</x:v>
      </x:c>
    </x:row>
    <x:row r="154" ht="23" customHeight="1">
      <x:c r="B154" s="17" t="str">
        <x:v>JacksonCore</x:v>
      </x:c>
      <x:c r="C154" s="17" t="str">
        <x:v>Round2</x:v>
      </x:c>
      <x:c r="D154" s="17" t="str">
        <x:v>NOT_AVAILABLE</x:v>
      </x:c>
      <x:c r="E154" s="17" t="n">
        <x:f>0</x:f>
        <x:v>0</x:v>
      </x:c>
      <x:c r="F154" s="33" t="str">
        <x:f>"—"</x:f>
        <x:v>—</x:v>
      </x:c>
    </x:row>
    <x:row r="155" ht="23" customHeight="1">
      <x:c r="B155" s="17" t="str">
        <x:v>JacksonCore</x:v>
      </x:c>
      <x:c r="C155" s="17" t="str">
        <x:v>Round2</x:v>
      </x:c>
      <x:c r="D155" s="17" t="str">
        <x:v>INCONCLUSIVE</x:v>
      </x:c>
      <x:c r="E155" s="17" t="n">
        <x:f>0</x:f>
        <x:v>0</x:v>
      </x:c>
      <x:c r="F155" s="33" t="str">
        <x:f>"—"</x:f>
        <x:v>—</x:v>
      </x:c>
    </x:row>
    <x:row r="156" ht="23" customHeight="1">
      <x:c r="B156" s="17" t="str">
        <x:v>JacksonCore</x:v>
      </x:c>
      <x:c r="C156" s="17" t="str">
        <x:v>Round2</x:v>
      </x:c>
      <x:c r="D156" s="17" t="str">
        <x:v>FAIL</x:v>
      </x:c>
      <x:c r="E156" s="17" t="n">
        <x:f>0</x:f>
        <x:v>0</x:v>
      </x:c>
      <x:c r="F156" s="33" t="str">
        <x:f>"—"</x:f>
        <x:v>—</x:v>
      </x:c>
    </x:row>
    <x:row r="157" ht="23" customHeight="1">
      <x:c r="B157" s="17" t="str">
        <x:v>JacksonDatabind</x:v>
      </x:c>
      <x:c r="C157" s="17" t="str">
        <x:v>All rounds</x:v>
      </x:c>
      <x:c r="D157" s="17" t="str">
        <x:v>REVEALING</x:v>
      </x:c>
      <x:c r="E157" s="17" t="n">
        <x:f>COUNTIF('BugResults'!$D$394:$D$503,"REVEALING")</x:f>
        <x:v>0</x:v>
      </x:c>
      <x:c r="F157" s="33" t="n">
        <x:f>E157/110</x:f>
        <x:v>0</x:v>
      </x:c>
    </x:row>
    <x:row r="158" ht="23" customHeight="1">
      <x:c r="B158" s="17" t="str">
        <x:v>JacksonDatabind</x:v>
      </x:c>
      <x:c r="C158" s="17" t="str">
        <x:v>All rounds</x:v>
      </x:c>
      <x:c r="D158" s="17" t="str">
        <x:v>NOT_REVEALING</x:v>
      </x:c>
      <x:c r="E158" s="17" t="n">
        <x:f>COUNTIF('BugResults'!$D$394:$D$503,"NOT_REVEALING")</x:f>
        <x:v>50</x:v>
      </x:c>
      <x:c r="F158" s="33" t="n">
        <x:f>E158/110</x:f>
        <x:v>0.45454545454545453</x:v>
      </x:c>
    </x:row>
    <x:row r="159" ht="23" customHeight="1">
      <x:c r="B159" s="17" t="str">
        <x:v>JacksonDatabind</x:v>
      </x:c>
      <x:c r="C159" s="17" t="str">
        <x:v>All rounds</x:v>
      </x:c>
      <x:c r="D159" s="17" t="str">
        <x:v>NOT_AVAILABLE</x:v>
      </x:c>
      <x:c r="E159" s="17" t="n">
        <x:f>COUNTIF('BugResults'!$D$394:$D$503,"NOT_AVAILABLE")</x:f>
        <x:v>37</x:v>
      </x:c>
      <x:c r="F159" s="33" t="n">
        <x:f>E159/110</x:f>
        <x:v>0.33636363636363636</x:v>
      </x:c>
    </x:row>
    <x:row r="160" ht="23" customHeight="1">
      <x:c r="B160" s="17" t="str">
        <x:v>JacksonDatabind</x:v>
      </x:c>
      <x:c r="C160" s="17" t="str">
        <x:v>All rounds</x:v>
      </x:c>
      <x:c r="D160" s="17" t="str">
        <x:v>INCONCLUSIVE</x:v>
      </x:c>
      <x:c r="E160" s="17" t="n">
        <x:f>COUNTIF('BugResults'!$D$394:$D$503,"INCONCLUSIVE")</x:f>
        <x:v>23</x:v>
      </x:c>
      <x:c r="F160" s="33" t="n">
        <x:f>E160/110</x:f>
        <x:v>0.20909090909090908</x:v>
      </x:c>
    </x:row>
    <x:row r="161" ht="23" customHeight="1">
      <x:c r="B161" s="17" t="str">
        <x:v>JacksonDatabind</x:v>
      </x:c>
      <x:c r="C161" s="17" t="str">
        <x:v>All rounds</x:v>
      </x:c>
      <x:c r="D161" s="17" t="str">
        <x:v>FAIL</x:v>
      </x:c>
      <x:c r="E161" s="17" t="n">
        <x:f>COUNTIF('BugResults'!$D$394:$D$503,"FAIL")</x:f>
        <x:v>0</x:v>
      </x:c>
      <x:c r="F161" s="33" t="n">
        <x:f>E161/110</x:f>
        <x:v>0</x:v>
      </x:c>
    </x:row>
    <x:row r="162" ht="23" customHeight="1">
      <x:c r="B162" s="17" t="str">
        <x:v>JacksonDatabind</x:v>
      </x:c>
      <x:c r="C162" s="17" t="str">
        <x:v>Round1</x:v>
      </x:c>
      <x:c r="D162" s="17" t="str">
        <x:v>REVEALING</x:v>
      </x:c>
      <x:c r="E162" s="17" t="n">
        <x:f>COUNTIF('BugResults'!$D$394:$D$503,"REVEALING")</x:f>
        <x:v>0</x:v>
      </x:c>
      <x:c r="F162" s="33" t="n">
        <x:f>E162/110</x:f>
        <x:v>0</x:v>
      </x:c>
    </x:row>
    <x:row r="163" ht="23" customHeight="1">
      <x:c r="B163" s="17" t="str">
        <x:v>JacksonDatabind</x:v>
      </x:c>
      <x:c r="C163" s="17" t="str">
        <x:v>Round1</x:v>
      </x:c>
      <x:c r="D163" s="17" t="str">
        <x:v>NOT_REVEALING</x:v>
      </x:c>
      <x:c r="E163" s="17" t="n">
        <x:f>COUNTIF('BugResults'!$D$394:$D$503,"NOT_REVEALING")</x:f>
        <x:v>50</x:v>
      </x:c>
      <x:c r="F163" s="33" t="n">
        <x:f>E163/110</x:f>
        <x:v>0.45454545454545453</x:v>
      </x:c>
    </x:row>
    <x:row r="164" ht="23" customHeight="1">
      <x:c r="B164" s="17" t="str">
        <x:v>JacksonDatabind</x:v>
      </x:c>
      <x:c r="C164" s="17" t="str">
        <x:v>Round1</x:v>
      </x:c>
      <x:c r="D164" s="17" t="str">
        <x:v>NOT_AVAILABLE</x:v>
      </x:c>
      <x:c r="E164" s="17" t="n">
        <x:f>COUNTIF('BugResults'!$D$394:$D$503,"NOT_AVAILABLE")</x:f>
        <x:v>37</x:v>
      </x:c>
      <x:c r="F164" s="33" t="n">
        <x:f>E164/110</x:f>
        <x:v>0.33636363636363636</x:v>
      </x:c>
    </x:row>
    <x:row r="165" ht="23" customHeight="1">
      <x:c r="B165" s="17" t="str">
        <x:v>JacksonDatabind</x:v>
      </x:c>
      <x:c r="C165" s="17" t="str">
        <x:v>Round1</x:v>
      </x:c>
      <x:c r="D165" s="17" t="str">
        <x:v>INCONCLUSIVE</x:v>
      </x:c>
      <x:c r="E165" s="17" t="n">
        <x:f>COUNTIF('BugResults'!$D$394:$D$503,"INCONCLUSIVE")</x:f>
        <x:v>23</x:v>
      </x:c>
      <x:c r="F165" s="33" t="n">
        <x:f>E165/110</x:f>
        <x:v>0.20909090909090908</x:v>
      </x:c>
    </x:row>
    <x:row r="166" ht="23" customHeight="1">
      <x:c r="B166" s="17" t="str">
        <x:v>JacksonDatabind</x:v>
      </x:c>
      <x:c r="C166" s="17" t="str">
        <x:v>Round1</x:v>
      </x:c>
      <x:c r="D166" s="17" t="str">
        <x:v>FAIL</x:v>
      </x:c>
      <x:c r="E166" s="17" t="n">
        <x:f>COUNTIF('BugResults'!$D$394:$D$503,"FAIL")</x:f>
        <x:v>0</x:v>
      </x:c>
      <x:c r="F166" s="33" t="n">
        <x:f>E166/110</x:f>
        <x:v>0</x:v>
      </x:c>
    </x:row>
    <x:row r="167" ht="23" customHeight="1">
      <x:c r="B167" s="17" t="str">
        <x:v>JacksonDatabind</x:v>
      </x:c>
      <x:c r="C167" s="17" t="str">
        <x:v>Round2</x:v>
      </x:c>
      <x:c r="D167" s="17" t="str">
        <x:v>REVEALING</x:v>
      </x:c>
      <x:c r="E167" s="17" t="n">
        <x:f>0</x:f>
        <x:v>0</x:v>
      </x:c>
      <x:c r="F167" s="33" t="str">
        <x:f>"—"</x:f>
        <x:v>—</x:v>
      </x:c>
    </x:row>
    <x:row r="168" ht="23" customHeight="1">
      <x:c r="B168" s="17" t="str">
        <x:v>JacksonDatabind</x:v>
      </x:c>
      <x:c r="C168" s="17" t="str">
        <x:v>Round2</x:v>
      </x:c>
      <x:c r="D168" s="17" t="str">
        <x:v>NOT_REVEALING</x:v>
      </x:c>
      <x:c r="E168" s="17" t="n">
        <x:f>0</x:f>
        <x:v>0</x:v>
      </x:c>
      <x:c r="F168" s="33" t="str">
        <x:f>"—"</x:f>
        <x:v>—</x:v>
      </x:c>
    </x:row>
    <x:row r="169" ht="23" customHeight="1">
      <x:c r="B169" s="17" t="str">
        <x:v>JacksonDatabind</x:v>
      </x:c>
      <x:c r="C169" s="17" t="str">
        <x:v>Round2</x:v>
      </x:c>
      <x:c r="D169" s="17" t="str">
        <x:v>NOT_AVAILABLE</x:v>
      </x:c>
      <x:c r="E169" s="17" t="n">
        <x:f>0</x:f>
        <x:v>0</x:v>
      </x:c>
      <x:c r="F169" s="33" t="str">
        <x:f>"—"</x:f>
        <x:v>—</x:v>
      </x:c>
    </x:row>
    <x:row r="170" ht="23" customHeight="1">
      <x:c r="B170" s="17" t="str">
        <x:v>JacksonDatabind</x:v>
      </x:c>
      <x:c r="C170" s="17" t="str">
        <x:v>Round2</x:v>
      </x:c>
      <x:c r="D170" s="17" t="str">
        <x:v>INCONCLUSIVE</x:v>
      </x:c>
      <x:c r="E170" s="17" t="n">
        <x:f>0</x:f>
        <x:v>0</x:v>
      </x:c>
      <x:c r="F170" s="33" t="str">
        <x:f>"—"</x:f>
        <x:v>—</x:v>
      </x:c>
    </x:row>
    <x:row r="171" ht="23" customHeight="1">
      <x:c r="B171" s="17" t="str">
        <x:v>JacksonDatabind</x:v>
      </x:c>
      <x:c r="C171" s="17" t="str">
        <x:v>Round2</x:v>
      </x:c>
      <x:c r="D171" s="17" t="str">
        <x:v>FAIL</x:v>
      </x:c>
      <x:c r="E171" s="17" t="n">
        <x:f>0</x:f>
        <x:v>0</x:v>
      </x:c>
      <x:c r="F171" s="33" t="str">
        <x:f>"—"</x:f>
        <x:v>—</x:v>
      </x:c>
    </x:row>
    <x:row r="172" ht="23" customHeight="1">
      <x:c r="B172" s="17" t="str">
        <x:v>JacksonXml</x:v>
      </x:c>
      <x:c r="C172" s="17" t="str">
        <x:v>All rounds</x:v>
      </x:c>
      <x:c r="D172" s="17" t="str">
        <x:v>REVEALING</x:v>
      </x:c>
      <x:c r="E172" s="17" t="n">
        <x:f>COUNTIF('BugResults'!$D$504:$D$509,"REVEALING")</x:f>
        <x:v>0</x:v>
      </x:c>
      <x:c r="F172" s="33" t="n">
        <x:f>E172/6</x:f>
        <x:v>0</x:v>
      </x:c>
    </x:row>
    <x:row r="173" ht="23" customHeight="1">
      <x:c r="B173" s="17" t="str">
        <x:v>JacksonXml</x:v>
      </x:c>
      <x:c r="C173" s="17" t="str">
        <x:v>All rounds</x:v>
      </x:c>
      <x:c r="D173" s="17" t="str">
        <x:v>NOT_REVEALING</x:v>
      </x:c>
      <x:c r="E173" s="17" t="n">
        <x:f>COUNTIF('BugResults'!$D$504:$D$509,"NOT_REVEALING")</x:f>
        <x:v>4</x:v>
      </x:c>
      <x:c r="F173" s="33" t="n">
        <x:f>E173/6</x:f>
        <x:v>0.6666666666666666</x:v>
      </x:c>
    </x:row>
    <x:row r="174" ht="23" customHeight="1">
      <x:c r="B174" s="17" t="str">
        <x:v>JacksonXml</x:v>
      </x:c>
      <x:c r="C174" s="17" t="str">
        <x:v>All rounds</x:v>
      </x:c>
      <x:c r="D174" s="17" t="str">
        <x:v>NOT_AVAILABLE</x:v>
      </x:c>
      <x:c r="E174" s="17" t="n">
        <x:f>COUNTIF('BugResults'!$D$504:$D$509,"NOT_AVAILABLE")</x:f>
        <x:v>1</x:v>
      </x:c>
      <x:c r="F174" s="33" t="n">
        <x:f>E174/6</x:f>
        <x:v>0.16666666666666666</x:v>
      </x:c>
    </x:row>
    <x:row r="175" ht="23" customHeight="1">
      <x:c r="B175" s="17" t="str">
        <x:v>JacksonXml</x:v>
      </x:c>
      <x:c r="C175" s="17" t="str">
        <x:v>All rounds</x:v>
      </x:c>
      <x:c r="D175" s="17" t="str">
        <x:v>INCONCLUSIVE</x:v>
      </x:c>
      <x:c r="E175" s="17" t="n">
        <x:f>COUNTIF('BugResults'!$D$504:$D$509,"INCONCLUSIVE")</x:f>
        <x:v>1</x:v>
      </x:c>
      <x:c r="F175" s="33" t="n">
        <x:f>E175/6</x:f>
        <x:v>0.16666666666666666</x:v>
      </x:c>
    </x:row>
    <x:row r="176" ht="23" customHeight="1">
      <x:c r="B176" s="17" t="str">
        <x:v>JacksonXml</x:v>
      </x:c>
      <x:c r="C176" s="17" t="str">
        <x:v>All rounds</x:v>
      </x:c>
      <x:c r="D176" s="17" t="str">
        <x:v>FAIL</x:v>
      </x:c>
      <x:c r="E176" s="17" t="n">
        <x:f>COUNTIF('BugResults'!$D$504:$D$509,"FAIL")</x:f>
        <x:v>0</x:v>
      </x:c>
      <x:c r="F176" s="33" t="n">
        <x:f>E176/6</x:f>
        <x:v>0</x:v>
      </x:c>
    </x:row>
    <x:row r="177" ht="23" customHeight="1">
      <x:c r="B177" s="17" t="str">
        <x:v>JacksonXml</x:v>
      </x:c>
      <x:c r="C177" s="17" t="str">
        <x:v>Round1</x:v>
      </x:c>
      <x:c r="D177" s="17" t="str">
        <x:v>REVEALING</x:v>
      </x:c>
      <x:c r="E177" s="17" t="n">
        <x:f>COUNTIF('BugResults'!$D$504:$D$509,"REVEALING")</x:f>
        <x:v>0</x:v>
      </x:c>
      <x:c r="F177" s="33" t="n">
        <x:f>E177/6</x:f>
        <x:v>0</x:v>
      </x:c>
    </x:row>
    <x:row r="178" ht="23" customHeight="1">
      <x:c r="B178" s="17" t="str">
        <x:v>JacksonXml</x:v>
      </x:c>
      <x:c r="C178" s="17" t="str">
        <x:v>Round1</x:v>
      </x:c>
      <x:c r="D178" s="17" t="str">
        <x:v>NOT_REVEALING</x:v>
      </x:c>
      <x:c r="E178" s="17" t="n">
        <x:f>COUNTIF('BugResults'!$D$504:$D$509,"NOT_REVEALING")</x:f>
        <x:v>4</x:v>
      </x:c>
      <x:c r="F178" s="33" t="n">
        <x:f>E178/6</x:f>
        <x:v>0.6666666666666666</x:v>
      </x:c>
    </x:row>
    <x:row r="179" ht="23" customHeight="1">
      <x:c r="B179" s="17" t="str">
        <x:v>JacksonXml</x:v>
      </x:c>
      <x:c r="C179" s="17" t="str">
        <x:v>Round1</x:v>
      </x:c>
      <x:c r="D179" s="17" t="str">
        <x:v>NOT_AVAILABLE</x:v>
      </x:c>
      <x:c r="E179" s="17" t="n">
        <x:f>COUNTIF('BugResults'!$D$504:$D$509,"NOT_AVAILABLE")</x:f>
        <x:v>1</x:v>
      </x:c>
      <x:c r="F179" s="33" t="n">
        <x:f>E179/6</x:f>
        <x:v>0.16666666666666666</x:v>
      </x:c>
    </x:row>
    <x:row r="180" ht="23" customHeight="1">
      <x:c r="B180" s="17" t="str">
        <x:v>JacksonXml</x:v>
      </x:c>
      <x:c r="C180" s="17" t="str">
        <x:v>Round1</x:v>
      </x:c>
      <x:c r="D180" s="17" t="str">
        <x:v>INCONCLUSIVE</x:v>
      </x:c>
      <x:c r="E180" s="17" t="n">
        <x:f>COUNTIF('BugResults'!$D$504:$D$509,"INCONCLUSIVE")</x:f>
        <x:v>1</x:v>
      </x:c>
      <x:c r="F180" s="33" t="n">
        <x:f>E180/6</x:f>
        <x:v>0.16666666666666666</x:v>
      </x:c>
    </x:row>
    <x:row r="181" ht="23" customHeight="1">
      <x:c r="B181" s="17" t="str">
        <x:v>JacksonXml</x:v>
      </x:c>
      <x:c r="C181" s="17" t="str">
        <x:v>Round1</x:v>
      </x:c>
      <x:c r="D181" s="17" t="str">
        <x:v>FAIL</x:v>
      </x:c>
      <x:c r="E181" s="17" t="n">
        <x:f>COUNTIF('BugResults'!$D$504:$D$509,"FAIL")</x:f>
        <x:v>0</x:v>
      </x:c>
      <x:c r="F181" s="33" t="n">
        <x:f>E181/6</x:f>
        <x:v>0</x:v>
      </x:c>
    </x:row>
    <x:row r="182" ht="23" customHeight="1">
      <x:c r="B182" s="17" t="str">
        <x:v>JacksonXml</x:v>
      </x:c>
      <x:c r="C182" s="17" t="str">
        <x:v>Round2</x:v>
      </x:c>
      <x:c r="D182" s="17" t="str">
        <x:v>REVEALING</x:v>
      </x:c>
      <x:c r="E182" s="17" t="n">
        <x:f>0</x:f>
        <x:v>0</x:v>
      </x:c>
      <x:c r="F182" s="33" t="str">
        <x:f>"—"</x:f>
        <x:v>—</x:v>
      </x:c>
    </x:row>
    <x:row r="183" ht="23" customHeight="1">
      <x:c r="B183" s="17" t="str">
        <x:v>JacksonXml</x:v>
      </x:c>
      <x:c r="C183" s="17" t="str">
        <x:v>Round2</x:v>
      </x:c>
      <x:c r="D183" s="17" t="str">
        <x:v>NOT_REVEALING</x:v>
      </x:c>
      <x:c r="E183" s="17" t="n">
        <x:f>0</x:f>
        <x:v>0</x:v>
      </x:c>
      <x:c r="F183" s="33" t="str">
        <x:f>"—"</x:f>
        <x:v>—</x:v>
      </x:c>
    </x:row>
    <x:row r="184" ht="23" customHeight="1">
      <x:c r="B184" s="17" t="str">
        <x:v>JacksonXml</x:v>
      </x:c>
      <x:c r="C184" s="17" t="str">
        <x:v>Round2</x:v>
      </x:c>
      <x:c r="D184" s="17" t="str">
        <x:v>NOT_AVAILABLE</x:v>
      </x:c>
      <x:c r="E184" s="17" t="n">
        <x:f>0</x:f>
        <x:v>0</x:v>
      </x:c>
      <x:c r="F184" s="33" t="str">
        <x:f>"—"</x:f>
        <x:v>—</x:v>
      </x:c>
    </x:row>
    <x:row r="185" ht="23" customHeight="1">
      <x:c r="B185" s="17" t="str">
        <x:v>JacksonXml</x:v>
      </x:c>
      <x:c r="C185" s="17" t="str">
        <x:v>Round2</x:v>
      </x:c>
      <x:c r="D185" s="17" t="str">
        <x:v>INCONCLUSIVE</x:v>
      </x:c>
      <x:c r="E185" s="17" t="n">
        <x:f>0</x:f>
        <x:v>0</x:v>
      </x:c>
      <x:c r="F185" s="33" t="str">
        <x:f>"—"</x:f>
        <x:v>—</x:v>
      </x:c>
    </x:row>
    <x:row r="186" ht="23" customHeight="1">
      <x:c r="B186" s="17" t="str">
        <x:v>JacksonXml</x:v>
      </x:c>
      <x:c r="C186" s="17" t="str">
        <x:v>Round2</x:v>
      </x:c>
      <x:c r="D186" s="17" t="str">
        <x:v>FAIL</x:v>
      </x:c>
      <x:c r="E186" s="17" t="n">
        <x:f>0</x:f>
        <x:v>0</x:v>
      </x:c>
      <x:c r="F186" s="33" t="str">
        <x:f>"—"</x:f>
        <x:v>—</x:v>
      </x:c>
    </x:row>
    <x:row r="187" ht="23" customHeight="1">
      <x:c r="B187" s="17" t="str">
        <x:v>Jsoup</x:v>
      </x:c>
      <x:c r="C187" s="17" t="str">
        <x:v>All rounds</x:v>
      </x:c>
      <x:c r="D187" s="17" t="str">
        <x:v>REVEALING</x:v>
      </x:c>
      <x:c r="E187" s="17" t="n">
        <x:f>COUNTIF('BugResults'!$D$510:$D$602,"REVEALING")</x:f>
        <x:v>0</x:v>
      </x:c>
      <x:c r="F187" s="33" t="n">
        <x:f>E187/93</x:f>
        <x:v>0</x:v>
      </x:c>
    </x:row>
    <x:row r="188" ht="23" customHeight="1">
      <x:c r="B188" s="17" t="str">
        <x:v>Jsoup</x:v>
      </x:c>
      <x:c r="C188" s="17" t="str">
        <x:v>All rounds</x:v>
      </x:c>
      <x:c r="D188" s="17" t="str">
        <x:v>NOT_REVEALING</x:v>
      </x:c>
      <x:c r="E188" s="17" t="n">
        <x:f>COUNTIF('BugResults'!$D$510:$D$602,"NOT_REVEALING")</x:f>
        <x:v>15</x:v>
      </x:c>
      <x:c r="F188" s="33" t="n">
        <x:f>E188/93</x:f>
        <x:v>0.16129032258064516</x:v>
      </x:c>
    </x:row>
    <x:row r="189" ht="23" customHeight="1">
      <x:c r="B189" s="17" t="str">
        <x:v>Jsoup</x:v>
      </x:c>
      <x:c r="C189" s="17" t="str">
        <x:v>All rounds</x:v>
      </x:c>
      <x:c r="D189" s="17" t="str">
        <x:v>NOT_AVAILABLE</x:v>
      </x:c>
      <x:c r="E189" s="17" t="n">
        <x:f>COUNTIF('BugResults'!$D$510:$D$602,"NOT_AVAILABLE")</x:f>
        <x:v>43</x:v>
      </x:c>
      <x:c r="F189" s="33" t="n">
        <x:f>E189/93</x:f>
        <x:v>0.46236559139784944</x:v>
      </x:c>
    </x:row>
    <x:row r="190" ht="23" customHeight="1">
      <x:c r="B190" s="17" t="str">
        <x:v>Jsoup</x:v>
      </x:c>
      <x:c r="C190" s="17" t="str">
        <x:v>All rounds</x:v>
      </x:c>
      <x:c r="D190" s="17" t="str">
        <x:v>INCONCLUSIVE</x:v>
      </x:c>
      <x:c r="E190" s="17" t="n">
        <x:f>COUNTIF('BugResults'!$D$510:$D$602,"INCONCLUSIVE")</x:f>
        <x:v>34</x:v>
      </x:c>
      <x:c r="F190" s="33" t="n">
        <x:f>E190/93</x:f>
        <x:v>0.3655913978494624</x:v>
      </x:c>
    </x:row>
    <x:row r="191" ht="23" customHeight="1">
      <x:c r="B191" s="17" t="str">
        <x:v>Jsoup</x:v>
      </x:c>
      <x:c r="C191" s="17" t="str">
        <x:v>All rounds</x:v>
      </x:c>
      <x:c r="D191" s="17" t="str">
        <x:v>FAIL</x:v>
      </x:c>
      <x:c r="E191" s="17" t="n">
        <x:f>COUNTIF('BugResults'!$D$510:$D$602,"FAIL")</x:f>
        <x:v>1</x:v>
      </x:c>
      <x:c r="F191" s="33" t="n">
        <x:f>E191/93</x:f>
        <x:v>0.010752688172043012</x:v>
      </x:c>
    </x:row>
    <x:row r="192" ht="23" customHeight="1">
      <x:c r="B192" s="17" t="str">
        <x:v>Jsoup</x:v>
      </x:c>
      <x:c r="C192" s="17" t="str">
        <x:v>Round1</x:v>
      </x:c>
      <x:c r="D192" s="17" t="str">
        <x:v>REVEALING</x:v>
      </x:c>
      <x:c r="E192" s="17" t="n">
        <x:f>COUNTIF('BugResults'!$D$510:$D$602,"REVEALING")</x:f>
        <x:v>0</x:v>
      </x:c>
      <x:c r="F192" s="33" t="n">
        <x:f>E192/93</x:f>
        <x:v>0</x:v>
      </x:c>
    </x:row>
    <x:row r="193" ht="23" customHeight="1">
      <x:c r="B193" s="17" t="str">
        <x:v>Jsoup</x:v>
      </x:c>
      <x:c r="C193" s="17" t="str">
        <x:v>Round1</x:v>
      </x:c>
      <x:c r="D193" s="17" t="str">
        <x:v>NOT_REVEALING</x:v>
      </x:c>
      <x:c r="E193" s="17" t="n">
        <x:f>COUNTIF('BugResults'!$D$510:$D$602,"NOT_REVEALING")</x:f>
        <x:v>15</x:v>
      </x:c>
      <x:c r="F193" s="33" t="n">
        <x:f>E193/93</x:f>
        <x:v>0.16129032258064516</x:v>
      </x:c>
    </x:row>
    <x:row r="194" ht="23" customHeight="1">
      <x:c r="B194" s="17" t="str">
        <x:v>Jsoup</x:v>
      </x:c>
      <x:c r="C194" s="17" t="str">
        <x:v>Round1</x:v>
      </x:c>
      <x:c r="D194" s="17" t="str">
        <x:v>NOT_AVAILABLE</x:v>
      </x:c>
      <x:c r="E194" s="17" t="n">
        <x:f>COUNTIF('BugResults'!$D$510:$D$602,"NOT_AVAILABLE")</x:f>
        <x:v>43</x:v>
      </x:c>
      <x:c r="F194" s="33" t="n">
        <x:f>E194/93</x:f>
        <x:v>0.46236559139784944</x:v>
      </x:c>
    </x:row>
    <x:row r="195" ht="23" customHeight="1">
      <x:c r="B195" s="17" t="str">
        <x:v>Jsoup</x:v>
      </x:c>
      <x:c r="C195" s="17" t="str">
        <x:v>Round1</x:v>
      </x:c>
      <x:c r="D195" s="17" t="str">
        <x:v>INCONCLUSIVE</x:v>
      </x:c>
      <x:c r="E195" s="17" t="n">
        <x:f>COUNTIF('BugResults'!$D$510:$D$602,"INCONCLUSIVE")</x:f>
        <x:v>34</x:v>
      </x:c>
      <x:c r="F195" s="33" t="n">
        <x:f>E195/93</x:f>
        <x:v>0.3655913978494624</x:v>
      </x:c>
    </x:row>
    <x:row r="196" ht="23" customHeight="1">
      <x:c r="B196" s="17" t="str">
        <x:v>Jsoup</x:v>
      </x:c>
      <x:c r="C196" s="17" t="str">
        <x:v>Round1</x:v>
      </x:c>
      <x:c r="D196" s="17" t="str">
        <x:v>FAIL</x:v>
      </x:c>
      <x:c r="E196" s="17" t="n">
        <x:f>COUNTIF('BugResults'!$D$510:$D$602,"FAIL")</x:f>
        <x:v>1</x:v>
      </x:c>
      <x:c r="F196" s="33" t="n">
        <x:f>E196/93</x:f>
        <x:v>0.010752688172043012</x:v>
      </x:c>
    </x:row>
    <x:row r="197" ht="23" customHeight="1">
      <x:c r="B197" s="17" t="str">
        <x:v>Jsoup</x:v>
      </x:c>
      <x:c r="C197" s="17" t="str">
        <x:v>Round2</x:v>
      </x:c>
      <x:c r="D197" s="17" t="str">
        <x:v>REVEALING</x:v>
      </x:c>
      <x:c r="E197" s="17" t="n">
        <x:f>0</x:f>
        <x:v>0</x:v>
      </x:c>
      <x:c r="F197" s="33" t="str">
        <x:f>"—"</x:f>
        <x:v>—</x:v>
      </x:c>
    </x:row>
    <x:row r="198" ht="23" customHeight="1">
      <x:c r="B198" s="17" t="str">
        <x:v>Jsoup</x:v>
      </x:c>
      <x:c r="C198" s="17" t="str">
        <x:v>Round2</x:v>
      </x:c>
      <x:c r="D198" s="17" t="str">
        <x:v>NOT_REVEALING</x:v>
      </x:c>
      <x:c r="E198" s="17" t="n">
        <x:f>0</x:f>
        <x:v>0</x:v>
      </x:c>
      <x:c r="F198" s="33" t="str">
        <x:f>"—"</x:f>
        <x:v>—</x:v>
      </x:c>
    </x:row>
    <x:row r="199" ht="23" customHeight="1">
      <x:c r="B199" s="17" t="str">
        <x:v>Jsoup</x:v>
      </x:c>
      <x:c r="C199" s="17" t="str">
        <x:v>Round2</x:v>
      </x:c>
      <x:c r="D199" s="17" t="str">
        <x:v>NOT_AVAILABLE</x:v>
      </x:c>
      <x:c r="E199" s="17" t="n">
        <x:f>0</x:f>
        <x:v>0</x:v>
      </x:c>
      <x:c r="F199" s="33" t="str">
        <x:f>"—"</x:f>
        <x:v>—</x:v>
      </x:c>
    </x:row>
    <x:row r="200" ht="23" customHeight="1">
      <x:c r="B200" s="17" t="str">
        <x:v>Jsoup</x:v>
      </x:c>
      <x:c r="C200" s="17" t="str">
        <x:v>Round2</x:v>
      </x:c>
      <x:c r="D200" s="17" t="str">
        <x:v>INCONCLUSIVE</x:v>
      </x:c>
      <x:c r="E200" s="17" t="n">
        <x:f>0</x:f>
        <x:v>0</x:v>
      </x:c>
      <x:c r="F200" s="33" t="str">
        <x:f>"—"</x:f>
        <x:v>—</x:v>
      </x:c>
    </x:row>
    <x:row r="201" ht="23" customHeight="1">
      <x:c r="B201" s="17" t="str">
        <x:v>Jsoup</x:v>
      </x:c>
      <x:c r="C201" s="17" t="str">
        <x:v>Round2</x:v>
      </x:c>
      <x:c r="D201" s="17" t="str">
        <x:v>FAIL</x:v>
      </x:c>
      <x:c r="E201" s="17" t="n">
        <x:f>0</x:f>
        <x:v>0</x:v>
      </x:c>
      <x:c r="F201" s="33" t="str">
        <x:f>"—"</x:f>
        <x:v>—</x:v>
      </x:c>
    </x:row>
    <x:row r="202" ht="23" customHeight="1">
      <x:c r="B202" s="17" t="str">
        <x:v>JxPath</x:v>
      </x:c>
      <x:c r="C202" s="17" t="str">
        <x:v>All rounds</x:v>
      </x:c>
      <x:c r="D202" s="17" t="str">
        <x:v>REVEALING</x:v>
      </x:c>
      <x:c r="E202" s="17" t="n">
        <x:f>COUNTIF('BugResults'!$D$603:$D$624,"REVEALING")</x:f>
        <x:v>0</x:v>
      </x:c>
      <x:c r="F202" s="33" t="n">
        <x:f>E202/22</x:f>
        <x:v>0</x:v>
      </x:c>
    </x:row>
    <x:row r="203" ht="23" customHeight="1">
      <x:c r="B203" s="17" t="str">
        <x:v>JxPath</x:v>
      </x:c>
      <x:c r="C203" s="17" t="str">
        <x:v>All rounds</x:v>
      </x:c>
      <x:c r="D203" s="17" t="str">
        <x:v>NOT_REVEALING</x:v>
      </x:c>
      <x:c r="E203" s="17" t="n">
        <x:f>COUNTIF('BugResults'!$D$603:$D$624,"NOT_REVEALING")</x:f>
        <x:v>0</x:v>
      </x:c>
      <x:c r="F203" s="33" t="n">
        <x:f>E203/22</x:f>
        <x:v>0</x:v>
      </x:c>
    </x:row>
    <x:row r="204" ht="23" customHeight="1">
      <x:c r="B204" s="17" t="str">
        <x:v>JxPath</x:v>
      </x:c>
      <x:c r="C204" s="17" t="str">
        <x:v>All rounds</x:v>
      </x:c>
      <x:c r="D204" s="17" t="str">
        <x:v>NOT_AVAILABLE</x:v>
      </x:c>
      <x:c r="E204" s="17" t="n">
        <x:f>COUNTIF('BugResults'!$D$603:$D$624,"NOT_AVAILABLE")</x:f>
        <x:v>14</x:v>
      </x:c>
      <x:c r="F204" s="33" t="n">
        <x:f>E204/22</x:f>
        <x:v>0.6363636363636364</x:v>
      </x:c>
    </x:row>
    <x:row r="205" ht="23" customHeight="1">
      <x:c r="B205" s="17" t="str">
        <x:v>JxPath</x:v>
      </x:c>
      <x:c r="C205" s="17" t="str">
        <x:v>All rounds</x:v>
      </x:c>
      <x:c r="D205" s="17" t="str">
        <x:v>INCONCLUSIVE</x:v>
      </x:c>
      <x:c r="E205" s="17" t="n">
        <x:f>COUNTIF('BugResults'!$D$603:$D$624,"INCONCLUSIVE")</x:f>
        <x:v>8</x:v>
      </x:c>
      <x:c r="F205" s="33" t="n">
        <x:f>E205/22</x:f>
        <x:v>0.36363636363636365</x:v>
      </x:c>
    </x:row>
    <x:row r="206" ht="23" customHeight="1">
      <x:c r="B206" s="17" t="str">
        <x:v>JxPath</x:v>
      </x:c>
      <x:c r="C206" s="17" t="str">
        <x:v>All rounds</x:v>
      </x:c>
      <x:c r="D206" s="17" t="str">
        <x:v>FAIL</x:v>
      </x:c>
      <x:c r="E206" s="17" t="n">
        <x:f>COUNTIF('BugResults'!$D$603:$D$624,"FAIL")</x:f>
        <x:v>0</x:v>
      </x:c>
      <x:c r="F206" s="33" t="n">
        <x:f>E206/22</x:f>
        <x:v>0</x:v>
      </x:c>
    </x:row>
    <x:row r="207" ht="23" customHeight="1">
      <x:c r="B207" s="17" t="str">
        <x:v>JxPath</x:v>
      </x:c>
      <x:c r="C207" s="17" t="str">
        <x:v>Round1</x:v>
      </x:c>
      <x:c r="D207" s="17" t="str">
        <x:v>REVEALING</x:v>
      </x:c>
      <x:c r="E207" s="17" t="n">
        <x:f>COUNTIF('BugResults'!$D$603:$D$624,"REVEALING")</x:f>
        <x:v>0</x:v>
      </x:c>
      <x:c r="F207" s="33" t="n">
        <x:f>E207/22</x:f>
        <x:v>0</x:v>
      </x:c>
    </x:row>
    <x:row r="208" ht="23" customHeight="1">
      <x:c r="B208" s="17" t="str">
        <x:v>JxPath</x:v>
      </x:c>
      <x:c r="C208" s="17" t="str">
        <x:v>Round1</x:v>
      </x:c>
      <x:c r="D208" s="17" t="str">
        <x:v>NOT_REVEALING</x:v>
      </x:c>
      <x:c r="E208" s="17" t="n">
        <x:f>COUNTIF('BugResults'!$D$603:$D$624,"NOT_REVEALING")</x:f>
        <x:v>0</x:v>
      </x:c>
      <x:c r="F208" s="33" t="n">
        <x:f>E208/22</x:f>
        <x:v>0</x:v>
      </x:c>
    </x:row>
    <x:row r="209" ht="23" customHeight="1">
      <x:c r="B209" s="17" t="str">
        <x:v>JxPath</x:v>
      </x:c>
      <x:c r="C209" s="17" t="str">
        <x:v>Round1</x:v>
      </x:c>
      <x:c r="D209" s="17" t="str">
        <x:v>NOT_AVAILABLE</x:v>
      </x:c>
      <x:c r="E209" s="17" t="n">
        <x:f>COUNTIF('BugResults'!$D$603:$D$624,"NOT_AVAILABLE")</x:f>
        <x:v>14</x:v>
      </x:c>
      <x:c r="F209" s="33" t="n">
        <x:f>E209/22</x:f>
        <x:v>0.6363636363636364</x:v>
      </x:c>
    </x:row>
    <x:row r="210" ht="23" customHeight="1">
      <x:c r="B210" s="17" t="str">
        <x:v>JxPath</x:v>
      </x:c>
      <x:c r="C210" s="17" t="str">
        <x:v>Round1</x:v>
      </x:c>
      <x:c r="D210" s="17" t="str">
        <x:v>INCONCLUSIVE</x:v>
      </x:c>
      <x:c r="E210" s="17" t="n">
        <x:f>COUNTIF('BugResults'!$D$603:$D$624,"INCONCLUSIVE")</x:f>
        <x:v>8</x:v>
      </x:c>
      <x:c r="F210" s="33" t="n">
        <x:f>E210/22</x:f>
        <x:v>0.36363636363636365</x:v>
      </x:c>
    </x:row>
    <x:row r="211" ht="23" customHeight="1">
      <x:c r="B211" s="17" t="str">
        <x:v>JxPath</x:v>
      </x:c>
      <x:c r="C211" s="17" t="str">
        <x:v>Round1</x:v>
      </x:c>
      <x:c r="D211" s="17" t="str">
        <x:v>FAIL</x:v>
      </x:c>
      <x:c r="E211" s="17" t="n">
        <x:f>COUNTIF('BugResults'!$D$603:$D$624,"FAIL")</x:f>
        <x:v>0</x:v>
      </x:c>
      <x:c r="F211" s="33" t="n">
        <x:f>E211/22</x:f>
        <x:v>0</x:v>
      </x:c>
    </x:row>
    <x:row r="212" ht="23" customHeight="1">
      <x:c r="B212" s="17" t="str">
        <x:v>JxPath</x:v>
      </x:c>
      <x:c r="C212" s="17" t="str">
        <x:v>Round2</x:v>
      </x:c>
      <x:c r="D212" s="17" t="str">
        <x:v>REVEALING</x:v>
      </x:c>
      <x:c r="E212" s="17" t="n">
        <x:f>0</x:f>
        <x:v>0</x:v>
      </x:c>
      <x:c r="F212" s="33" t="str">
        <x:f>"—"</x:f>
        <x:v>—</x:v>
      </x:c>
    </x:row>
    <x:row r="213" ht="23" customHeight="1">
      <x:c r="B213" s="17" t="str">
        <x:v>JxPath</x:v>
      </x:c>
      <x:c r="C213" s="17" t="str">
        <x:v>Round2</x:v>
      </x:c>
      <x:c r="D213" s="17" t="str">
        <x:v>NOT_REVEALING</x:v>
      </x:c>
      <x:c r="E213" s="17" t="n">
        <x:f>0</x:f>
        <x:v>0</x:v>
      </x:c>
      <x:c r="F213" s="33" t="str">
        <x:f>"—"</x:f>
        <x:v>—</x:v>
      </x:c>
    </x:row>
    <x:row r="214" ht="23" customHeight="1">
      <x:c r="B214" s="17" t="str">
        <x:v>JxPath</x:v>
      </x:c>
      <x:c r="C214" s="17" t="str">
        <x:v>Round2</x:v>
      </x:c>
      <x:c r="D214" s="17" t="str">
        <x:v>NOT_AVAILABLE</x:v>
      </x:c>
      <x:c r="E214" s="17" t="n">
        <x:f>0</x:f>
        <x:v>0</x:v>
      </x:c>
      <x:c r="F214" s="33" t="str">
        <x:f>"—"</x:f>
        <x:v>—</x:v>
      </x:c>
    </x:row>
    <x:row r="215" ht="23" customHeight="1">
      <x:c r="B215" s="17" t="str">
        <x:v>JxPath</x:v>
      </x:c>
      <x:c r="C215" s="17" t="str">
        <x:v>Round2</x:v>
      </x:c>
      <x:c r="D215" s="17" t="str">
        <x:v>INCONCLUSIVE</x:v>
      </x:c>
      <x:c r="E215" s="17" t="n">
        <x:f>0</x:f>
        <x:v>0</x:v>
      </x:c>
      <x:c r="F215" s="33" t="str">
        <x:f>"—"</x:f>
        <x:v>—</x:v>
      </x:c>
    </x:row>
    <x:row r="216" ht="23" customHeight="1">
      <x:c r="B216" s="17" t="str">
        <x:v>JxPath</x:v>
      </x:c>
      <x:c r="C216" s="17" t="str">
        <x:v>Round2</x:v>
      </x:c>
      <x:c r="D216" s="17" t="str">
        <x:v>FAIL</x:v>
      </x:c>
      <x:c r="E216" s="17" t="n">
        <x:f>0</x:f>
        <x:v>0</x:v>
      </x:c>
      <x:c r="F216" s="33" t="str">
        <x:f>"—"</x:f>
        <x:v>—</x:v>
      </x:c>
    </x:row>
    <x:row r="217" ht="23" customHeight="1">
      <x:c r="B217" s="17" t="str">
        <x:v>Lang</x:v>
      </x:c>
      <x:c r="C217" s="17" t="str">
        <x:v>All rounds</x:v>
      </x:c>
      <x:c r="D217" s="17" t="str">
        <x:v>REVEALING</x:v>
      </x:c>
      <x:c r="E217" s="17" t="n">
        <x:f>COUNTIF('BugResults'!$D$625:$D$685,"REVEALING")</x:f>
        <x:v>1</x:v>
      </x:c>
      <x:c r="F217" s="33" t="n">
        <x:f>E217/61</x:f>
        <x:v>0.01639344262295082</x:v>
      </x:c>
    </x:row>
    <x:row r="218" ht="23" customHeight="1">
      <x:c r="B218" s="17" t="str">
        <x:v>Lang</x:v>
      </x:c>
      <x:c r="C218" s="17" t="str">
        <x:v>All rounds</x:v>
      </x:c>
      <x:c r="D218" s="17" t="str">
        <x:v>NOT_REVEALING</x:v>
      </x:c>
      <x:c r="E218" s="17" t="n">
        <x:f>COUNTIF('BugResults'!$D$625:$D$685,"NOT_REVEALING")</x:f>
        <x:v>28</x:v>
      </x:c>
      <x:c r="F218" s="33" t="n">
        <x:f>E218/61</x:f>
        <x:v>0.45901639344262296</x:v>
      </x:c>
    </x:row>
    <x:row r="219" ht="23" customHeight="1">
      <x:c r="B219" s="17" t="str">
        <x:v>Lang</x:v>
      </x:c>
      <x:c r="C219" s="17" t="str">
        <x:v>All rounds</x:v>
      </x:c>
      <x:c r="D219" s="17" t="str">
        <x:v>NOT_AVAILABLE</x:v>
      </x:c>
      <x:c r="E219" s="17" t="n">
        <x:f>COUNTIF('BugResults'!$D$625:$D$685,"NOT_AVAILABLE")</x:f>
        <x:v>14</x:v>
      </x:c>
      <x:c r="F219" s="33" t="n">
        <x:f>E219/61</x:f>
        <x:v>0.22950819672131148</x:v>
      </x:c>
    </x:row>
    <x:row r="220" ht="23" customHeight="1">
      <x:c r="B220" s="17" t="str">
        <x:v>Lang</x:v>
      </x:c>
      <x:c r="C220" s="17" t="str">
        <x:v>All rounds</x:v>
      </x:c>
      <x:c r="D220" s="17" t="str">
        <x:v>INCONCLUSIVE</x:v>
      </x:c>
      <x:c r="E220" s="17" t="n">
        <x:f>COUNTIF('BugResults'!$D$625:$D$685,"INCONCLUSIVE")</x:f>
        <x:v>18</x:v>
      </x:c>
      <x:c r="F220" s="33" t="n">
        <x:f>E220/61</x:f>
        <x:v>0.29508196721311475</x:v>
      </x:c>
    </x:row>
    <x:row r="221" ht="23" customHeight="1">
      <x:c r="B221" s="17" t="str">
        <x:v>Lang</x:v>
      </x:c>
      <x:c r="C221" s="17" t="str">
        <x:v>All rounds</x:v>
      </x:c>
      <x:c r="D221" s="17" t="str">
        <x:v>FAIL</x:v>
      </x:c>
      <x:c r="E221" s="17" t="n">
        <x:f>COUNTIF('BugResults'!$D$625:$D$685,"FAIL")</x:f>
        <x:v>0</x:v>
      </x:c>
      <x:c r="F221" s="33" t="n">
        <x:f>E221/61</x:f>
        <x:v>0</x:v>
      </x:c>
    </x:row>
    <x:row r="222" ht="23" customHeight="1">
      <x:c r="B222" s="17" t="str">
        <x:v>Lang</x:v>
      </x:c>
      <x:c r="C222" s="17" t="str">
        <x:v>Round1</x:v>
      </x:c>
      <x:c r="D222" s="17" t="str">
        <x:v>REVEALING</x:v>
      </x:c>
      <x:c r="E222" s="17" t="n">
        <x:f>COUNTIF('BugResults'!$D$625:$D$685,"REVEALING")</x:f>
        <x:v>1</x:v>
      </x:c>
      <x:c r="F222" s="33" t="n">
        <x:f>E222/61</x:f>
        <x:v>0.01639344262295082</x:v>
      </x:c>
    </x:row>
    <x:row r="223" ht="23" customHeight="1">
      <x:c r="B223" s="17" t="str">
        <x:v>Lang</x:v>
      </x:c>
      <x:c r="C223" s="17" t="str">
        <x:v>Round1</x:v>
      </x:c>
      <x:c r="D223" s="17" t="str">
        <x:v>NOT_REVEALING</x:v>
      </x:c>
      <x:c r="E223" s="17" t="n">
        <x:f>COUNTIF('BugResults'!$D$625:$D$685,"NOT_REVEALING")</x:f>
        <x:v>28</x:v>
      </x:c>
      <x:c r="F223" s="33" t="n">
        <x:f>E223/61</x:f>
        <x:v>0.45901639344262296</x:v>
      </x:c>
    </x:row>
    <x:row r="224" ht="23" customHeight="1">
      <x:c r="B224" s="17" t="str">
        <x:v>Lang</x:v>
      </x:c>
      <x:c r="C224" s="17" t="str">
        <x:v>Round1</x:v>
      </x:c>
      <x:c r="D224" s="17" t="str">
        <x:v>NOT_AVAILABLE</x:v>
      </x:c>
      <x:c r="E224" s="17" t="n">
        <x:f>COUNTIF('BugResults'!$D$625:$D$685,"NOT_AVAILABLE")</x:f>
        <x:v>14</x:v>
      </x:c>
      <x:c r="F224" s="33" t="n">
        <x:f>E224/61</x:f>
        <x:v>0.22950819672131148</x:v>
      </x:c>
    </x:row>
    <x:row r="225" ht="23" customHeight="1">
      <x:c r="B225" s="17" t="str">
        <x:v>Lang</x:v>
      </x:c>
      <x:c r="C225" s="17" t="str">
        <x:v>Round1</x:v>
      </x:c>
      <x:c r="D225" s="17" t="str">
        <x:v>INCONCLUSIVE</x:v>
      </x:c>
      <x:c r="E225" s="17" t="n">
        <x:f>COUNTIF('BugResults'!$D$625:$D$685,"INCONCLUSIVE")</x:f>
        <x:v>18</x:v>
      </x:c>
      <x:c r="F225" s="33" t="n">
        <x:f>E225/61</x:f>
        <x:v>0.29508196721311475</x:v>
      </x:c>
    </x:row>
    <x:row r="226" ht="23" customHeight="1">
      <x:c r="B226" s="17" t="str">
        <x:v>Lang</x:v>
      </x:c>
      <x:c r="C226" s="17" t="str">
        <x:v>Round1</x:v>
      </x:c>
      <x:c r="D226" s="17" t="str">
        <x:v>FAIL</x:v>
      </x:c>
      <x:c r="E226" s="17" t="n">
        <x:f>COUNTIF('BugResults'!$D$625:$D$685,"FAIL")</x:f>
        <x:v>0</x:v>
      </x:c>
      <x:c r="F226" s="33" t="n">
        <x:f>E226/61</x:f>
        <x:v>0</x:v>
      </x:c>
    </x:row>
    <x:row r="227" ht="23" customHeight="1">
      <x:c r="B227" s="17" t="str">
        <x:v>Lang</x:v>
      </x:c>
      <x:c r="C227" s="17" t="str">
        <x:v>Round2</x:v>
      </x:c>
      <x:c r="D227" s="17" t="str">
        <x:v>REVEALING</x:v>
      </x:c>
      <x:c r="E227" s="17" t="n">
        <x:f>0</x:f>
        <x:v>0</x:v>
      </x:c>
      <x:c r="F227" s="33" t="str">
        <x:f>"—"</x:f>
        <x:v>—</x:v>
      </x:c>
    </x:row>
    <x:row r="228" ht="23" customHeight="1">
      <x:c r="B228" s="17" t="str">
        <x:v>Lang</x:v>
      </x:c>
      <x:c r="C228" s="17" t="str">
        <x:v>Round2</x:v>
      </x:c>
      <x:c r="D228" s="17" t="str">
        <x:v>NOT_REVEALING</x:v>
      </x:c>
      <x:c r="E228" s="17" t="n">
        <x:f>0</x:f>
        <x:v>0</x:v>
      </x:c>
      <x:c r="F228" s="33" t="str">
        <x:f>"—"</x:f>
        <x:v>—</x:v>
      </x:c>
    </x:row>
    <x:row r="229" ht="23" customHeight="1">
      <x:c r="B229" s="17" t="str">
        <x:v>Lang</x:v>
      </x:c>
      <x:c r="C229" s="17" t="str">
        <x:v>Round2</x:v>
      </x:c>
      <x:c r="D229" s="17" t="str">
        <x:v>NOT_AVAILABLE</x:v>
      </x:c>
      <x:c r="E229" s="17" t="n">
        <x:f>0</x:f>
        <x:v>0</x:v>
      </x:c>
      <x:c r="F229" s="33" t="str">
        <x:f>"—"</x:f>
        <x:v>—</x:v>
      </x:c>
    </x:row>
    <x:row r="230" ht="23" customHeight="1">
      <x:c r="B230" s="17" t="str">
        <x:v>Lang</x:v>
      </x:c>
      <x:c r="C230" s="17" t="str">
        <x:v>Round2</x:v>
      </x:c>
      <x:c r="D230" s="17" t="str">
        <x:v>INCONCLUSIVE</x:v>
      </x:c>
      <x:c r="E230" s="17" t="n">
        <x:f>0</x:f>
        <x:v>0</x:v>
      </x:c>
      <x:c r="F230" s="33" t="str">
        <x:f>"—"</x:f>
        <x:v>—</x:v>
      </x:c>
    </x:row>
    <x:row r="231" ht="23" customHeight="1">
      <x:c r="B231" s="17" t="str">
        <x:v>Lang</x:v>
      </x:c>
      <x:c r="C231" s="17" t="str">
        <x:v>Round2</x:v>
      </x:c>
      <x:c r="D231" s="17" t="str">
        <x:v>FAIL</x:v>
      </x:c>
      <x:c r="E231" s="17" t="n">
        <x:f>0</x:f>
        <x:v>0</x:v>
      </x:c>
      <x:c r="F231" s="33" t="str">
        <x:f>"—"</x:f>
        <x:v>—</x:v>
      </x:c>
    </x:row>
    <x:row r="232" ht="23" customHeight="1">
      <x:c r="B232" s="17" t="str">
        <x:v>Math</x:v>
      </x:c>
      <x:c r="C232" s="17" t="str">
        <x:v>All rounds</x:v>
      </x:c>
      <x:c r="D232" s="17" t="str">
        <x:v>REVEALING</x:v>
      </x:c>
      <x:c r="E232" s="17" t="n">
        <x:f>COUNTIF('BugResults'!$D$686:$D$791,"REVEALING")</x:f>
        <x:v>0</x:v>
      </x:c>
      <x:c r="F232" s="33" t="n">
        <x:f>E232/106</x:f>
        <x:v>0</x:v>
      </x:c>
    </x:row>
    <x:row r="233" ht="23" customHeight="1">
      <x:c r="B233" s="17" t="str">
        <x:v>Math</x:v>
      </x:c>
      <x:c r="C233" s="17" t="str">
        <x:v>All rounds</x:v>
      </x:c>
      <x:c r="D233" s="17" t="str">
        <x:v>NOT_REVEALING</x:v>
      </x:c>
      <x:c r="E233" s="17" t="n">
        <x:f>COUNTIF('BugResults'!$D$686:$D$791,"NOT_REVEALING")</x:f>
        <x:v>79</x:v>
      </x:c>
      <x:c r="F233" s="33" t="n">
        <x:f>E233/106</x:f>
        <x:v>0.7452830188679245</x:v>
      </x:c>
    </x:row>
    <x:row r="234" ht="23" customHeight="1">
      <x:c r="B234" s="17" t="str">
        <x:v>Math</x:v>
      </x:c>
      <x:c r="C234" s="17" t="str">
        <x:v>All rounds</x:v>
      </x:c>
      <x:c r="D234" s="17" t="str">
        <x:v>NOT_AVAILABLE</x:v>
      </x:c>
      <x:c r="E234" s="17" t="n">
        <x:f>COUNTIF('BugResults'!$D$686:$D$791,"NOT_AVAILABLE")</x:f>
        <x:v>10</x:v>
      </x:c>
      <x:c r="F234" s="33" t="n">
        <x:f>E234/106</x:f>
        <x:v>0.09433962264150944</x:v>
      </x:c>
    </x:row>
    <x:row r="235" ht="23" customHeight="1">
      <x:c r="B235" s="17" t="str">
        <x:v>Math</x:v>
      </x:c>
      <x:c r="C235" s="17" t="str">
        <x:v>All rounds</x:v>
      </x:c>
      <x:c r="D235" s="17" t="str">
        <x:v>INCONCLUSIVE</x:v>
      </x:c>
      <x:c r="E235" s="17" t="n">
        <x:f>COUNTIF('BugResults'!$D$686:$D$791,"INCONCLUSIVE")</x:f>
        <x:v>17</x:v>
      </x:c>
      <x:c r="F235" s="33" t="n">
        <x:f>E235/106</x:f>
        <x:v>0.16037735849056603</x:v>
      </x:c>
    </x:row>
    <x:row r="236" ht="23" customHeight="1">
      <x:c r="B236" s="17" t="str">
        <x:v>Math</x:v>
      </x:c>
      <x:c r="C236" s="17" t="str">
        <x:v>All rounds</x:v>
      </x:c>
      <x:c r="D236" s="17" t="str">
        <x:v>FAIL</x:v>
      </x:c>
      <x:c r="E236" s="17" t="n">
        <x:f>COUNTIF('BugResults'!$D$686:$D$791,"FAIL")</x:f>
        <x:v>0</x:v>
      </x:c>
      <x:c r="F236" s="33" t="n">
        <x:f>E236/106</x:f>
        <x:v>0</x:v>
      </x:c>
    </x:row>
    <x:row r="237" ht="23" customHeight="1">
      <x:c r="B237" s="17" t="str">
        <x:v>Math</x:v>
      </x:c>
      <x:c r="C237" s="17" t="str">
        <x:v>Round1</x:v>
      </x:c>
      <x:c r="D237" s="17" t="str">
        <x:v>REVEALING</x:v>
      </x:c>
      <x:c r="E237" s="17" t="n">
        <x:f>COUNTIF('BugResults'!$D$686:$D$791,"REVEALING")</x:f>
        <x:v>0</x:v>
      </x:c>
      <x:c r="F237" s="33" t="n">
        <x:f>E237/106</x:f>
        <x:v>0</x:v>
      </x:c>
    </x:row>
    <x:row r="238" ht="23" customHeight="1">
      <x:c r="B238" s="17" t="str">
        <x:v>Math</x:v>
      </x:c>
      <x:c r="C238" s="17" t="str">
        <x:v>Round1</x:v>
      </x:c>
      <x:c r="D238" s="17" t="str">
        <x:v>NOT_REVEALING</x:v>
      </x:c>
      <x:c r="E238" s="17" t="n">
        <x:f>COUNTIF('BugResults'!$D$686:$D$791,"NOT_REVEALING")</x:f>
        <x:v>79</x:v>
      </x:c>
      <x:c r="F238" s="33" t="n">
        <x:f>E238/106</x:f>
        <x:v>0.7452830188679245</x:v>
      </x:c>
    </x:row>
    <x:row r="239" ht="23" customHeight="1">
      <x:c r="B239" s="17" t="str">
        <x:v>Math</x:v>
      </x:c>
      <x:c r="C239" s="17" t="str">
        <x:v>Round1</x:v>
      </x:c>
      <x:c r="D239" s="17" t="str">
        <x:v>NOT_AVAILABLE</x:v>
      </x:c>
      <x:c r="E239" s="17" t="n">
        <x:f>COUNTIF('BugResults'!$D$686:$D$791,"NOT_AVAILABLE")</x:f>
        <x:v>10</x:v>
      </x:c>
      <x:c r="F239" s="33" t="n">
        <x:f>E239/106</x:f>
        <x:v>0.09433962264150944</x:v>
      </x:c>
    </x:row>
    <x:row r="240" ht="23" customHeight="1">
      <x:c r="B240" s="17" t="str">
        <x:v>Math</x:v>
      </x:c>
      <x:c r="C240" s="17" t="str">
        <x:v>Round1</x:v>
      </x:c>
      <x:c r="D240" s="17" t="str">
        <x:v>INCONCLUSIVE</x:v>
      </x:c>
      <x:c r="E240" s="17" t="n">
        <x:f>COUNTIF('BugResults'!$D$686:$D$791,"INCONCLUSIVE")</x:f>
        <x:v>17</x:v>
      </x:c>
      <x:c r="F240" s="33" t="n">
        <x:f>E240/106</x:f>
        <x:v>0.16037735849056603</x:v>
      </x:c>
    </x:row>
    <x:row r="241" ht="23" customHeight="1">
      <x:c r="B241" s="17" t="str">
        <x:v>Math</x:v>
      </x:c>
      <x:c r="C241" s="17" t="str">
        <x:v>Round1</x:v>
      </x:c>
      <x:c r="D241" s="17" t="str">
        <x:v>FAIL</x:v>
      </x:c>
      <x:c r="E241" s="17" t="n">
        <x:f>COUNTIF('BugResults'!$D$686:$D$791,"FAIL")</x:f>
        <x:v>0</x:v>
      </x:c>
      <x:c r="F241" s="33" t="n">
        <x:f>E241/106</x:f>
        <x:v>0</x:v>
      </x:c>
    </x:row>
    <x:row r="242" ht="23" customHeight="1">
      <x:c r="B242" s="17" t="str">
        <x:v>Math</x:v>
      </x:c>
      <x:c r="C242" s="17" t="str">
        <x:v>Round2</x:v>
      </x:c>
      <x:c r="D242" s="17" t="str">
        <x:v>REVEALING</x:v>
      </x:c>
      <x:c r="E242" s="17" t="n">
        <x:f>0</x:f>
        <x:v>0</x:v>
      </x:c>
      <x:c r="F242" s="33" t="str">
        <x:f>"—"</x:f>
        <x:v>—</x:v>
      </x:c>
    </x:row>
    <x:row r="243" ht="23" customHeight="1">
      <x:c r="B243" s="17" t="str">
        <x:v>Math</x:v>
      </x:c>
      <x:c r="C243" s="17" t="str">
        <x:v>Round2</x:v>
      </x:c>
      <x:c r="D243" s="17" t="str">
        <x:v>NOT_REVEALING</x:v>
      </x:c>
      <x:c r="E243" s="17" t="n">
        <x:f>0</x:f>
        <x:v>0</x:v>
      </x:c>
      <x:c r="F243" s="33" t="str">
        <x:f>"—"</x:f>
        <x:v>—</x:v>
      </x:c>
    </x:row>
    <x:row r="244" ht="23" customHeight="1">
      <x:c r="B244" s="17" t="str">
        <x:v>Math</x:v>
      </x:c>
      <x:c r="C244" s="17" t="str">
        <x:v>Round2</x:v>
      </x:c>
      <x:c r="D244" s="17" t="str">
        <x:v>NOT_AVAILABLE</x:v>
      </x:c>
      <x:c r="E244" s="17" t="n">
        <x:f>0</x:f>
        <x:v>0</x:v>
      </x:c>
      <x:c r="F244" s="33" t="str">
        <x:f>"—"</x:f>
        <x:v>—</x:v>
      </x:c>
    </x:row>
    <x:row r="245" ht="23" customHeight="1">
      <x:c r="B245" s="17" t="str">
        <x:v>Math</x:v>
      </x:c>
      <x:c r="C245" s="17" t="str">
        <x:v>Round2</x:v>
      </x:c>
      <x:c r="D245" s="17" t="str">
        <x:v>INCONCLUSIVE</x:v>
      </x:c>
      <x:c r="E245" s="17" t="n">
        <x:f>0</x:f>
        <x:v>0</x:v>
      </x:c>
      <x:c r="F245" s="33" t="str">
        <x:f>"—"</x:f>
        <x:v>—</x:v>
      </x:c>
    </x:row>
    <x:row r="246" ht="23" customHeight="1">
      <x:c r="B246" s="17" t="str">
        <x:v>Math</x:v>
      </x:c>
      <x:c r="C246" s="17" t="str">
        <x:v>Round2</x:v>
      </x:c>
      <x:c r="D246" s="17" t="str">
        <x:v>FAIL</x:v>
      </x:c>
      <x:c r="E246" s="17" t="n">
        <x:f>0</x:f>
        <x:v>0</x:v>
      </x:c>
      <x:c r="F246" s="33" t="str">
        <x:f>"—"</x:f>
        <x:v>—</x:v>
      </x:c>
    </x:row>
    <x:row r="247" ht="23" customHeight="1">
      <x:c r="B247" s="17" t="str">
        <x:v>Mockito</x:v>
      </x:c>
      <x:c r="C247" s="17" t="str">
        <x:v>All rounds</x:v>
      </x:c>
      <x:c r="D247" s="17" t="str">
        <x:v>REVEALING</x:v>
      </x:c>
      <x:c r="E247" s="17" t="n">
        <x:f>COUNTIF('BugResults'!$D$792:$D$829,"REVEALING")</x:f>
        <x:v>1</x:v>
      </x:c>
      <x:c r="F247" s="33" t="n">
        <x:f>E247/38</x:f>
        <x:v>0.02631578947368421</x:v>
      </x:c>
    </x:row>
    <x:row r="248" ht="23" customHeight="1">
      <x:c r="B248" s="17" t="str">
        <x:v>Mockito</x:v>
      </x:c>
      <x:c r="C248" s="17" t="str">
        <x:v>All rounds</x:v>
      </x:c>
      <x:c r="D248" s="17" t="str">
        <x:v>NOT_REVEALING</x:v>
      </x:c>
      <x:c r="E248" s="17" t="n">
        <x:f>COUNTIF('BugResults'!$D$792:$D$829,"NOT_REVEALING")</x:f>
        <x:v>7</x:v>
      </x:c>
      <x:c r="F248" s="33" t="n">
        <x:f>E248/38</x:f>
        <x:v>0.18421052631578946</x:v>
      </x:c>
    </x:row>
    <x:row r="249" ht="23" customHeight="1">
      <x:c r="B249" s="17" t="str">
        <x:v>Mockito</x:v>
      </x:c>
      <x:c r="C249" s="17" t="str">
        <x:v>All rounds</x:v>
      </x:c>
      <x:c r="D249" s="17" t="str">
        <x:v>NOT_AVAILABLE</x:v>
      </x:c>
      <x:c r="E249" s="17" t="n">
        <x:f>COUNTIF('BugResults'!$D$792:$D$829,"NOT_AVAILABLE")</x:f>
        <x:v>12</x:v>
      </x:c>
      <x:c r="F249" s="33" t="n">
        <x:f>E249/38</x:f>
        <x:v>0.3157894736842105</x:v>
      </x:c>
    </x:row>
    <x:row r="250" ht="23" customHeight="1">
      <x:c r="B250" s="17" t="str">
        <x:v>Mockito</x:v>
      </x:c>
      <x:c r="C250" s="17" t="str">
        <x:v>All rounds</x:v>
      </x:c>
      <x:c r="D250" s="17" t="str">
        <x:v>INCONCLUSIVE</x:v>
      </x:c>
      <x:c r="E250" s="17" t="n">
        <x:f>COUNTIF('BugResults'!$D$792:$D$829,"INCONCLUSIVE")</x:f>
        <x:v>18</x:v>
      </x:c>
      <x:c r="F250" s="33" t="n">
        <x:f>E250/38</x:f>
        <x:v>0.47368421052631576</x:v>
      </x:c>
    </x:row>
    <x:row r="251" ht="23" customHeight="1">
      <x:c r="B251" s="17" t="str">
        <x:v>Mockito</x:v>
      </x:c>
      <x:c r="C251" s="17" t="str">
        <x:v>All rounds</x:v>
      </x:c>
      <x:c r="D251" s="17" t="str">
        <x:v>FAIL</x:v>
      </x:c>
      <x:c r="E251" s="17" t="n">
        <x:f>COUNTIF('BugResults'!$D$792:$D$829,"FAIL")</x:f>
        <x:v>0</x:v>
      </x:c>
      <x:c r="F251" s="33" t="n">
        <x:f>E251/38</x:f>
        <x:v>0</x:v>
      </x:c>
    </x:row>
    <x:row r="252" ht="23" customHeight="1">
      <x:c r="B252" s="17" t="str">
        <x:v>Mockito</x:v>
      </x:c>
      <x:c r="C252" s="17" t="str">
        <x:v>Round1</x:v>
      </x:c>
      <x:c r="D252" s="17" t="str">
        <x:v>REVEALING</x:v>
      </x:c>
      <x:c r="E252" s="17" t="n">
        <x:f>COUNTIF('BugResults'!$D$792:$D$829,"REVEALING")</x:f>
        <x:v>1</x:v>
      </x:c>
      <x:c r="F252" s="33" t="n">
        <x:f>E252/38</x:f>
        <x:v>0.02631578947368421</x:v>
      </x:c>
    </x:row>
    <x:row r="253" ht="23" customHeight="1">
      <x:c r="B253" s="17" t="str">
        <x:v>Mockito</x:v>
      </x:c>
      <x:c r="C253" s="17" t="str">
        <x:v>Round1</x:v>
      </x:c>
      <x:c r="D253" s="17" t="str">
        <x:v>NOT_REVEALING</x:v>
      </x:c>
      <x:c r="E253" s="17" t="n">
        <x:f>COUNTIF('BugResults'!$D$792:$D$829,"NOT_REVEALING")</x:f>
        <x:v>7</x:v>
      </x:c>
      <x:c r="F253" s="33" t="n">
        <x:f>E253/38</x:f>
        <x:v>0.18421052631578946</x:v>
      </x:c>
    </x:row>
    <x:row r="254" ht="23" customHeight="1">
      <x:c r="B254" s="17" t="str">
        <x:v>Mockito</x:v>
      </x:c>
      <x:c r="C254" s="17" t="str">
        <x:v>Round1</x:v>
      </x:c>
      <x:c r="D254" s="17" t="str">
        <x:v>NOT_AVAILABLE</x:v>
      </x:c>
      <x:c r="E254" s="17" t="n">
        <x:f>COUNTIF('BugResults'!$D$792:$D$829,"NOT_AVAILABLE")</x:f>
        <x:v>12</x:v>
      </x:c>
      <x:c r="F254" s="33" t="n">
        <x:f>E254/38</x:f>
        <x:v>0.3157894736842105</x:v>
      </x:c>
    </x:row>
    <x:row r="255" ht="23" customHeight="1">
      <x:c r="B255" s="17" t="str">
        <x:v>Mockito</x:v>
      </x:c>
      <x:c r="C255" s="17" t="str">
        <x:v>Round1</x:v>
      </x:c>
      <x:c r="D255" s="17" t="str">
        <x:v>INCONCLUSIVE</x:v>
      </x:c>
      <x:c r="E255" s="17" t="n">
        <x:f>COUNTIF('BugResults'!$D$792:$D$829,"INCONCLUSIVE")</x:f>
        <x:v>18</x:v>
      </x:c>
      <x:c r="F255" s="33" t="n">
        <x:f>E255/38</x:f>
        <x:v>0.47368421052631576</x:v>
      </x:c>
    </x:row>
    <x:row r="256" ht="23" customHeight="1">
      <x:c r="B256" s="17" t="str">
        <x:v>Mockito</x:v>
      </x:c>
      <x:c r="C256" s="17" t="str">
        <x:v>Round1</x:v>
      </x:c>
      <x:c r="D256" s="17" t="str">
        <x:v>FAIL</x:v>
      </x:c>
      <x:c r="E256" s="17" t="n">
        <x:f>COUNTIF('BugResults'!$D$792:$D$829,"FAIL")</x:f>
        <x:v>0</x:v>
      </x:c>
      <x:c r="F256" s="33" t="n">
        <x:f>E256/38</x:f>
        <x:v>0</x:v>
      </x:c>
    </x:row>
    <x:row r="257" ht="23" customHeight="1">
      <x:c r="B257" s="17" t="str">
        <x:v>Mockito</x:v>
      </x:c>
      <x:c r="C257" s="17" t="str">
        <x:v>Round2</x:v>
      </x:c>
      <x:c r="D257" s="17" t="str">
        <x:v>REVEALING</x:v>
      </x:c>
      <x:c r="E257" s="17" t="n">
        <x:f>0</x:f>
        <x:v>0</x:v>
      </x:c>
      <x:c r="F257" s="33" t="str">
        <x:f>"—"</x:f>
        <x:v>—</x:v>
      </x:c>
    </x:row>
    <x:row r="258" ht="23" customHeight="1">
      <x:c r="B258" s="17" t="str">
        <x:v>Mockito</x:v>
      </x:c>
      <x:c r="C258" s="17" t="str">
        <x:v>Round2</x:v>
      </x:c>
      <x:c r="D258" s="17" t="str">
        <x:v>NOT_REVEALING</x:v>
      </x:c>
      <x:c r="E258" s="17" t="n">
        <x:f>0</x:f>
        <x:v>0</x:v>
      </x:c>
      <x:c r="F258" s="33" t="str">
        <x:f>"—"</x:f>
        <x:v>—</x:v>
      </x:c>
    </x:row>
    <x:row r="259" ht="23" customHeight="1">
      <x:c r="B259" s="17" t="str">
        <x:v>Mockito</x:v>
      </x:c>
      <x:c r="C259" s="17" t="str">
        <x:v>Round2</x:v>
      </x:c>
      <x:c r="D259" s="17" t="str">
        <x:v>NOT_AVAILABLE</x:v>
      </x:c>
      <x:c r="E259" s="17" t="n">
        <x:f>0</x:f>
        <x:v>0</x:v>
      </x:c>
      <x:c r="F259" s="33" t="str">
        <x:f>"—"</x:f>
        <x:v>—</x:v>
      </x:c>
    </x:row>
    <x:row r="260" ht="23" customHeight="1">
      <x:c r="B260" s="17" t="str">
        <x:v>Mockito</x:v>
      </x:c>
      <x:c r="C260" s="17" t="str">
        <x:v>Round2</x:v>
      </x:c>
      <x:c r="D260" s="17" t="str">
        <x:v>INCONCLUSIVE</x:v>
      </x:c>
      <x:c r="E260" s="17" t="n">
        <x:f>0</x:f>
        <x:v>0</x:v>
      </x:c>
      <x:c r="F260" s="33" t="str">
        <x:f>"—"</x:f>
        <x:v>—</x:v>
      </x:c>
    </x:row>
    <x:row r="261" ht="23" customHeight="1">
      <x:c r="B261" s="17" t="str">
        <x:v>Mockito</x:v>
      </x:c>
      <x:c r="C261" s="17" t="str">
        <x:v>Round2</x:v>
      </x:c>
      <x:c r="D261" s="17" t="str">
        <x:v>FAIL</x:v>
      </x:c>
      <x:c r="E261" s="17" t="n">
        <x:f>0</x:f>
        <x:v>0</x:v>
      </x:c>
      <x:c r="F261" s="33" t="str">
        <x:f>"—"</x:f>
        <x:v>—</x:v>
      </x:c>
    </x:row>
    <x:row r="262" ht="23" customHeight="1">
      <x:c r="B262" s="17" t="str">
        <x:v>Time</x:v>
      </x:c>
      <x:c r="C262" s="17" t="str">
        <x:v>All rounds</x:v>
      </x:c>
      <x:c r="D262" s="17" t="str">
        <x:v>REVEALING</x:v>
      </x:c>
      <x:c r="E262" s="17" t="n">
        <x:f>COUNTIF('BugResults'!$D$830:$D$855,"REVEALING")</x:f>
        <x:v>0</x:v>
      </x:c>
      <x:c r="F262" s="33" t="n">
        <x:f>E262/26</x:f>
        <x:v>0</x:v>
      </x:c>
    </x:row>
    <x:row r="263" ht="23" customHeight="1">
      <x:c r="B263" s="17" t="str">
        <x:v>Time</x:v>
      </x:c>
      <x:c r="C263" s="17" t="str">
        <x:v>All rounds</x:v>
      </x:c>
      <x:c r="D263" s="17" t="str">
        <x:v>NOT_REVEALING</x:v>
      </x:c>
      <x:c r="E263" s="17" t="n">
        <x:f>COUNTIF('BugResults'!$D$830:$D$855,"NOT_REVEALING")</x:f>
        <x:v>1</x:v>
      </x:c>
      <x:c r="F263" s="33" t="n">
        <x:f>E263/26</x:f>
        <x:v>0.038461538461538464</x:v>
      </x:c>
    </x:row>
    <x:row r="264" ht="23" customHeight="1">
      <x:c r="B264" s="17" t="str">
        <x:v>Time</x:v>
      </x:c>
      <x:c r="C264" s="17" t="str">
        <x:v>All rounds</x:v>
      </x:c>
      <x:c r="D264" s="17" t="str">
        <x:v>NOT_AVAILABLE</x:v>
      </x:c>
      <x:c r="E264" s="17" t="n">
        <x:f>COUNTIF('BugResults'!$D$830:$D$855,"NOT_AVAILABLE")</x:f>
        <x:v>19</x:v>
      </x:c>
      <x:c r="F264" s="33" t="n">
        <x:f>E264/26</x:f>
        <x:v>0.7307692307692307</x:v>
      </x:c>
    </x:row>
    <x:row r="265" ht="23" customHeight="1">
      <x:c r="B265" s="17" t="str">
        <x:v>Time</x:v>
      </x:c>
      <x:c r="C265" s="17" t="str">
        <x:v>All rounds</x:v>
      </x:c>
      <x:c r="D265" s="17" t="str">
        <x:v>INCONCLUSIVE</x:v>
      </x:c>
      <x:c r="E265" s="17" t="n">
        <x:f>COUNTIF('BugResults'!$D$830:$D$855,"INCONCLUSIVE")</x:f>
        <x:v>6</x:v>
      </x:c>
      <x:c r="F265" s="33" t="n">
        <x:f>E265/26</x:f>
        <x:v>0.23076923076923078</x:v>
      </x:c>
    </x:row>
    <x:row r="266" ht="23" customHeight="1">
      <x:c r="B266" s="17" t="str">
        <x:v>Time</x:v>
      </x:c>
      <x:c r="C266" s="17" t="str">
        <x:v>All rounds</x:v>
      </x:c>
      <x:c r="D266" s="17" t="str">
        <x:v>FAIL</x:v>
      </x:c>
      <x:c r="E266" s="17" t="n">
        <x:f>COUNTIF('BugResults'!$D$830:$D$855,"FAIL")</x:f>
        <x:v>0</x:v>
      </x:c>
      <x:c r="F266" s="33" t="n">
        <x:f>E266/26</x:f>
        <x:v>0</x:v>
      </x:c>
    </x:row>
    <x:row r="267" ht="23" customHeight="1">
      <x:c r="B267" s="17" t="str">
        <x:v>Time</x:v>
      </x:c>
      <x:c r="C267" s="17" t="str">
        <x:v>Round1</x:v>
      </x:c>
      <x:c r="D267" s="17" t="str">
        <x:v>REVEALING</x:v>
      </x:c>
      <x:c r="E267" s="17" t="n">
        <x:f>COUNTIF('BugResults'!$D$830:$D$855,"REVEALING")</x:f>
        <x:v>0</x:v>
      </x:c>
      <x:c r="F267" s="33" t="n">
        <x:f>E267/26</x:f>
        <x:v>0</x:v>
      </x:c>
    </x:row>
    <x:row r="268" ht="23" customHeight="1">
      <x:c r="B268" s="17" t="str">
        <x:v>Time</x:v>
      </x:c>
      <x:c r="C268" s="17" t="str">
        <x:v>Round1</x:v>
      </x:c>
      <x:c r="D268" s="17" t="str">
        <x:v>NOT_REVEALING</x:v>
      </x:c>
      <x:c r="E268" s="17" t="n">
        <x:f>COUNTIF('BugResults'!$D$830:$D$855,"NOT_REVEALING")</x:f>
        <x:v>1</x:v>
      </x:c>
      <x:c r="F268" s="33" t="n">
        <x:f>E268/26</x:f>
        <x:v>0.038461538461538464</x:v>
      </x:c>
    </x:row>
    <x:row r="269" ht="23" customHeight="1">
      <x:c r="B269" s="17" t="str">
        <x:v>Time</x:v>
      </x:c>
      <x:c r="C269" s="17" t="str">
        <x:v>Round1</x:v>
      </x:c>
      <x:c r="D269" s="17" t="str">
        <x:v>NOT_AVAILABLE</x:v>
      </x:c>
      <x:c r="E269" s="17" t="n">
        <x:f>COUNTIF('BugResults'!$D$830:$D$855,"NOT_AVAILABLE")</x:f>
        <x:v>19</x:v>
      </x:c>
      <x:c r="F269" s="33" t="n">
        <x:f>E269/26</x:f>
        <x:v>0.7307692307692307</x:v>
      </x:c>
    </x:row>
    <x:row r="270" ht="23" customHeight="1">
      <x:c r="B270" s="17" t="str">
        <x:v>Time</x:v>
      </x:c>
      <x:c r="C270" s="17" t="str">
        <x:v>Round1</x:v>
      </x:c>
      <x:c r="D270" s="17" t="str">
        <x:v>INCONCLUSIVE</x:v>
      </x:c>
      <x:c r="E270" s="17" t="n">
        <x:f>COUNTIF('BugResults'!$D$830:$D$855,"INCONCLUSIVE")</x:f>
        <x:v>6</x:v>
      </x:c>
      <x:c r="F270" s="33" t="n">
        <x:f>E270/26</x:f>
        <x:v>0.23076923076923078</x:v>
      </x:c>
    </x:row>
    <x:row r="271" ht="23" customHeight="1">
      <x:c r="B271" s="17" t="str">
        <x:v>Time</x:v>
      </x:c>
      <x:c r="C271" s="17" t="str">
        <x:v>Round1</x:v>
      </x:c>
      <x:c r="D271" s="17" t="str">
        <x:v>FAIL</x:v>
      </x:c>
      <x:c r="E271" s="17" t="n">
        <x:f>COUNTIF('BugResults'!$D$830:$D$855,"FAIL")</x:f>
        <x:v>0</x:v>
      </x:c>
      <x:c r="F271" s="33" t="n">
        <x:f>E271/26</x:f>
        <x:v>0</x:v>
      </x:c>
    </x:row>
    <x:row r="272" ht="23" customHeight="1">
      <x:c r="B272" s="17" t="str">
        <x:v>Time</x:v>
      </x:c>
      <x:c r="C272" s="17" t="str">
        <x:v>Round2</x:v>
      </x:c>
      <x:c r="D272" s="17" t="str">
        <x:v>REVEALING</x:v>
      </x:c>
      <x:c r="E272" s="17" t="n">
        <x:f>0</x:f>
        <x:v>0</x:v>
      </x:c>
      <x:c r="F272" s="33" t="str">
        <x:f>"—"</x:f>
        <x:v>—</x:v>
      </x:c>
    </x:row>
    <x:row r="273" ht="23" customHeight="1">
      <x:c r="B273" s="17" t="str">
        <x:v>Time</x:v>
      </x:c>
      <x:c r="C273" s="17" t="str">
        <x:v>Round2</x:v>
      </x:c>
      <x:c r="D273" s="17" t="str">
        <x:v>NOT_REVEALING</x:v>
      </x:c>
      <x:c r="E273" s="17" t="n">
        <x:f>0</x:f>
        <x:v>0</x:v>
      </x:c>
      <x:c r="F273" s="33" t="str">
        <x:f>"—"</x:f>
        <x:v>—</x:v>
      </x:c>
    </x:row>
    <x:row r="274" ht="23" customHeight="1">
      <x:c r="B274" s="17" t="str">
        <x:v>Time</x:v>
      </x:c>
      <x:c r="C274" s="17" t="str">
        <x:v>Round2</x:v>
      </x:c>
      <x:c r="D274" s="17" t="str">
        <x:v>NOT_AVAILABLE</x:v>
      </x:c>
      <x:c r="E274" s="17" t="n">
        <x:f>0</x:f>
        <x:v>0</x:v>
      </x:c>
      <x:c r="F274" s="33" t="str">
        <x:f>"—"</x:f>
        <x:v>—</x:v>
      </x:c>
    </x:row>
    <x:row r="275" ht="23" customHeight="1">
      <x:c r="B275" s="17" t="str">
        <x:v>Time</x:v>
      </x:c>
      <x:c r="C275" s="17" t="str">
        <x:v>Round2</x:v>
      </x:c>
      <x:c r="D275" s="17" t="str">
        <x:v>INCONCLUSIVE</x:v>
      </x:c>
      <x:c r="E275" s="17" t="n">
        <x:f>0</x:f>
        <x:v>0</x:v>
      </x:c>
      <x:c r="F275" s="33" t="str">
        <x:f>"—"</x:f>
        <x:v>—</x:v>
      </x:c>
    </x:row>
    <x:row r="276" ht="23" customHeight="1">
      <x:c r="B276" s="17" t="str">
        <x:v>Time</x:v>
      </x:c>
      <x:c r="C276" s="17" t="str">
        <x:v>Round2</x:v>
      </x:c>
      <x:c r="D276" s="17" t="str">
        <x:v>FAIL</x:v>
      </x:c>
      <x:c r="E276" s="17" t="n">
        <x:f>0</x:f>
        <x:v>0</x:v>
      </x:c>
      <x:c r="F276" s="33" t="str">
        <x:f>"—"</x:f>
        <x:v>—</x:v>
      </x:c>
    </x:row>
  </x:sheetData>
  <x:mergeCells>
    <x:mergeCell ref="B3:I3"/>
    <x:mergeCell ref="B4:I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2">
      <x:c r="B2" t="str">
        <x:v>Five-status reconciliation</x:v>
      </x:c>
    </x:row>
    <x:row r="6" ht="42" customHeight="1">
      <x:c r="B6" s="20" t="str">
        <x:v>Project</x:v>
      </x:c>
      <x:c r="C6" s="20" t="str">
        <x:v>Round</x:v>
      </x:c>
      <x:c r="D6" s="20" t="str">
        <x:v>Resource cases</x:v>
      </x:c>
      <x:c r="E6" s="20" t="str">
        <x:v>Bug rows</x:v>
      </x:c>
      <x:c r="F6" s="20" t="str">
        <x:v>Status sum</x:v>
      </x:c>
      <x:c r="G6" s="20" t="str">
        <x:v>Difference</x:v>
      </x:c>
      <x:c r="H6" s="20" t="str">
        <x:v>Partial</x:v>
      </x:c>
      <x:c r="I6" s="20" t="str">
        <x:v>Class evidence missing</x:v>
      </x:c>
    </x:row>
    <x:row r="7" ht="23" customHeight="1">
      <x:c r="B7" s="17" t="str">
        <x:v>All projects</x:v>
      </x:c>
      <x:c r="C7" s="17" t="str">
        <x:v>All rounds</x:v>
      </x:c>
      <x:c r="D7" s="17" t="n">
        <x:v>854</x:v>
      </x:c>
      <x:c r="E7" s="17" t="n">
        <x:f>COUNTA('BugResults'!$A$2:$A$855)</x:f>
        <x:v>854</x:v>
      </x:c>
      <x:c r="F7" s="17" t="n">
        <x:f>SUM('Verdicts'!E7:E11)</x:f>
        <x:v>854</x:v>
      </x:c>
      <x:c r="G7" s="17" t="n">
        <x:f>F7-D7</x:f>
        <x:v>0</x:v>
      </x:c>
      <x:c r="H7" s="17" t="str">
        <x:f>"N/A"</x:f>
        <x:v>N/A</x:v>
      </x:c>
      <x:c r="I7" s="17" t="str">
        <x:f>"N/A"</x:f>
        <x:v>N/A</x:v>
      </x:c>
    </x:row>
    <x:row r="8" ht="23" customHeight="1">
      <x:c r="B8" s="17" t="str">
        <x:v>All projects</x:v>
      </x:c>
      <x:c r="C8" s="17" t="str">
        <x:v>Round1</x:v>
      </x:c>
      <x:c r="D8" s="17" t="n">
        <x:v>854</x:v>
      </x:c>
      <x:c r="E8" s="17" t="n">
        <x:f>COUNTA('BugResults'!$A$2:$A$855)</x:f>
        <x:v>854</x:v>
      </x:c>
      <x:c r="F8" s="17" t="n">
        <x:f>SUM('Verdicts'!E12:E16)</x:f>
        <x:v>854</x:v>
      </x:c>
      <x:c r="G8" s="17" t="n">
        <x:f>F8-D8</x:f>
        <x:v>0</x:v>
      </x:c>
      <x:c r="H8" s="17" t="str">
        <x:f>"N/A"</x:f>
        <x:v>N/A</x:v>
      </x:c>
      <x:c r="I8" s="17" t="str">
        <x:f>"N/A"</x:f>
        <x:v>N/A</x:v>
      </x:c>
    </x:row>
    <x:row r="9" ht="23" customHeight="1">
      <x:c r="B9" s="17" t="str">
        <x:v>All projects</x:v>
      </x:c>
      <x:c r="C9" s="17" t="str">
        <x:v>Round2</x:v>
      </x:c>
      <x:c r="D9" s="17" t="n">
        <x:v>0</x:v>
      </x:c>
      <x:c r="E9" s="17" t="n">
        <x:f>0</x:f>
        <x:v>0</x:v>
      </x:c>
      <x:c r="F9" s="17" t="n">
        <x:f>SUM('Verdicts'!E17:E21)</x:f>
        <x:v>0</x:v>
      </x:c>
      <x:c r="G9" s="17" t="n">
        <x:f>F9-D9</x:f>
        <x:v>0</x:v>
      </x:c>
      <x:c r="H9" s="17" t="str">
        <x:f>"N/A"</x:f>
        <x:v>N/A</x:v>
      </x:c>
      <x:c r="I9" s="17" t="str">
        <x:f>"N/A"</x:f>
        <x:v>N/A</x:v>
      </x:c>
    </x:row>
    <x:row r="10" ht="23" customHeight="1">
      <x:c r="B10" s="17" t="str">
        <x:v>Chart</x:v>
      </x:c>
      <x:c r="C10" s="17" t="str">
        <x:v>All rounds</x:v>
      </x:c>
      <x:c r="D10" s="17" t="n">
        <x:v>26</x:v>
      </x:c>
      <x:c r="E10" s="17" t="n">
        <x:f>COUNTA('BugResults'!$A$2:$A$27)</x:f>
        <x:v>26</x:v>
      </x:c>
      <x:c r="F10" s="17" t="n">
        <x:f>SUM('Verdicts'!E22:E26)</x:f>
        <x:v>26</x:v>
      </x:c>
      <x:c r="G10" s="17" t="n">
        <x:f>F10-D10</x:f>
        <x:v>0</x:v>
      </x:c>
      <x:c r="H10" s="17" t="str">
        <x:f>"N/A"</x:f>
        <x:v>N/A</x:v>
      </x:c>
      <x:c r="I10" s="17" t="str">
        <x:f>"N/A"</x:f>
        <x:v>N/A</x:v>
      </x:c>
    </x:row>
    <x:row r="11" ht="23" customHeight="1">
      <x:c r="B11" s="17" t="str">
        <x:v>Chart</x:v>
      </x:c>
      <x:c r="C11" s="17" t="str">
        <x:v>Round1</x:v>
      </x:c>
      <x:c r="D11" s="17" t="n">
        <x:v>26</x:v>
      </x:c>
      <x:c r="E11" s="17" t="n">
        <x:f>COUNTA('BugResults'!$A$2:$A$27)</x:f>
        <x:v>26</x:v>
      </x:c>
      <x:c r="F11" s="17" t="n">
        <x:f>SUM('Verdicts'!E27:E31)</x:f>
        <x:v>26</x:v>
      </x:c>
      <x:c r="G11" s="17" t="n">
        <x:f>F11-D11</x:f>
        <x:v>0</x:v>
      </x:c>
      <x:c r="H11" s="17" t="str">
        <x:f>"N/A"</x:f>
        <x:v>N/A</x:v>
      </x:c>
      <x:c r="I11" s="17" t="str">
        <x:f>"N/A"</x:f>
        <x:v>N/A</x:v>
      </x:c>
    </x:row>
    <x:row r="12" ht="23" customHeight="1">
      <x:c r="B12" s="17" t="str">
        <x:v>Chart</x:v>
      </x:c>
      <x:c r="C12" s="17" t="str">
        <x:v>Round2</x:v>
      </x:c>
      <x:c r="D12" s="17" t="n">
        <x:v>0</x:v>
      </x:c>
      <x:c r="E12" s="17" t="n">
        <x:f>0</x:f>
        <x:v>0</x:v>
      </x:c>
      <x:c r="F12" s="17" t="n">
        <x:f>SUM('Verdicts'!E32:E36)</x:f>
        <x:v>0</x:v>
      </x:c>
      <x:c r="G12" s="17" t="n">
        <x:f>F12-D12</x:f>
        <x:v>0</x:v>
      </x:c>
      <x:c r="H12" s="17" t="str">
        <x:f>"N/A"</x:f>
        <x:v>N/A</x:v>
      </x:c>
      <x:c r="I12" s="17" t="str">
        <x:f>"N/A"</x:f>
        <x:v>N/A</x:v>
      </x:c>
    </x:row>
    <x:row r="13" ht="23" customHeight="1">
      <x:c r="B13" s="17" t="str">
        <x:v>Cli</x:v>
      </x:c>
      <x:c r="C13" s="17" t="str">
        <x:v>All rounds</x:v>
      </x:c>
      <x:c r="D13" s="17" t="n">
        <x:v>39</x:v>
      </x:c>
      <x:c r="E13" s="17" t="n">
        <x:f>COUNTA('BugResults'!$A$28:$A$66)</x:f>
        <x:v>39</x:v>
      </x:c>
      <x:c r="F13" s="17" t="n">
        <x:f>SUM('Verdicts'!E37:E41)</x:f>
        <x:v>39</x:v>
      </x:c>
      <x:c r="G13" s="17" t="n">
        <x:f>F13-D13</x:f>
        <x:v>0</x:v>
      </x:c>
      <x:c r="H13" s="17" t="str">
        <x:f>"N/A"</x:f>
        <x:v>N/A</x:v>
      </x:c>
      <x:c r="I13" s="17" t="str">
        <x:f>"N/A"</x:f>
        <x:v>N/A</x:v>
      </x:c>
    </x:row>
    <x:row r="14" ht="23" customHeight="1">
      <x:c r="B14" s="17" t="str">
        <x:v>Cli</x:v>
      </x:c>
      <x:c r="C14" s="17" t="str">
        <x:v>Round1</x:v>
      </x:c>
      <x:c r="D14" s="17" t="n">
        <x:v>39</x:v>
      </x:c>
      <x:c r="E14" s="17" t="n">
        <x:f>COUNTA('BugResults'!$A$28:$A$66)</x:f>
        <x:v>39</x:v>
      </x:c>
      <x:c r="F14" s="17" t="n">
        <x:f>SUM('Verdicts'!E42:E46)</x:f>
        <x:v>39</x:v>
      </x:c>
      <x:c r="G14" s="17" t="n">
        <x:f>F14-D14</x:f>
        <x:v>0</x:v>
      </x:c>
      <x:c r="H14" s="17" t="str">
        <x:f>"N/A"</x:f>
        <x:v>N/A</x:v>
      </x:c>
      <x:c r="I14" s="17" t="str">
        <x:f>"N/A"</x:f>
        <x:v>N/A</x:v>
      </x:c>
    </x:row>
    <x:row r="15" ht="23" customHeight="1">
      <x:c r="B15" s="17" t="str">
        <x:v>Cli</x:v>
      </x:c>
      <x:c r="C15" s="17" t="str">
        <x:v>Round2</x:v>
      </x:c>
      <x:c r="D15" s="17" t="n">
        <x:v>0</x:v>
      </x:c>
      <x:c r="E15" s="17" t="n">
        <x:f>0</x:f>
        <x:v>0</x:v>
      </x:c>
      <x:c r="F15" s="17" t="n">
        <x:f>SUM('Verdicts'!E47:E51)</x:f>
        <x:v>0</x:v>
      </x:c>
      <x:c r="G15" s="17" t="n">
        <x:f>F15-D15</x:f>
        <x:v>0</x:v>
      </x:c>
      <x:c r="H15" s="17" t="str">
        <x:f>"N/A"</x:f>
        <x:v>N/A</x:v>
      </x:c>
      <x:c r="I15" s="17" t="str">
        <x:f>"N/A"</x:f>
        <x:v>N/A</x:v>
      </x:c>
    </x:row>
    <x:row r="16" ht="23" customHeight="1">
      <x:c r="B16" s="17" t="str">
        <x:v>Closure</x:v>
      </x:c>
      <x:c r="C16" s="17" t="str">
        <x:v>All rounds</x:v>
      </x:c>
      <x:c r="D16" s="17" t="n">
        <x:v>174</x:v>
      </x:c>
      <x:c r="E16" s="17" t="n">
        <x:f>COUNTA('BugResults'!$A$67:$A$240)</x:f>
        <x:v>174</x:v>
      </x:c>
      <x:c r="F16" s="17" t="n">
        <x:f>SUM('Verdicts'!E52:E56)</x:f>
        <x:v>174</x:v>
      </x:c>
      <x:c r="G16" s="17" t="n">
        <x:f>F16-D16</x:f>
        <x:v>0</x:v>
      </x:c>
      <x:c r="H16" s="17" t="str">
        <x:f>"N/A"</x:f>
        <x:v>N/A</x:v>
      </x:c>
      <x:c r="I16" s="17" t="str">
        <x:f>"N/A"</x:f>
        <x:v>N/A</x:v>
      </x:c>
    </x:row>
    <x:row r="17" ht="23" customHeight="1">
      <x:c r="B17" s="17" t="str">
        <x:v>Closure</x:v>
      </x:c>
      <x:c r="C17" s="17" t="str">
        <x:v>Round1</x:v>
      </x:c>
      <x:c r="D17" s="17" t="n">
        <x:v>174</x:v>
      </x:c>
      <x:c r="E17" s="17" t="n">
        <x:f>COUNTA('BugResults'!$A$67:$A$240)</x:f>
        <x:v>174</x:v>
      </x:c>
      <x:c r="F17" s="17" t="n">
        <x:f>SUM('Verdicts'!E57:E61)</x:f>
        <x:v>174</x:v>
      </x:c>
      <x:c r="G17" s="17" t="n">
        <x:f>F17-D17</x:f>
        <x:v>0</x:v>
      </x:c>
      <x:c r="H17" s="17" t="str">
        <x:f>"N/A"</x:f>
        <x:v>N/A</x:v>
      </x:c>
      <x:c r="I17" s="17" t="str">
        <x:f>"N/A"</x:f>
        <x:v>N/A</x:v>
      </x:c>
    </x:row>
    <x:row r="18" ht="23" customHeight="1">
      <x:c r="B18" s="17" t="str">
        <x:v>Closure</x:v>
      </x:c>
      <x:c r="C18" s="17" t="str">
        <x:v>Round2</x:v>
      </x:c>
      <x:c r="D18" s="17" t="n">
        <x:v>0</x:v>
      </x:c>
      <x:c r="E18" s="17" t="n">
        <x:f>0</x:f>
        <x:v>0</x:v>
      </x:c>
      <x:c r="F18" s="17" t="n">
        <x:f>SUM('Verdicts'!E62:E66)</x:f>
        <x:v>0</x:v>
      </x:c>
      <x:c r="G18" s="17" t="n">
        <x:f>F18-D18</x:f>
        <x:v>0</x:v>
      </x:c>
      <x:c r="H18" s="17" t="str">
        <x:f>"N/A"</x:f>
        <x:v>N/A</x:v>
      </x:c>
      <x:c r="I18" s="17" t="str">
        <x:f>"N/A"</x:f>
        <x:v>N/A</x:v>
      </x:c>
    </x:row>
    <x:row r="19" ht="23" customHeight="1">
      <x:c r="B19" s="17" t="str">
        <x:v>Codec</x:v>
      </x:c>
      <x:c r="C19" s="17" t="str">
        <x:v>All rounds</x:v>
      </x:c>
      <x:c r="D19" s="17" t="n">
        <x:v>18</x:v>
      </x:c>
      <x:c r="E19" s="17" t="n">
        <x:f>COUNTA('BugResults'!$A$241:$A$258)</x:f>
        <x:v>18</x:v>
      </x:c>
      <x:c r="F19" s="17" t="n">
        <x:f>SUM('Verdicts'!E67:E71)</x:f>
        <x:v>18</x:v>
      </x:c>
      <x:c r="G19" s="17" t="n">
        <x:f>F19-D19</x:f>
        <x:v>0</x:v>
      </x:c>
      <x:c r="H19" s="17" t="str">
        <x:f>"N/A"</x:f>
        <x:v>N/A</x:v>
      </x:c>
      <x:c r="I19" s="17" t="str">
        <x:f>"N/A"</x:f>
        <x:v>N/A</x:v>
      </x:c>
    </x:row>
    <x:row r="20" ht="23" customHeight="1">
      <x:c r="B20" s="17" t="str">
        <x:v>Codec</x:v>
      </x:c>
      <x:c r="C20" s="17" t="str">
        <x:v>Round1</x:v>
      </x:c>
      <x:c r="D20" s="17" t="n">
        <x:v>18</x:v>
      </x:c>
      <x:c r="E20" s="17" t="n">
        <x:f>COUNTA('BugResults'!$A$241:$A$258)</x:f>
        <x:v>18</x:v>
      </x:c>
      <x:c r="F20" s="17" t="n">
        <x:f>SUM('Verdicts'!E72:E76)</x:f>
        <x:v>18</x:v>
      </x:c>
      <x:c r="G20" s="17" t="n">
        <x:f>F20-D20</x:f>
        <x:v>0</x:v>
      </x:c>
      <x:c r="H20" s="17" t="str">
        <x:f>"N/A"</x:f>
        <x:v>N/A</x:v>
      </x:c>
      <x:c r="I20" s="17" t="str">
        <x:f>"N/A"</x:f>
        <x:v>N/A</x:v>
      </x:c>
    </x:row>
    <x:row r="21" ht="23" customHeight="1">
      <x:c r="B21" s="17" t="str">
        <x:v>Codec</x:v>
      </x:c>
      <x:c r="C21" s="17" t="str">
        <x:v>Round2</x:v>
      </x:c>
      <x:c r="D21" s="17" t="n">
        <x:v>0</x:v>
      </x:c>
      <x:c r="E21" s="17" t="n">
        <x:f>0</x:f>
        <x:v>0</x:v>
      </x:c>
      <x:c r="F21" s="17" t="n">
        <x:f>SUM('Verdicts'!E77:E81)</x:f>
        <x:v>0</x:v>
      </x:c>
      <x:c r="G21" s="17" t="n">
        <x:f>F21-D21</x:f>
        <x:v>0</x:v>
      </x:c>
      <x:c r="H21" s="17" t="str">
        <x:f>"N/A"</x:f>
        <x:v>N/A</x:v>
      </x:c>
      <x:c r="I21" s="17" t="str">
        <x:f>"N/A"</x:f>
        <x:v>N/A</x:v>
      </x:c>
    </x:row>
    <x:row r="22" ht="23" customHeight="1">
      <x:c r="B22" s="17" t="str">
        <x:v>Collections</x:v>
      </x:c>
      <x:c r="C22" s="17" t="str">
        <x:v>All rounds</x:v>
      </x:c>
      <x:c r="D22" s="17" t="n">
        <x:v>28</x:v>
      </x:c>
      <x:c r="E22" s="17" t="n">
        <x:f>COUNTA('BugResults'!$A$259:$A$286)</x:f>
        <x:v>28</x:v>
      </x:c>
      <x:c r="F22" s="17" t="n">
        <x:f>SUM('Verdicts'!E82:E86)</x:f>
        <x:v>28</x:v>
      </x:c>
      <x:c r="G22" s="17" t="n">
        <x:f>F22-D22</x:f>
        <x:v>0</x:v>
      </x:c>
      <x:c r="H22" s="17" t="str">
        <x:f>"N/A"</x:f>
        <x:v>N/A</x:v>
      </x:c>
      <x:c r="I22" s="17" t="str">
        <x:f>"N/A"</x:f>
        <x:v>N/A</x:v>
      </x:c>
    </x:row>
    <x:row r="23" ht="23" customHeight="1">
      <x:c r="B23" s="17" t="str">
        <x:v>Collections</x:v>
      </x:c>
      <x:c r="C23" s="17" t="str">
        <x:v>Round1</x:v>
      </x:c>
      <x:c r="D23" s="17" t="n">
        <x:v>28</x:v>
      </x:c>
      <x:c r="E23" s="17" t="n">
        <x:f>COUNTA('BugResults'!$A$259:$A$286)</x:f>
        <x:v>28</x:v>
      </x:c>
      <x:c r="F23" s="17" t="n">
        <x:f>SUM('Verdicts'!E87:E91)</x:f>
        <x:v>28</x:v>
      </x:c>
      <x:c r="G23" s="17" t="n">
        <x:f>F23-D23</x:f>
        <x:v>0</x:v>
      </x:c>
      <x:c r="H23" s="17" t="str">
        <x:f>"N/A"</x:f>
        <x:v>N/A</x:v>
      </x:c>
      <x:c r="I23" s="17" t="str">
        <x:f>"N/A"</x:f>
        <x:v>N/A</x:v>
      </x:c>
    </x:row>
    <x:row r="24" ht="23" customHeight="1">
      <x:c r="B24" s="17" t="str">
        <x:v>Collections</x:v>
      </x:c>
      <x:c r="C24" s="17" t="str">
        <x:v>Round2</x:v>
      </x:c>
      <x:c r="D24" s="17" t="n">
        <x:v>0</x:v>
      </x:c>
      <x:c r="E24" s="17" t="n">
        <x:f>0</x:f>
        <x:v>0</x:v>
      </x:c>
      <x:c r="F24" s="17" t="n">
        <x:f>SUM('Verdicts'!E92:E96)</x:f>
        <x:v>0</x:v>
      </x:c>
      <x:c r="G24" s="17" t="n">
        <x:f>F24-D24</x:f>
        <x:v>0</x:v>
      </x:c>
      <x:c r="H24" s="17" t="str">
        <x:f>"N/A"</x:f>
        <x:v>N/A</x:v>
      </x:c>
      <x:c r="I24" s="17" t="str">
        <x:f>"N/A"</x:f>
        <x:v>N/A</x:v>
      </x:c>
    </x:row>
    <x:row r="25" ht="23" customHeight="1">
      <x:c r="B25" s="17" t="str">
        <x:v>Compress</x:v>
      </x:c>
      <x:c r="C25" s="17" t="str">
        <x:v>All rounds</x:v>
      </x:c>
      <x:c r="D25" s="17" t="n">
        <x:v>47</x:v>
      </x:c>
      <x:c r="E25" s="17" t="n">
        <x:f>COUNTA('BugResults'!$A$287:$A$333)</x:f>
        <x:v>47</x:v>
      </x:c>
      <x:c r="F25" s="17" t="n">
        <x:f>SUM('Verdicts'!E97:E101)</x:f>
        <x:v>47</x:v>
      </x:c>
      <x:c r="G25" s="17" t="n">
        <x:f>F25-D25</x:f>
        <x:v>0</x:v>
      </x:c>
      <x:c r="H25" s="17" t="str">
        <x:f>"N/A"</x:f>
        <x:v>N/A</x:v>
      </x:c>
      <x:c r="I25" s="17" t="str">
        <x:f>"N/A"</x:f>
        <x:v>N/A</x:v>
      </x:c>
    </x:row>
    <x:row r="26" ht="23" customHeight="1">
      <x:c r="B26" s="17" t="str">
        <x:v>Compress</x:v>
      </x:c>
      <x:c r="C26" s="17" t="str">
        <x:v>Round1</x:v>
      </x:c>
      <x:c r="D26" s="17" t="n">
        <x:v>47</x:v>
      </x:c>
      <x:c r="E26" s="17" t="n">
        <x:f>COUNTA('BugResults'!$A$287:$A$333)</x:f>
        <x:v>47</x:v>
      </x:c>
      <x:c r="F26" s="17" t="n">
        <x:f>SUM('Verdicts'!E102:E106)</x:f>
        <x:v>47</x:v>
      </x:c>
      <x:c r="G26" s="17" t="n">
        <x:f>F26-D26</x:f>
        <x:v>0</x:v>
      </x:c>
      <x:c r="H26" s="17" t="str">
        <x:f>"N/A"</x:f>
        <x:v>N/A</x:v>
      </x:c>
      <x:c r="I26" s="17" t="str">
        <x:f>"N/A"</x:f>
        <x:v>N/A</x:v>
      </x:c>
    </x:row>
    <x:row r="27" ht="23" customHeight="1">
      <x:c r="B27" s="17" t="str">
        <x:v>Compress</x:v>
      </x:c>
      <x:c r="C27" s="17" t="str">
        <x:v>Round2</x:v>
      </x:c>
      <x:c r="D27" s="17" t="n">
        <x:v>0</x:v>
      </x:c>
      <x:c r="E27" s="17" t="n">
        <x:f>0</x:f>
        <x:v>0</x:v>
      </x:c>
      <x:c r="F27" s="17" t="n">
        <x:f>SUM('Verdicts'!E107:E111)</x:f>
        <x:v>0</x:v>
      </x:c>
      <x:c r="G27" s="17" t="n">
        <x:f>F27-D27</x:f>
        <x:v>0</x:v>
      </x:c>
      <x:c r="H27" s="17" t="str">
        <x:f>"N/A"</x:f>
        <x:v>N/A</x:v>
      </x:c>
      <x:c r="I27" s="17" t="str">
        <x:f>"N/A"</x:f>
        <x:v>N/A</x:v>
      </x:c>
    </x:row>
    <x:row r="28" ht="23" customHeight="1">
      <x:c r="B28" s="17" t="str">
        <x:v>Csv</x:v>
      </x:c>
      <x:c r="C28" s="17" t="str">
        <x:v>All rounds</x:v>
      </x:c>
      <x:c r="D28" s="17" t="n">
        <x:v>16</x:v>
      </x:c>
      <x:c r="E28" s="17" t="n">
        <x:f>COUNTA('BugResults'!$A$334:$A$349)</x:f>
        <x:v>16</x:v>
      </x:c>
      <x:c r="F28" s="17" t="n">
        <x:f>SUM('Verdicts'!E112:E116)</x:f>
        <x:v>16</x:v>
      </x:c>
      <x:c r="G28" s="17" t="n">
        <x:f>F28-D28</x:f>
        <x:v>0</x:v>
      </x:c>
      <x:c r="H28" s="17" t="str">
        <x:f>"N/A"</x:f>
        <x:v>N/A</x:v>
      </x:c>
      <x:c r="I28" s="17" t="str">
        <x:f>"N/A"</x:f>
        <x:v>N/A</x:v>
      </x:c>
    </x:row>
    <x:row r="29" ht="23" customHeight="1">
      <x:c r="B29" s="17" t="str">
        <x:v>Csv</x:v>
      </x:c>
      <x:c r="C29" s="17" t="str">
        <x:v>Round1</x:v>
      </x:c>
      <x:c r="D29" s="17" t="n">
        <x:v>16</x:v>
      </x:c>
      <x:c r="E29" s="17" t="n">
        <x:f>COUNTA('BugResults'!$A$334:$A$349)</x:f>
        <x:v>16</x:v>
      </x:c>
      <x:c r="F29" s="17" t="n">
        <x:f>SUM('Verdicts'!E117:E121)</x:f>
        <x:v>16</x:v>
      </x:c>
      <x:c r="G29" s="17" t="n">
        <x:f>F29-D29</x:f>
        <x:v>0</x:v>
      </x:c>
      <x:c r="H29" s="17" t="str">
        <x:f>"N/A"</x:f>
        <x:v>N/A</x:v>
      </x:c>
      <x:c r="I29" s="17" t="str">
        <x:f>"N/A"</x:f>
        <x:v>N/A</x:v>
      </x:c>
    </x:row>
    <x:row r="30" ht="23" customHeight="1">
      <x:c r="B30" s="17" t="str">
        <x:v>Csv</x:v>
      </x:c>
      <x:c r="C30" s="17" t="str">
        <x:v>Round2</x:v>
      </x:c>
      <x:c r="D30" s="17" t="n">
        <x:v>0</x:v>
      </x:c>
      <x:c r="E30" s="17" t="n">
        <x:f>0</x:f>
        <x:v>0</x:v>
      </x:c>
      <x:c r="F30" s="17" t="n">
        <x:f>SUM('Verdicts'!E122:E126)</x:f>
        <x:v>0</x:v>
      </x:c>
      <x:c r="G30" s="17" t="n">
        <x:f>F30-D30</x:f>
        <x:v>0</x:v>
      </x:c>
      <x:c r="H30" s="17" t="str">
        <x:f>"N/A"</x:f>
        <x:v>N/A</x:v>
      </x:c>
      <x:c r="I30" s="17" t="str">
        <x:f>"N/A"</x:f>
        <x:v>N/A</x:v>
      </x:c>
    </x:row>
    <x:row r="31" ht="23" customHeight="1">
      <x:c r="B31" s="17" t="str">
        <x:v>Gson</x:v>
      </x:c>
      <x:c r="C31" s="17" t="str">
        <x:v>All rounds</x:v>
      </x:c>
      <x:c r="D31" s="17" t="n">
        <x:v>18</x:v>
      </x:c>
      <x:c r="E31" s="17" t="n">
        <x:f>COUNTA('BugResults'!$A$350:$A$367)</x:f>
        <x:v>18</x:v>
      </x:c>
      <x:c r="F31" s="17" t="n">
        <x:f>SUM('Verdicts'!E127:E131)</x:f>
        <x:v>18</x:v>
      </x:c>
      <x:c r="G31" s="17" t="n">
        <x:f>F31-D31</x:f>
        <x:v>0</x:v>
      </x:c>
      <x:c r="H31" s="17" t="str">
        <x:f>"N/A"</x:f>
        <x:v>N/A</x:v>
      </x:c>
      <x:c r="I31" s="17" t="str">
        <x:f>"N/A"</x:f>
        <x:v>N/A</x:v>
      </x:c>
    </x:row>
    <x:row r="32" ht="23" customHeight="1">
      <x:c r="B32" s="17" t="str">
        <x:v>Gson</x:v>
      </x:c>
      <x:c r="C32" s="17" t="str">
        <x:v>Round1</x:v>
      </x:c>
      <x:c r="D32" s="17" t="n">
        <x:v>18</x:v>
      </x:c>
      <x:c r="E32" s="17" t="n">
        <x:f>COUNTA('BugResults'!$A$350:$A$367)</x:f>
        <x:v>18</x:v>
      </x:c>
      <x:c r="F32" s="17" t="n">
        <x:f>SUM('Verdicts'!E132:E136)</x:f>
        <x:v>18</x:v>
      </x:c>
      <x:c r="G32" s="17" t="n">
        <x:f>F32-D32</x:f>
        <x:v>0</x:v>
      </x:c>
      <x:c r="H32" s="17" t="str">
        <x:f>"N/A"</x:f>
        <x:v>N/A</x:v>
      </x:c>
      <x:c r="I32" s="17" t="str">
        <x:f>"N/A"</x:f>
        <x:v>N/A</x:v>
      </x:c>
    </x:row>
    <x:row r="33" ht="23" customHeight="1">
      <x:c r="B33" s="17" t="str">
        <x:v>Gson</x:v>
      </x:c>
      <x:c r="C33" s="17" t="str">
        <x:v>Round2</x:v>
      </x:c>
      <x:c r="D33" s="17" t="n">
        <x:v>0</x:v>
      </x:c>
      <x:c r="E33" s="17" t="n">
        <x:f>0</x:f>
        <x:v>0</x:v>
      </x:c>
      <x:c r="F33" s="17" t="n">
        <x:f>SUM('Verdicts'!E137:E141)</x:f>
        <x:v>0</x:v>
      </x:c>
      <x:c r="G33" s="17" t="n">
        <x:f>F33-D33</x:f>
        <x:v>0</x:v>
      </x:c>
      <x:c r="H33" s="17" t="str">
        <x:f>"N/A"</x:f>
        <x:v>N/A</x:v>
      </x:c>
      <x:c r="I33" s="17" t="str">
        <x:f>"N/A"</x:f>
        <x:v>N/A</x:v>
      </x:c>
    </x:row>
    <x:row r="34" ht="23" customHeight="1">
      <x:c r="B34" s="17" t="str">
        <x:v>JacksonCore</x:v>
      </x:c>
      <x:c r="C34" s="17" t="str">
        <x:v>All rounds</x:v>
      </x:c>
      <x:c r="D34" s="17" t="n">
        <x:v>26</x:v>
      </x:c>
      <x:c r="E34" s="17" t="n">
        <x:f>COUNTA('BugResults'!$A$368:$A$393)</x:f>
        <x:v>26</x:v>
      </x:c>
      <x:c r="F34" s="17" t="n">
        <x:f>SUM('Verdicts'!E142:E146)</x:f>
        <x:v>26</x:v>
      </x:c>
      <x:c r="G34" s="17" t="n">
        <x:f>F34-D34</x:f>
        <x:v>0</x:v>
      </x:c>
      <x:c r="H34" s="17" t="str">
        <x:f>"N/A"</x:f>
        <x:v>N/A</x:v>
      </x:c>
      <x:c r="I34" s="17" t="str">
        <x:f>"N/A"</x:f>
        <x:v>N/A</x:v>
      </x:c>
    </x:row>
    <x:row r="35" ht="23" customHeight="1">
      <x:c r="B35" s="17" t="str">
        <x:v>JacksonCore</x:v>
      </x:c>
      <x:c r="C35" s="17" t="str">
        <x:v>Round1</x:v>
      </x:c>
      <x:c r="D35" s="17" t="n">
        <x:v>26</x:v>
      </x:c>
      <x:c r="E35" s="17" t="n">
        <x:f>COUNTA('BugResults'!$A$368:$A$393)</x:f>
        <x:v>26</x:v>
      </x:c>
      <x:c r="F35" s="17" t="n">
        <x:f>SUM('Verdicts'!E147:E151)</x:f>
        <x:v>26</x:v>
      </x:c>
      <x:c r="G35" s="17" t="n">
        <x:f>F35-D35</x:f>
        <x:v>0</x:v>
      </x:c>
      <x:c r="H35" s="17" t="str">
        <x:f>"N/A"</x:f>
        <x:v>N/A</x:v>
      </x:c>
      <x:c r="I35" s="17" t="str">
        <x:f>"N/A"</x:f>
        <x:v>N/A</x:v>
      </x:c>
    </x:row>
    <x:row r="36" ht="23" customHeight="1">
      <x:c r="B36" s="17" t="str">
        <x:v>JacksonCore</x:v>
      </x:c>
      <x:c r="C36" s="17" t="str">
        <x:v>Round2</x:v>
      </x:c>
      <x:c r="D36" s="17" t="n">
        <x:v>0</x:v>
      </x:c>
      <x:c r="E36" s="17" t="n">
        <x:f>0</x:f>
        <x:v>0</x:v>
      </x:c>
      <x:c r="F36" s="17" t="n">
        <x:f>SUM('Verdicts'!E152:E156)</x:f>
        <x:v>0</x:v>
      </x:c>
      <x:c r="G36" s="17" t="n">
        <x:f>F36-D36</x:f>
        <x:v>0</x:v>
      </x:c>
      <x:c r="H36" s="17" t="str">
        <x:f>"N/A"</x:f>
        <x:v>N/A</x:v>
      </x:c>
      <x:c r="I36" s="17" t="str">
        <x:f>"N/A"</x:f>
        <x:v>N/A</x:v>
      </x:c>
    </x:row>
    <x:row r="37" ht="23" customHeight="1">
      <x:c r="B37" s="17" t="str">
        <x:v>JacksonDatabind</x:v>
      </x:c>
      <x:c r="C37" s="17" t="str">
        <x:v>All rounds</x:v>
      </x:c>
      <x:c r="D37" s="17" t="n">
        <x:v>110</x:v>
      </x:c>
      <x:c r="E37" s="17" t="n">
        <x:f>COUNTA('BugResults'!$A$394:$A$503)</x:f>
        <x:v>110</x:v>
      </x:c>
      <x:c r="F37" s="17" t="n">
        <x:f>SUM('Verdicts'!E157:E161)</x:f>
        <x:v>110</x:v>
      </x:c>
      <x:c r="G37" s="17" t="n">
        <x:f>F37-D37</x:f>
        <x:v>0</x:v>
      </x:c>
      <x:c r="H37" s="17" t="str">
        <x:f>"N/A"</x:f>
        <x:v>N/A</x:v>
      </x:c>
      <x:c r="I37" s="17" t="str">
        <x:f>"N/A"</x:f>
        <x:v>N/A</x:v>
      </x:c>
    </x:row>
    <x:row r="38" ht="23" customHeight="1">
      <x:c r="B38" s="17" t="str">
        <x:v>JacksonDatabind</x:v>
      </x:c>
      <x:c r="C38" s="17" t="str">
        <x:v>Round1</x:v>
      </x:c>
      <x:c r="D38" s="17" t="n">
        <x:v>110</x:v>
      </x:c>
      <x:c r="E38" s="17" t="n">
        <x:f>COUNTA('BugResults'!$A$394:$A$503)</x:f>
        <x:v>110</x:v>
      </x:c>
      <x:c r="F38" s="17" t="n">
        <x:f>SUM('Verdicts'!E162:E166)</x:f>
        <x:v>110</x:v>
      </x:c>
      <x:c r="G38" s="17" t="n">
        <x:f>F38-D38</x:f>
        <x:v>0</x:v>
      </x:c>
      <x:c r="H38" s="17" t="str">
        <x:f>"N/A"</x:f>
        <x:v>N/A</x:v>
      </x:c>
      <x:c r="I38" s="17" t="str">
        <x:f>"N/A"</x:f>
        <x:v>N/A</x:v>
      </x:c>
    </x:row>
    <x:row r="39" ht="23" customHeight="1">
      <x:c r="B39" s="17" t="str">
        <x:v>JacksonDatabind</x:v>
      </x:c>
      <x:c r="C39" s="17" t="str">
        <x:v>Round2</x:v>
      </x:c>
      <x:c r="D39" s="17" t="n">
        <x:v>0</x:v>
      </x:c>
      <x:c r="E39" s="17" t="n">
        <x:f>0</x:f>
        <x:v>0</x:v>
      </x:c>
      <x:c r="F39" s="17" t="n">
        <x:f>SUM('Verdicts'!E167:E171)</x:f>
        <x:v>0</x:v>
      </x:c>
      <x:c r="G39" s="17" t="n">
        <x:f>F39-D39</x:f>
        <x:v>0</x:v>
      </x:c>
      <x:c r="H39" s="17" t="str">
        <x:f>"N/A"</x:f>
        <x:v>N/A</x:v>
      </x:c>
      <x:c r="I39" s="17" t="str">
        <x:f>"N/A"</x:f>
        <x:v>N/A</x:v>
      </x:c>
    </x:row>
    <x:row r="40" ht="23" customHeight="1">
      <x:c r="B40" s="17" t="str">
        <x:v>JacksonXml</x:v>
      </x:c>
      <x:c r="C40" s="17" t="str">
        <x:v>All rounds</x:v>
      </x:c>
      <x:c r="D40" s="17" t="n">
        <x:v>6</x:v>
      </x:c>
      <x:c r="E40" s="17" t="n">
        <x:f>COUNTA('BugResults'!$A$504:$A$509)</x:f>
        <x:v>6</x:v>
      </x:c>
      <x:c r="F40" s="17" t="n">
        <x:f>SUM('Verdicts'!E172:E176)</x:f>
        <x:v>6</x:v>
      </x:c>
      <x:c r="G40" s="17" t="n">
        <x:f>F40-D40</x:f>
        <x:v>0</x:v>
      </x:c>
      <x:c r="H40" s="17" t="str">
        <x:f>"N/A"</x:f>
        <x:v>N/A</x:v>
      </x:c>
      <x:c r="I40" s="17" t="str">
        <x:f>"N/A"</x:f>
        <x:v>N/A</x:v>
      </x:c>
    </x:row>
    <x:row r="41" ht="23" customHeight="1">
      <x:c r="B41" s="17" t="str">
        <x:v>JacksonXml</x:v>
      </x:c>
      <x:c r="C41" s="17" t="str">
        <x:v>Round1</x:v>
      </x:c>
      <x:c r="D41" s="17" t="n">
        <x:v>6</x:v>
      </x:c>
      <x:c r="E41" s="17" t="n">
        <x:f>COUNTA('BugResults'!$A$504:$A$509)</x:f>
        <x:v>6</x:v>
      </x:c>
      <x:c r="F41" s="17" t="n">
        <x:f>SUM('Verdicts'!E177:E181)</x:f>
        <x:v>6</x:v>
      </x:c>
      <x:c r="G41" s="17" t="n">
        <x:f>F41-D41</x:f>
        <x:v>0</x:v>
      </x:c>
      <x:c r="H41" s="17" t="str">
        <x:f>"N/A"</x:f>
        <x:v>N/A</x:v>
      </x:c>
      <x:c r="I41" s="17" t="str">
        <x:f>"N/A"</x:f>
        <x:v>N/A</x:v>
      </x:c>
    </x:row>
    <x:row r="42" ht="23" customHeight="1">
      <x:c r="B42" s="17" t="str">
        <x:v>JacksonXml</x:v>
      </x:c>
      <x:c r="C42" s="17" t="str">
        <x:v>Round2</x:v>
      </x:c>
      <x:c r="D42" s="17" t="n">
        <x:v>0</x:v>
      </x:c>
      <x:c r="E42" s="17" t="n">
        <x:f>0</x:f>
        <x:v>0</x:v>
      </x:c>
      <x:c r="F42" s="17" t="n">
        <x:f>SUM('Verdicts'!E182:E186)</x:f>
        <x:v>0</x:v>
      </x:c>
      <x:c r="G42" s="17" t="n">
        <x:f>F42-D42</x:f>
        <x:v>0</x:v>
      </x:c>
      <x:c r="H42" s="17" t="str">
        <x:f>"N/A"</x:f>
        <x:v>N/A</x:v>
      </x:c>
      <x:c r="I42" s="17" t="str">
        <x:f>"N/A"</x:f>
        <x:v>N/A</x:v>
      </x:c>
    </x:row>
    <x:row r="43" ht="23" customHeight="1">
      <x:c r="B43" s="17" t="str">
        <x:v>Jsoup</x:v>
      </x:c>
      <x:c r="C43" s="17" t="str">
        <x:v>All rounds</x:v>
      </x:c>
      <x:c r="D43" s="17" t="n">
        <x:v>93</x:v>
      </x:c>
      <x:c r="E43" s="17" t="n">
        <x:f>COUNTA('BugResults'!$A$510:$A$602)</x:f>
        <x:v>93</x:v>
      </x:c>
      <x:c r="F43" s="17" t="n">
        <x:f>SUM('Verdicts'!E187:E191)</x:f>
        <x:v>93</x:v>
      </x:c>
      <x:c r="G43" s="17" t="n">
        <x:f>F43-D43</x:f>
        <x:v>0</x:v>
      </x:c>
      <x:c r="H43" s="17" t="str">
        <x:f>"N/A"</x:f>
        <x:v>N/A</x:v>
      </x:c>
      <x:c r="I43" s="17" t="str">
        <x:f>"N/A"</x:f>
        <x:v>N/A</x:v>
      </x:c>
    </x:row>
    <x:row r="44" ht="23" customHeight="1">
      <x:c r="B44" s="17" t="str">
        <x:v>Jsoup</x:v>
      </x:c>
      <x:c r="C44" s="17" t="str">
        <x:v>Round1</x:v>
      </x:c>
      <x:c r="D44" s="17" t="n">
        <x:v>93</x:v>
      </x:c>
      <x:c r="E44" s="17" t="n">
        <x:f>COUNTA('BugResults'!$A$510:$A$602)</x:f>
        <x:v>93</x:v>
      </x:c>
      <x:c r="F44" s="17" t="n">
        <x:f>SUM('Verdicts'!E192:E196)</x:f>
        <x:v>93</x:v>
      </x:c>
      <x:c r="G44" s="17" t="n">
        <x:f>F44-D44</x:f>
        <x:v>0</x:v>
      </x:c>
      <x:c r="H44" s="17" t="str">
        <x:f>"N/A"</x:f>
        <x:v>N/A</x:v>
      </x:c>
      <x:c r="I44" s="17" t="str">
        <x:f>"N/A"</x:f>
        <x:v>N/A</x:v>
      </x:c>
    </x:row>
    <x:row r="45" ht="23" customHeight="1">
      <x:c r="B45" s="17" t="str">
        <x:v>Jsoup</x:v>
      </x:c>
      <x:c r="C45" s="17" t="str">
        <x:v>Round2</x:v>
      </x:c>
      <x:c r="D45" s="17" t="n">
        <x:v>0</x:v>
      </x:c>
      <x:c r="E45" s="17" t="n">
        <x:f>0</x:f>
        <x:v>0</x:v>
      </x:c>
      <x:c r="F45" s="17" t="n">
        <x:f>SUM('Verdicts'!E197:E201)</x:f>
        <x:v>0</x:v>
      </x:c>
      <x:c r="G45" s="17" t="n">
        <x:f>F45-D45</x:f>
        <x:v>0</x:v>
      </x:c>
      <x:c r="H45" s="17" t="str">
        <x:f>"N/A"</x:f>
        <x:v>N/A</x:v>
      </x:c>
      <x:c r="I45" s="17" t="str">
        <x:f>"N/A"</x:f>
        <x:v>N/A</x:v>
      </x:c>
    </x:row>
    <x:row r="46" ht="23" customHeight="1">
      <x:c r="B46" s="17" t="str">
        <x:v>JxPath</x:v>
      </x:c>
      <x:c r="C46" s="17" t="str">
        <x:v>All rounds</x:v>
      </x:c>
      <x:c r="D46" s="17" t="n">
        <x:v>22</x:v>
      </x:c>
      <x:c r="E46" s="17" t="n">
        <x:f>COUNTA('BugResults'!$A$603:$A$624)</x:f>
        <x:v>22</x:v>
      </x:c>
      <x:c r="F46" s="17" t="n">
        <x:f>SUM('Verdicts'!E202:E206)</x:f>
        <x:v>22</x:v>
      </x:c>
      <x:c r="G46" s="17" t="n">
        <x:f>F46-D46</x:f>
        <x:v>0</x:v>
      </x:c>
      <x:c r="H46" s="17" t="str">
        <x:f>"N/A"</x:f>
        <x:v>N/A</x:v>
      </x:c>
      <x:c r="I46" s="17" t="str">
        <x:f>"N/A"</x:f>
        <x:v>N/A</x:v>
      </x:c>
    </x:row>
    <x:row r="47" ht="23" customHeight="1">
      <x:c r="B47" s="17" t="str">
        <x:v>JxPath</x:v>
      </x:c>
      <x:c r="C47" s="17" t="str">
        <x:v>Round1</x:v>
      </x:c>
      <x:c r="D47" s="17" t="n">
        <x:v>22</x:v>
      </x:c>
      <x:c r="E47" s="17" t="n">
        <x:f>COUNTA('BugResults'!$A$603:$A$624)</x:f>
        <x:v>22</x:v>
      </x:c>
      <x:c r="F47" s="17" t="n">
        <x:f>SUM('Verdicts'!E207:E211)</x:f>
        <x:v>22</x:v>
      </x:c>
      <x:c r="G47" s="17" t="n">
        <x:f>F47-D47</x:f>
        <x:v>0</x:v>
      </x:c>
      <x:c r="H47" s="17" t="str">
        <x:f>"N/A"</x:f>
        <x:v>N/A</x:v>
      </x:c>
      <x:c r="I47" s="17" t="str">
        <x:f>"N/A"</x:f>
        <x:v>N/A</x:v>
      </x:c>
    </x:row>
    <x:row r="48" ht="23" customHeight="1">
      <x:c r="B48" s="17" t="str">
        <x:v>JxPath</x:v>
      </x:c>
      <x:c r="C48" s="17" t="str">
        <x:v>Round2</x:v>
      </x:c>
      <x:c r="D48" s="17" t="n">
        <x:v>0</x:v>
      </x:c>
      <x:c r="E48" s="17" t="n">
        <x:f>0</x:f>
        <x:v>0</x:v>
      </x:c>
      <x:c r="F48" s="17" t="n">
        <x:f>SUM('Verdicts'!E212:E216)</x:f>
        <x:v>0</x:v>
      </x:c>
      <x:c r="G48" s="17" t="n">
        <x:f>F48-D48</x:f>
        <x:v>0</x:v>
      </x:c>
      <x:c r="H48" s="17" t="str">
        <x:f>"N/A"</x:f>
        <x:v>N/A</x:v>
      </x:c>
      <x:c r="I48" s="17" t="str">
        <x:f>"N/A"</x:f>
        <x:v>N/A</x:v>
      </x:c>
    </x:row>
    <x:row r="49" ht="23" customHeight="1">
      <x:c r="B49" s="17" t="str">
        <x:v>Lang</x:v>
      </x:c>
      <x:c r="C49" s="17" t="str">
        <x:v>All rounds</x:v>
      </x:c>
      <x:c r="D49" s="17" t="n">
        <x:v>61</x:v>
      </x:c>
      <x:c r="E49" s="17" t="n">
        <x:f>COUNTA('BugResults'!$A$625:$A$685)</x:f>
        <x:v>61</x:v>
      </x:c>
      <x:c r="F49" s="17" t="n">
        <x:f>SUM('Verdicts'!E217:E221)</x:f>
        <x:v>61</x:v>
      </x:c>
      <x:c r="G49" s="17" t="n">
        <x:f>F49-D49</x:f>
        <x:v>0</x:v>
      </x:c>
      <x:c r="H49" s="17" t="str">
        <x:f>"N/A"</x:f>
        <x:v>N/A</x:v>
      </x:c>
      <x:c r="I49" s="17" t="str">
        <x:f>"N/A"</x:f>
        <x:v>N/A</x:v>
      </x:c>
    </x:row>
    <x:row r="50" ht="23" customHeight="1">
      <x:c r="B50" s="17" t="str">
        <x:v>Lang</x:v>
      </x:c>
      <x:c r="C50" s="17" t="str">
        <x:v>Round1</x:v>
      </x:c>
      <x:c r="D50" s="17" t="n">
        <x:v>61</x:v>
      </x:c>
      <x:c r="E50" s="17" t="n">
        <x:f>COUNTA('BugResults'!$A$625:$A$685)</x:f>
        <x:v>61</x:v>
      </x:c>
      <x:c r="F50" s="17" t="n">
        <x:f>SUM('Verdicts'!E222:E226)</x:f>
        <x:v>61</x:v>
      </x:c>
      <x:c r="G50" s="17" t="n">
        <x:f>F50-D50</x:f>
        <x:v>0</x:v>
      </x:c>
      <x:c r="H50" s="17" t="str">
        <x:f>"N/A"</x:f>
        <x:v>N/A</x:v>
      </x:c>
      <x:c r="I50" s="17" t="str">
        <x:f>"N/A"</x:f>
        <x:v>N/A</x:v>
      </x:c>
    </x:row>
    <x:row r="51" ht="23" customHeight="1">
      <x:c r="B51" s="17" t="str">
        <x:v>Lang</x:v>
      </x:c>
      <x:c r="C51" s="17" t="str">
        <x:v>Round2</x:v>
      </x:c>
      <x:c r="D51" s="17" t="n">
        <x:v>0</x:v>
      </x:c>
      <x:c r="E51" s="17" t="n">
        <x:f>0</x:f>
        <x:v>0</x:v>
      </x:c>
      <x:c r="F51" s="17" t="n">
        <x:f>SUM('Verdicts'!E227:E231)</x:f>
        <x:v>0</x:v>
      </x:c>
      <x:c r="G51" s="17" t="n">
        <x:f>F51-D51</x:f>
        <x:v>0</x:v>
      </x:c>
      <x:c r="H51" s="17" t="str">
        <x:f>"N/A"</x:f>
        <x:v>N/A</x:v>
      </x:c>
      <x:c r="I51" s="17" t="str">
        <x:f>"N/A"</x:f>
        <x:v>N/A</x:v>
      </x:c>
    </x:row>
    <x:row r="52" ht="23" customHeight="1">
      <x:c r="B52" s="17" t="str">
        <x:v>Math</x:v>
      </x:c>
      <x:c r="C52" s="17" t="str">
        <x:v>All rounds</x:v>
      </x:c>
      <x:c r="D52" s="17" t="n">
        <x:v>106</x:v>
      </x:c>
      <x:c r="E52" s="17" t="n">
        <x:f>COUNTA('BugResults'!$A$686:$A$791)</x:f>
        <x:v>106</x:v>
      </x:c>
      <x:c r="F52" s="17" t="n">
        <x:f>SUM('Verdicts'!E232:E236)</x:f>
        <x:v>106</x:v>
      </x:c>
      <x:c r="G52" s="17" t="n">
        <x:f>F52-D52</x:f>
        <x:v>0</x:v>
      </x:c>
      <x:c r="H52" s="17" t="str">
        <x:f>"N/A"</x:f>
        <x:v>N/A</x:v>
      </x:c>
      <x:c r="I52" s="17" t="str">
        <x:f>"N/A"</x:f>
        <x:v>N/A</x:v>
      </x:c>
    </x:row>
    <x:row r="53" ht="23" customHeight="1">
      <x:c r="B53" s="17" t="str">
        <x:v>Math</x:v>
      </x:c>
      <x:c r="C53" s="17" t="str">
        <x:v>Round1</x:v>
      </x:c>
      <x:c r="D53" s="17" t="n">
        <x:v>106</x:v>
      </x:c>
      <x:c r="E53" s="17" t="n">
        <x:f>COUNTA('BugResults'!$A$686:$A$791)</x:f>
        <x:v>106</x:v>
      </x:c>
      <x:c r="F53" s="17" t="n">
        <x:f>SUM('Verdicts'!E237:E241)</x:f>
        <x:v>106</x:v>
      </x:c>
      <x:c r="G53" s="17" t="n">
        <x:f>F53-D53</x:f>
        <x:v>0</x:v>
      </x:c>
      <x:c r="H53" s="17" t="str">
        <x:f>"N/A"</x:f>
        <x:v>N/A</x:v>
      </x:c>
      <x:c r="I53" s="17" t="str">
        <x:f>"N/A"</x:f>
        <x:v>N/A</x:v>
      </x:c>
    </x:row>
    <x:row r="54" ht="23" customHeight="1">
      <x:c r="B54" s="17" t="str">
        <x:v>Math</x:v>
      </x:c>
      <x:c r="C54" s="17" t="str">
        <x:v>Round2</x:v>
      </x:c>
      <x:c r="D54" s="17" t="n">
        <x:v>0</x:v>
      </x:c>
      <x:c r="E54" s="17" t="n">
        <x:f>0</x:f>
        <x:v>0</x:v>
      </x:c>
      <x:c r="F54" s="17" t="n">
        <x:f>SUM('Verdicts'!E242:E246)</x:f>
        <x:v>0</x:v>
      </x:c>
      <x:c r="G54" s="17" t="n">
        <x:f>F54-D54</x:f>
        <x:v>0</x:v>
      </x:c>
      <x:c r="H54" s="17" t="str">
        <x:f>"N/A"</x:f>
        <x:v>N/A</x:v>
      </x:c>
      <x:c r="I54" s="17" t="str">
        <x:f>"N/A"</x:f>
        <x:v>N/A</x:v>
      </x:c>
    </x:row>
    <x:row r="55" ht="23" customHeight="1">
      <x:c r="B55" s="17" t="str">
        <x:v>Mockito</x:v>
      </x:c>
      <x:c r="C55" s="17" t="str">
        <x:v>All rounds</x:v>
      </x:c>
      <x:c r="D55" s="17" t="n">
        <x:v>38</x:v>
      </x:c>
      <x:c r="E55" s="17" t="n">
        <x:f>COUNTA('BugResults'!$A$792:$A$829)</x:f>
        <x:v>38</x:v>
      </x:c>
      <x:c r="F55" s="17" t="n">
        <x:f>SUM('Verdicts'!E247:E251)</x:f>
        <x:v>38</x:v>
      </x:c>
      <x:c r="G55" s="17" t="n">
        <x:f>F55-D55</x:f>
        <x:v>0</x:v>
      </x:c>
      <x:c r="H55" s="17" t="str">
        <x:f>"N/A"</x:f>
        <x:v>N/A</x:v>
      </x:c>
      <x:c r="I55" s="17" t="str">
        <x:f>"N/A"</x:f>
        <x:v>N/A</x:v>
      </x:c>
    </x:row>
    <x:row r="56" ht="23" customHeight="1">
      <x:c r="B56" s="17" t="str">
        <x:v>Mockito</x:v>
      </x:c>
      <x:c r="C56" s="17" t="str">
        <x:v>Round1</x:v>
      </x:c>
      <x:c r="D56" s="17" t="n">
        <x:v>38</x:v>
      </x:c>
      <x:c r="E56" s="17" t="n">
        <x:f>COUNTA('BugResults'!$A$792:$A$829)</x:f>
        <x:v>38</x:v>
      </x:c>
      <x:c r="F56" s="17" t="n">
        <x:f>SUM('Verdicts'!E252:E256)</x:f>
        <x:v>38</x:v>
      </x:c>
      <x:c r="G56" s="17" t="n">
        <x:f>F56-D56</x:f>
        <x:v>0</x:v>
      </x:c>
      <x:c r="H56" s="17" t="str">
        <x:f>"N/A"</x:f>
        <x:v>N/A</x:v>
      </x:c>
      <x:c r="I56" s="17" t="str">
        <x:f>"N/A"</x:f>
        <x:v>N/A</x:v>
      </x:c>
    </x:row>
    <x:row r="57" ht="23" customHeight="1">
      <x:c r="B57" s="17" t="str">
        <x:v>Mockito</x:v>
      </x:c>
      <x:c r="C57" s="17" t="str">
        <x:v>Round2</x:v>
      </x:c>
      <x:c r="D57" s="17" t="n">
        <x:v>0</x:v>
      </x:c>
      <x:c r="E57" s="17" t="n">
        <x:f>0</x:f>
        <x:v>0</x:v>
      </x:c>
      <x:c r="F57" s="17" t="n">
        <x:f>SUM('Verdicts'!E257:E261)</x:f>
        <x:v>0</x:v>
      </x:c>
      <x:c r="G57" s="17" t="n">
        <x:f>F57-D57</x:f>
        <x:v>0</x:v>
      </x:c>
      <x:c r="H57" s="17" t="str">
        <x:f>"N/A"</x:f>
        <x:v>N/A</x:v>
      </x:c>
      <x:c r="I57" s="17" t="str">
        <x:f>"N/A"</x:f>
        <x:v>N/A</x:v>
      </x:c>
    </x:row>
    <x:row r="58" ht="23" customHeight="1">
      <x:c r="B58" s="17" t="str">
        <x:v>Time</x:v>
      </x:c>
      <x:c r="C58" s="17" t="str">
        <x:v>All rounds</x:v>
      </x:c>
      <x:c r="D58" s="17" t="n">
        <x:v>26</x:v>
      </x:c>
      <x:c r="E58" s="17" t="n">
        <x:f>COUNTA('BugResults'!$A$830:$A$855)</x:f>
        <x:v>26</x:v>
      </x:c>
      <x:c r="F58" s="17" t="n">
        <x:f>SUM('Verdicts'!E262:E266)</x:f>
        <x:v>26</x:v>
      </x:c>
      <x:c r="G58" s="17" t="n">
        <x:f>F58-D58</x:f>
        <x:v>0</x:v>
      </x:c>
      <x:c r="H58" s="17" t="str">
        <x:f>"N/A"</x:f>
        <x:v>N/A</x:v>
      </x:c>
      <x:c r="I58" s="17" t="str">
        <x:f>"N/A"</x:f>
        <x:v>N/A</x:v>
      </x:c>
    </x:row>
    <x:row r="59" ht="23" customHeight="1">
      <x:c r="B59" s="17" t="str">
        <x:v>Time</x:v>
      </x:c>
      <x:c r="C59" s="17" t="str">
        <x:v>Round1</x:v>
      </x:c>
      <x:c r="D59" s="17" t="n">
        <x:v>26</x:v>
      </x:c>
      <x:c r="E59" s="17" t="n">
        <x:f>COUNTA('BugResults'!$A$830:$A$855)</x:f>
        <x:v>26</x:v>
      </x:c>
      <x:c r="F59" s="17" t="n">
        <x:f>SUM('Verdicts'!E267:E271)</x:f>
        <x:v>26</x:v>
      </x:c>
      <x:c r="G59" s="17" t="n">
        <x:f>F59-D59</x:f>
        <x:v>0</x:v>
      </x:c>
      <x:c r="H59" s="17" t="str">
        <x:f>"N/A"</x:f>
        <x:v>N/A</x:v>
      </x:c>
      <x:c r="I59" s="17" t="str">
        <x:f>"N/A"</x:f>
        <x:v>N/A</x:v>
      </x:c>
    </x:row>
    <x:row r="60" ht="23" customHeight="1">
      <x:c r="B60" s="17" t="str">
        <x:v>Time</x:v>
      </x:c>
      <x:c r="C60" s="17" t="str">
        <x:v>Round2</x:v>
      </x:c>
      <x:c r="D60" s="17" t="n">
        <x:v>0</x:v>
      </x:c>
      <x:c r="E60" s="17" t="n">
        <x:f>0</x:f>
        <x:v>0</x:v>
      </x:c>
      <x:c r="F60" s="17" t="n">
        <x:f>SUM('Verdicts'!E272:E276)</x:f>
        <x:v>0</x:v>
      </x:c>
      <x:c r="G60" s="17" t="n">
        <x:f>F60-D60</x:f>
        <x:v>0</x:v>
      </x:c>
      <x:c r="H60" s="17" t="str">
        <x:f>"N/A"</x:f>
        <x:v>N/A</x:v>
      </x:c>
      <x:c r="I60" s="17" t="str">
        <x:f>"N/A"</x:f>
        <x:v>N/A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30" hidden="0" customWidth="1"/>
    <x:col min="5" max="5" width="15" hidden="0" customWidth="1"/>
    <x:col min="6" max="6" width="15" hidden="0" customWidth="1"/>
    <x:col min="7" max="7" width="26" hidden="0" customWidth="1"/>
    <x:col min="8" max="8" width="15" hidden="0" customWidth="1"/>
  </x:cols>
  <x:sheetData>
    <x:row r="2">
      <x:c r="B2" s="29" t="str">
        <x:v>NOT_AVAILABLE by cause</x:v>
      </x:c>
    </x:row>
    <x:row r="3" ht="34" customHeight="1">
      <x:c r="B3" s="31" t="str">
        <x:v>Exclusive causes: buggy/fixed execution or compile unavailable first; coverage-only failure when both sides ran.</x:v>
      </x:c>
      <x:c r="C3" s="31"/>
      <x:c r="D3" s="31"/>
      <x:c r="E3" s="31"/>
      <x:c r="F3" s="31"/>
      <x:c r="G3" s="31"/>
      <x:c r="H3" s="31"/>
    </x:row>
    <x:row r="6" ht="42" customHeight="1">
      <x:c r="B6" s="20" t="str">
        <x:v>Project</x:v>
      </x:c>
      <x:c r="C6" s="20" t="str">
        <x:v>Round</x:v>
      </x:c>
      <x:c r="D6" s="20" t="str">
        <x:v>Cause</x:v>
      </x:c>
      <x:c r="E6" s="20" t="str">
        <x:v>Count</x:v>
      </x:c>
      <x:c r="F6" s="20" t="str">
        <x:v>Share of unavailable</x:v>
      </x:c>
      <x:c r="G6" s="20" t="str">
        <x:v>NOT_AVAILABLE</x:v>
      </x:c>
      <x:c r="H6" s="20" t="str">
        <x:v>Difference</x:v>
      </x:c>
    </x:row>
    <x:row r="7" ht="23" customHeight="1">
      <x:c r="B7" s="17" t="str">
        <x:v>All projects</x:v>
      </x:c>
      <x:c r="C7" s="17" t="str">
        <x:v>All rounds</x:v>
      </x:c>
      <x:c r="D7" s="17" t="str">
        <x:v>BUGGY_NOT_RUN</x:v>
      </x:c>
      <x:c r="E7" s="17" t="n">
        <x:f>COUNTIF('BugResults'!$P$2:$P$855,"BUGGY_NOT_RUN")</x:f>
        <x:v>1</x:v>
      </x:c>
      <x:c r="F7" s="33" t="n">
        <x:f>IF('Verdicts'!E9=0,"—",E7/'Verdicts'!E9)</x:f>
        <x:v>0.0027548209366391185</x:v>
      </x:c>
      <x:c r="G7" s="17" t="n">
        <x:f>'Verdicts'!E9</x:f>
        <x:v>363</x:v>
      </x:c>
      <x:c r="H7" s="17" t="n">
        <x:f>SUM(E7:E10)-G7</x:f>
        <x:v>0</x:v>
      </x:c>
    </x:row>
    <x:row r="8" ht="23" customHeight="1">
      <x:c r="B8" s="17" t="str">
        <x:v>All projects</x:v>
      </x:c>
      <x:c r="C8" s="17" t="str">
        <x:v>All rounds</x:v>
      </x:c>
      <x:c r="D8" s="17" t="str">
        <x:v>FIXED_NOT_RUN</x:v>
      </x:c>
      <x:c r="E8" s="17" t="n">
        <x:f>COUNTIF('BugResults'!$P$2:$P$855,"FIXED_NOT_RUN")</x:f>
        <x:v>3</x:v>
      </x:c>
      <x:c r="F8" s="33" t="n">
        <x:f>IF('Verdicts'!E9=0,"—",E8/'Verdicts'!E9)</x:f>
        <x:v>0.008264462809917356</x:v>
      </x:c>
      <x:c r="G8" s="17" t="n">
        <x:f>'Verdicts'!E9</x:f>
        <x:v>363</x:v>
      </x:c>
      <x:c r="H8" s="17"/>
    </x:row>
    <x:row r="9" ht="23" customHeight="1">
      <x:c r="B9" s="17" t="str">
        <x:v>All projects</x:v>
      </x:c>
      <x:c r="C9" s="17" t="str">
        <x:v>All rounds</x:v>
      </x:c>
      <x:c r="D9" s="17" t="str">
        <x:v>BOTH_NOT_RUN</x:v>
      </x:c>
      <x:c r="E9" s="17" t="n">
        <x:f>COUNTIF('BugResults'!$P$2:$P$855,"BOTH_NOT_RUN")</x:f>
        <x:v>359</x:v>
      </x:c>
      <x:c r="F9" s="33" t="n">
        <x:f>IF('Verdicts'!E9=0,"—",E9/'Verdicts'!E9)</x:f>
        <x:v>0.9889807162534435</x:v>
      </x:c>
      <x:c r="G9" s="17" t="n">
        <x:f>'Verdicts'!E9</x:f>
        <x:v>363</x:v>
      </x:c>
      <x:c r="H9" s="17"/>
    </x:row>
    <x:row r="10" ht="23" customHeight="1">
      <x:c r="B10" s="17" t="str">
        <x:v>All projects</x:v>
      </x:c>
      <x:c r="C10" s="17" t="str">
        <x:v>All rounds</x:v>
      </x:c>
      <x:c r="D10" s="17" t="str">
        <x:v>COVERAGE_UNAVAILABLE</x:v>
      </x:c>
      <x:c r="E10" s="17" t="n">
        <x:f>COUNTIF('BugResults'!$P$2:$P$855,"COVERAGE_UNAVAILABLE")</x:f>
        <x:v>0</x:v>
      </x:c>
      <x:c r="F10" s="33" t="n">
        <x:f>IF('Verdicts'!E9=0,"—",E10/'Verdicts'!E9)</x:f>
        <x:v>0</x:v>
      </x:c>
      <x:c r="G10" s="17" t="n">
        <x:f>'Verdicts'!E9</x:f>
        <x:v>363</x:v>
      </x:c>
      <x:c r="H10" s="17"/>
    </x:row>
    <x:row r="11" ht="23" customHeight="1">
      <x:c r="B11" s="17" t="str">
        <x:v>All projects</x:v>
      </x:c>
      <x:c r="C11" s="17" t="str">
        <x:v>Round1</x:v>
      </x:c>
      <x:c r="D11" s="17" t="str">
        <x:v>BUGGY_NOT_RUN</x:v>
      </x:c>
      <x:c r="E11" s="17" t="n">
        <x:f>COUNTIF('BugResults'!$P$2:$P$855,"BUGGY_NOT_RUN")</x:f>
        <x:v>1</x:v>
      </x:c>
      <x:c r="F11" s="33" t="n">
        <x:f>IF('Verdicts'!E14=0,"—",E11/'Verdicts'!E14)</x:f>
        <x:v>0.0027548209366391185</x:v>
      </x:c>
      <x:c r="G11" s="17" t="n">
        <x:f>'Verdicts'!E14</x:f>
        <x:v>363</x:v>
      </x:c>
      <x:c r="H11" s="17" t="n">
        <x:f>SUM(E11:E14)-G11</x:f>
        <x:v>0</x:v>
      </x:c>
    </x:row>
    <x:row r="12" ht="23" customHeight="1">
      <x:c r="B12" s="17" t="str">
        <x:v>All projects</x:v>
      </x:c>
      <x:c r="C12" s="17" t="str">
        <x:v>Round1</x:v>
      </x:c>
      <x:c r="D12" s="17" t="str">
        <x:v>FIXED_NOT_RUN</x:v>
      </x:c>
      <x:c r="E12" s="17" t="n">
        <x:f>COUNTIF('BugResults'!$P$2:$P$855,"FIXED_NOT_RUN")</x:f>
        <x:v>3</x:v>
      </x:c>
      <x:c r="F12" s="33" t="n">
        <x:f>IF('Verdicts'!E14=0,"—",E12/'Verdicts'!E14)</x:f>
        <x:v>0.008264462809917356</x:v>
      </x:c>
      <x:c r="G12" s="17" t="n">
        <x:f>'Verdicts'!E14</x:f>
        <x:v>363</x:v>
      </x:c>
      <x:c r="H12" s="17"/>
    </x:row>
    <x:row r="13" ht="23" customHeight="1">
      <x:c r="B13" s="17" t="str">
        <x:v>All projects</x:v>
      </x:c>
      <x:c r="C13" s="17" t="str">
        <x:v>Round1</x:v>
      </x:c>
      <x:c r="D13" s="17" t="str">
        <x:v>BOTH_NOT_RUN</x:v>
      </x:c>
      <x:c r="E13" s="17" t="n">
        <x:f>COUNTIF('BugResults'!$P$2:$P$855,"BOTH_NOT_RUN")</x:f>
        <x:v>359</x:v>
      </x:c>
      <x:c r="F13" s="33" t="n">
        <x:f>IF('Verdicts'!E14=0,"—",E13/'Verdicts'!E14)</x:f>
        <x:v>0.9889807162534435</x:v>
      </x:c>
      <x:c r="G13" s="17" t="n">
        <x:f>'Verdicts'!E14</x:f>
        <x:v>363</x:v>
      </x:c>
      <x:c r="H13" s="17"/>
    </x:row>
    <x:row r="14" ht="23" customHeight="1">
      <x:c r="B14" s="17" t="str">
        <x:v>All projects</x:v>
      </x:c>
      <x:c r="C14" s="17" t="str">
        <x:v>Round1</x:v>
      </x:c>
      <x:c r="D14" s="17" t="str">
        <x:v>COVERAGE_UNAVAILABLE</x:v>
      </x:c>
      <x:c r="E14" s="17" t="n">
        <x:f>COUNTIF('BugResults'!$P$2:$P$855,"COVERAGE_UNAVAILABLE")</x:f>
        <x:v>0</x:v>
      </x:c>
      <x:c r="F14" s="33" t="n">
        <x:f>IF('Verdicts'!E14=0,"—",E14/'Verdicts'!E14)</x:f>
        <x:v>0</x:v>
      </x:c>
      <x:c r="G14" s="17" t="n">
        <x:f>'Verdicts'!E14</x:f>
        <x:v>363</x:v>
      </x:c>
      <x:c r="H14" s="17"/>
    </x:row>
    <x:row r="15" ht="23" customHeight="1">
      <x:c r="B15" s="17" t="str">
        <x:v>All projects</x:v>
      </x:c>
      <x:c r="C15" s="17" t="str">
        <x:v>Round2</x:v>
      </x:c>
      <x:c r="D15" s="17" t="str">
        <x:v>BUGGY_NOT_RUN</x:v>
      </x:c>
      <x:c r="E15" s="17" t="n">
        <x:f>0</x:f>
        <x:v>0</x:v>
      </x:c>
      <x:c r="F15" s="33" t="str">
        <x:f>IF('Verdicts'!E19=0,"—",E15/'Verdicts'!E19)</x:f>
        <x:v>—</x:v>
      </x:c>
      <x:c r="G15" s="17" t="n">
        <x:f>'Verdicts'!E19</x:f>
        <x:v>0</x:v>
      </x:c>
      <x:c r="H15" s="17" t="n">
        <x:f>SUM(E15:E18)-G15</x:f>
        <x:v>0</x:v>
      </x:c>
    </x:row>
    <x:row r="16" ht="23" customHeight="1">
      <x:c r="B16" s="17" t="str">
        <x:v>All projects</x:v>
      </x:c>
      <x:c r="C16" s="17" t="str">
        <x:v>Round2</x:v>
      </x:c>
      <x:c r="D16" s="17" t="str">
        <x:v>FIXED_NOT_RUN</x:v>
      </x:c>
      <x:c r="E16" s="17" t="n">
        <x:f>0</x:f>
        <x:v>0</x:v>
      </x:c>
      <x:c r="F16" s="33" t="str">
        <x:f>IF('Verdicts'!E19=0,"—",E16/'Verdicts'!E19)</x:f>
        <x:v>—</x:v>
      </x:c>
      <x:c r="G16" s="17" t="n">
        <x:f>'Verdicts'!E19</x:f>
        <x:v>0</x:v>
      </x:c>
      <x:c r="H16" s="17"/>
    </x:row>
    <x:row r="17" ht="23" customHeight="1">
      <x:c r="B17" s="17" t="str">
        <x:v>All projects</x:v>
      </x:c>
      <x:c r="C17" s="17" t="str">
        <x:v>Round2</x:v>
      </x:c>
      <x:c r="D17" s="17" t="str">
        <x:v>BOTH_NOT_RUN</x:v>
      </x:c>
      <x:c r="E17" s="17" t="n">
        <x:f>0</x:f>
        <x:v>0</x:v>
      </x:c>
      <x:c r="F17" s="33" t="str">
        <x:f>IF('Verdicts'!E19=0,"—",E17/'Verdicts'!E19)</x:f>
        <x:v>—</x:v>
      </x:c>
      <x:c r="G17" s="17" t="n">
        <x:f>'Verdicts'!E19</x:f>
        <x:v>0</x:v>
      </x:c>
      <x:c r="H17" s="17"/>
    </x:row>
    <x:row r="18" ht="23" customHeight="1">
      <x:c r="B18" s="17" t="str">
        <x:v>All projects</x:v>
      </x:c>
      <x:c r="C18" s="17" t="str">
        <x:v>Round2</x:v>
      </x:c>
      <x:c r="D18" s="17" t="str">
        <x:v>COVERAGE_UNAVAILABLE</x:v>
      </x:c>
      <x:c r="E18" s="17" t="n">
        <x:f>0</x:f>
        <x:v>0</x:v>
      </x:c>
      <x:c r="F18" s="33" t="str">
        <x:f>IF('Verdicts'!E19=0,"—",E18/'Verdicts'!E19)</x:f>
        <x:v>—</x:v>
      </x:c>
      <x:c r="G18" s="17" t="n">
        <x:f>'Verdicts'!E19</x:f>
        <x:v>0</x:v>
      </x:c>
      <x:c r="H18" s="17"/>
    </x:row>
    <x:row r="19" ht="23" customHeight="1">
      <x:c r="B19" s="17" t="str">
        <x:v>Chart</x:v>
      </x:c>
      <x:c r="C19" s="17" t="str">
        <x:v>All rounds</x:v>
      </x:c>
      <x:c r="D19" s="17" t="str">
        <x:v>BUGGY_NOT_RUN</x:v>
      </x:c>
      <x:c r="E19" s="17" t="n">
        <x:f>COUNTIF('BugResults'!$P$2:$P$27,"BUGGY_NOT_RUN")</x:f>
        <x:v>0</x:v>
      </x:c>
      <x:c r="F19" s="33" t="n">
        <x:f>IF('Verdicts'!E24=0,"—",E19/'Verdicts'!E24)</x:f>
        <x:v>0</x:v>
      </x:c>
      <x:c r="G19" s="17" t="n">
        <x:f>'Verdicts'!E24</x:f>
        <x:v>9</x:v>
      </x:c>
      <x:c r="H19" s="17" t="n">
        <x:f>SUM(E19:E22)-G19</x:f>
        <x:v>0</x:v>
      </x:c>
    </x:row>
    <x:row r="20" ht="23" customHeight="1">
      <x:c r="B20" s="17" t="str">
        <x:v>Chart</x:v>
      </x:c>
      <x:c r="C20" s="17" t="str">
        <x:v>All rounds</x:v>
      </x:c>
      <x:c r="D20" s="17" t="str">
        <x:v>FIXED_NOT_RUN</x:v>
      </x:c>
      <x:c r="E20" s="17" t="n">
        <x:f>COUNTIF('BugResults'!$P$2:$P$27,"FIXED_NOT_RUN")</x:f>
        <x:v>0</x:v>
      </x:c>
      <x:c r="F20" s="33" t="n">
        <x:f>IF('Verdicts'!E24=0,"—",E20/'Verdicts'!E24)</x:f>
        <x:v>0</x:v>
      </x:c>
      <x:c r="G20" s="17" t="n">
        <x:f>'Verdicts'!E24</x:f>
        <x:v>9</x:v>
      </x:c>
      <x:c r="H20" s="17"/>
    </x:row>
    <x:row r="21" ht="23" customHeight="1">
      <x:c r="B21" s="17" t="str">
        <x:v>Chart</x:v>
      </x:c>
      <x:c r="C21" s="17" t="str">
        <x:v>All rounds</x:v>
      </x:c>
      <x:c r="D21" s="17" t="str">
        <x:v>BOTH_NOT_RUN</x:v>
      </x:c>
      <x:c r="E21" s="17" t="n">
        <x:f>COUNTIF('BugResults'!$P$2:$P$27,"BOTH_NOT_RUN")</x:f>
        <x:v>9</x:v>
      </x:c>
      <x:c r="F21" s="33" t="n">
        <x:f>IF('Verdicts'!E24=0,"—",E21/'Verdicts'!E24)</x:f>
        <x:v>1</x:v>
      </x:c>
      <x:c r="G21" s="17" t="n">
        <x:f>'Verdicts'!E24</x:f>
        <x:v>9</x:v>
      </x:c>
      <x:c r="H21" s="17"/>
    </x:row>
    <x:row r="22" ht="23" customHeight="1">
      <x:c r="B22" s="17" t="str">
        <x:v>Chart</x:v>
      </x:c>
      <x:c r="C22" s="17" t="str">
        <x:v>All rounds</x:v>
      </x:c>
      <x:c r="D22" s="17" t="str">
        <x:v>COVERAGE_UNAVAILABLE</x:v>
      </x:c>
      <x:c r="E22" s="17" t="n">
        <x:f>COUNTIF('BugResults'!$P$2:$P$27,"COVERAGE_UNAVAILABLE")</x:f>
        <x:v>0</x:v>
      </x:c>
      <x:c r="F22" s="33" t="n">
        <x:f>IF('Verdicts'!E24=0,"—",E22/'Verdicts'!E24)</x:f>
        <x:v>0</x:v>
      </x:c>
      <x:c r="G22" s="17" t="n">
        <x:f>'Verdicts'!E24</x:f>
        <x:v>9</x:v>
      </x:c>
      <x:c r="H22" s="17"/>
    </x:row>
    <x:row r="23" ht="23" customHeight="1">
      <x:c r="B23" s="17" t="str">
        <x:v>Chart</x:v>
      </x:c>
      <x:c r="C23" s="17" t="str">
        <x:v>Round1</x:v>
      </x:c>
      <x:c r="D23" s="17" t="str">
        <x:v>BUGGY_NOT_RUN</x:v>
      </x:c>
      <x:c r="E23" s="17" t="n">
        <x:f>COUNTIF('BugResults'!$P$2:$P$27,"BUGGY_NOT_RUN")</x:f>
        <x:v>0</x:v>
      </x:c>
      <x:c r="F23" s="33" t="n">
        <x:f>IF('Verdicts'!E29=0,"—",E23/'Verdicts'!E29)</x:f>
        <x:v>0</x:v>
      </x:c>
      <x:c r="G23" s="17" t="n">
        <x:f>'Verdicts'!E29</x:f>
        <x:v>9</x:v>
      </x:c>
      <x:c r="H23" s="17" t="n">
        <x:f>SUM(E23:E26)-G23</x:f>
        <x:v>0</x:v>
      </x:c>
    </x:row>
    <x:row r="24" ht="23" customHeight="1">
      <x:c r="B24" s="17" t="str">
        <x:v>Chart</x:v>
      </x:c>
      <x:c r="C24" s="17" t="str">
        <x:v>Round1</x:v>
      </x:c>
      <x:c r="D24" s="17" t="str">
        <x:v>FIXED_NOT_RUN</x:v>
      </x:c>
      <x:c r="E24" s="17" t="n">
        <x:f>COUNTIF('BugResults'!$P$2:$P$27,"FIXED_NOT_RUN")</x:f>
        <x:v>0</x:v>
      </x:c>
      <x:c r="F24" s="33" t="n">
        <x:f>IF('Verdicts'!E29=0,"—",E24/'Verdicts'!E29)</x:f>
        <x:v>0</x:v>
      </x:c>
      <x:c r="G24" s="17" t="n">
        <x:f>'Verdicts'!E29</x:f>
        <x:v>9</x:v>
      </x:c>
      <x:c r="H24" s="17"/>
    </x:row>
    <x:row r="25" ht="23" customHeight="1">
      <x:c r="B25" s="17" t="str">
        <x:v>Chart</x:v>
      </x:c>
      <x:c r="C25" s="17" t="str">
        <x:v>Round1</x:v>
      </x:c>
      <x:c r="D25" s="17" t="str">
        <x:v>BOTH_NOT_RUN</x:v>
      </x:c>
      <x:c r="E25" s="17" t="n">
        <x:f>COUNTIF('BugResults'!$P$2:$P$27,"BOTH_NOT_RUN")</x:f>
        <x:v>9</x:v>
      </x:c>
      <x:c r="F25" s="33" t="n">
        <x:f>IF('Verdicts'!E29=0,"—",E25/'Verdicts'!E29)</x:f>
        <x:v>1</x:v>
      </x:c>
      <x:c r="G25" s="17" t="n">
        <x:f>'Verdicts'!E29</x:f>
        <x:v>9</x:v>
      </x:c>
      <x:c r="H25" s="17"/>
    </x:row>
    <x:row r="26" ht="23" customHeight="1">
      <x:c r="B26" s="17" t="str">
        <x:v>Chart</x:v>
      </x:c>
      <x:c r="C26" s="17" t="str">
        <x:v>Round1</x:v>
      </x:c>
      <x:c r="D26" s="17" t="str">
        <x:v>COVERAGE_UNAVAILABLE</x:v>
      </x:c>
      <x:c r="E26" s="17" t="n">
        <x:f>COUNTIF('BugResults'!$P$2:$P$27,"COVERAGE_UNAVAILABLE")</x:f>
        <x:v>0</x:v>
      </x:c>
      <x:c r="F26" s="33" t="n">
        <x:f>IF('Verdicts'!E29=0,"—",E26/'Verdicts'!E29)</x:f>
        <x:v>0</x:v>
      </x:c>
      <x:c r="G26" s="17" t="n">
        <x:f>'Verdicts'!E29</x:f>
        <x:v>9</x:v>
      </x:c>
      <x:c r="H26" s="17"/>
    </x:row>
    <x:row r="27" ht="23" customHeight="1">
      <x:c r="B27" s="17" t="str">
        <x:v>Chart</x:v>
      </x:c>
      <x:c r="C27" s="17" t="str">
        <x:v>Round2</x:v>
      </x:c>
      <x:c r="D27" s="17" t="str">
        <x:v>BUGGY_NOT_RUN</x:v>
      </x:c>
      <x:c r="E27" s="17" t="n">
        <x:f>0</x:f>
        <x:v>0</x:v>
      </x:c>
      <x:c r="F27" s="33" t="str">
        <x:f>IF('Verdicts'!E34=0,"—",E27/'Verdicts'!E34)</x:f>
        <x:v>—</x:v>
      </x:c>
      <x:c r="G27" s="17" t="n">
        <x:f>'Verdicts'!E34</x:f>
        <x:v>0</x:v>
      </x:c>
      <x:c r="H27" s="17" t="n">
        <x:f>SUM(E27:E30)-G27</x:f>
        <x:v>0</x:v>
      </x:c>
    </x:row>
    <x:row r="28" ht="23" customHeight="1">
      <x:c r="B28" s="17" t="str">
        <x:v>Chart</x:v>
      </x:c>
      <x:c r="C28" s="17" t="str">
        <x:v>Round2</x:v>
      </x:c>
      <x:c r="D28" s="17" t="str">
        <x:v>FIXED_NOT_RUN</x:v>
      </x:c>
      <x:c r="E28" s="17" t="n">
        <x:f>0</x:f>
        <x:v>0</x:v>
      </x:c>
      <x:c r="F28" s="33" t="str">
        <x:f>IF('Verdicts'!E34=0,"—",E28/'Verdicts'!E34)</x:f>
        <x:v>—</x:v>
      </x:c>
      <x:c r="G28" s="17" t="n">
        <x:f>'Verdicts'!E34</x:f>
        <x:v>0</x:v>
      </x:c>
      <x:c r="H28" s="17"/>
    </x:row>
    <x:row r="29" ht="23" customHeight="1">
      <x:c r="B29" s="17" t="str">
        <x:v>Chart</x:v>
      </x:c>
      <x:c r="C29" s="17" t="str">
        <x:v>Round2</x:v>
      </x:c>
      <x:c r="D29" s="17" t="str">
        <x:v>BOTH_NOT_RUN</x:v>
      </x:c>
      <x:c r="E29" s="17" t="n">
        <x:f>0</x:f>
        <x:v>0</x:v>
      </x:c>
      <x:c r="F29" s="33" t="str">
        <x:f>IF('Verdicts'!E34=0,"—",E29/'Verdicts'!E34)</x:f>
        <x:v>—</x:v>
      </x:c>
      <x:c r="G29" s="17" t="n">
        <x:f>'Verdicts'!E34</x:f>
        <x:v>0</x:v>
      </x:c>
      <x:c r="H29" s="17"/>
    </x:row>
    <x:row r="30" ht="23" customHeight="1">
      <x:c r="B30" s="17" t="str">
        <x:v>Chart</x:v>
      </x:c>
      <x:c r="C30" s="17" t="str">
        <x:v>Round2</x:v>
      </x:c>
      <x:c r="D30" s="17" t="str">
        <x:v>COVERAGE_UNAVAILABLE</x:v>
      </x:c>
      <x:c r="E30" s="17" t="n">
        <x:f>0</x:f>
        <x:v>0</x:v>
      </x:c>
      <x:c r="F30" s="33" t="str">
        <x:f>IF('Verdicts'!E34=0,"—",E30/'Verdicts'!E34)</x:f>
        <x:v>—</x:v>
      </x:c>
      <x:c r="G30" s="17" t="n">
        <x:f>'Verdicts'!E34</x:f>
        <x:v>0</x:v>
      </x:c>
      <x:c r="H30" s="17"/>
    </x:row>
    <x:row r="31" ht="23" customHeight="1">
      <x:c r="B31" s="17" t="str">
        <x:v>Cli</x:v>
      </x:c>
      <x:c r="C31" s="17" t="str">
        <x:v>All rounds</x:v>
      </x:c>
      <x:c r="D31" s="17" t="str">
        <x:v>BUGGY_NOT_RUN</x:v>
      </x:c>
      <x:c r="E31" s="17" t="n">
        <x:f>COUNTIF('BugResults'!$P$28:$P$66,"BUGGY_NOT_RUN")</x:f>
        <x:v>0</x:v>
      </x:c>
      <x:c r="F31" s="33" t="n">
        <x:f>IF('Verdicts'!E39=0,"—",E31/'Verdicts'!E39)</x:f>
        <x:v>0</x:v>
      </x:c>
      <x:c r="G31" s="17" t="n">
        <x:f>'Verdicts'!E39</x:f>
        <x:v>7</x:v>
      </x:c>
      <x:c r="H31" s="17" t="n">
        <x:f>SUM(E31:E34)-G31</x:f>
        <x:v>0</x:v>
      </x:c>
    </x:row>
    <x:row r="32" ht="23" customHeight="1">
      <x:c r="B32" s="17" t="str">
        <x:v>Cli</x:v>
      </x:c>
      <x:c r="C32" s="17" t="str">
        <x:v>All rounds</x:v>
      </x:c>
      <x:c r="D32" s="17" t="str">
        <x:v>FIXED_NOT_RUN</x:v>
      </x:c>
      <x:c r="E32" s="17" t="n">
        <x:f>COUNTIF('BugResults'!$P$28:$P$66,"FIXED_NOT_RUN")</x:f>
        <x:v>0</x:v>
      </x:c>
      <x:c r="F32" s="33" t="n">
        <x:f>IF('Verdicts'!E39=0,"—",E32/'Verdicts'!E39)</x:f>
        <x:v>0</x:v>
      </x:c>
      <x:c r="G32" s="17" t="n">
        <x:f>'Verdicts'!E39</x:f>
        <x:v>7</x:v>
      </x:c>
      <x:c r="H32" s="17"/>
    </x:row>
    <x:row r="33" ht="23" customHeight="1">
      <x:c r="B33" s="17" t="str">
        <x:v>Cli</x:v>
      </x:c>
      <x:c r="C33" s="17" t="str">
        <x:v>All rounds</x:v>
      </x:c>
      <x:c r="D33" s="17" t="str">
        <x:v>BOTH_NOT_RUN</x:v>
      </x:c>
      <x:c r="E33" s="17" t="n">
        <x:f>COUNTIF('BugResults'!$P$28:$P$66,"BOTH_NOT_RUN")</x:f>
        <x:v>7</x:v>
      </x:c>
      <x:c r="F33" s="33" t="n">
        <x:f>IF('Verdicts'!E39=0,"—",E33/'Verdicts'!E39)</x:f>
        <x:v>1</x:v>
      </x:c>
      <x:c r="G33" s="17" t="n">
        <x:f>'Verdicts'!E39</x:f>
        <x:v>7</x:v>
      </x:c>
      <x:c r="H33" s="17"/>
    </x:row>
    <x:row r="34" ht="23" customHeight="1">
      <x:c r="B34" s="17" t="str">
        <x:v>Cli</x:v>
      </x:c>
      <x:c r="C34" s="17" t="str">
        <x:v>All rounds</x:v>
      </x:c>
      <x:c r="D34" s="17" t="str">
        <x:v>COVERAGE_UNAVAILABLE</x:v>
      </x:c>
      <x:c r="E34" s="17" t="n">
        <x:f>COUNTIF('BugResults'!$P$28:$P$66,"COVERAGE_UNAVAILABLE")</x:f>
        <x:v>0</x:v>
      </x:c>
      <x:c r="F34" s="33" t="n">
        <x:f>IF('Verdicts'!E39=0,"—",E34/'Verdicts'!E39)</x:f>
        <x:v>0</x:v>
      </x:c>
      <x:c r="G34" s="17" t="n">
        <x:f>'Verdicts'!E39</x:f>
        <x:v>7</x:v>
      </x:c>
      <x:c r="H34" s="17"/>
    </x:row>
    <x:row r="35" ht="23" customHeight="1">
      <x:c r="B35" s="17" t="str">
        <x:v>Cli</x:v>
      </x:c>
      <x:c r="C35" s="17" t="str">
        <x:v>Round1</x:v>
      </x:c>
      <x:c r="D35" s="17" t="str">
        <x:v>BUGGY_NOT_RUN</x:v>
      </x:c>
      <x:c r="E35" s="17" t="n">
        <x:f>COUNTIF('BugResults'!$P$28:$P$66,"BUGGY_NOT_RUN")</x:f>
        <x:v>0</x:v>
      </x:c>
      <x:c r="F35" s="33" t="n">
        <x:f>IF('Verdicts'!E44=0,"—",E35/'Verdicts'!E44)</x:f>
        <x:v>0</x:v>
      </x:c>
      <x:c r="G35" s="17" t="n">
        <x:f>'Verdicts'!E44</x:f>
        <x:v>7</x:v>
      </x:c>
      <x:c r="H35" s="17" t="n">
        <x:f>SUM(E35:E38)-G35</x:f>
        <x:v>0</x:v>
      </x:c>
    </x:row>
    <x:row r="36" ht="23" customHeight="1">
      <x:c r="B36" s="17" t="str">
        <x:v>Cli</x:v>
      </x:c>
      <x:c r="C36" s="17" t="str">
        <x:v>Round1</x:v>
      </x:c>
      <x:c r="D36" s="17" t="str">
        <x:v>FIXED_NOT_RUN</x:v>
      </x:c>
      <x:c r="E36" s="17" t="n">
        <x:f>COUNTIF('BugResults'!$P$28:$P$66,"FIXED_NOT_RUN")</x:f>
        <x:v>0</x:v>
      </x:c>
      <x:c r="F36" s="33" t="n">
        <x:f>IF('Verdicts'!E44=0,"—",E36/'Verdicts'!E44)</x:f>
        <x:v>0</x:v>
      </x:c>
      <x:c r="G36" s="17" t="n">
        <x:f>'Verdicts'!E44</x:f>
        <x:v>7</x:v>
      </x:c>
      <x:c r="H36" s="17"/>
    </x:row>
    <x:row r="37" ht="23" customHeight="1">
      <x:c r="B37" s="17" t="str">
        <x:v>Cli</x:v>
      </x:c>
      <x:c r="C37" s="17" t="str">
        <x:v>Round1</x:v>
      </x:c>
      <x:c r="D37" s="17" t="str">
        <x:v>BOTH_NOT_RUN</x:v>
      </x:c>
      <x:c r="E37" s="17" t="n">
        <x:f>COUNTIF('BugResults'!$P$28:$P$66,"BOTH_NOT_RUN")</x:f>
        <x:v>7</x:v>
      </x:c>
      <x:c r="F37" s="33" t="n">
        <x:f>IF('Verdicts'!E44=0,"—",E37/'Verdicts'!E44)</x:f>
        <x:v>1</x:v>
      </x:c>
      <x:c r="G37" s="17" t="n">
        <x:f>'Verdicts'!E44</x:f>
        <x:v>7</x:v>
      </x:c>
      <x:c r="H37" s="17"/>
    </x:row>
    <x:row r="38" ht="23" customHeight="1">
      <x:c r="B38" s="17" t="str">
        <x:v>Cli</x:v>
      </x:c>
      <x:c r="C38" s="17" t="str">
        <x:v>Round1</x:v>
      </x:c>
      <x:c r="D38" s="17" t="str">
        <x:v>COVERAGE_UNAVAILABLE</x:v>
      </x:c>
      <x:c r="E38" s="17" t="n">
        <x:f>COUNTIF('BugResults'!$P$28:$P$66,"COVERAGE_UNAVAILABLE")</x:f>
        <x:v>0</x:v>
      </x:c>
      <x:c r="F38" s="33" t="n">
        <x:f>IF('Verdicts'!E44=0,"—",E38/'Verdicts'!E44)</x:f>
        <x:v>0</x:v>
      </x:c>
      <x:c r="G38" s="17" t="n">
        <x:f>'Verdicts'!E44</x:f>
        <x:v>7</x:v>
      </x:c>
      <x:c r="H38" s="17"/>
    </x:row>
    <x:row r="39" ht="23" customHeight="1">
      <x:c r="B39" s="17" t="str">
        <x:v>Cli</x:v>
      </x:c>
      <x:c r="C39" s="17" t="str">
        <x:v>Round2</x:v>
      </x:c>
      <x:c r="D39" s="17" t="str">
        <x:v>BUGGY_NOT_RUN</x:v>
      </x:c>
      <x:c r="E39" s="17" t="n">
        <x:f>0</x:f>
        <x:v>0</x:v>
      </x:c>
      <x:c r="F39" s="33" t="str">
        <x:f>IF('Verdicts'!E49=0,"—",E39/'Verdicts'!E49)</x:f>
        <x:v>—</x:v>
      </x:c>
      <x:c r="G39" s="17" t="n">
        <x:f>'Verdicts'!E49</x:f>
        <x:v>0</x:v>
      </x:c>
      <x:c r="H39" s="17" t="n">
        <x:f>SUM(E39:E42)-G39</x:f>
        <x:v>0</x:v>
      </x:c>
    </x:row>
    <x:row r="40" ht="23" customHeight="1">
      <x:c r="B40" s="17" t="str">
        <x:v>Cli</x:v>
      </x:c>
      <x:c r="C40" s="17" t="str">
        <x:v>Round2</x:v>
      </x:c>
      <x:c r="D40" s="17" t="str">
        <x:v>FIXED_NOT_RUN</x:v>
      </x:c>
      <x:c r="E40" s="17" t="n">
        <x:f>0</x:f>
        <x:v>0</x:v>
      </x:c>
      <x:c r="F40" s="33" t="str">
        <x:f>IF('Verdicts'!E49=0,"—",E40/'Verdicts'!E49)</x:f>
        <x:v>—</x:v>
      </x:c>
      <x:c r="G40" s="17" t="n">
        <x:f>'Verdicts'!E49</x:f>
        <x:v>0</x:v>
      </x:c>
      <x:c r="H40" s="17"/>
    </x:row>
    <x:row r="41" ht="23" customHeight="1">
      <x:c r="B41" s="17" t="str">
        <x:v>Cli</x:v>
      </x:c>
      <x:c r="C41" s="17" t="str">
        <x:v>Round2</x:v>
      </x:c>
      <x:c r="D41" s="17" t="str">
        <x:v>BOTH_NOT_RUN</x:v>
      </x:c>
      <x:c r="E41" s="17" t="n">
        <x:f>0</x:f>
        <x:v>0</x:v>
      </x:c>
      <x:c r="F41" s="33" t="str">
        <x:f>IF('Verdicts'!E49=0,"—",E41/'Verdicts'!E49)</x:f>
        <x:v>—</x:v>
      </x:c>
      <x:c r="G41" s="17" t="n">
        <x:f>'Verdicts'!E49</x:f>
        <x:v>0</x:v>
      </x:c>
      <x:c r="H41" s="17"/>
    </x:row>
    <x:row r="42" ht="23" customHeight="1">
      <x:c r="B42" s="17" t="str">
        <x:v>Cli</x:v>
      </x:c>
      <x:c r="C42" s="17" t="str">
        <x:v>Round2</x:v>
      </x:c>
      <x:c r="D42" s="17" t="str">
        <x:v>COVERAGE_UNAVAILABLE</x:v>
      </x:c>
      <x:c r="E42" s="17" t="n">
        <x:f>0</x:f>
        <x:v>0</x:v>
      </x:c>
      <x:c r="F42" s="33" t="str">
        <x:f>IF('Verdicts'!E49=0,"—",E42/'Verdicts'!E49)</x:f>
        <x:v>—</x:v>
      </x:c>
      <x:c r="G42" s="17" t="n">
        <x:f>'Verdicts'!E49</x:f>
        <x:v>0</x:v>
      </x:c>
      <x:c r="H42" s="17"/>
    </x:row>
    <x:row r="43" ht="23" customHeight="1">
      <x:c r="B43" s="17" t="str">
        <x:v>Closure</x:v>
      </x:c>
      <x:c r="C43" s="17" t="str">
        <x:v>All rounds</x:v>
      </x:c>
      <x:c r="D43" s="17" t="str">
        <x:v>BUGGY_NOT_RUN</x:v>
      </x:c>
      <x:c r="E43" s="17" t="n">
        <x:f>COUNTIF('BugResults'!$P$67:$P$240,"BUGGY_NOT_RUN")</x:f>
        <x:v>0</x:v>
      </x:c>
      <x:c r="F43" s="33" t="n">
        <x:f>IF('Verdicts'!E54=0,"—",E43/'Verdicts'!E54)</x:f>
        <x:v>0</x:v>
      </x:c>
      <x:c r="G43" s="17" t="n">
        <x:f>'Verdicts'!E54</x:f>
        <x:v>155</x:v>
      </x:c>
      <x:c r="H43" s="17" t="n">
        <x:f>SUM(E43:E46)-G43</x:f>
        <x:v>0</x:v>
      </x:c>
    </x:row>
    <x:row r="44" ht="23" customHeight="1">
      <x:c r="B44" s="17" t="str">
        <x:v>Closure</x:v>
      </x:c>
      <x:c r="C44" s="17" t="str">
        <x:v>All rounds</x:v>
      </x:c>
      <x:c r="D44" s="17" t="str">
        <x:v>FIXED_NOT_RUN</x:v>
      </x:c>
      <x:c r="E44" s="17" t="n">
        <x:f>COUNTIF('BugResults'!$P$67:$P$240,"FIXED_NOT_RUN")</x:f>
        <x:v>1</x:v>
      </x:c>
      <x:c r="F44" s="33" t="n">
        <x:f>IF('Verdicts'!E54=0,"—",E44/'Verdicts'!E54)</x:f>
        <x:v>0.0064516129032258064</x:v>
      </x:c>
      <x:c r="G44" s="17" t="n">
        <x:f>'Verdicts'!E54</x:f>
        <x:v>155</x:v>
      </x:c>
      <x:c r="H44" s="17"/>
    </x:row>
    <x:row r="45" ht="23" customHeight="1">
      <x:c r="B45" s="17" t="str">
        <x:v>Closure</x:v>
      </x:c>
      <x:c r="C45" s="17" t="str">
        <x:v>All rounds</x:v>
      </x:c>
      <x:c r="D45" s="17" t="str">
        <x:v>BOTH_NOT_RUN</x:v>
      </x:c>
      <x:c r="E45" s="17" t="n">
        <x:f>COUNTIF('BugResults'!$P$67:$P$240,"BOTH_NOT_RUN")</x:f>
        <x:v>154</x:v>
      </x:c>
      <x:c r="F45" s="33" t="n">
        <x:f>IF('Verdicts'!E54=0,"—",E45/'Verdicts'!E54)</x:f>
        <x:v>0.9935483870967742</x:v>
      </x:c>
      <x:c r="G45" s="17" t="n">
        <x:f>'Verdicts'!E54</x:f>
        <x:v>155</x:v>
      </x:c>
      <x:c r="H45" s="17"/>
    </x:row>
    <x:row r="46" ht="23" customHeight="1">
      <x:c r="B46" s="17" t="str">
        <x:v>Closure</x:v>
      </x:c>
      <x:c r="C46" s="17" t="str">
        <x:v>All rounds</x:v>
      </x:c>
      <x:c r="D46" s="17" t="str">
        <x:v>COVERAGE_UNAVAILABLE</x:v>
      </x:c>
      <x:c r="E46" s="17" t="n">
        <x:f>COUNTIF('BugResults'!$P$67:$P$240,"COVERAGE_UNAVAILABLE")</x:f>
        <x:v>0</x:v>
      </x:c>
      <x:c r="F46" s="33" t="n">
        <x:f>IF('Verdicts'!E54=0,"—",E46/'Verdicts'!E54)</x:f>
        <x:v>0</x:v>
      </x:c>
      <x:c r="G46" s="17" t="n">
        <x:f>'Verdicts'!E54</x:f>
        <x:v>155</x:v>
      </x:c>
      <x:c r="H46" s="17"/>
    </x:row>
    <x:row r="47" ht="23" customHeight="1">
      <x:c r="B47" s="17" t="str">
        <x:v>Closure</x:v>
      </x:c>
      <x:c r="C47" s="17" t="str">
        <x:v>Round1</x:v>
      </x:c>
      <x:c r="D47" s="17" t="str">
        <x:v>BUGGY_NOT_RUN</x:v>
      </x:c>
      <x:c r="E47" s="17" t="n">
        <x:f>COUNTIF('BugResults'!$P$67:$P$240,"BUGGY_NOT_RUN")</x:f>
        <x:v>0</x:v>
      </x:c>
      <x:c r="F47" s="33" t="n">
        <x:f>IF('Verdicts'!E59=0,"—",E47/'Verdicts'!E59)</x:f>
        <x:v>0</x:v>
      </x:c>
      <x:c r="G47" s="17" t="n">
        <x:f>'Verdicts'!E59</x:f>
        <x:v>155</x:v>
      </x:c>
      <x:c r="H47" s="17" t="n">
        <x:f>SUM(E47:E50)-G47</x:f>
        <x:v>0</x:v>
      </x:c>
    </x:row>
    <x:row r="48" ht="23" customHeight="1">
      <x:c r="B48" s="17" t="str">
        <x:v>Closure</x:v>
      </x:c>
      <x:c r="C48" s="17" t="str">
        <x:v>Round1</x:v>
      </x:c>
      <x:c r="D48" s="17" t="str">
        <x:v>FIXED_NOT_RUN</x:v>
      </x:c>
      <x:c r="E48" s="17" t="n">
        <x:f>COUNTIF('BugResults'!$P$67:$P$240,"FIXED_NOT_RUN")</x:f>
        <x:v>1</x:v>
      </x:c>
      <x:c r="F48" s="33" t="n">
        <x:f>IF('Verdicts'!E59=0,"—",E48/'Verdicts'!E59)</x:f>
        <x:v>0.0064516129032258064</x:v>
      </x:c>
      <x:c r="G48" s="17" t="n">
        <x:f>'Verdicts'!E59</x:f>
        <x:v>155</x:v>
      </x:c>
      <x:c r="H48" s="17"/>
    </x:row>
    <x:row r="49" ht="23" customHeight="1">
      <x:c r="B49" s="17" t="str">
        <x:v>Closure</x:v>
      </x:c>
      <x:c r="C49" s="17" t="str">
        <x:v>Round1</x:v>
      </x:c>
      <x:c r="D49" s="17" t="str">
        <x:v>BOTH_NOT_RUN</x:v>
      </x:c>
      <x:c r="E49" s="17" t="n">
        <x:f>COUNTIF('BugResults'!$P$67:$P$240,"BOTH_NOT_RUN")</x:f>
        <x:v>154</x:v>
      </x:c>
      <x:c r="F49" s="33" t="n">
        <x:f>IF('Verdicts'!E59=0,"—",E49/'Verdicts'!E59)</x:f>
        <x:v>0.9935483870967742</x:v>
      </x:c>
      <x:c r="G49" s="17" t="n">
        <x:f>'Verdicts'!E59</x:f>
        <x:v>155</x:v>
      </x:c>
      <x:c r="H49" s="17"/>
    </x:row>
    <x:row r="50" ht="23" customHeight="1">
      <x:c r="B50" s="17" t="str">
        <x:v>Closure</x:v>
      </x:c>
      <x:c r="C50" s="17" t="str">
        <x:v>Round1</x:v>
      </x:c>
      <x:c r="D50" s="17" t="str">
        <x:v>COVERAGE_UNAVAILABLE</x:v>
      </x:c>
      <x:c r="E50" s="17" t="n">
        <x:f>COUNTIF('BugResults'!$P$67:$P$240,"COVERAGE_UNAVAILABLE")</x:f>
        <x:v>0</x:v>
      </x:c>
      <x:c r="F50" s="33" t="n">
        <x:f>IF('Verdicts'!E59=0,"—",E50/'Verdicts'!E59)</x:f>
        <x:v>0</x:v>
      </x:c>
      <x:c r="G50" s="17" t="n">
        <x:f>'Verdicts'!E59</x:f>
        <x:v>155</x:v>
      </x:c>
      <x:c r="H50" s="17"/>
    </x:row>
    <x:row r="51" ht="23" customHeight="1">
      <x:c r="B51" s="17" t="str">
        <x:v>Closure</x:v>
      </x:c>
      <x:c r="C51" s="17" t="str">
        <x:v>Round2</x:v>
      </x:c>
      <x:c r="D51" s="17" t="str">
        <x:v>BUGGY_NOT_RUN</x:v>
      </x:c>
      <x:c r="E51" s="17" t="n">
        <x:f>0</x:f>
        <x:v>0</x:v>
      </x:c>
      <x:c r="F51" s="33" t="str">
        <x:f>IF('Verdicts'!E64=0,"—",E51/'Verdicts'!E64)</x:f>
        <x:v>—</x:v>
      </x:c>
      <x:c r="G51" s="17" t="n">
        <x:f>'Verdicts'!E64</x:f>
        <x:v>0</x:v>
      </x:c>
      <x:c r="H51" s="17" t="n">
        <x:f>SUM(E51:E54)-G51</x:f>
        <x:v>0</x:v>
      </x:c>
    </x:row>
    <x:row r="52" ht="23" customHeight="1">
      <x:c r="B52" s="17" t="str">
        <x:v>Closure</x:v>
      </x:c>
      <x:c r="C52" s="17" t="str">
        <x:v>Round2</x:v>
      </x:c>
      <x:c r="D52" s="17" t="str">
        <x:v>FIXED_NOT_RUN</x:v>
      </x:c>
      <x:c r="E52" s="17" t="n">
        <x:f>0</x:f>
        <x:v>0</x:v>
      </x:c>
      <x:c r="F52" s="33" t="str">
        <x:f>IF('Verdicts'!E64=0,"—",E52/'Verdicts'!E64)</x:f>
        <x:v>—</x:v>
      </x:c>
      <x:c r="G52" s="17" t="n">
        <x:f>'Verdicts'!E64</x:f>
        <x:v>0</x:v>
      </x:c>
      <x:c r="H52" s="17"/>
    </x:row>
    <x:row r="53" ht="23" customHeight="1">
      <x:c r="B53" s="17" t="str">
        <x:v>Closure</x:v>
      </x:c>
      <x:c r="C53" s="17" t="str">
        <x:v>Round2</x:v>
      </x:c>
      <x:c r="D53" s="17" t="str">
        <x:v>BOTH_NOT_RUN</x:v>
      </x:c>
      <x:c r="E53" s="17" t="n">
        <x:f>0</x:f>
        <x:v>0</x:v>
      </x:c>
      <x:c r="F53" s="33" t="str">
        <x:f>IF('Verdicts'!E64=0,"—",E53/'Verdicts'!E64)</x:f>
        <x:v>—</x:v>
      </x:c>
      <x:c r="G53" s="17" t="n">
        <x:f>'Verdicts'!E64</x:f>
        <x:v>0</x:v>
      </x:c>
      <x:c r="H53" s="17"/>
    </x:row>
    <x:row r="54" ht="23" customHeight="1">
      <x:c r="B54" s="17" t="str">
        <x:v>Closure</x:v>
      </x:c>
      <x:c r="C54" s="17" t="str">
        <x:v>Round2</x:v>
      </x:c>
      <x:c r="D54" s="17" t="str">
        <x:v>COVERAGE_UNAVAILABLE</x:v>
      </x:c>
      <x:c r="E54" s="17" t="n">
        <x:f>0</x:f>
        <x:v>0</x:v>
      </x:c>
      <x:c r="F54" s="33" t="str">
        <x:f>IF('Verdicts'!E64=0,"—",E54/'Verdicts'!E64)</x:f>
        <x:v>—</x:v>
      </x:c>
      <x:c r="G54" s="17" t="n">
        <x:f>'Verdicts'!E64</x:f>
        <x:v>0</x:v>
      </x:c>
      <x:c r="H54" s="17"/>
    </x:row>
    <x:row r="55" ht="23" customHeight="1">
      <x:c r="B55" s="17" t="str">
        <x:v>Codec</x:v>
      </x:c>
      <x:c r="C55" s="17" t="str">
        <x:v>All rounds</x:v>
      </x:c>
      <x:c r="D55" s="17" t="str">
        <x:v>BUGGY_NOT_RUN</x:v>
      </x:c>
      <x:c r="E55" s="17" t="n">
        <x:f>COUNTIF('BugResults'!$P$241:$P$258,"BUGGY_NOT_RUN")</x:f>
        <x:v>0</x:v>
      </x:c>
      <x:c r="F55" s="33" t="n">
        <x:f>IF('Verdicts'!E69=0,"—",E55/'Verdicts'!E69)</x:f>
        <x:v>0</x:v>
      </x:c>
      <x:c r="G55" s="17" t="n">
        <x:f>'Verdicts'!E69</x:f>
        <x:v>7</x:v>
      </x:c>
      <x:c r="H55" s="17" t="n">
        <x:f>SUM(E55:E58)-G55</x:f>
        <x:v>0</x:v>
      </x:c>
    </x:row>
    <x:row r="56" ht="23" customHeight="1">
      <x:c r="B56" s="17" t="str">
        <x:v>Codec</x:v>
      </x:c>
      <x:c r="C56" s="17" t="str">
        <x:v>All rounds</x:v>
      </x:c>
      <x:c r="D56" s="17" t="str">
        <x:v>FIXED_NOT_RUN</x:v>
      </x:c>
      <x:c r="E56" s="17" t="n">
        <x:f>COUNTIF('BugResults'!$P$241:$P$258,"FIXED_NOT_RUN")</x:f>
        <x:v>0</x:v>
      </x:c>
      <x:c r="F56" s="33" t="n">
        <x:f>IF('Verdicts'!E69=0,"—",E56/'Verdicts'!E69)</x:f>
        <x:v>0</x:v>
      </x:c>
      <x:c r="G56" s="17" t="n">
        <x:f>'Verdicts'!E69</x:f>
        <x:v>7</x:v>
      </x:c>
      <x:c r="H56" s="17"/>
    </x:row>
    <x:row r="57" ht="23" customHeight="1">
      <x:c r="B57" s="17" t="str">
        <x:v>Codec</x:v>
      </x:c>
      <x:c r="C57" s="17" t="str">
        <x:v>All rounds</x:v>
      </x:c>
      <x:c r="D57" s="17" t="str">
        <x:v>BOTH_NOT_RUN</x:v>
      </x:c>
      <x:c r="E57" s="17" t="n">
        <x:f>COUNTIF('BugResults'!$P$241:$P$258,"BOTH_NOT_RUN")</x:f>
        <x:v>7</x:v>
      </x:c>
      <x:c r="F57" s="33" t="n">
        <x:f>IF('Verdicts'!E69=0,"—",E57/'Verdicts'!E69)</x:f>
        <x:v>1</x:v>
      </x:c>
      <x:c r="G57" s="17" t="n">
        <x:f>'Verdicts'!E69</x:f>
        <x:v>7</x:v>
      </x:c>
      <x:c r="H57" s="17"/>
    </x:row>
    <x:row r="58" ht="23" customHeight="1">
      <x:c r="B58" s="17" t="str">
        <x:v>Codec</x:v>
      </x:c>
      <x:c r="C58" s="17" t="str">
        <x:v>All rounds</x:v>
      </x:c>
      <x:c r="D58" s="17" t="str">
        <x:v>COVERAGE_UNAVAILABLE</x:v>
      </x:c>
      <x:c r="E58" s="17" t="n">
        <x:f>COUNTIF('BugResults'!$P$241:$P$258,"COVERAGE_UNAVAILABLE")</x:f>
        <x:v>0</x:v>
      </x:c>
      <x:c r="F58" s="33" t="n">
        <x:f>IF('Verdicts'!E69=0,"—",E58/'Verdicts'!E69)</x:f>
        <x:v>0</x:v>
      </x:c>
      <x:c r="G58" s="17" t="n">
        <x:f>'Verdicts'!E69</x:f>
        <x:v>7</x:v>
      </x:c>
      <x:c r="H58" s="17"/>
    </x:row>
    <x:row r="59" ht="23" customHeight="1">
      <x:c r="B59" s="17" t="str">
        <x:v>Codec</x:v>
      </x:c>
      <x:c r="C59" s="17" t="str">
        <x:v>Round1</x:v>
      </x:c>
      <x:c r="D59" s="17" t="str">
        <x:v>BUGGY_NOT_RUN</x:v>
      </x:c>
      <x:c r="E59" s="17" t="n">
        <x:f>COUNTIF('BugResults'!$P$241:$P$258,"BUGGY_NOT_RUN")</x:f>
        <x:v>0</x:v>
      </x:c>
      <x:c r="F59" s="33" t="n">
        <x:f>IF('Verdicts'!E74=0,"—",E59/'Verdicts'!E74)</x:f>
        <x:v>0</x:v>
      </x:c>
      <x:c r="G59" s="17" t="n">
        <x:f>'Verdicts'!E74</x:f>
        <x:v>7</x:v>
      </x:c>
      <x:c r="H59" s="17" t="n">
        <x:f>SUM(E59:E62)-G59</x:f>
        <x:v>0</x:v>
      </x:c>
    </x:row>
    <x:row r="60" ht="23" customHeight="1">
      <x:c r="B60" s="17" t="str">
        <x:v>Codec</x:v>
      </x:c>
      <x:c r="C60" s="17" t="str">
        <x:v>Round1</x:v>
      </x:c>
      <x:c r="D60" s="17" t="str">
        <x:v>FIXED_NOT_RUN</x:v>
      </x:c>
      <x:c r="E60" s="17" t="n">
        <x:f>COUNTIF('BugResults'!$P$241:$P$258,"FIXED_NOT_RUN")</x:f>
        <x:v>0</x:v>
      </x:c>
      <x:c r="F60" s="33" t="n">
        <x:f>IF('Verdicts'!E74=0,"—",E60/'Verdicts'!E74)</x:f>
        <x:v>0</x:v>
      </x:c>
      <x:c r="G60" s="17" t="n">
        <x:f>'Verdicts'!E74</x:f>
        <x:v>7</x:v>
      </x:c>
      <x:c r="H60" s="17"/>
    </x:row>
    <x:row r="61" ht="23" customHeight="1">
      <x:c r="B61" s="17" t="str">
        <x:v>Codec</x:v>
      </x:c>
      <x:c r="C61" s="17" t="str">
        <x:v>Round1</x:v>
      </x:c>
      <x:c r="D61" s="17" t="str">
        <x:v>BOTH_NOT_RUN</x:v>
      </x:c>
      <x:c r="E61" s="17" t="n">
        <x:f>COUNTIF('BugResults'!$P$241:$P$258,"BOTH_NOT_RUN")</x:f>
        <x:v>7</x:v>
      </x:c>
      <x:c r="F61" s="33" t="n">
        <x:f>IF('Verdicts'!E74=0,"—",E61/'Verdicts'!E74)</x:f>
        <x:v>1</x:v>
      </x:c>
      <x:c r="G61" s="17" t="n">
        <x:f>'Verdicts'!E74</x:f>
        <x:v>7</x:v>
      </x:c>
      <x:c r="H61" s="17"/>
    </x:row>
    <x:row r="62" ht="23" customHeight="1">
      <x:c r="B62" s="17" t="str">
        <x:v>Codec</x:v>
      </x:c>
      <x:c r="C62" s="17" t="str">
        <x:v>Round1</x:v>
      </x:c>
      <x:c r="D62" s="17" t="str">
        <x:v>COVERAGE_UNAVAILABLE</x:v>
      </x:c>
      <x:c r="E62" s="17" t="n">
        <x:f>COUNTIF('BugResults'!$P$241:$P$258,"COVERAGE_UNAVAILABLE")</x:f>
        <x:v>0</x:v>
      </x:c>
      <x:c r="F62" s="33" t="n">
        <x:f>IF('Verdicts'!E74=0,"—",E62/'Verdicts'!E74)</x:f>
        <x:v>0</x:v>
      </x:c>
      <x:c r="G62" s="17" t="n">
        <x:f>'Verdicts'!E74</x:f>
        <x:v>7</x:v>
      </x:c>
      <x:c r="H62" s="17"/>
    </x:row>
    <x:row r="63" ht="23" customHeight="1">
      <x:c r="B63" s="17" t="str">
        <x:v>Codec</x:v>
      </x:c>
      <x:c r="C63" s="17" t="str">
        <x:v>Round2</x:v>
      </x:c>
      <x:c r="D63" s="17" t="str">
        <x:v>BUGGY_NOT_RUN</x:v>
      </x:c>
      <x:c r="E63" s="17" t="n">
        <x:f>0</x:f>
        <x:v>0</x:v>
      </x:c>
      <x:c r="F63" s="33" t="str">
        <x:f>IF('Verdicts'!E79=0,"—",E63/'Verdicts'!E79)</x:f>
        <x:v>—</x:v>
      </x:c>
      <x:c r="G63" s="17" t="n">
        <x:f>'Verdicts'!E79</x:f>
        <x:v>0</x:v>
      </x:c>
      <x:c r="H63" s="17" t="n">
        <x:f>SUM(E63:E66)-G63</x:f>
        <x:v>0</x:v>
      </x:c>
    </x:row>
    <x:row r="64" ht="23" customHeight="1">
      <x:c r="B64" s="17" t="str">
        <x:v>Codec</x:v>
      </x:c>
      <x:c r="C64" s="17" t="str">
        <x:v>Round2</x:v>
      </x:c>
      <x:c r="D64" s="17" t="str">
        <x:v>FIXED_NOT_RUN</x:v>
      </x:c>
      <x:c r="E64" s="17" t="n">
        <x:f>0</x:f>
        <x:v>0</x:v>
      </x:c>
      <x:c r="F64" s="33" t="str">
        <x:f>IF('Verdicts'!E79=0,"—",E64/'Verdicts'!E79)</x:f>
        <x:v>—</x:v>
      </x:c>
      <x:c r="G64" s="17" t="n">
        <x:f>'Verdicts'!E79</x:f>
        <x:v>0</x:v>
      </x:c>
      <x:c r="H64" s="17"/>
    </x:row>
    <x:row r="65" ht="23" customHeight="1">
      <x:c r="B65" s="17" t="str">
        <x:v>Codec</x:v>
      </x:c>
      <x:c r="C65" s="17" t="str">
        <x:v>Round2</x:v>
      </x:c>
      <x:c r="D65" s="17" t="str">
        <x:v>BOTH_NOT_RUN</x:v>
      </x:c>
      <x:c r="E65" s="17" t="n">
        <x:f>0</x:f>
        <x:v>0</x:v>
      </x:c>
      <x:c r="F65" s="33" t="str">
        <x:f>IF('Verdicts'!E79=0,"—",E65/'Verdicts'!E79)</x:f>
        <x:v>—</x:v>
      </x:c>
      <x:c r="G65" s="17" t="n">
        <x:f>'Verdicts'!E79</x:f>
        <x:v>0</x:v>
      </x:c>
      <x:c r="H65" s="17"/>
    </x:row>
    <x:row r="66" ht="23" customHeight="1">
      <x:c r="B66" s="17" t="str">
        <x:v>Codec</x:v>
      </x:c>
      <x:c r="C66" s="17" t="str">
        <x:v>Round2</x:v>
      </x:c>
      <x:c r="D66" s="17" t="str">
        <x:v>COVERAGE_UNAVAILABLE</x:v>
      </x:c>
      <x:c r="E66" s="17" t="n">
        <x:f>0</x:f>
        <x:v>0</x:v>
      </x:c>
      <x:c r="F66" s="33" t="str">
        <x:f>IF('Verdicts'!E79=0,"—",E66/'Verdicts'!E79)</x:f>
        <x:v>—</x:v>
      </x:c>
      <x:c r="G66" s="17" t="n">
        <x:f>'Verdicts'!E79</x:f>
        <x:v>0</x:v>
      </x:c>
      <x:c r="H66" s="17"/>
    </x:row>
    <x:row r="67" ht="23" customHeight="1">
      <x:c r="B67" s="17" t="str">
        <x:v>Collections</x:v>
      </x:c>
      <x:c r="C67" s="17" t="str">
        <x:v>All rounds</x:v>
      </x:c>
      <x:c r="D67" s="17" t="str">
        <x:v>BUGGY_NOT_RUN</x:v>
      </x:c>
      <x:c r="E67" s="17" t="n">
        <x:f>COUNTIF('BugResults'!$P$259:$P$286,"BUGGY_NOT_RUN")</x:f>
        <x:v>0</x:v>
      </x:c>
      <x:c r="F67" s="33" t="n">
        <x:f>IF('Verdicts'!E84=0,"—",E67/'Verdicts'!E84)</x:f>
        <x:v>0</x:v>
      </x:c>
      <x:c r="G67" s="17" t="n">
        <x:f>'Verdicts'!E84</x:f>
        <x:v>3</x:v>
      </x:c>
      <x:c r="H67" s="17" t="n">
        <x:f>SUM(E67:E70)-G67</x:f>
        <x:v>0</x:v>
      </x:c>
    </x:row>
    <x:row r="68" ht="23" customHeight="1">
      <x:c r="B68" s="17" t="str">
        <x:v>Collections</x:v>
      </x:c>
      <x:c r="C68" s="17" t="str">
        <x:v>All rounds</x:v>
      </x:c>
      <x:c r="D68" s="17" t="str">
        <x:v>FIXED_NOT_RUN</x:v>
      </x:c>
      <x:c r="E68" s="17" t="n">
        <x:f>COUNTIF('BugResults'!$P$259:$P$286,"FIXED_NOT_RUN")</x:f>
        <x:v>0</x:v>
      </x:c>
      <x:c r="F68" s="33" t="n">
        <x:f>IF('Verdicts'!E84=0,"—",E68/'Verdicts'!E84)</x:f>
        <x:v>0</x:v>
      </x:c>
      <x:c r="G68" s="17" t="n">
        <x:f>'Verdicts'!E84</x:f>
        <x:v>3</x:v>
      </x:c>
      <x:c r="H68" s="17"/>
    </x:row>
    <x:row r="69" ht="23" customHeight="1">
      <x:c r="B69" s="17" t="str">
        <x:v>Collections</x:v>
      </x:c>
      <x:c r="C69" s="17" t="str">
        <x:v>All rounds</x:v>
      </x:c>
      <x:c r="D69" s="17" t="str">
        <x:v>BOTH_NOT_RUN</x:v>
      </x:c>
      <x:c r="E69" s="17" t="n">
        <x:f>COUNTIF('BugResults'!$P$259:$P$286,"BOTH_NOT_RUN")</x:f>
        <x:v>3</x:v>
      </x:c>
      <x:c r="F69" s="33" t="n">
        <x:f>IF('Verdicts'!E84=0,"—",E69/'Verdicts'!E84)</x:f>
        <x:v>1</x:v>
      </x:c>
      <x:c r="G69" s="17" t="n">
        <x:f>'Verdicts'!E84</x:f>
        <x:v>3</x:v>
      </x:c>
      <x:c r="H69" s="17"/>
    </x:row>
    <x:row r="70" ht="23" customHeight="1">
      <x:c r="B70" s="17" t="str">
        <x:v>Collections</x:v>
      </x:c>
      <x:c r="C70" s="17" t="str">
        <x:v>All rounds</x:v>
      </x:c>
      <x:c r="D70" s="17" t="str">
        <x:v>COVERAGE_UNAVAILABLE</x:v>
      </x:c>
      <x:c r="E70" s="17" t="n">
        <x:f>COUNTIF('BugResults'!$P$259:$P$286,"COVERAGE_UNAVAILABLE")</x:f>
        <x:v>0</x:v>
      </x:c>
      <x:c r="F70" s="33" t="n">
        <x:f>IF('Verdicts'!E84=0,"—",E70/'Verdicts'!E84)</x:f>
        <x:v>0</x:v>
      </x:c>
      <x:c r="G70" s="17" t="n">
        <x:f>'Verdicts'!E84</x:f>
        <x:v>3</x:v>
      </x:c>
      <x:c r="H70" s="17"/>
    </x:row>
    <x:row r="71" ht="23" customHeight="1">
      <x:c r="B71" s="17" t="str">
        <x:v>Collections</x:v>
      </x:c>
      <x:c r="C71" s="17" t="str">
        <x:v>Round1</x:v>
      </x:c>
      <x:c r="D71" s="17" t="str">
        <x:v>BUGGY_NOT_RUN</x:v>
      </x:c>
      <x:c r="E71" s="17" t="n">
        <x:f>COUNTIF('BugResults'!$P$259:$P$286,"BUGGY_NOT_RUN")</x:f>
        <x:v>0</x:v>
      </x:c>
      <x:c r="F71" s="33" t="n">
        <x:f>IF('Verdicts'!E89=0,"—",E71/'Verdicts'!E89)</x:f>
        <x:v>0</x:v>
      </x:c>
      <x:c r="G71" s="17" t="n">
        <x:f>'Verdicts'!E89</x:f>
        <x:v>3</x:v>
      </x:c>
      <x:c r="H71" s="17" t="n">
        <x:f>SUM(E71:E74)-G71</x:f>
        <x:v>0</x:v>
      </x:c>
    </x:row>
    <x:row r="72" ht="23" customHeight="1">
      <x:c r="B72" s="17" t="str">
        <x:v>Collections</x:v>
      </x:c>
      <x:c r="C72" s="17" t="str">
        <x:v>Round1</x:v>
      </x:c>
      <x:c r="D72" s="17" t="str">
        <x:v>FIXED_NOT_RUN</x:v>
      </x:c>
      <x:c r="E72" s="17" t="n">
        <x:f>COUNTIF('BugResults'!$P$259:$P$286,"FIXED_NOT_RUN")</x:f>
        <x:v>0</x:v>
      </x:c>
      <x:c r="F72" s="33" t="n">
        <x:f>IF('Verdicts'!E89=0,"—",E72/'Verdicts'!E89)</x:f>
        <x:v>0</x:v>
      </x:c>
      <x:c r="G72" s="17" t="n">
        <x:f>'Verdicts'!E89</x:f>
        <x:v>3</x:v>
      </x:c>
      <x:c r="H72" s="17"/>
    </x:row>
    <x:row r="73" ht="23" customHeight="1">
      <x:c r="B73" s="17" t="str">
        <x:v>Collections</x:v>
      </x:c>
      <x:c r="C73" s="17" t="str">
        <x:v>Round1</x:v>
      </x:c>
      <x:c r="D73" s="17" t="str">
        <x:v>BOTH_NOT_RUN</x:v>
      </x:c>
      <x:c r="E73" s="17" t="n">
        <x:f>COUNTIF('BugResults'!$P$259:$P$286,"BOTH_NOT_RUN")</x:f>
        <x:v>3</x:v>
      </x:c>
      <x:c r="F73" s="33" t="n">
        <x:f>IF('Verdicts'!E89=0,"—",E73/'Verdicts'!E89)</x:f>
        <x:v>1</x:v>
      </x:c>
      <x:c r="G73" s="17" t="n">
        <x:f>'Verdicts'!E89</x:f>
        <x:v>3</x:v>
      </x:c>
      <x:c r="H73" s="17"/>
    </x:row>
    <x:row r="74" ht="23" customHeight="1">
      <x:c r="B74" s="17" t="str">
        <x:v>Collections</x:v>
      </x:c>
      <x:c r="C74" s="17" t="str">
        <x:v>Round1</x:v>
      </x:c>
      <x:c r="D74" s="17" t="str">
        <x:v>COVERAGE_UNAVAILABLE</x:v>
      </x:c>
      <x:c r="E74" s="17" t="n">
        <x:f>COUNTIF('BugResults'!$P$259:$P$286,"COVERAGE_UNAVAILABLE")</x:f>
        <x:v>0</x:v>
      </x:c>
      <x:c r="F74" s="33" t="n">
        <x:f>IF('Verdicts'!E89=0,"—",E74/'Verdicts'!E89)</x:f>
        <x:v>0</x:v>
      </x:c>
      <x:c r="G74" s="17" t="n">
        <x:f>'Verdicts'!E89</x:f>
        <x:v>3</x:v>
      </x:c>
      <x:c r="H74" s="17"/>
    </x:row>
    <x:row r="75" ht="23" customHeight="1">
      <x:c r="B75" s="17" t="str">
        <x:v>Collections</x:v>
      </x:c>
      <x:c r="C75" s="17" t="str">
        <x:v>Round2</x:v>
      </x:c>
      <x:c r="D75" s="17" t="str">
        <x:v>BUGGY_NOT_RUN</x:v>
      </x:c>
      <x:c r="E75" s="17" t="n">
        <x:f>0</x:f>
        <x:v>0</x:v>
      </x:c>
      <x:c r="F75" s="33" t="str">
        <x:f>IF('Verdicts'!E94=0,"—",E75/'Verdicts'!E94)</x:f>
        <x:v>—</x:v>
      </x:c>
      <x:c r="G75" s="17" t="n">
        <x:f>'Verdicts'!E94</x:f>
        <x:v>0</x:v>
      </x:c>
      <x:c r="H75" s="17" t="n">
        <x:f>SUM(E75:E78)-G75</x:f>
        <x:v>0</x:v>
      </x:c>
    </x:row>
    <x:row r="76" ht="23" customHeight="1">
      <x:c r="B76" s="17" t="str">
        <x:v>Collections</x:v>
      </x:c>
      <x:c r="C76" s="17" t="str">
        <x:v>Round2</x:v>
      </x:c>
      <x:c r="D76" s="17" t="str">
        <x:v>FIXED_NOT_RUN</x:v>
      </x:c>
      <x:c r="E76" s="17" t="n">
        <x:f>0</x:f>
        <x:v>0</x:v>
      </x:c>
      <x:c r="F76" s="33" t="str">
        <x:f>IF('Verdicts'!E94=0,"—",E76/'Verdicts'!E94)</x:f>
        <x:v>—</x:v>
      </x:c>
      <x:c r="G76" s="17" t="n">
        <x:f>'Verdicts'!E94</x:f>
        <x:v>0</x:v>
      </x:c>
      <x:c r="H76" s="17"/>
    </x:row>
    <x:row r="77" ht="23" customHeight="1">
      <x:c r="B77" s="17" t="str">
        <x:v>Collections</x:v>
      </x:c>
      <x:c r="C77" s="17" t="str">
        <x:v>Round2</x:v>
      </x:c>
      <x:c r="D77" s="17" t="str">
        <x:v>BOTH_NOT_RUN</x:v>
      </x:c>
      <x:c r="E77" s="17" t="n">
        <x:f>0</x:f>
        <x:v>0</x:v>
      </x:c>
      <x:c r="F77" s="33" t="str">
        <x:f>IF('Verdicts'!E94=0,"—",E77/'Verdicts'!E94)</x:f>
        <x:v>—</x:v>
      </x:c>
      <x:c r="G77" s="17" t="n">
        <x:f>'Verdicts'!E94</x:f>
        <x:v>0</x:v>
      </x:c>
      <x:c r="H77" s="17"/>
    </x:row>
    <x:row r="78" ht="23" customHeight="1">
      <x:c r="B78" s="17" t="str">
        <x:v>Collections</x:v>
      </x:c>
      <x:c r="C78" s="17" t="str">
        <x:v>Round2</x:v>
      </x:c>
      <x:c r="D78" s="17" t="str">
        <x:v>COVERAGE_UNAVAILABLE</x:v>
      </x:c>
      <x:c r="E78" s="17" t="n">
        <x:f>0</x:f>
        <x:v>0</x:v>
      </x:c>
      <x:c r="F78" s="33" t="str">
        <x:f>IF('Verdicts'!E94=0,"—",E78/'Verdicts'!E94)</x:f>
        <x:v>—</x:v>
      </x:c>
      <x:c r="G78" s="17" t="n">
        <x:f>'Verdicts'!E94</x:f>
        <x:v>0</x:v>
      </x:c>
      <x:c r="H78" s="17"/>
    </x:row>
    <x:row r="79" ht="23" customHeight="1">
      <x:c r="B79" s="17" t="str">
        <x:v>Compress</x:v>
      </x:c>
      <x:c r="C79" s="17" t="str">
        <x:v>All rounds</x:v>
      </x:c>
      <x:c r="D79" s="17" t="str">
        <x:v>BUGGY_NOT_RUN</x:v>
      </x:c>
      <x:c r="E79" s="17" t="n">
        <x:f>COUNTIF('BugResults'!$P$287:$P$333,"BUGGY_NOT_RUN")</x:f>
        <x:v>0</x:v>
      </x:c>
      <x:c r="F79" s="33" t="n">
        <x:f>IF('Verdicts'!E99=0,"—",E79/'Verdicts'!E99)</x:f>
        <x:v>0</x:v>
      </x:c>
      <x:c r="G79" s="17" t="n">
        <x:f>'Verdicts'!E99</x:f>
        <x:v>13</x:v>
      </x:c>
      <x:c r="H79" s="17" t="n">
        <x:f>SUM(E79:E82)-G79</x:f>
        <x:v>0</x:v>
      </x:c>
    </x:row>
    <x:row r="80" ht="23" customHeight="1">
      <x:c r="B80" s="17" t="str">
        <x:v>Compress</x:v>
      </x:c>
      <x:c r="C80" s="17" t="str">
        <x:v>All rounds</x:v>
      </x:c>
      <x:c r="D80" s="17" t="str">
        <x:v>FIXED_NOT_RUN</x:v>
      </x:c>
      <x:c r="E80" s="17" t="n">
        <x:f>COUNTIF('BugResults'!$P$287:$P$333,"FIXED_NOT_RUN")</x:f>
        <x:v>0</x:v>
      </x:c>
      <x:c r="F80" s="33" t="n">
        <x:f>IF('Verdicts'!E99=0,"—",E80/'Verdicts'!E99)</x:f>
        <x:v>0</x:v>
      </x:c>
      <x:c r="G80" s="17" t="n">
        <x:f>'Verdicts'!E99</x:f>
        <x:v>13</x:v>
      </x:c>
      <x:c r="H80" s="17"/>
    </x:row>
    <x:row r="81" ht="23" customHeight="1">
      <x:c r="B81" s="17" t="str">
        <x:v>Compress</x:v>
      </x:c>
      <x:c r="C81" s="17" t="str">
        <x:v>All rounds</x:v>
      </x:c>
      <x:c r="D81" s="17" t="str">
        <x:v>BOTH_NOT_RUN</x:v>
      </x:c>
      <x:c r="E81" s="17" t="n">
        <x:f>COUNTIF('BugResults'!$P$287:$P$333,"BOTH_NOT_RUN")</x:f>
        <x:v>13</x:v>
      </x:c>
      <x:c r="F81" s="33" t="n">
        <x:f>IF('Verdicts'!E99=0,"—",E81/'Verdicts'!E99)</x:f>
        <x:v>1</x:v>
      </x:c>
      <x:c r="G81" s="17" t="n">
        <x:f>'Verdicts'!E99</x:f>
        <x:v>13</x:v>
      </x:c>
      <x:c r="H81" s="17"/>
    </x:row>
    <x:row r="82" ht="23" customHeight="1">
      <x:c r="B82" s="17" t="str">
        <x:v>Compress</x:v>
      </x:c>
      <x:c r="C82" s="17" t="str">
        <x:v>All rounds</x:v>
      </x:c>
      <x:c r="D82" s="17" t="str">
        <x:v>COVERAGE_UNAVAILABLE</x:v>
      </x:c>
      <x:c r="E82" s="17" t="n">
        <x:f>COUNTIF('BugResults'!$P$287:$P$333,"COVERAGE_UNAVAILABLE")</x:f>
        <x:v>0</x:v>
      </x:c>
      <x:c r="F82" s="33" t="n">
        <x:f>IF('Verdicts'!E99=0,"—",E82/'Verdicts'!E99)</x:f>
        <x:v>0</x:v>
      </x:c>
      <x:c r="G82" s="17" t="n">
        <x:f>'Verdicts'!E99</x:f>
        <x:v>13</x:v>
      </x:c>
      <x:c r="H82" s="17"/>
    </x:row>
    <x:row r="83" ht="23" customHeight="1">
      <x:c r="B83" s="17" t="str">
        <x:v>Compress</x:v>
      </x:c>
      <x:c r="C83" s="17" t="str">
        <x:v>Round1</x:v>
      </x:c>
      <x:c r="D83" s="17" t="str">
        <x:v>BUGGY_NOT_RUN</x:v>
      </x:c>
      <x:c r="E83" s="17" t="n">
        <x:f>COUNTIF('BugResults'!$P$287:$P$333,"BUGGY_NOT_RUN")</x:f>
        <x:v>0</x:v>
      </x:c>
      <x:c r="F83" s="33" t="n">
        <x:f>IF('Verdicts'!E104=0,"—",E83/'Verdicts'!E104)</x:f>
        <x:v>0</x:v>
      </x:c>
      <x:c r="G83" s="17" t="n">
        <x:f>'Verdicts'!E104</x:f>
        <x:v>13</x:v>
      </x:c>
      <x:c r="H83" s="17" t="n">
        <x:f>SUM(E83:E86)-G83</x:f>
        <x:v>0</x:v>
      </x:c>
    </x:row>
    <x:row r="84" ht="23" customHeight="1">
      <x:c r="B84" s="17" t="str">
        <x:v>Compress</x:v>
      </x:c>
      <x:c r="C84" s="17" t="str">
        <x:v>Round1</x:v>
      </x:c>
      <x:c r="D84" s="17" t="str">
        <x:v>FIXED_NOT_RUN</x:v>
      </x:c>
      <x:c r="E84" s="17" t="n">
        <x:f>COUNTIF('BugResults'!$P$287:$P$333,"FIXED_NOT_RUN")</x:f>
        <x:v>0</x:v>
      </x:c>
      <x:c r="F84" s="33" t="n">
        <x:f>IF('Verdicts'!E104=0,"—",E84/'Verdicts'!E104)</x:f>
        <x:v>0</x:v>
      </x:c>
      <x:c r="G84" s="17" t="n">
        <x:f>'Verdicts'!E104</x:f>
        <x:v>13</x:v>
      </x:c>
      <x:c r="H84" s="17"/>
    </x:row>
    <x:row r="85" ht="23" customHeight="1">
      <x:c r="B85" s="17" t="str">
        <x:v>Compress</x:v>
      </x:c>
      <x:c r="C85" s="17" t="str">
        <x:v>Round1</x:v>
      </x:c>
      <x:c r="D85" s="17" t="str">
        <x:v>BOTH_NOT_RUN</x:v>
      </x:c>
      <x:c r="E85" s="17" t="n">
        <x:f>COUNTIF('BugResults'!$P$287:$P$333,"BOTH_NOT_RUN")</x:f>
        <x:v>13</x:v>
      </x:c>
      <x:c r="F85" s="33" t="n">
        <x:f>IF('Verdicts'!E104=0,"—",E85/'Verdicts'!E104)</x:f>
        <x:v>1</x:v>
      </x:c>
      <x:c r="G85" s="17" t="n">
        <x:f>'Verdicts'!E104</x:f>
        <x:v>13</x:v>
      </x:c>
      <x:c r="H85" s="17"/>
    </x:row>
    <x:row r="86" ht="23" customHeight="1">
      <x:c r="B86" s="17" t="str">
        <x:v>Compress</x:v>
      </x:c>
      <x:c r="C86" s="17" t="str">
        <x:v>Round1</x:v>
      </x:c>
      <x:c r="D86" s="17" t="str">
        <x:v>COVERAGE_UNAVAILABLE</x:v>
      </x:c>
      <x:c r="E86" s="17" t="n">
        <x:f>COUNTIF('BugResults'!$P$287:$P$333,"COVERAGE_UNAVAILABLE")</x:f>
        <x:v>0</x:v>
      </x:c>
      <x:c r="F86" s="33" t="n">
        <x:f>IF('Verdicts'!E104=0,"—",E86/'Verdicts'!E104)</x:f>
        <x:v>0</x:v>
      </x:c>
      <x:c r="G86" s="17" t="n">
        <x:f>'Verdicts'!E104</x:f>
        <x:v>13</x:v>
      </x:c>
      <x:c r="H86" s="17"/>
    </x:row>
    <x:row r="87" ht="23" customHeight="1">
      <x:c r="B87" s="17" t="str">
        <x:v>Compress</x:v>
      </x:c>
      <x:c r="C87" s="17" t="str">
        <x:v>Round2</x:v>
      </x:c>
      <x:c r="D87" s="17" t="str">
        <x:v>BUGGY_NOT_RUN</x:v>
      </x:c>
      <x:c r="E87" s="17" t="n">
        <x:f>0</x:f>
        <x:v>0</x:v>
      </x:c>
      <x:c r="F87" s="33" t="str">
        <x:f>IF('Verdicts'!E109=0,"—",E87/'Verdicts'!E109)</x:f>
        <x:v>—</x:v>
      </x:c>
      <x:c r="G87" s="17" t="n">
        <x:f>'Verdicts'!E109</x:f>
        <x:v>0</x:v>
      </x:c>
      <x:c r="H87" s="17" t="n">
        <x:f>SUM(E87:E90)-G87</x:f>
        <x:v>0</x:v>
      </x:c>
    </x:row>
    <x:row r="88" ht="23" customHeight="1">
      <x:c r="B88" s="17" t="str">
        <x:v>Compress</x:v>
      </x:c>
      <x:c r="C88" s="17" t="str">
        <x:v>Round2</x:v>
      </x:c>
      <x:c r="D88" s="17" t="str">
        <x:v>FIXED_NOT_RUN</x:v>
      </x:c>
      <x:c r="E88" s="17" t="n">
        <x:f>0</x:f>
        <x:v>0</x:v>
      </x:c>
      <x:c r="F88" s="33" t="str">
        <x:f>IF('Verdicts'!E109=0,"—",E88/'Verdicts'!E109)</x:f>
        <x:v>—</x:v>
      </x:c>
      <x:c r="G88" s="17" t="n">
        <x:f>'Verdicts'!E109</x:f>
        <x:v>0</x:v>
      </x:c>
      <x:c r="H88" s="17"/>
    </x:row>
    <x:row r="89" ht="23" customHeight="1">
      <x:c r="B89" s="17" t="str">
        <x:v>Compress</x:v>
      </x:c>
      <x:c r="C89" s="17" t="str">
        <x:v>Round2</x:v>
      </x:c>
      <x:c r="D89" s="17" t="str">
        <x:v>BOTH_NOT_RUN</x:v>
      </x:c>
      <x:c r="E89" s="17" t="n">
        <x:f>0</x:f>
        <x:v>0</x:v>
      </x:c>
      <x:c r="F89" s="33" t="str">
        <x:f>IF('Verdicts'!E109=0,"—",E89/'Verdicts'!E109)</x:f>
        <x:v>—</x:v>
      </x:c>
      <x:c r="G89" s="17" t="n">
        <x:f>'Verdicts'!E109</x:f>
        <x:v>0</x:v>
      </x:c>
      <x:c r="H89" s="17"/>
    </x:row>
    <x:row r="90" ht="23" customHeight="1">
      <x:c r="B90" s="17" t="str">
        <x:v>Compress</x:v>
      </x:c>
      <x:c r="C90" s="17" t="str">
        <x:v>Round2</x:v>
      </x:c>
      <x:c r="D90" s="17" t="str">
        <x:v>COVERAGE_UNAVAILABLE</x:v>
      </x:c>
      <x:c r="E90" s="17" t="n">
        <x:f>0</x:f>
        <x:v>0</x:v>
      </x:c>
      <x:c r="F90" s="33" t="str">
        <x:f>IF('Verdicts'!E109=0,"—",E90/'Verdicts'!E109)</x:f>
        <x:v>—</x:v>
      </x:c>
      <x:c r="G90" s="17" t="n">
        <x:f>'Verdicts'!E109</x:f>
        <x:v>0</x:v>
      </x:c>
      <x:c r="H90" s="17"/>
    </x:row>
    <x:row r="91" ht="23" customHeight="1">
      <x:c r="B91" s="17" t="str">
        <x:v>Csv</x:v>
      </x:c>
      <x:c r="C91" s="17" t="str">
        <x:v>All rounds</x:v>
      </x:c>
      <x:c r="D91" s="17" t="str">
        <x:v>BUGGY_NOT_RUN</x:v>
      </x:c>
      <x:c r="E91" s="17" t="n">
        <x:f>COUNTIF('BugResults'!$P$334:$P$349,"BUGGY_NOT_RUN")</x:f>
        <x:v>0</x:v>
      </x:c>
      <x:c r="F91" s="33" t="n">
        <x:f>IF('Verdicts'!E114=0,"—",E91/'Verdicts'!E114)</x:f>
        <x:v>0</x:v>
      </x:c>
      <x:c r="G91" s="17" t="n">
        <x:f>'Verdicts'!E114</x:f>
        <x:v>8</x:v>
      </x:c>
      <x:c r="H91" s="17" t="n">
        <x:f>SUM(E91:E94)-G91</x:f>
        <x:v>0</x:v>
      </x:c>
    </x:row>
    <x:row r="92" ht="23" customHeight="1">
      <x:c r="B92" s="17" t="str">
        <x:v>Csv</x:v>
      </x:c>
      <x:c r="C92" s="17" t="str">
        <x:v>All rounds</x:v>
      </x:c>
      <x:c r="D92" s="17" t="str">
        <x:v>FIXED_NOT_RUN</x:v>
      </x:c>
      <x:c r="E92" s="17" t="n">
        <x:f>COUNTIF('BugResults'!$P$334:$P$349,"FIXED_NOT_RUN")</x:f>
        <x:v>0</x:v>
      </x:c>
      <x:c r="F92" s="33" t="n">
        <x:f>IF('Verdicts'!E114=0,"—",E92/'Verdicts'!E114)</x:f>
        <x:v>0</x:v>
      </x:c>
      <x:c r="G92" s="17" t="n">
        <x:f>'Verdicts'!E114</x:f>
        <x:v>8</x:v>
      </x:c>
      <x:c r="H92" s="17"/>
    </x:row>
    <x:row r="93" ht="23" customHeight="1">
      <x:c r="B93" s="17" t="str">
        <x:v>Csv</x:v>
      </x:c>
      <x:c r="C93" s="17" t="str">
        <x:v>All rounds</x:v>
      </x:c>
      <x:c r="D93" s="17" t="str">
        <x:v>BOTH_NOT_RUN</x:v>
      </x:c>
      <x:c r="E93" s="17" t="n">
        <x:f>COUNTIF('BugResults'!$P$334:$P$349,"BOTH_NOT_RUN")</x:f>
        <x:v>8</x:v>
      </x:c>
      <x:c r="F93" s="33" t="n">
        <x:f>IF('Verdicts'!E114=0,"—",E93/'Verdicts'!E114)</x:f>
        <x:v>1</x:v>
      </x:c>
      <x:c r="G93" s="17" t="n">
        <x:f>'Verdicts'!E114</x:f>
        <x:v>8</x:v>
      </x:c>
      <x:c r="H93" s="17"/>
    </x:row>
    <x:row r="94" ht="23" customHeight="1">
      <x:c r="B94" s="17" t="str">
        <x:v>Csv</x:v>
      </x:c>
      <x:c r="C94" s="17" t="str">
        <x:v>All rounds</x:v>
      </x:c>
      <x:c r="D94" s="17" t="str">
        <x:v>COVERAGE_UNAVAILABLE</x:v>
      </x:c>
      <x:c r="E94" s="17" t="n">
        <x:f>COUNTIF('BugResults'!$P$334:$P$349,"COVERAGE_UNAVAILABLE")</x:f>
        <x:v>0</x:v>
      </x:c>
      <x:c r="F94" s="33" t="n">
        <x:f>IF('Verdicts'!E114=0,"—",E94/'Verdicts'!E114)</x:f>
        <x:v>0</x:v>
      </x:c>
      <x:c r="G94" s="17" t="n">
        <x:f>'Verdicts'!E114</x:f>
        <x:v>8</x:v>
      </x:c>
      <x:c r="H94" s="17"/>
    </x:row>
    <x:row r="95" ht="23" customHeight="1">
      <x:c r="B95" s="17" t="str">
        <x:v>Csv</x:v>
      </x:c>
      <x:c r="C95" s="17" t="str">
        <x:v>Round1</x:v>
      </x:c>
      <x:c r="D95" s="17" t="str">
        <x:v>BUGGY_NOT_RUN</x:v>
      </x:c>
      <x:c r="E95" s="17" t="n">
        <x:f>COUNTIF('BugResults'!$P$334:$P$349,"BUGGY_NOT_RUN")</x:f>
        <x:v>0</x:v>
      </x:c>
      <x:c r="F95" s="33" t="n">
        <x:f>IF('Verdicts'!E119=0,"—",E95/'Verdicts'!E119)</x:f>
        <x:v>0</x:v>
      </x:c>
      <x:c r="G95" s="17" t="n">
        <x:f>'Verdicts'!E119</x:f>
        <x:v>8</x:v>
      </x:c>
      <x:c r="H95" s="17" t="n">
        <x:f>SUM(E95:E98)-G95</x:f>
        <x:v>0</x:v>
      </x:c>
    </x:row>
    <x:row r="96" ht="23" customHeight="1">
      <x:c r="B96" s="17" t="str">
        <x:v>Csv</x:v>
      </x:c>
      <x:c r="C96" s="17" t="str">
        <x:v>Round1</x:v>
      </x:c>
      <x:c r="D96" s="17" t="str">
        <x:v>FIXED_NOT_RUN</x:v>
      </x:c>
      <x:c r="E96" s="17" t="n">
        <x:f>COUNTIF('BugResults'!$P$334:$P$349,"FIXED_NOT_RUN")</x:f>
        <x:v>0</x:v>
      </x:c>
      <x:c r="F96" s="33" t="n">
        <x:f>IF('Verdicts'!E119=0,"—",E96/'Verdicts'!E119)</x:f>
        <x:v>0</x:v>
      </x:c>
      <x:c r="G96" s="17" t="n">
        <x:f>'Verdicts'!E119</x:f>
        <x:v>8</x:v>
      </x:c>
      <x:c r="H96" s="17"/>
    </x:row>
    <x:row r="97" ht="23" customHeight="1">
      <x:c r="B97" s="17" t="str">
        <x:v>Csv</x:v>
      </x:c>
      <x:c r="C97" s="17" t="str">
        <x:v>Round1</x:v>
      </x:c>
      <x:c r="D97" s="17" t="str">
        <x:v>BOTH_NOT_RUN</x:v>
      </x:c>
      <x:c r="E97" s="17" t="n">
        <x:f>COUNTIF('BugResults'!$P$334:$P$349,"BOTH_NOT_RUN")</x:f>
        <x:v>8</x:v>
      </x:c>
      <x:c r="F97" s="33" t="n">
        <x:f>IF('Verdicts'!E119=0,"—",E97/'Verdicts'!E119)</x:f>
        <x:v>1</x:v>
      </x:c>
      <x:c r="G97" s="17" t="n">
        <x:f>'Verdicts'!E119</x:f>
        <x:v>8</x:v>
      </x:c>
      <x:c r="H97" s="17"/>
    </x:row>
    <x:row r="98" ht="23" customHeight="1">
      <x:c r="B98" s="17" t="str">
        <x:v>Csv</x:v>
      </x:c>
      <x:c r="C98" s="17" t="str">
        <x:v>Round1</x:v>
      </x:c>
      <x:c r="D98" s="17" t="str">
        <x:v>COVERAGE_UNAVAILABLE</x:v>
      </x:c>
      <x:c r="E98" s="17" t="n">
        <x:f>COUNTIF('BugResults'!$P$334:$P$349,"COVERAGE_UNAVAILABLE")</x:f>
        <x:v>0</x:v>
      </x:c>
      <x:c r="F98" s="33" t="n">
        <x:f>IF('Verdicts'!E119=0,"—",E98/'Verdicts'!E119)</x:f>
        <x:v>0</x:v>
      </x:c>
      <x:c r="G98" s="17" t="n">
        <x:f>'Verdicts'!E119</x:f>
        <x:v>8</x:v>
      </x:c>
      <x:c r="H98" s="17"/>
    </x:row>
    <x:row r="99" ht="23" customHeight="1">
      <x:c r="B99" s="17" t="str">
        <x:v>Csv</x:v>
      </x:c>
      <x:c r="C99" s="17" t="str">
        <x:v>Round2</x:v>
      </x:c>
      <x:c r="D99" s="17" t="str">
        <x:v>BUGGY_NOT_RUN</x:v>
      </x:c>
      <x:c r="E99" s="17" t="n">
        <x:f>0</x:f>
        <x:v>0</x:v>
      </x:c>
      <x:c r="F99" s="33" t="str">
        <x:f>IF('Verdicts'!E124=0,"—",E99/'Verdicts'!E124)</x:f>
        <x:v>—</x:v>
      </x:c>
      <x:c r="G99" s="17" t="n">
        <x:f>'Verdicts'!E124</x:f>
        <x:v>0</x:v>
      </x:c>
      <x:c r="H99" s="17" t="n">
        <x:f>SUM(E99:E102)-G99</x:f>
        <x:v>0</x:v>
      </x:c>
    </x:row>
    <x:row r="100" ht="23" customHeight="1">
      <x:c r="B100" s="17" t="str">
        <x:v>Csv</x:v>
      </x:c>
      <x:c r="C100" s="17" t="str">
        <x:v>Round2</x:v>
      </x:c>
      <x:c r="D100" s="17" t="str">
        <x:v>FIXED_NOT_RUN</x:v>
      </x:c>
      <x:c r="E100" s="17" t="n">
        <x:f>0</x:f>
        <x:v>0</x:v>
      </x:c>
      <x:c r="F100" s="33" t="str">
        <x:f>IF('Verdicts'!E124=0,"—",E100/'Verdicts'!E124)</x:f>
        <x:v>—</x:v>
      </x:c>
      <x:c r="G100" s="17" t="n">
        <x:f>'Verdicts'!E124</x:f>
        <x:v>0</x:v>
      </x:c>
      <x:c r="H100" s="17"/>
    </x:row>
    <x:row r="101" ht="23" customHeight="1">
      <x:c r="B101" s="17" t="str">
        <x:v>Csv</x:v>
      </x:c>
      <x:c r="C101" s="17" t="str">
        <x:v>Round2</x:v>
      </x:c>
      <x:c r="D101" s="17" t="str">
        <x:v>BOTH_NOT_RUN</x:v>
      </x:c>
      <x:c r="E101" s="17" t="n">
        <x:f>0</x:f>
        <x:v>0</x:v>
      </x:c>
      <x:c r="F101" s="33" t="str">
        <x:f>IF('Verdicts'!E124=0,"—",E101/'Verdicts'!E124)</x:f>
        <x:v>—</x:v>
      </x:c>
      <x:c r="G101" s="17" t="n">
        <x:f>'Verdicts'!E124</x:f>
        <x:v>0</x:v>
      </x:c>
      <x:c r="H101" s="17"/>
    </x:row>
    <x:row r="102" ht="23" customHeight="1">
      <x:c r="B102" s="17" t="str">
        <x:v>Csv</x:v>
      </x:c>
      <x:c r="C102" s="17" t="str">
        <x:v>Round2</x:v>
      </x:c>
      <x:c r="D102" s="17" t="str">
        <x:v>COVERAGE_UNAVAILABLE</x:v>
      </x:c>
      <x:c r="E102" s="17" t="n">
        <x:f>0</x:f>
        <x:v>0</x:v>
      </x:c>
      <x:c r="F102" s="33" t="str">
        <x:f>IF('Verdicts'!E124=0,"—",E102/'Verdicts'!E124)</x:f>
        <x:v>—</x:v>
      </x:c>
      <x:c r="G102" s="17" t="n">
        <x:f>'Verdicts'!E124</x:f>
        <x:v>0</x:v>
      </x:c>
      <x:c r="H102" s="17"/>
    </x:row>
    <x:row r="103" ht="23" customHeight="1">
      <x:c r="B103" s="17" t="str">
        <x:v>Gson</x:v>
      </x:c>
      <x:c r="C103" s="17" t="str">
        <x:v>All rounds</x:v>
      </x:c>
      <x:c r="D103" s="17" t="str">
        <x:v>BUGGY_NOT_RUN</x:v>
      </x:c>
      <x:c r="E103" s="17" t="n">
        <x:f>COUNTIF('BugResults'!$P$350:$P$367,"BUGGY_NOT_RUN")</x:f>
        <x:v>0</x:v>
      </x:c>
      <x:c r="F103" s="33" t="n">
        <x:f>IF('Verdicts'!E129=0,"—",E103/'Verdicts'!E129)</x:f>
        <x:v>0</x:v>
      </x:c>
      <x:c r="G103" s="17" t="n">
        <x:f>'Verdicts'!E129</x:f>
        <x:v>5</x:v>
      </x:c>
      <x:c r="H103" s="17" t="n">
        <x:f>SUM(E103:E106)-G103</x:f>
        <x:v>0</x:v>
      </x:c>
    </x:row>
    <x:row r="104" ht="23" customHeight="1">
      <x:c r="B104" s="17" t="str">
        <x:v>Gson</x:v>
      </x:c>
      <x:c r="C104" s="17" t="str">
        <x:v>All rounds</x:v>
      </x:c>
      <x:c r="D104" s="17" t="str">
        <x:v>FIXED_NOT_RUN</x:v>
      </x:c>
      <x:c r="E104" s="17" t="n">
        <x:f>COUNTIF('BugResults'!$P$350:$P$367,"FIXED_NOT_RUN")</x:f>
        <x:v>0</x:v>
      </x:c>
      <x:c r="F104" s="33" t="n">
        <x:f>IF('Verdicts'!E129=0,"—",E104/'Verdicts'!E129)</x:f>
        <x:v>0</x:v>
      </x:c>
      <x:c r="G104" s="17" t="n">
        <x:f>'Verdicts'!E129</x:f>
        <x:v>5</x:v>
      </x:c>
      <x:c r="H104" s="17"/>
    </x:row>
    <x:row r="105" ht="23" customHeight="1">
      <x:c r="B105" s="17" t="str">
        <x:v>Gson</x:v>
      </x:c>
      <x:c r="C105" s="17" t="str">
        <x:v>All rounds</x:v>
      </x:c>
      <x:c r="D105" s="17" t="str">
        <x:v>BOTH_NOT_RUN</x:v>
      </x:c>
      <x:c r="E105" s="17" t="n">
        <x:f>COUNTIF('BugResults'!$P$350:$P$367,"BOTH_NOT_RUN")</x:f>
        <x:v>5</x:v>
      </x:c>
      <x:c r="F105" s="33" t="n">
        <x:f>IF('Verdicts'!E129=0,"—",E105/'Verdicts'!E129)</x:f>
        <x:v>1</x:v>
      </x:c>
      <x:c r="G105" s="17" t="n">
        <x:f>'Verdicts'!E129</x:f>
        <x:v>5</x:v>
      </x:c>
      <x:c r="H105" s="17"/>
    </x:row>
    <x:row r="106" ht="23" customHeight="1">
      <x:c r="B106" s="17" t="str">
        <x:v>Gson</x:v>
      </x:c>
      <x:c r="C106" s="17" t="str">
        <x:v>All rounds</x:v>
      </x:c>
      <x:c r="D106" s="17" t="str">
        <x:v>COVERAGE_UNAVAILABLE</x:v>
      </x:c>
      <x:c r="E106" s="17" t="n">
        <x:f>COUNTIF('BugResults'!$P$350:$P$367,"COVERAGE_UNAVAILABLE")</x:f>
        <x:v>0</x:v>
      </x:c>
      <x:c r="F106" s="33" t="n">
        <x:f>IF('Verdicts'!E129=0,"—",E106/'Verdicts'!E129)</x:f>
        <x:v>0</x:v>
      </x:c>
      <x:c r="G106" s="17" t="n">
        <x:f>'Verdicts'!E129</x:f>
        <x:v>5</x:v>
      </x:c>
      <x:c r="H106" s="17"/>
    </x:row>
    <x:row r="107" ht="23" customHeight="1">
      <x:c r="B107" s="17" t="str">
        <x:v>Gson</x:v>
      </x:c>
      <x:c r="C107" s="17" t="str">
        <x:v>Round1</x:v>
      </x:c>
      <x:c r="D107" s="17" t="str">
        <x:v>BUGGY_NOT_RUN</x:v>
      </x:c>
      <x:c r="E107" s="17" t="n">
        <x:f>COUNTIF('BugResults'!$P$350:$P$367,"BUGGY_NOT_RUN")</x:f>
        <x:v>0</x:v>
      </x:c>
      <x:c r="F107" s="33" t="n">
        <x:f>IF('Verdicts'!E134=0,"—",E107/'Verdicts'!E134)</x:f>
        <x:v>0</x:v>
      </x:c>
      <x:c r="G107" s="17" t="n">
        <x:f>'Verdicts'!E134</x:f>
        <x:v>5</x:v>
      </x:c>
      <x:c r="H107" s="17" t="n">
        <x:f>SUM(E107:E110)-G107</x:f>
        <x:v>0</x:v>
      </x:c>
    </x:row>
    <x:row r="108" ht="23" customHeight="1">
      <x:c r="B108" s="17" t="str">
        <x:v>Gson</x:v>
      </x:c>
      <x:c r="C108" s="17" t="str">
        <x:v>Round1</x:v>
      </x:c>
      <x:c r="D108" s="17" t="str">
        <x:v>FIXED_NOT_RUN</x:v>
      </x:c>
      <x:c r="E108" s="17" t="n">
        <x:f>COUNTIF('BugResults'!$P$350:$P$367,"FIXED_NOT_RUN")</x:f>
        <x:v>0</x:v>
      </x:c>
      <x:c r="F108" s="33" t="n">
        <x:f>IF('Verdicts'!E134=0,"—",E108/'Verdicts'!E134)</x:f>
        <x:v>0</x:v>
      </x:c>
      <x:c r="G108" s="17" t="n">
        <x:f>'Verdicts'!E134</x:f>
        <x:v>5</x:v>
      </x:c>
      <x:c r="H108" s="17"/>
    </x:row>
    <x:row r="109" ht="23" customHeight="1">
      <x:c r="B109" s="17" t="str">
        <x:v>Gson</x:v>
      </x:c>
      <x:c r="C109" s="17" t="str">
        <x:v>Round1</x:v>
      </x:c>
      <x:c r="D109" s="17" t="str">
        <x:v>BOTH_NOT_RUN</x:v>
      </x:c>
      <x:c r="E109" s="17" t="n">
        <x:f>COUNTIF('BugResults'!$P$350:$P$367,"BOTH_NOT_RUN")</x:f>
        <x:v>5</x:v>
      </x:c>
      <x:c r="F109" s="33" t="n">
        <x:f>IF('Verdicts'!E134=0,"—",E109/'Verdicts'!E134)</x:f>
        <x:v>1</x:v>
      </x:c>
      <x:c r="G109" s="17" t="n">
        <x:f>'Verdicts'!E134</x:f>
        <x:v>5</x:v>
      </x:c>
      <x:c r="H109" s="17"/>
    </x:row>
    <x:row r="110" ht="23" customHeight="1">
      <x:c r="B110" s="17" t="str">
        <x:v>Gson</x:v>
      </x:c>
      <x:c r="C110" s="17" t="str">
        <x:v>Round1</x:v>
      </x:c>
      <x:c r="D110" s="17" t="str">
        <x:v>COVERAGE_UNAVAILABLE</x:v>
      </x:c>
      <x:c r="E110" s="17" t="n">
        <x:f>COUNTIF('BugResults'!$P$350:$P$367,"COVERAGE_UNAVAILABLE")</x:f>
        <x:v>0</x:v>
      </x:c>
      <x:c r="F110" s="33" t="n">
        <x:f>IF('Verdicts'!E134=0,"—",E110/'Verdicts'!E134)</x:f>
        <x:v>0</x:v>
      </x:c>
      <x:c r="G110" s="17" t="n">
        <x:f>'Verdicts'!E134</x:f>
        <x:v>5</x:v>
      </x:c>
      <x:c r="H110" s="17"/>
    </x:row>
    <x:row r="111" ht="23" customHeight="1">
      <x:c r="B111" s="17" t="str">
        <x:v>Gson</x:v>
      </x:c>
      <x:c r="C111" s="17" t="str">
        <x:v>Round2</x:v>
      </x:c>
      <x:c r="D111" s="17" t="str">
        <x:v>BUGGY_NOT_RUN</x:v>
      </x:c>
      <x:c r="E111" s="17" t="n">
        <x:f>0</x:f>
        <x:v>0</x:v>
      </x:c>
      <x:c r="F111" s="33" t="str">
        <x:f>IF('Verdicts'!E139=0,"—",E111/'Verdicts'!E139)</x:f>
        <x:v>—</x:v>
      </x:c>
      <x:c r="G111" s="17" t="n">
        <x:f>'Verdicts'!E139</x:f>
        <x:v>0</x:v>
      </x:c>
      <x:c r="H111" s="17" t="n">
        <x:f>SUM(E111:E114)-G111</x:f>
        <x:v>0</x:v>
      </x:c>
    </x:row>
    <x:row r="112" ht="23" customHeight="1">
      <x:c r="B112" s="17" t="str">
        <x:v>Gson</x:v>
      </x:c>
      <x:c r="C112" s="17" t="str">
        <x:v>Round2</x:v>
      </x:c>
      <x:c r="D112" s="17" t="str">
        <x:v>FIXED_NOT_RUN</x:v>
      </x:c>
      <x:c r="E112" s="17" t="n">
        <x:f>0</x:f>
        <x:v>0</x:v>
      </x:c>
      <x:c r="F112" s="33" t="str">
        <x:f>IF('Verdicts'!E139=0,"—",E112/'Verdicts'!E139)</x:f>
        <x:v>—</x:v>
      </x:c>
      <x:c r="G112" s="17" t="n">
        <x:f>'Verdicts'!E139</x:f>
        <x:v>0</x:v>
      </x:c>
      <x:c r="H112" s="17"/>
    </x:row>
    <x:row r="113" ht="23" customHeight="1">
      <x:c r="B113" s="17" t="str">
        <x:v>Gson</x:v>
      </x:c>
      <x:c r="C113" s="17" t="str">
        <x:v>Round2</x:v>
      </x:c>
      <x:c r="D113" s="17" t="str">
        <x:v>BOTH_NOT_RUN</x:v>
      </x:c>
      <x:c r="E113" s="17" t="n">
        <x:f>0</x:f>
        <x:v>0</x:v>
      </x:c>
      <x:c r="F113" s="33" t="str">
        <x:f>IF('Verdicts'!E139=0,"—",E113/'Verdicts'!E139)</x:f>
        <x:v>—</x:v>
      </x:c>
      <x:c r="G113" s="17" t="n">
        <x:f>'Verdicts'!E139</x:f>
        <x:v>0</x:v>
      </x:c>
      <x:c r="H113" s="17"/>
    </x:row>
    <x:row r="114" ht="23" customHeight="1">
      <x:c r="B114" s="17" t="str">
        <x:v>Gson</x:v>
      </x:c>
      <x:c r="C114" s="17" t="str">
        <x:v>Round2</x:v>
      </x:c>
      <x:c r="D114" s="17" t="str">
        <x:v>COVERAGE_UNAVAILABLE</x:v>
      </x:c>
      <x:c r="E114" s="17" t="n">
        <x:f>0</x:f>
        <x:v>0</x:v>
      </x:c>
      <x:c r="F114" s="33" t="str">
        <x:f>IF('Verdicts'!E139=0,"—",E114/'Verdicts'!E139)</x:f>
        <x:v>—</x:v>
      </x:c>
      <x:c r="G114" s="17" t="n">
        <x:f>'Verdicts'!E139</x:f>
        <x:v>0</x:v>
      </x:c>
      <x:c r="H114" s="17"/>
    </x:row>
    <x:row r="115" ht="23" customHeight="1">
      <x:c r="B115" s="17" t="str">
        <x:v>JacksonCore</x:v>
      </x:c>
      <x:c r="C115" s="17" t="str">
        <x:v>All rounds</x:v>
      </x:c>
      <x:c r="D115" s="17" t="str">
        <x:v>BUGGY_NOT_RUN</x:v>
      </x:c>
      <x:c r="E115" s="17" t="n">
        <x:f>COUNTIF('BugResults'!$P$368:$P$393,"BUGGY_NOT_RUN")</x:f>
        <x:v>0</x:v>
      </x:c>
      <x:c r="F115" s="33" t="n">
        <x:f>IF('Verdicts'!E144=0,"—",E115/'Verdicts'!E144)</x:f>
        <x:v>0</x:v>
      </x:c>
      <x:c r="G115" s="17" t="n">
        <x:f>'Verdicts'!E144</x:f>
        <x:v>6</x:v>
      </x:c>
      <x:c r="H115" s="17" t="n">
        <x:f>SUM(E115:E118)-G115</x:f>
        <x:v>0</x:v>
      </x:c>
    </x:row>
    <x:row r="116" ht="23" customHeight="1">
      <x:c r="B116" s="17" t="str">
        <x:v>JacksonCore</x:v>
      </x:c>
      <x:c r="C116" s="17" t="str">
        <x:v>All rounds</x:v>
      </x:c>
      <x:c r="D116" s="17" t="str">
        <x:v>FIXED_NOT_RUN</x:v>
      </x:c>
      <x:c r="E116" s="17" t="n">
        <x:f>COUNTIF('BugResults'!$P$368:$P$393,"FIXED_NOT_RUN")</x:f>
        <x:v>0</x:v>
      </x:c>
      <x:c r="F116" s="33" t="n">
        <x:f>IF('Verdicts'!E144=0,"—",E116/'Verdicts'!E144)</x:f>
        <x:v>0</x:v>
      </x:c>
      <x:c r="G116" s="17" t="n">
        <x:f>'Verdicts'!E144</x:f>
        <x:v>6</x:v>
      </x:c>
      <x:c r="H116" s="17"/>
    </x:row>
    <x:row r="117" ht="23" customHeight="1">
      <x:c r="B117" s="17" t="str">
        <x:v>JacksonCore</x:v>
      </x:c>
      <x:c r="C117" s="17" t="str">
        <x:v>All rounds</x:v>
      </x:c>
      <x:c r="D117" s="17" t="str">
        <x:v>BOTH_NOT_RUN</x:v>
      </x:c>
      <x:c r="E117" s="17" t="n">
        <x:f>COUNTIF('BugResults'!$P$368:$P$393,"BOTH_NOT_RUN")</x:f>
        <x:v>6</x:v>
      </x:c>
      <x:c r="F117" s="33" t="n">
        <x:f>IF('Verdicts'!E144=0,"—",E117/'Verdicts'!E144)</x:f>
        <x:v>1</x:v>
      </x:c>
      <x:c r="G117" s="17" t="n">
        <x:f>'Verdicts'!E144</x:f>
        <x:v>6</x:v>
      </x:c>
      <x:c r="H117" s="17"/>
    </x:row>
    <x:row r="118" ht="23" customHeight="1">
      <x:c r="B118" s="17" t="str">
        <x:v>JacksonCore</x:v>
      </x:c>
      <x:c r="C118" s="17" t="str">
        <x:v>All rounds</x:v>
      </x:c>
      <x:c r="D118" s="17" t="str">
        <x:v>COVERAGE_UNAVAILABLE</x:v>
      </x:c>
      <x:c r="E118" s="17" t="n">
        <x:f>COUNTIF('BugResults'!$P$368:$P$393,"COVERAGE_UNAVAILABLE")</x:f>
        <x:v>0</x:v>
      </x:c>
      <x:c r="F118" s="33" t="n">
        <x:f>IF('Verdicts'!E144=0,"—",E118/'Verdicts'!E144)</x:f>
        <x:v>0</x:v>
      </x:c>
      <x:c r="G118" s="17" t="n">
        <x:f>'Verdicts'!E144</x:f>
        <x:v>6</x:v>
      </x:c>
      <x:c r="H118" s="17"/>
    </x:row>
    <x:row r="119" ht="23" customHeight="1">
      <x:c r="B119" s="17" t="str">
        <x:v>JacksonCore</x:v>
      </x:c>
      <x:c r="C119" s="17" t="str">
        <x:v>Round1</x:v>
      </x:c>
      <x:c r="D119" s="17" t="str">
        <x:v>BUGGY_NOT_RUN</x:v>
      </x:c>
      <x:c r="E119" s="17" t="n">
        <x:f>COUNTIF('BugResults'!$P$368:$P$393,"BUGGY_NOT_RUN")</x:f>
        <x:v>0</x:v>
      </x:c>
      <x:c r="F119" s="33" t="n">
        <x:f>IF('Verdicts'!E149=0,"—",E119/'Verdicts'!E149)</x:f>
        <x:v>0</x:v>
      </x:c>
      <x:c r="G119" s="17" t="n">
        <x:f>'Verdicts'!E149</x:f>
        <x:v>6</x:v>
      </x:c>
      <x:c r="H119" s="17" t="n">
        <x:f>SUM(E119:E122)-G119</x:f>
        <x:v>0</x:v>
      </x:c>
    </x:row>
    <x:row r="120" ht="23" customHeight="1">
      <x:c r="B120" s="17" t="str">
        <x:v>JacksonCore</x:v>
      </x:c>
      <x:c r="C120" s="17" t="str">
        <x:v>Round1</x:v>
      </x:c>
      <x:c r="D120" s="17" t="str">
        <x:v>FIXED_NOT_RUN</x:v>
      </x:c>
      <x:c r="E120" s="17" t="n">
        <x:f>COUNTIF('BugResults'!$P$368:$P$393,"FIXED_NOT_RUN")</x:f>
        <x:v>0</x:v>
      </x:c>
      <x:c r="F120" s="33" t="n">
        <x:f>IF('Verdicts'!E149=0,"—",E120/'Verdicts'!E149)</x:f>
        <x:v>0</x:v>
      </x:c>
      <x:c r="G120" s="17" t="n">
        <x:f>'Verdicts'!E149</x:f>
        <x:v>6</x:v>
      </x:c>
      <x:c r="H120" s="17"/>
    </x:row>
    <x:row r="121" ht="23" customHeight="1">
      <x:c r="B121" s="17" t="str">
        <x:v>JacksonCore</x:v>
      </x:c>
      <x:c r="C121" s="17" t="str">
        <x:v>Round1</x:v>
      </x:c>
      <x:c r="D121" s="17" t="str">
        <x:v>BOTH_NOT_RUN</x:v>
      </x:c>
      <x:c r="E121" s="17" t="n">
        <x:f>COUNTIF('BugResults'!$P$368:$P$393,"BOTH_NOT_RUN")</x:f>
        <x:v>6</x:v>
      </x:c>
      <x:c r="F121" s="33" t="n">
        <x:f>IF('Verdicts'!E149=0,"—",E121/'Verdicts'!E149)</x:f>
        <x:v>1</x:v>
      </x:c>
      <x:c r="G121" s="17" t="n">
        <x:f>'Verdicts'!E149</x:f>
        <x:v>6</x:v>
      </x:c>
      <x:c r="H121" s="17"/>
    </x:row>
    <x:row r="122" ht="23" customHeight="1">
      <x:c r="B122" s="17" t="str">
        <x:v>JacksonCore</x:v>
      </x:c>
      <x:c r="C122" s="17" t="str">
        <x:v>Round1</x:v>
      </x:c>
      <x:c r="D122" s="17" t="str">
        <x:v>COVERAGE_UNAVAILABLE</x:v>
      </x:c>
      <x:c r="E122" s="17" t="n">
        <x:f>COUNTIF('BugResults'!$P$368:$P$393,"COVERAGE_UNAVAILABLE")</x:f>
        <x:v>0</x:v>
      </x:c>
      <x:c r="F122" s="33" t="n">
        <x:f>IF('Verdicts'!E149=0,"—",E122/'Verdicts'!E149)</x:f>
        <x:v>0</x:v>
      </x:c>
      <x:c r="G122" s="17" t="n">
        <x:f>'Verdicts'!E149</x:f>
        <x:v>6</x:v>
      </x:c>
      <x:c r="H122" s="17"/>
    </x:row>
    <x:row r="123" ht="23" customHeight="1">
      <x:c r="B123" s="17" t="str">
        <x:v>JacksonCore</x:v>
      </x:c>
      <x:c r="C123" s="17" t="str">
        <x:v>Round2</x:v>
      </x:c>
      <x:c r="D123" s="17" t="str">
        <x:v>BUGGY_NOT_RUN</x:v>
      </x:c>
      <x:c r="E123" s="17" t="n">
        <x:f>0</x:f>
        <x:v>0</x:v>
      </x:c>
      <x:c r="F123" s="33" t="str">
        <x:f>IF('Verdicts'!E154=0,"—",E123/'Verdicts'!E154)</x:f>
        <x:v>—</x:v>
      </x:c>
      <x:c r="G123" s="17" t="n">
        <x:f>'Verdicts'!E154</x:f>
        <x:v>0</x:v>
      </x:c>
      <x:c r="H123" s="17" t="n">
        <x:f>SUM(E123:E126)-G123</x:f>
        <x:v>0</x:v>
      </x:c>
    </x:row>
    <x:row r="124" ht="23" customHeight="1">
      <x:c r="B124" s="17" t="str">
        <x:v>JacksonCore</x:v>
      </x:c>
      <x:c r="C124" s="17" t="str">
        <x:v>Round2</x:v>
      </x:c>
      <x:c r="D124" s="17" t="str">
        <x:v>FIXED_NOT_RUN</x:v>
      </x:c>
      <x:c r="E124" s="17" t="n">
        <x:f>0</x:f>
        <x:v>0</x:v>
      </x:c>
      <x:c r="F124" s="33" t="str">
        <x:f>IF('Verdicts'!E154=0,"—",E124/'Verdicts'!E154)</x:f>
        <x:v>—</x:v>
      </x:c>
      <x:c r="G124" s="17" t="n">
        <x:f>'Verdicts'!E154</x:f>
        <x:v>0</x:v>
      </x:c>
      <x:c r="H124" s="17"/>
    </x:row>
    <x:row r="125" ht="23" customHeight="1">
      <x:c r="B125" s="17" t="str">
        <x:v>JacksonCore</x:v>
      </x:c>
      <x:c r="C125" s="17" t="str">
        <x:v>Round2</x:v>
      </x:c>
      <x:c r="D125" s="17" t="str">
        <x:v>BOTH_NOT_RUN</x:v>
      </x:c>
      <x:c r="E125" s="17" t="n">
        <x:f>0</x:f>
        <x:v>0</x:v>
      </x:c>
      <x:c r="F125" s="33" t="str">
        <x:f>IF('Verdicts'!E154=0,"—",E125/'Verdicts'!E154)</x:f>
        <x:v>—</x:v>
      </x:c>
      <x:c r="G125" s="17" t="n">
        <x:f>'Verdicts'!E154</x:f>
        <x:v>0</x:v>
      </x:c>
      <x:c r="H125" s="17"/>
    </x:row>
    <x:row r="126" ht="23" customHeight="1">
      <x:c r="B126" s="17" t="str">
        <x:v>JacksonCore</x:v>
      </x:c>
      <x:c r="C126" s="17" t="str">
        <x:v>Round2</x:v>
      </x:c>
      <x:c r="D126" s="17" t="str">
        <x:v>COVERAGE_UNAVAILABLE</x:v>
      </x:c>
      <x:c r="E126" s="17" t="n">
        <x:f>0</x:f>
        <x:v>0</x:v>
      </x:c>
      <x:c r="F126" s="33" t="str">
        <x:f>IF('Verdicts'!E154=0,"—",E126/'Verdicts'!E154)</x:f>
        <x:v>—</x:v>
      </x:c>
      <x:c r="G126" s="17" t="n">
        <x:f>'Verdicts'!E154</x:f>
        <x:v>0</x:v>
      </x:c>
      <x:c r="H126" s="17"/>
    </x:row>
    <x:row r="127" ht="23" customHeight="1">
      <x:c r="B127" s="17" t="str">
        <x:v>JacksonDatabind</x:v>
      </x:c>
      <x:c r="C127" s="17" t="str">
        <x:v>All rounds</x:v>
      </x:c>
      <x:c r="D127" s="17" t="str">
        <x:v>BUGGY_NOT_RUN</x:v>
      </x:c>
      <x:c r="E127" s="17" t="n">
        <x:f>COUNTIF('BugResults'!$P$394:$P$503,"BUGGY_NOT_RUN")</x:f>
        <x:v>0</x:v>
      </x:c>
      <x:c r="F127" s="33" t="n">
        <x:f>IF('Verdicts'!E159=0,"—",E127/'Verdicts'!E159)</x:f>
        <x:v>0</x:v>
      </x:c>
      <x:c r="G127" s="17" t="n">
        <x:f>'Verdicts'!E159</x:f>
        <x:v>37</x:v>
      </x:c>
      <x:c r="H127" s="17" t="n">
        <x:f>SUM(E127:E130)-G127</x:f>
        <x:v>0</x:v>
      </x:c>
    </x:row>
    <x:row r="128" ht="23" customHeight="1">
      <x:c r="B128" s="17" t="str">
        <x:v>JacksonDatabind</x:v>
      </x:c>
      <x:c r="C128" s="17" t="str">
        <x:v>All rounds</x:v>
      </x:c>
      <x:c r="D128" s="17" t="str">
        <x:v>FIXED_NOT_RUN</x:v>
      </x:c>
      <x:c r="E128" s="17" t="n">
        <x:f>COUNTIF('BugResults'!$P$394:$P$503,"FIXED_NOT_RUN")</x:f>
        <x:v>1</x:v>
      </x:c>
      <x:c r="F128" s="33" t="n">
        <x:f>IF('Verdicts'!E159=0,"—",E128/'Verdicts'!E159)</x:f>
        <x:v>0.02702702702702703</x:v>
      </x:c>
      <x:c r="G128" s="17" t="n">
        <x:f>'Verdicts'!E159</x:f>
        <x:v>37</x:v>
      </x:c>
      <x:c r="H128" s="17"/>
    </x:row>
    <x:row r="129" ht="23" customHeight="1">
      <x:c r="B129" s="17" t="str">
        <x:v>JacksonDatabind</x:v>
      </x:c>
      <x:c r="C129" s="17" t="str">
        <x:v>All rounds</x:v>
      </x:c>
      <x:c r="D129" s="17" t="str">
        <x:v>BOTH_NOT_RUN</x:v>
      </x:c>
      <x:c r="E129" s="17" t="n">
        <x:f>COUNTIF('BugResults'!$P$394:$P$503,"BOTH_NOT_RUN")</x:f>
        <x:v>36</x:v>
      </x:c>
      <x:c r="F129" s="33" t="n">
        <x:f>IF('Verdicts'!E159=0,"—",E129/'Verdicts'!E159)</x:f>
        <x:v>0.972972972972973</x:v>
      </x:c>
      <x:c r="G129" s="17" t="n">
        <x:f>'Verdicts'!E159</x:f>
        <x:v>37</x:v>
      </x:c>
      <x:c r="H129" s="17"/>
    </x:row>
    <x:row r="130" ht="23" customHeight="1">
      <x:c r="B130" s="17" t="str">
        <x:v>JacksonDatabind</x:v>
      </x:c>
      <x:c r="C130" s="17" t="str">
        <x:v>All rounds</x:v>
      </x:c>
      <x:c r="D130" s="17" t="str">
        <x:v>COVERAGE_UNAVAILABLE</x:v>
      </x:c>
      <x:c r="E130" s="17" t="n">
        <x:f>COUNTIF('BugResults'!$P$394:$P$503,"COVERAGE_UNAVAILABLE")</x:f>
        <x:v>0</x:v>
      </x:c>
      <x:c r="F130" s="33" t="n">
        <x:f>IF('Verdicts'!E159=0,"—",E130/'Verdicts'!E159)</x:f>
        <x:v>0</x:v>
      </x:c>
      <x:c r="G130" s="17" t="n">
        <x:f>'Verdicts'!E159</x:f>
        <x:v>37</x:v>
      </x:c>
      <x:c r="H130" s="17"/>
    </x:row>
    <x:row r="131" ht="23" customHeight="1">
      <x:c r="B131" s="17" t="str">
        <x:v>JacksonDatabind</x:v>
      </x:c>
      <x:c r="C131" s="17" t="str">
        <x:v>Round1</x:v>
      </x:c>
      <x:c r="D131" s="17" t="str">
        <x:v>BUGGY_NOT_RUN</x:v>
      </x:c>
      <x:c r="E131" s="17" t="n">
        <x:f>COUNTIF('BugResults'!$P$394:$P$503,"BUGGY_NOT_RUN")</x:f>
        <x:v>0</x:v>
      </x:c>
      <x:c r="F131" s="33" t="n">
        <x:f>IF('Verdicts'!E164=0,"—",E131/'Verdicts'!E164)</x:f>
        <x:v>0</x:v>
      </x:c>
      <x:c r="G131" s="17" t="n">
        <x:f>'Verdicts'!E164</x:f>
        <x:v>37</x:v>
      </x:c>
      <x:c r="H131" s="17" t="n">
        <x:f>SUM(E131:E134)-G131</x:f>
        <x:v>0</x:v>
      </x:c>
    </x:row>
    <x:row r="132" ht="23" customHeight="1">
      <x:c r="B132" s="17" t="str">
        <x:v>JacksonDatabind</x:v>
      </x:c>
      <x:c r="C132" s="17" t="str">
        <x:v>Round1</x:v>
      </x:c>
      <x:c r="D132" s="17" t="str">
        <x:v>FIXED_NOT_RUN</x:v>
      </x:c>
      <x:c r="E132" s="17" t="n">
        <x:f>COUNTIF('BugResults'!$P$394:$P$503,"FIXED_NOT_RUN")</x:f>
        <x:v>1</x:v>
      </x:c>
      <x:c r="F132" s="33" t="n">
        <x:f>IF('Verdicts'!E164=0,"—",E132/'Verdicts'!E164)</x:f>
        <x:v>0.02702702702702703</x:v>
      </x:c>
      <x:c r="G132" s="17" t="n">
        <x:f>'Verdicts'!E164</x:f>
        <x:v>37</x:v>
      </x:c>
      <x:c r="H132" s="17"/>
    </x:row>
    <x:row r="133" ht="23" customHeight="1">
      <x:c r="B133" s="17" t="str">
        <x:v>JacksonDatabind</x:v>
      </x:c>
      <x:c r="C133" s="17" t="str">
        <x:v>Round1</x:v>
      </x:c>
      <x:c r="D133" s="17" t="str">
        <x:v>BOTH_NOT_RUN</x:v>
      </x:c>
      <x:c r="E133" s="17" t="n">
        <x:f>COUNTIF('BugResults'!$P$394:$P$503,"BOTH_NOT_RUN")</x:f>
        <x:v>36</x:v>
      </x:c>
      <x:c r="F133" s="33" t="n">
        <x:f>IF('Verdicts'!E164=0,"—",E133/'Verdicts'!E164)</x:f>
        <x:v>0.972972972972973</x:v>
      </x:c>
      <x:c r="G133" s="17" t="n">
        <x:f>'Verdicts'!E164</x:f>
        <x:v>37</x:v>
      </x:c>
      <x:c r="H133" s="17"/>
    </x:row>
    <x:row r="134" ht="23" customHeight="1">
      <x:c r="B134" s="17" t="str">
        <x:v>JacksonDatabind</x:v>
      </x:c>
      <x:c r="C134" s="17" t="str">
        <x:v>Round1</x:v>
      </x:c>
      <x:c r="D134" s="17" t="str">
        <x:v>COVERAGE_UNAVAILABLE</x:v>
      </x:c>
      <x:c r="E134" s="17" t="n">
        <x:f>COUNTIF('BugResults'!$P$394:$P$503,"COVERAGE_UNAVAILABLE")</x:f>
        <x:v>0</x:v>
      </x:c>
      <x:c r="F134" s="33" t="n">
        <x:f>IF('Verdicts'!E164=0,"—",E134/'Verdicts'!E164)</x:f>
        <x:v>0</x:v>
      </x:c>
      <x:c r="G134" s="17" t="n">
        <x:f>'Verdicts'!E164</x:f>
        <x:v>37</x:v>
      </x:c>
      <x:c r="H134" s="17"/>
    </x:row>
    <x:row r="135" ht="23" customHeight="1">
      <x:c r="B135" s="17" t="str">
        <x:v>JacksonDatabind</x:v>
      </x:c>
      <x:c r="C135" s="17" t="str">
        <x:v>Round2</x:v>
      </x:c>
      <x:c r="D135" s="17" t="str">
        <x:v>BUGGY_NOT_RUN</x:v>
      </x:c>
      <x:c r="E135" s="17" t="n">
        <x:f>0</x:f>
        <x:v>0</x:v>
      </x:c>
      <x:c r="F135" s="33" t="str">
        <x:f>IF('Verdicts'!E169=0,"—",E135/'Verdicts'!E169)</x:f>
        <x:v>—</x:v>
      </x:c>
      <x:c r="G135" s="17" t="n">
        <x:f>'Verdicts'!E169</x:f>
        <x:v>0</x:v>
      </x:c>
      <x:c r="H135" s="17" t="n">
        <x:f>SUM(E135:E138)-G135</x:f>
        <x:v>0</x:v>
      </x:c>
    </x:row>
    <x:row r="136" ht="23" customHeight="1">
      <x:c r="B136" s="17" t="str">
        <x:v>JacksonDatabind</x:v>
      </x:c>
      <x:c r="C136" s="17" t="str">
        <x:v>Round2</x:v>
      </x:c>
      <x:c r="D136" s="17" t="str">
        <x:v>FIXED_NOT_RUN</x:v>
      </x:c>
      <x:c r="E136" s="17" t="n">
        <x:f>0</x:f>
        <x:v>0</x:v>
      </x:c>
      <x:c r="F136" s="33" t="str">
        <x:f>IF('Verdicts'!E169=0,"—",E136/'Verdicts'!E169)</x:f>
        <x:v>—</x:v>
      </x:c>
      <x:c r="G136" s="17" t="n">
        <x:f>'Verdicts'!E169</x:f>
        <x:v>0</x:v>
      </x:c>
      <x:c r="H136" s="17"/>
    </x:row>
    <x:row r="137" ht="23" customHeight="1">
      <x:c r="B137" s="17" t="str">
        <x:v>JacksonDatabind</x:v>
      </x:c>
      <x:c r="C137" s="17" t="str">
        <x:v>Round2</x:v>
      </x:c>
      <x:c r="D137" s="17" t="str">
        <x:v>BOTH_NOT_RUN</x:v>
      </x:c>
      <x:c r="E137" s="17" t="n">
        <x:f>0</x:f>
        <x:v>0</x:v>
      </x:c>
      <x:c r="F137" s="33" t="str">
        <x:f>IF('Verdicts'!E169=0,"—",E137/'Verdicts'!E169)</x:f>
        <x:v>—</x:v>
      </x:c>
      <x:c r="G137" s="17" t="n">
        <x:f>'Verdicts'!E169</x:f>
        <x:v>0</x:v>
      </x:c>
      <x:c r="H137" s="17"/>
    </x:row>
    <x:row r="138" ht="23" customHeight="1">
      <x:c r="B138" s="17" t="str">
        <x:v>JacksonDatabind</x:v>
      </x:c>
      <x:c r="C138" s="17" t="str">
        <x:v>Round2</x:v>
      </x:c>
      <x:c r="D138" s="17" t="str">
        <x:v>COVERAGE_UNAVAILABLE</x:v>
      </x:c>
      <x:c r="E138" s="17" t="n">
        <x:f>0</x:f>
        <x:v>0</x:v>
      </x:c>
      <x:c r="F138" s="33" t="str">
        <x:f>IF('Verdicts'!E169=0,"—",E138/'Verdicts'!E169)</x:f>
        <x:v>—</x:v>
      </x:c>
      <x:c r="G138" s="17" t="n">
        <x:f>'Verdicts'!E169</x:f>
        <x:v>0</x:v>
      </x:c>
      <x:c r="H138" s="17"/>
    </x:row>
    <x:row r="139" ht="23" customHeight="1">
      <x:c r="B139" s="17" t="str">
        <x:v>JacksonXml</x:v>
      </x:c>
      <x:c r="C139" s="17" t="str">
        <x:v>All rounds</x:v>
      </x:c>
      <x:c r="D139" s="17" t="str">
        <x:v>BUGGY_NOT_RUN</x:v>
      </x:c>
      <x:c r="E139" s="17" t="n">
        <x:f>COUNTIF('BugResults'!$P$504:$P$509,"BUGGY_NOT_RUN")</x:f>
        <x:v>0</x:v>
      </x:c>
      <x:c r="F139" s="33" t="n">
        <x:f>IF('Verdicts'!E174=0,"—",E139/'Verdicts'!E174)</x:f>
        <x:v>0</x:v>
      </x:c>
      <x:c r="G139" s="17" t="n">
        <x:f>'Verdicts'!E174</x:f>
        <x:v>1</x:v>
      </x:c>
      <x:c r="H139" s="17" t="n">
        <x:f>SUM(E139:E142)-G139</x:f>
        <x:v>0</x:v>
      </x:c>
    </x:row>
    <x:row r="140" ht="23" customHeight="1">
      <x:c r="B140" s="17" t="str">
        <x:v>JacksonXml</x:v>
      </x:c>
      <x:c r="C140" s="17" t="str">
        <x:v>All rounds</x:v>
      </x:c>
      <x:c r="D140" s="17" t="str">
        <x:v>FIXED_NOT_RUN</x:v>
      </x:c>
      <x:c r="E140" s="17" t="n">
        <x:f>COUNTIF('BugResults'!$P$504:$P$509,"FIXED_NOT_RUN")</x:f>
        <x:v>0</x:v>
      </x:c>
      <x:c r="F140" s="33" t="n">
        <x:f>IF('Verdicts'!E174=0,"—",E140/'Verdicts'!E174)</x:f>
        <x:v>0</x:v>
      </x:c>
      <x:c r="G140" s="17" t="n">
        <x:f>'Verdicts'!E174</x:f>
        <x:v>1</x:v>
      </x:c>
      <x:c r="H140" s="17"/>
    </x:row>
    <x:row r="141" ht="23" customHeight="1">
      <x:c r="B141" s="17" t="str">
        <x:v>JacksonXml</x:v>
      </x:c>
      <x:c r="C141" s="17" t="str">
        <x:v>All rounds</x:v>
      </x:c>
      <x:c r="D141" s="17" t="str">
        <x:v>BOTH_NOT_RUN</x:v>
      </x:c>
      <x:c r="E141" s="17" t="n">
        <x:f>COUNTIF('BugResults'!$P$504:$P$509,"BOTH_NOT_RUN")</x:f>
        <x:v>1</x:v>
      </x:c>
      <x:c r="F141" s="33" t="n">
        <x:f>IF('Verdicts'!E174=0,"—",E141/'Verdicts'!E174)</x:f>
        <x:v>1</x:v>
      </x:c>
      <x:c r="G141" s="17" t="n">
        <x:f>'Verdicts'!E174</x:f>
        <x:v>1</x:v>
      </x:c>
      <x:c r="H141" s="17"/>
    </x:row>
    <x:row r="142" ht="23" customHeight="1">
      <x:c r="B142" s="17" t="str">
        <x:v>JacksonXml</x:v>
      </x:c>
      <x:c r="C142" s="17" t="str">
        <x:v>All rounds</x:v>
      </x:c>
      <x:c r="D142" s="17" t="str">
        <x:v>COVERAGE_UNAVAILABLE</x:v>
      </x:c>
      <x:c r="E142" s="17" t="n">
        <x:f>COUNTIF('BugResults'!$P$504:$P$509,"COVERAGE_UNAVAILABLE")</x:f>
        <x:v>0</x:v>
      </x:c>
      <x:c r="F142" s="33" t="n">
        <x:f>IF('Verdicts'!E174=0,"—",E142/'Verdicts'!E174)</x:f>
        <x:v>0</x:v>
      </x:c>
      <x:c r="G142" s="17" t="n">
        <x:f>'Verdicts'!E174</x:f>
        <x:v>1</x:v>
      </x:c>
      <x:c r="H142" s="17"/>
    </x:row>
    <x:row r="143" ht="23" customHeight="1">
      <x:c r="B143" s="17" t="str">
        <x:v>JacksonXml</x:v>
      </x:c>
      <x:c r="C143" s="17" t="str">
        <x:v>Round1</x:v>
      </x:c>
      <x:c r="D143" s="17" t="str">
        <x:v>BUGGY_NOT_RUN</x:v>
      </x:c>
      <x:c r="E143" s="17" t="n">
        <x:f>COUNTIF('BugResults'!$P$504:$P$509,"BUGGY_NOT_RUN")</x:f>
        <x:v>0</x:v>
      </x:c>
      <x:c r="F143" s="33" t="n">
        <x:f>IF('Verdicts'!E179=0,"—",E143/'Verdicts'!E179)</x:f>
        <x:v>0</x:v>
      </x:c>
      <x:c r="G143" s="17" t="n">
        <x:f>'Verdicts'!E179</x:f>
        <x:v>1</x:v>
      </x:c>
      <x:c r="H143" s="17" t="n">
        <x:f>SUM(E143:E146)-G143</x:f>
        <x:v>0</x:v>
      </x:c>
    </x:row>
    <x:row r="144" ht="23" customHeight="1">
      <x:c r="B144" s="17" t="str">
        <x:v>JacksonXml</x:v>
      </x:c>
      <x:c r="C144" s="17" t="str">
        <x:v>Round1</x:v>
      </x:c>
      <x:c r="D144" s="17" t="str">
        <x:v>FIXED_NOT_RUN</x:v>
      </x:c>
      <x:c r="E144" s="17" t="n">
        <x:f>COUNTIF('BugResults'!$P$504:$P$509,"FIXED_NOT_RUN")</x:f>
        <x:v>0</x:v>
      </x:c>
      <x:c r="F144" s="33" t="n">
        <x:f>IF('Verdicts'!E179=0,"—",E144/'Verdicts'!E179)</x:f>
        <x:v>0</x:v>
      </x:c>
      <x:c r="G144" s="17" t="n">
        <x:f>'Verdicts'!E179</x:f>
        <x:v>1</x:v>
      </x:c>
      <x:c r="H144" s="17"/>
    </x:row>
    <x:row r="145" ht="23" customHeight="1">
      <x:c r="B145" s="17" t="str">
        <x:v>JacksonXml</x:v>
      </x:c>
      <x:c r="C145" s="17" t="str">
        <x:v>Round1</x:v>
      </x:c>
      <x:c r="D145" s="17" t="str">
        <x:v>BOTH_NOT_RUN</x:v>
      </x:c>
      <x:c r="E145" s="17" t="n">
        <x:f>COUNTIF('BugResults'!$P$504:$P$509,"BOTH_NOT_RUN")</x:f>
        <x:v>1</x:v>
      </x:c>
      <x:c r="F145" s="33" t="n">
        <x:f>IF('Verdicts'!E179=0,"—",E145/'Verdicts'!E179)</x:f>
        <x:v>1</x:v>
      </x:c>
      <x:c r="G145" s="17" t="n">
        <x:f>'Verdicts'!E179</x:f>
        <x:v>1</x:v>
      </x:c>
      <x:c r="H145" s="17"/>
    </x:row>
    <x:row r="146" ht="23" customHeight="1">
      <x:c r="B146" s="17" t="str">
        <x:v>JacksonXml</x:v>
      </x:c>
      <x:c r="C146" s="17" t="str">
        <x:v>Round1</x:v>
      </x:c>
      <x:c r="D146" s="17" t="str">
        <x:v>COVERAGE_UNAVAILABLE</x:v>
      </x:c>
      <x:c r="E146" s="17" t="n">
        <x:f>COUNTIF('BugResults'!$P$504:$P$509,"COVERAGE_UNAVAILABLE")</x:f>
        <x:v>0</x:v>
      </x:c>
      <x:c r="F146" s="33" t="n">
        <x:f>IF('Verdicts'!E179=0,"—",E146/'Verdicts'!E179)</x:f>
        <x:v>0</x:v>
      </x:c>
      <x:c r="G146" s="17" t="n">
        <x:f>'Verdicts'!E179</x:f>
        <x:v>1</x:v>
      </x:c>
      <x:c r="H146" s="17"/>
    </x:row>
    <x:row r="147" ht="23" customHeight="1">
      <x:c r="B147" s="17" t="str">
        <x:v>JacksonXml</x:v>
      </x:c>
      <x:c r="C147" s="17" t="str">
        <x:v>Round2</x:v>
      </x:c>
      <x:c r="D147" s="17" t="str">
        <x:v>BUGGY_NOT_RUN</x:v>
      </x:c>
      <x:c r="E147" s="17" t="n">
        <x:f>0</x:f>
        <x:v>0</x:v>
      </x:c>
      <x:c r="F147" s="33" t="str">
        <x:f>IF('Verdicts'!E184=0,"—",E147/'Verdicts'!E184)</x:f>
        <x:v>—</x:v>
      </x:c>
      <x:c r="G147" s="17" t="n">
        <x:f>'Verdicts'!E184</x:f>
        <x:v>0</x:v>
      </x:c>
      <x:c r="H147" s="17" t="n">
        <x:f>SUM(E147:E150)-G147</x:f>
        <x:v>0</x:v>
      </x:c>
    </x:row>
    <x:row r="148" ht="23" customHeight="1">
      <x:c r="B148" s="17" t="str">
        <x:v>JacksonXml</x:v>
      </x:c>
      <x:c r="C148" s="17" t="str">
        <x:v>Round2</x:v>
      </x:c>
      <x:c r="D148" s="17" t="str">
        <x:v>FIXED_NOT_RUN</x:v>
      </x:c>
      <x:c r="E148" s="17" t="n">
        <x:f>0</x:f>
        <x:v>0</x:v>
      </x:c>
      <x:c r="F148" s="33" t="str">
        <x:f>IF('Verdicts'!E184=0,"—",E148/'Verdicts'!E184)</x:f>
        <x:v>—</x:v>
      </x:c>
      <x:c r="G148" s="17" t="n">
        <x:f>'Verdicts'!E184</x:f>
        <x:v>0</x:v>
      </x:c>
      <x:c r="H148" s="17"/>
    </x:row>
    <x:row r="149" ht="23" customHeight="1">
      <x:c r="B149" s="17" t="str">
        <x:v>JacksonXml</x:v>
      </x:c>
      <x:c r="C149" s="17" t="str">
        <x:v>Round2</x:v>
      </x:c>
      <x:c r="D149" s="17" t="str">
        <x:v>BOTH_NOT_RUN</x:v>
      </x:c>
      <x:c r="E149" s="17" t="n">
        <x:f>0</x:f>
        <x:v>0</x:v>
      </x:c>
      <x:c r="F149" s="33" t="str">
        <x:f>IF('Verdicts'!E184=0,"—",E149/'Verdicts'!E184)</x:f>
        <x:v>—</x:v>
      </x:c>
      <x:c r="G149" s="17" t="n">
        <x:f>'Verdicts'!E184</x:f>
        <x:v>0</x:v>
      </x:c>
      <x:c r="H149" s="17"/>
    </x:row>
    <x:row r="150" ht="23" customHeight="1">
      <x:c r="B150" s="17" t="str">
        <x:v>JacksonXml</x:v>
      </x:c>
      <x:c r="C150" s="17" t="str">
        <x:v>Round2</x:v>
      </x:c>
      <x:c r="D150" s="17" t="str">
        <x:v>COVERAGE_UNAVAILABLE</x:v>
      </x:c>
      <x:c r="E150" s="17" t="n">
        <x:f>0</x:f>
        <x:v>0</x:v>
      </x:c>
      <x:c r="F150" s="33" t="str">
        <x:f>IF('Verdicts'!E184=0,"—",E150/'Verdicts'!E184)</x:f>
        <x:v>—</x:v>
      </x:c>
      <x:c r="G150" s="17" t="n">
        <x:f>'Verdicts'!E184</x:f>
        <x:v>0</x:v>
      </x:c>
      <x:c r="H150" s="17"/>
    </x:row>
    <x:row r="151" ht="23" customHeight="1">
      <x:c r="B151" s="17" t="str">
        <x:v>Jsoup</x:v>
      </x:c>
      <x:c r="C151" s="17" t="str">
        <x:v>All rounds</x:v>
      </x:c>
      <x:c r="D151" s="17" t="str">
        <x:v>BUGGY_NOT_RUN</x:v>
      </x:c>
      <x:c r="E151" s="17" t="n">
        <x:f>COUNTIF('BugResults'!$P$510:$P$602,"BUGGY_NOT_RUN")</x:f>
        <x:v>0</x:v>
      </x:c>
      <x:c r="F151" s="33" t="n">
        <x:f>IF('Verdicts'!E189=0,"—",E151/'Verdicts'!E189)</x:f>
        <x:v>0</x:v>
      </x:c>
      <x:c r="G151" s="17" t="n">
        <x:f>'Verdicts'!E189</x:f>
        <x:v>43</x:v>
      </x:c>
      <x:c r="H151" s="17" t="n">
        <x:f>SUM(E151:E154)-G151</x:f>
        <x:v>0</x:v>
      </x:c>
    </x:row>
    <x:row r="152" ht="23" customHeight="1">
      <x:c r="B152" s="17" t="str">
        <x:v>Jsoup</x:v>
      </x:c>
      <x:c r="C152" s="17" t="str">
        <x:v>All rounds</x:v>
      </x:c>
      <x:c r="D152" s="17" t="str">
        <x:v>FIXED_NOT_RUN</x:v>
      </x:c>
      <x:c r="E152" s="17" t="n">
        <x:f>COUNTIF('BugResults'!$P$510:$P$602,"FIXED_NOT_RUN")</x:f>
        <x:v>0</x:v>
      </x:c>
      <x:c r="F152" s="33" t="n">
        <x:f>IF('Verdicts'!E189=0,"—",E152/'Verdicts'!E189)</x:f>
        <x:v>0</x:v>
      </x:c>
      <x:c r="G152" s="17" t="n">
        <x:f>'Verdicts'!E189</x:f>
        <x:v>43</x:v>
      </x:c>
      <x:c r="H152" s="17"/>
    </x:row>
    <x:row r="153" ht="23" customHeight="1">
      <x:c r="B153" s="17" t="str">
        <x:v>Jsoup</x:v>
      </x:c>
      <x:c r="C153" s="17" t="str">
        <x:v>All rounds</x:v>
      </x:c>
      <x:c r="D153" s="17" t="str">
        <x:v>BOTH_NOT_RUN</x:v>
      </x:c>
      <x:c r="E153" s="17" t="n">
        <x:f>COUNTIF('BugResults'!$P$510:$P$602,"BOTH_NOT_RUN")</x:f>
        <x:v>43</x:v>
      </x:c>
      <x:c r="F153" s="33" t="n">
        <x:f>IF('Verdicts'!E189=0,"—",E153/'Verdicts'!E189)</x:f>
        <x:v>1</x:v>
      </x:c>
      <x:c r="G153" s="17" t="n">
        <x:f>'Verdicts'!E189</x:f>
        <x:v>43</x:v>
      </x:c>
      <x:c r="H153" s="17"/>
    </x:row>
    <x:row r="154" ht="23" customHeight="1">
      <x:c r="B154" s="17" t="str">
        <x:v>Jsoup</x:v>
      </x:c>
      <x:c r="C154" s="17" t="str">
        <x:v>All rounds</x:v>
      </x:c>
      <x:c r="D154" s="17" t="str">
        <x:v>COVERAGE_UNAVAILABLE</x:v>
      </x:c>
      <x:c r="E154" s="17" t="n">
        <x:f>COUNTIF('BugResults'!$P$510:$P$602,"COVERAGE_UNAVAILABLE")</x:f>
        <x:v>0</x:v>
      </x:c>
      <x:c r="F154" s="33" t="n">
        <x:f>IF('Verdicts'!E189=0,"—",E154/'Verdicts'!E189)</x:f>
        <x:v>0</x:v>
      </x:c>
      <x:c r="G154" s="17" t="n">
        <x:f>'Verdicts'!E189</x:f>
        <x:v>43</x:v>
      </x:c>
      <x:c r="H154" s="17"/>
    </x:row>
    <x:row r="155" ht="23" customHeight="1">
      <x:c r="B155" s="17" t="str">
        <x:v>Jsoup</x:v>
      </x:c>
      <x:c r="C155" s="17" t="str">
        <x:v>Round1</x:v>
      </x:c>
      <x:c r="D155" s="17" t="str">
        <x:v>BUGGY_NOT_RUN</x:v>
      </x:c>
      <x:c r="E155" s="17" t="n">
        <x:f>COUNTIF('BugResults'!$P$510:$P$602,"BUGGY_NOT_RUN")</x:f>
        <x:v>0</x:v>
      </x:c>
      <x:c r="F155" s="33" t="n">
        <x:f>IF('Verdicts'!E194=0,"—",E155/'Verdicts'!E194)</x:f>
        <x:v>0</x:v>
      </x:c>
      <x:c r="G155" s="17" t="n">
        <x:f>'Verdicts'!E194</x:f>
        <x:v>43</x:v>
      </x:c>
      <x:c r="H155" s="17" t="n">
        <x:f>SUM(E155:E158)-G155</x:f>
        <x:v>0</x:v>
      </x:c>
    </x:row>
    <x:row r="156" ht="23" customHeight="1">
      <x:c r="B156" s="17" t="str">
        <x:v>Jsoup</x:v>
      </x:c>
      <x:c r="C156" s="17" t="str">
        <x:v>Round1</x:v>
      </x:c>
      <x:c r="D156" s="17" t="str">
        <x:v>FIXED_NOT_RUN</x:v>
      </x:c>
      <x:c r="E156" s="17" t="n">
        <x:f>COUNTIF('BugResults'!$P$510:$P$602,"FIXED_NOT_RUN")</x:f>
        <x:v>0</x:v>
      </x:c>
      <x:c r="F156" s="33" t="n">
        <x:f>IF('Verdicts'!E194=0,"—",E156/'Verdicts'!E194)</x:f>
        <x:v>0</x:v>
      </x:c>
      <x:c r="G156" s="17" t="n">
        <x:f>'Verdicts'!E194</x:f>
        <x:v>43</x:v>
      </x:c>
      <x:c r="H156" s="17"/>
    </x:row>
    <x:row r="157" ht="23" customHeight="1">
      <x:c r="B157" s="17" t="str">
        <x:v>Jsoup</x:v>
      </x:c>
      <x:c r="C157" s="17" t="str">
        <x:v>Round1</x:v>
      </x:c>
      <x:c r="D157" s="17" t="str">
        <x:v>BOTH_NOT_RUN</x:v>
      </x:c>
      <x:c r="E157" s="17" t="n">
        <x:f>COUNTIF('BugResults'!$P$510:$P$602,"BOTH_NOT_RUN")</x:f>
        <x:v>43</x:v>
      </x:c>
      <x:c r="F157" s="33" t="n">
        <x:f>IF('Verdicts'!E194=0,"—",E157/'Verdicts'!E194)</x:f>
        <x:v>1</x:v>
      </x:c>
      <x:c r="G157" s="17" t="n">
        <x:f>'Verdicts'!E194</x:f>
        <x:v>43</x:v>
      </x:c>
      <x:c r="H157" s="17"/>
    </x:row>
    <x:row r="158" ht="23" customHeight="1">
      <x:c r="B158" s="17" t="str">
        <x:v>Jsoup</x:v>
      </x:c>
      <x:c r="C158" s="17" t="str">
        <x:v>Round1</x:v>
      </x:c>
      <x:c r="D158" s="17" t="str">
        <x:v>COVERAGE_UNAVAILABLE</x:v>
      </x:c>
      <x:c r="E158" s="17" t="n">
        <x:f>COUNTIF('BugResults'!$P$510:$P$602,"COVERAGE_UNAVAILABLE")</x:f>
        <x:v>0</x:v>
      </x:c>
      <x:c r="F158" s="33" t="n">
        <x:f>IF('Verdicts'!E194=0,"—",E158/'Verdicts'!E194)</x:f>
        <x:v>0</x:v>
      </x:c>
      <x:c r="G158" s="17" t="n">
        <x:f>'Verdicts'!E194</x:f>
        <x:v>43</x:v>
      </x:c>
      <x:c r="H158" s="17"/>
    </x:row>
    <x:row r="159" ht="23" customHeight="1">
      <x:c r="B159" s="17" t="str">
        <x:v>Jsoup</x:v>
      </x:c>
      <x:c r="C159" s="17" t="str">
        <x:v>Round2</x:v>
      </x:c>
      <x:c r="D159" s="17" t="str">
        <x:v>BUGGY_NOT_RUN</x:v>
      </x:c>
      <x:c r="E159" s="17" t="n">
        <x:f>0</x:f>
        <x:v>0</x:v>
      </x:c>
      <x:c r="F159" s="33" t="str">
        <x:f>IF('Verdicts'!E199=0,"—",E159/'Verdicts'!E199)</x:f>
        <x:v>—</x:v>
      </x:c>
      <x:c r="G159" s="17" t="n">
        <x:f>'Verdicts'!E199</x:f>
        <x:v>0</x:v>
      </x:c>
      <x:c r="H159" s="17" t="n">
        <x:f>SUM(E159:E162)-G159</x:f>
        <x:v>0</x:v>
      </x:c>
    </x:row>
    <x:row r="160" ht="23" customHeight="1">
      <x:c r="B160" s="17" t="str">
        <x:v>Jsoup</x:v>
      </x:c>
      <x:c r="C160" s="17" t="str">
        <x:v>Round2</x:v>
      </x:c>
      <x:c r="D160" s="17" t="str">
        <x:v>FIXED_NOT_RUN</x:v>
      </x:c>
      <x:c r="E160" s="17" t="n">
        <x:f>0</x:f>
        <x:v>0</x:v>
      </x:c>
      <x:c r="F160" s="33" t="str">
        <x:f>IF('Verdicts'!E199=0,"—",E160/'Verdicts'!E199)</x:f>
        <x:v>—</x:v>
      </x:c>
      <x:c r="G160" s="17" t="n">
        <x:f>'Verdicts'!E199</x:f>
        <x:v>0</x:v>
      </x:c>
      <x:c r="H160" s="17"/>
    </x:row>
    <x:row r="161" ht="23" customHeight="1">
      <x:c r="B161" s="17" t="str">
        <x:v>Jsoup</x:v>
      </x:c>
      <x:c r="C161" s="17" t="str">
        <x:v>Round2</x:v>
      </x:c>
      <x:c r="D161" s="17" t="str">
        <x:v>BOTH_NOT_RUN</x:v>
      </x:c>
      <x:c r="E161" s="17" t="n">
        <x:f>0</x:f>
        <x:v>0</x:v>
      </x:c>
      <x:c r="F161" s="33" t="str">
        <x:f>IF('Verdicts'!E199=0,"—",E161/'Verdicts'!E199)</x:f>
        <x:v>—</x:v>
      </x:c>
      <x:c r="G161" s="17" t="n">
        <x:f>'Verdicts'!E199</x:f>
        <x:v>0</x:v>
      </x:c>
      <x:c r="H161" s="17"/>
    </x:row>
    <x:row r="162" ht="23" customHeight="1">
      <x:c r="B162" s="17" t="str">
        <x:v>Jsoup</x:v>
      </x:c>
      <x:c r="C162" s="17" t="str">
        <x:v>Round2</x:v>
      </x:c>
      <x:c r="D162" s="17" t="str">
        <x:v>COVERAGE_UNAVAILABLE</x:v>
      </x:c>
      <x:c r="E162" s="17" t="n">
        <x:f>0</x:f>
        <x:v>0</x:v>
      </x:c>
      <x:c r="F162" s="33" t="str">
        <x:f>IF('Verdicts'!E199=0,"—",E162/'Verdicts'!E199)</x:f>
        <x:v>—</x:v>
      </x:c>
      <x:c r="G162" s="17" t="n">
        <x:f>'Verdicts'!E199</x:f>
        <x:v>0</x:v>
      </x:c>
      <x:c r="H162" s="17"/>
    </x:row>
    <x:row r="163" ht="23" customHeight="1">
      <x:c r="B163" s="17" t="str">
        <x:v>JxPath</x:v>
      </x:c>
      <x:c r="C163" s="17" t="str">
        <x:v>All rounds</x:v>
      </x:c>
      <x:c r="D163" s="17" t="str">
        <x:v>BUGGY_NOT_RUN</x:v>
      </x:c>
      <x:c r="E163" s="17" t="n">
        <x:f>COUNTIF('BugResults'!$P$603:$P$624,"BUGGY_NOT_RUN")</x:f>
        <x:v>0</x:v>
      </x:c>
      <x:c r="F163" s="33" t="n">
        <x:f>IF('Verdicts'!E204=0,"—",E163/'Verdicts'!E204)</x:f>
        <x:v>0</x:v>
      </x:c>
      <x:c r="G163" s="17" t="n">
        <x:f>'Verdicts'!E204</x:f>
        <x:v>14</x:v>
      </x:c>
      <x:c r="H163" s="17" t="n">
        <x:f>SUM(E163:E166)-G163</x:f>
        <x:v>0</x:v>
      </x:c>
    </x:row>
    <x:row r="164" ht="23" customHeight="1">
      <x:c r="B164" s="17" t="str">
        <x:v>JxPath</x:v>
      </x:c>
      <x:c r="C164" s="17" t="str">
        <x:v>All rounds</x:v>
      </x:c>
      <x:c r="D164" s="17" t="str">
        <x:v>FIXED_NOT_RUN</x:v>
      </x:c>
      <x:c r="E164" s="17" t="n">
        <x:f>COUNTIF('BugResults'!$P$603:$P$624,"FIXED_NOT_RUN")</x:f>
        <x:v>0</x:v>
      </x:c>
      <x:c r="F164" s="33" t="n">
        <x:f>IF('Verdicts'!E204=0,"—",E164/'Verdicts'!E204)</x:f>
        <x:v>0</x:v>
      </x:c>
      <x:c r="G164" s="17" t="n">
        <x:f>'Verdicts'!E204</x:f>
        <x:v>14</x:v>
      </x:c>
      <x:c r="H164" s="17"/>
    </x:row>
    <x:row r="165" ht="23" customHeight="1">
      <x:c r="B165" s="17" t="str">
        <x:v>JxPath</x:v>
      </x:c>
      <x:c r="C165" s="17" t="str">
        <x:v>All rounds</x:v>
      </x:c>
      <x:c r="D165" s="17" t="str">
        <x:v>BOTH_NOT_RUN</x:v>
      </x:c>
      <x:c r="E165" s="17" t="n">
        <x:f>COUNTIF('BugResults'!$P$603:$P$624,"BOTH_NOT_RUN")</x:f>
        <x:v>14</x:v>
      </x:c>
      <x:c r="F165" s="33" t="n">
        <x:f>IF('Verdicts'!E204=0,"—",E165/'Verdicts'!E204)</x:f>
        <x:v>1</x:v>
      </x:c>
      <x:c r="G165" s="17" t="n">
        <x:f>'Verdicts'!E204</x:f>
        <x:v>14</x:v>
      </x:c>
      <x:c r="H165" s="17"/>
    </x:row>
    <x:row r="166" ht="23" customHeight="1">
      <x:c r="B166" s="17" t="str">
        <x:v>JxPath</x:v>
      </x:c>
      <x:c r="C166" s="17" t="str">
        <x:v>All rounds</x:v>
      </x:c>
      <x:c r="D166" s="17" t="str">
        <x:v>COVERAGE_UNAVAILABLE</x:v>
      </x:c>
      <x:c r="E166" s="17" t="n">
        <x:f>COUNTIF('BugResults'!$P$603:$P$624,"COVERAGE_UNAVAILABLE")</x:f>
        <x:v>0</x:v>
      </x:c>
      <x:c r="F166" s="33" t="n">
        <x:f>IF('Verdicts'!E204=0,"—",E166/'Verdicts'!E204)</x:f>
        <x:v>0</x:v>
      </x:c>
      <x:c r="G166" s="17" t="n">
        <x:f>'Verdicts'!E204</x:f>
        <x:v>14</x:v>
      </x:c>
      <x:c r="H166" s="17"/>
    </x:row>
    <x:row r="167" ht="23" customHeight="1">
      <x:c r="B167" s="17" t="str">
        <x:v>JxPath</x:v>
      </x:c>
      <x:c r="C167" s="17" t="str">
        <x:v>Round1</x:v>
      </x:c>
      <x:c r="D167" s="17" t="str">
        <x:v>BUGGY_NOT_RUN</x:v>
      </x:c>
      <x:c r="E167" s="17" t="n">
        <x:f>COUNTIF('BugResults'!$P$603:$P$624,"BUGGY_NOT_RUN")</x:f>
        <x:v>0</x:v>
      </x:c>
      <x:c r="F167" s="33" t="n">
        <x:f>IF('Verdicts'!E209=0,"—",E167/'Verdicts'!E209)</x:f>
        <x:v>0</x:v>
      </x:c>
      <x:c r="G167" s="17" t="n">
        <x:f>'Verdicts'!E209</x:f>
        <x:v>14</x:v>
      </x:c>
      <x:c r="H167" s="17" t="n">
        <x:f>SUM(E167:E170)-G167</x:f>
        <x:v>0</x:v>
      </x:c>
    </x:row>
    <x:row r="168" ht="23" customHeight="1">
      <x:c r="B168" s="17" t="str">
        <x:v>JxPath</x:v>
      </x:c>
      <x:c r="C168" s="17" t="str">
        <x:v>Round1</x:v>
      </x:c>
      <x:c r="D168" s="17" t="str">
        <x:v>FIXED_NOT_RUN</x:v>
      </x:c>
      <x:c r="E168" s="17" t="n">
        <x:f>COUNTIF('BugResults'!$P$603:$P$624,"FIXED_NOT_RUN")</x:f>
        <x:v>0</x:v>
      </x:c>
      <x:c r="F168" s="33" t="n">
        <x:f>IF('Verdicts'!E209=0,"—",E168/'Verdicts'!E209)</x:f>
        <x:v>0</x:v>
      </x:c>
      <x:c r="G168" s="17" t="n">
        <x:f>'Verdicts'!E209</x:f>
        <x:v>14</x:v>
      </x:c>
      <x:c r="H168" s="17"/>
    </x:row>
    <x:row r="169" ht="23" customHeight="1">
      <x:c r="B169" s="17" t="str">
        <x:v>JxPath</x:v>
      </x:c>
      <x:c r="C169" s="17" t="str">
        <x:v>Round1</x:v>
      </x:c>
      <x:c r="D169" s="17" t="str">
        <x:v>BOTH_NOT_RUN</x:v>
      </x:c>
      <x:c r="E169" s="17" t="n">
        <x:f>COUNTIF('BugResults'!$P$603:$P$624,"BOTH_NOT_RUN")</x:f>
        <x:v>14</x:v>
      </x:c>
      <x:c r="F169" s="33" t="n">
        <x:f>IF('Verdicts'!E209=0,"—",E169/'Verdicts'!E209)</x:f>
        <x:v>1</x:v>
      </x:c>
      <x:c r="G169" s="17" t="n">
        <x:f>'Verdicts'!E209</x:f>
        <x:v>14</x:v>
      </x:c>
      <x:c r="H169" s="17"/>
    </x:row>
    <x:row r="170" ht="23" customHeight="1">
      <x:c r="B170" s="17" t="str">
        <x:v>JxPath</x:v>
      </x:c>
      <x:c r="C170" s="17" t="str">
        <x:v>Round1</x:v>
      </x:c>
      <x:c r="D170" s="17" t="str">
        <x:v>COVERAGE_UNAVAILABLE</x:v>
      </x:c>
      <x:c r="E170" s="17" t="n">
        <x:f>COUNTIF('BugResults'!$P$603:$P$624,"COVERAGE_UNAVAILABLE")</x:f>
        <x:v>0</x:v>
      </x:c>
      <x:c r="F170" s="33" t="n">
        <x:f>IF('Verdicts'!E209=0,"—",E170/'Verdicts'!E209)</x:f>
        <x:v>0</x:v>
      </x:c>
      <x:c r="G170" s="17" t="n">
        <x:f>'Verdicts'!E209</x:f>
        <x:v>14</x:v>
      </x:c>
      <x:c r="H170" s="17"/>
    </x:row>
    <x:row r="171" ht="23" customHeight="1">
      <x:c r="B171" s="17" t="str">
        <x:v>JxPath</x:v>
      </x:c>
      <x:c r="C171" s="17" t="str">
        <x:v>Round2</x:v>
      </x:c>
      <x:c r="D171" s="17" t="str">
        <x:v>BUGGY_NOT_RUN</x:v>
      </x:c>
      <x:c r="E171" s="17" t="n">
        <x:f>0</x:f>
        <x:v>0</x:v>
      </x:c>
      <x:c r="F171" s="33" t="str">
        <x:f>IF('Verdicts'!E214=0,"—",E171/'Verdicts'!E214)</x:f>
        <x:v>—</x:v>
      </x:c>
      <x:c r="G171" s="17" t="n">
        <x:f>'Verdicts'!E214</x:f>
        <x:v>0</x:v>
      </x:c>
      <x:c r="H171" s="17" t="n">
        <x:f>SUM(E171:E174)-G171</x:f>
        <x:v>0</x:v>
      </x:c>
    </x:row>
    <x:row r="172" ht="23" customHeight="1">
      <x:c r="B172" s="17" t="str">
        <x:v>JxPath</x:v>
      </x:c>
      <x:c r="C172" s="17" t="str">
        <x:v>Round2</x:v>
      </x:c>
      <x:c r="D172" s="17" t="str">
        <x:v>FIXED_NOT_RUN</x:v>
      </x:c>
      <x:c r="E172" s="17" t="n">
        <x:f>0</x:f>
        <x:v>0</x:v>
      </x:c>
      <x:c r="F172" s="33" t="str">
        <x:f>IF('Verdicts'!E214=0,"—",E172/'Verdicts'!E214)</x:f>
        <x:v>—</x:v>
      </x:c>
      <x:c r="G172" s="17" t="n">
        <x:f>'Verdicts'!E214</x:f>
        <x:v>0</x:v>
      </x:c>
      <x:c r="H172" s="17"/>
    </x:row>
    <x:row r="173" ht="23" customHeight="1">
      <x:c r="B173" s="17" t="str">
        <x:v>JxPath</x:v>
      </x:c>
      <x:c r="C173" s="17" t="str">
        <x:v>Round2</x:v>
      </x:c>
      <x:c r="D173" s="17" t="str">
        <x:v>BOTH_NOT_RUN</x:v>
      </x:c>
      <x:c r="E173" s="17" t="n">
        <x:f>0</x:f>
        <x:v>0</x:v>
      </x:c>
      <x:c r="F173" s="33" t="str">
        <x:f>IF('Verdicts'!E214=0,"—",E173/'Verdicts'!E214)</x:f>
        <x:v>—</x:v>
      </x:c>
      <x:c r="G173" s="17" t="n">
        <x:f>'Verdicts'!E214</x:f>
        <x:v>0</x:v>
      </x:c>
      <x:c r="H173" s="17"/>
    </x:row>
    <x:row r="174" ht="23" customHeight="1">
      <x:c r="B174" s="17" t="str">
        <x:v>JxPath</x:v>
      </x:c>
      <x:c r="C174" s="17" t="str">
        <x:v>Round2</x:v>
      </x:c>
      <x:c r="D174" s="17" t="str">
        <x:v>COVERAGE_UNAVAILABLE</x:v>
      </x:c>
      <x:c r="E174" s="17" t="n">
        <x:f>0</x:f>
        <x:v>0</x:v>
      </x:c>
      <x:c r="F174" s="33" t="str">
        <x:f>IF('Verdicts'!E214=0,"—",E174/'Verdicts'!E214)</x:f>
        <x:v>—</x:v>
      </x:c>
      <x:c r="G174" s="17" t="n">
        <x:f>'Verdicts'!E214</x:f>
        <x:v>0</x:v>
      </x:c>
      <x:c r="H174" s="17"/>
    </x:row>
    <x:row r="175" ht="23" customHeight="1">
      <x:c r="B175" s="17" t="str">
        <x:v>Lang</x:v>
      </x:c>
      <x:c r="C175" s="17" t="str">
        <x:v>All rounds</x:v>
      </x:c>
      <x:c r="D175" s="17" t="str">
        <x:v>BUGGY_NOT_RUN</x:v>
      </x:c>
      <x:c r="E175" s="17" t="n">
        <x:f>COUNTIF('BugResults'!$P$625:$P$685,"BUGGY_NOT_RUN")</x:f>
        <x:v>0</x:v>
      </x:c>
      <x:c r="F175" s="33" t="n">
        <x:f>IF('Verdicts'!E219=0,"—",E175/'Verdicts'!E219)</x:f>
        <x:v>0</x:v>
      </x:c>
      <x:c r="G175" s="17" t="n">
        <x:f>'Verdicts'!E219</x:f>
        <x:v>14</x:v>
      </x:c>
      <x:c r="H175" s="17" t="n">
        <x:f>SUM(E175:E178)-G175</x:f>
        <x:v>0</x:v>
      </x:c>
    </x:row>
    <x:row r="176" ht="23" customHeight="1">
      <x:c r="B176" s="17" t="str">
        <x:v>Lang</x:v>
      </x:c>
      <x:c r="C176" s="17" t="str">
        <x:v>All rounds</x:v>
      </x:c>
      <x:c r="D176" s="17" t="str">
        <x:v>FIXED_NOT_RUN</x:v>
      </x:c>
      <x:c r="E176" s="17" t="n">
        <x:f>COUNTIF('BugResults'!$P$625:$P$685,"FIXED_NOT_RUN")</x:f>
        <x:v>0</x:v>
      </x:c>
      <x:c r="F176" s="33" t="n">
        <x:f>IF('Verdicts'!E219=0,"—",E176/'Verdicts'!E219)</x:f>
        <x:v>0</x:v>
      </x:c>
      <x:c r="G176" s="17" t="n">
        <x:f>'Verdicts'!E219</x:f>
        <x:v>14</x:v>
      </x:c>
      <x:c r="H176" s="17"/>
    </x:row>
    <x:row r="177" ht="23" customHeight="1">
      <x:c r="B177" s="17" t="str">
        <x:v>Lang</x:v>
      </x:c>
      <x:c r="C177" s="17" t="str">
        <x:v>All rounds</x:v>
      </x:c>
      <x:c r="D177" s="17" t="str">
        <x:v>BOTH_NOT_RUN</x:v>
      </x:c>
      <x:c r="E177" s="17" t="n">
        <x:f>COUNTIF('BugResults'!$P$625:$P$685,"BOTH_NOT_RUN")</x:f>
        <x:v>14</x:v>
      </x:c>
      <x:c r="F177" s="33" t="n">
        <x:f>IF('Verdicts'!E219=0,"—",E177/'Verdicts'!E219)</x:f>
        <x:v>1</x:v>
      </x:c>
      <x:c r="G177" s="17" t="n">
        <x:f>'Verdicts'!E219</x:f>
        <x:v>14</x:v>
      </x:c>
      <x:c r="H177" s="17"/>
    </x:row>
    <x:row r="178" ht="23" customHeight="1">
      <x:c r="B178" s="17" t="str">
        <x:v>Lang</x:v>
      </x:c>
      <x:c r="C178" s="17" t="str">
        <x:v>All rounds</x:v>
      </x:c>
      <x:c r="D178" s="17" t="str">
        <x:v>COVERAGE_UNAVAILABLE</x:v>
      </x:c>
      <x:c r="E178" s="17" t="n">
        <x:f>COUNTIF('BugResults'!$P$625:$P$685,"COVERAGE_UNAVAILABLE")</x:f>
        <x:v>0</x:v>
      </x:c>
      <x:c r="F178" s="33" t="n">
        <x:f>IF('Verdicts'!E219=0,"—",E178/'Verdicts'!E219)</x:f>
        <x:v>0</x:v>
      </x:c>
      <x:c r="G178" s="17" t="n">
        <x:f>'Verdicts'!E219</x:f>
        <x:v>14</x:v>
      </x:c>
      <x:c r="H178" s="17"/>
    </x:row>
    <x:row r="179" ht="23" customHeight="1">
      <x:c r="B179" s="17" t="str">
        <x:v>Lang</x:v>
      </x:c>
      <x:c r="C179" s="17" t="str">
        <x:v>Round1</x:v>
      </x:c>
      <x:c r="D179" s="17" t="str">
        <x:v>BUGGY_NOT_RUN</x:v>
      </x:c>
      <x:c r="E179" s="17" t="n">
        <x:f>COUNTIF('BugResults'!$P$625:$P$685,"BUGGY_NOT_RUN")</x:f>
        <x:v>0</x:v>
      </x:c>
      <x:c r="F179" s="33" t="n">
        <x:f>IF('Verdicts'!E224=0,"—",E179/'Verdicts'!E224)</x:f>
        <x:v>0</x:v>
      </x:c>
      <x:c r="G179" s="17" t="n">
        <x:f>'Verdicts'!E224</x:f>
        <x:v>14</x:v>
      </x:c>
      <x:c r="H179" s="17" t="n">
        <x:f>SUM(E179:E182)-G179</x:f>
        <x:v>0</x:v>
      </x:c>
    </x:row>
    <x:row r="180" ht="23" customHeight="1">
      <x:c r="B180" s="17" t="str">
        <x:v>Lang</x:v>
      </x:c>
      <x:c r="C180" s="17" t="str">
        <x:v>Round1</x:v>
      </x:c>
      <x:c r="D180" s="17" t="str">
        <x:v>FIXED_NOT_RUN</x:v>
      </x:c>
      <x:c r="E180" s="17" t="n">
        <x:f>COUNTIF('BugResults'!$P$625:$P$685,"FIXED_NOT_RUN")</x:f>
        <x:v>0</x:v>
      </x:c>
      <x:c r="F180" s="33" t="n">
        <x:f>IF('Verdicts'!E224=0,"—",E180/'Verdicts'!E224)</x:f>
        <x:v>0</x:v>
      </x:c>
      <x:c r="G180" s="17" t="n">
        <x:f>'Verdicts'!E224</x:f>
        <x:v>14</x:v>
      </x:c>
      <x:c r="H180" s="17"/>
    </x:row>
    <x:row r="181" ht="23" customHeight="1">
      <x:c r="B181" s="17" t="str">
        <x:v>Lang</x:v>
      </x:c>
      <x:c r="C181" s="17" t="str">
        <x:v>Round1</x:v>
      </x:c>
      <x:c r="D181" s="17" t="str">
        <x:v>BOTH_NOT_RUN</x:v>
      </x:c>
      <x:c r="E181" s="17" t="n">
        <x:f>COUNTIF('BugResults'!$P$625:$P$685,"BOTH_NOT_RUN")</x:f>
        <x:v>14</x:v>
      </x:c>
      <x:c r="F181" s="33" t="n">
        <x:f>IF('Verdicts'!E224=0,"—",E181/'Verdicts'!E224)</x:f>
        <x:v>1</x:v>
      </x:c>
      <x:c r="G181" s="17" t="n">
        <x:f>'Verdicts'!E224</x:f>
        <x:v>14</x:v>
      </x:c>
      <x:c r="H181" s="17"/>
    </x:row>
    <x:row r="182" ht="23" customHeight="1">
      <x:c r="B182" s="17" t="str">
        <x:v>Lang</x:v>
      </x:c>
      <x:c r="C182" s="17" t="str">
        <x:v>Round1</x:v>
      </x:c>
      <x:c r="D182" s="17" t="str">
        <x:v>COVERAGE_UNAVAILABLE</x:v>
      </x:c>
      <x:c r="E182" s="17" t="n">
        <x:f>COUNTIF('BugResults'!$P$625:$P$685,"COVERAGE_UNAVAILABLE")</x:f>
        <x:v>0</x:v>
      </x:c>
      <x:c r="F182" s="33" t="n">
        <x:f>IF('Verdicts'!E224=0,"—",E182/'Verdicts'!E224)</x:f>
        <x:v>0</x:v>
      </x:c>
      <x:c r="G182" s="17" t="n">
        <x:f>'Verdicts'!E224</x:f>
        <x:v>14</x:v>
      </x:c>
      <x:c r="H182" s="17"/>
    </x:row>
    <x:row r="183" ht="23" customHeight="1">
      <x:c r="B183" s="17" t="str">
        <x:v>Lang</x:v>
      </x:c>
      <x:c r="C183" s="17" t="str">
        <x:v>Round2</x:v>
      </x:c>
      <x:c r="D183" s="17" t="str">
        <x:v>BUGGY_NOT_RUN</x:v>
      </x:c>
      <x:c r="E183" s="17" t="n">
        <x:f>0</x:f>
        <x:v>0</x:v>
      </x:c>
      <x:c r="F183" s="33" t="str">
        <x:f>IF('Verdicts'!E229=0,"—",E183/'Verdicts'!E229)</x:f>
        <x:v>—</x:v>
      </x:c>
      <x:c r="G183" s="17" t="n">
        <x:f>'Verdicts'!E229</x:f>
        <x:v>0</x:v>
      </x:c>
      <x:c r="H183" s="17" t="n">
        <x:f>SUM(E183:E186)-G183</x:f>
        <x:v>0</x:v>
      </x:c>
    </x:row>
    <x:row r="184" ht="23" customHeight="1">
      <x:c r="B184" s="17" t="str">
        <x:v>Lang</x:v>
      </x:c>
      <x:c r="C184" s="17" t="str">
        <x:v>Round2</x:v>
      </x:c>
      <x:c r="D184" s="17" t="str">
        <x:v>FIXED_NOT_RUN</x:v>
      </x:c>
      <x:c r="E184" s="17" t="n">
        <x:f>0</x:f>
        <x:v>0</x:v>
      </x:c>
      <x:c r="F184" s="33" t="str">
        <x:f>IF('Verdicts'!E229=0,"—",E184/'Verdicts'!E229)</x:f>
        <x:v>—</x:v>
      </x:c>
      <x:c r="G184" s="17" t="n">
        <x:f>'Verdicts'!E229</x:f>
        <x:v>0</x:v>
      </x:c>
      <x:c r="H184" s="17"/>
    </x:row>
    <x:row r="185" ht="23" customHeight="1">
      <x:c r="B185" s="17" t="str">
        <x:v>Lang</x:v>
      </x:c>
      <x:c r="C185" s="17" t="str">
        <x:v>Round2</x:v>
      </x:c>
      <x:c r="D185" s="17" t="str">
        <x:v>BOTH_NOT_RUN</x:v>
      </x:c>
      <x:c r="E185" s="17" t="n">
        <x:f>0</x:f>
        <x:v>0</x:v>
      </x:c>
      <x:c r="F185" s="33" t="str">
        <x:f>IF('Verdicts'!E229=0,"—",E185/'Verdicts'!E229)</x:f>
        <x:v>—</x:v>
      </x:c>
      <x:c r="G185" s="17" t="n">
        <x:f>'Verdicts'!E229</x:f>
        <x:v>0</x:v>
      </x:c>
      <x:c r="H185" s="17"/>
    </x:row>
    <x:row r="186" ht="23" customHeight="1">
      <x:c r="B186" s="17" t="str">
        <x:v>Lang</x:v>
      </x:c>
      <x:c r="C186" s="17" t="str">
        <x:v>Round2</x:v>
      </x:c>
      <x:c r="D186" s="17" t="str">
        <x:v>COVERAGE_UNAVAILABLE</x:v>
      </x:c>
      <x:c r="E186" s="17" t="n">
        <x:f>0</x:f>
        <x:v>0</x:v>
      </x:c>
      <x:c r="F186" s="33" t="str">
        <x:f>IF('Verdicts'!E229=0,"—",E186/'Verdicts'!E229)</x:f>
        <x:v>—</x:v>
      </x:c>
      <x:c r="G186" s="17" t="n">
        <x:f>'Verdicts'!E229</x:f>
        <x:v>0</x:v>
      </x:c>
      <x:c r="H186" s="17"/>
    </x:row>
    <x:row r="187" ht="23" customHeight="1">
      <x:c r="B187" s="17" t="str">
        <x:v>Math</x:v>
      </x:c>
      <x:c r="C187" s="17" t="str">
        <x:v>All rounds</x:v>
      </x:c>
      <x:c r="D187" s="17" t="str">
        <x:v>BUGGY_NOT_RUN</x:v>
      </x:c>
      <x:c r="E187" s="17" t="n">
        <x:f>COUNTIF('BugResults'!$P$686:$P$791,"BUGGY_NOT_RUN")</x:f>
        <x:v>1</x:v>
      </x:c>
      <x:c r="F187" s="33" t="n">
        <x:f>IF('Verdicts'!E234=0,"—",E187/'Verdicts'!E234)</x:f>
        <x:v>0.1</x:v>
      </x:c>
      <x:c r="G187" s="17" t="n">
        <x:f>'Verdicts'!E234</x:f>
        <x:v>10</x:v>
      </x:c>
      <x:c r="H187" s="17" t="n">
        <x:f>SUM(E187:E190)-G187</x:f>
        <x:v>0</x:v>
      </x:c>
    </x:row>
    <x:row r="188" ht="23" customHeight="1">
      <x:c r="B188" s="17" t="str">
        <x:v>Math</x:v>
      </x:c>
      <x:c r="C188" s="17" t="str">
        <x:v>All rounds</x:v>
      </x:c>
      <x:c r="D188" s="17" t="str">
        <x:v>FIXED_NOT_RUN</x:v>
      </x:c>
      <x:c r="E188" s="17" t="n">
        <x:f>COUNTIF('BugResults'!$P$686:$P$791,"FIXED_NOT_RUN")</x:f>
        <x:v>0</x:v>
      </x:c>
      <x:c r="F188" s="33" t="n">
        <x:f>IF('Verdicts'!E234=0,"—",E188/'Verdicts'!E234)</x:f>
        <x:v>0</x:v>
      </x:c>
      <x:c r="G188" s="17" t="n">
        <x:f>'Verdicts'!E234</x:f>
        <x:v>10</x:v>
      </x:c>
      <x:c r="H188" s="17"/>
    </x:row>
    <x:row r="189" ht="23" customHeight="1">
      <x:c r="B189" s="17" t="str">
        <x:v>Math</x:v>
      </x:c>
      <x:c r="C189" s="17" t="str">
        <x:v>All rounds</x:v>
      </x:c>
      <x:c r="D189" s="17" t="str">
        <x:v>BOTH_NOT_RUN</x:v>
      </x:c>
      <x:c r="E189" s="17" t="n">
        <x:f>COUNTIF('BugResults'!$P$686:$P$791,"BOTH_NOT_RUN")</x:f>
        <x:v>9</x:v>
      </x:c>
      <x:c r="F189" s="33" t="n">
        <x:f>IF('Verdicts'!E234=0,"—",E189/'Verdicts'!E234)</x:f>
        <x:v>0.9</x:v>
      </x:c>
      <x:c r="G189" s="17" t="n">
        <x:f>'Verdicts'!E234</x:f>
        <x:v>10</x:v>
      </x:c>
      <x:c r="H189" s="17"/>
    </x:row>
    <x:row r="190" ht="23" customHeight="1">
      <x:c r="B190" s="17" t="str">
        <x:v>Math</x:v>
      </x:c>
      <x:c r="C190" s="17" t="str">
        <x:v>All rounds</x:v>
      </x:c>
      <x:c r="D190" s="17" t="str">
        <x:v>COVERAGE_UNAVAILABLE</x:v>
      </x:c>
      <x:c r="E190" s="17" t="n">
        <x:f>COUNTIF('BugResults'!$P$686:$P$791,"COVERAGE_UNAVAILABLE")</x:f>
        <x:v>0</x:v>
      </x:c>
      <x:c r="F190" s="33" t="n">
        <x:f>IF('Verdicts'!E234=0,"—",E190/'Verdicts'!E234)</x:f>
        <x:v>0</x:v>
      </x:c>
      <x:c r="G190" s="17" t="n">
        <x:f>'Verdicts'!E234</x:f>
        <x:v>10</x:v>
      </x:c>
      <x:c r="H190" s="17"/>
    </x:row>
    <x:row r="191" ht="23" customHeight="1">
      <x:c r="B191" s="17" t="str">
        <x:v>Math</x:v>
      </x:c>
      <x:c r="C191" s="17" t="str">
        <x:v>Round1</x:v>
      </x:c>
      <x:c r="D191" s="17" t="str">
        <x:v>BUGGY_NOT_RUN</x:v>
      </x:c>
      <x:c r="E191" s="17" t="n">
        <x:f>COUNTIF('BugResults'!$P$686:$P$791,"BUGGY_NOT_RUN")</x:f>
        <x:v>1</x:v>
      </x:c>
      <x:c r="F191" s="33" t="n">
        <x:f>IF('Verdicts'!E239=0,"—",E191/'Verdicts'!E239)</x:f>
        <x:v>0.1</x:v>
      </x:c>
      <x:c r="G191" s="17" t="n">
        <x:f>'Verdicts'!E239</x:f>
        <x:v>10</x:v>
      </x:c>
      <x:c r="H191" s="17" t="n">
        <x:f>SUM(E191:E194)-G191</x:f>
        <x:v>0</x:v>
      </x:c>
    </x:row>
    <x:row r="192" ht="23" customHeight="1">
      <x:c r="B192" s="17" t="str">
        <x:v>Math</x:v>
      </x:c>
      <x:c r="C192" s="17" t="str">
        <x:v>Round1</x:v>
      </x:c>
      <x:c r="D192" s="17" t="str">
        <x:v>FIXED_NOT_RUN</x:v>
      </x:c>
      <x:c r="E192" s="17" t="n">
        <x:f>COUNTIF('BugResults'!$P$686:$P$791,"FIXED_NOT_RUN")</x:f>
        <x:v>0</x:v>
      </x:c>
      <x:c r="F192" s="33" t="n">
        <x:f>IF('Verdicts'!E239=0,"—",E192/'Verdicts'!E239)</x:f>
        <x:v>0</x:v>
      </x:c>
      <x:c r="G192" s="17" t="n">
        <x:f>'Verdicts'!E239</x:f>
        <x:v>10</x:v>
      </x:c>
      <x:c r="H192" s="17"/>
    </x:row>
    <x:row r="193" ht="23" customHeight="1">
      <x:c r="B193" s="17" t="str">
        <x:v>Math</x:v>
      </x:c>
      <x:c r="C193" s="17" t="str">
        <x:v>Round1</x:v>
      </x:c>
      <x:c r="D193" s="17" t="str">
        <x:v>BOTH_NOT_RUN</x:v>
      </x:c>
      <x:c r="E193" s="17" t="n">
        <x:f>COUNTIF('BugResults'!$P$686:$P$791,"BOTH_NOT_RUN")</x:f>
        <x:v>9</x:v>
      </x:c>
      <x:c r="F193" s="33" t="n">
        <x:f>IF('Verdicts'!E239=0,"—",E193/'Verdicts'!E239)</x:f>
        <x:v>0.9</x:v>
      </x:c>
      <x:c r="G193" s="17" t="n">
        <x:f>'Verdicts'!E239</x:f>
        <x:v>10</x:v>
      </x:c>
      <x:c r="H193" s="17"/>
    </x:row>
    <x:row r="194" ht="23" customHeight="1">
      <x:c r="B194" s="17" t="str">
        <x:v>Math</x:v>
      </x:c>
      <x:c r="C194" s="17" t="str">
        <x:v>Round1</x:v>
      </x:c>
      <x:c r="D194" s="17" t="str">
        <x:v>COVERAGE_UNAVAILABLE</x:v>
      </x:c>
      <x:c r="E194" s="17" t="n">
        <x:f>COUNTIF('BugResults'!$P$686:$P$791,"COVERAGE_UNAVAILABLE")</x:f>
        <x:v>0</x:v>
      </x:c>
      <x:c r="F194" s="33" t="n">
        <x:f>IF('Verdicts'!E239=0,"—",E194/'Verdicts'!E239)</x:f>
        <x:v>0</x:v>
      </x:c>
      <x:c r="G194" s="17" t="n">
        <x:f>'Verdicts'!E239</x:f>
        <x:v>10</x:v>
      </x:c>
      <x:c r="H194" s="17"/>
    </x:row>
    <x:row r="195" ht="23" customHeight="1">
      <x:c r="B195" s="17" t="str">
        <x:v>Math</x:v>
      </x:c>
      <x:c r="C195" s="17" t="str">
        <x:v>Round2</x:v>
      </x:c>
      <x:c r="D195" s="17" t="str">
        <x:v>BUGGY_NOT_RUN</x:v>
      </x:c>
      <x:c r="E195" s="17" t="n">
        <x:f>0</x:f>
        <x:v>0</x:v>
      </x:c>
      <x:c r="F195" s="33" t="str">
        <x:f>IF('Verdicts'!E244=0,"—",E195/'Verdicts'!E244)</x:f>
        <x:v>—</x:v>
      </x:c>
      <x:c r="G195" s="17" t="n">
        <x:f>'Verdicts'!E244</x:f>
        <x:v>0</x:v>
      </x:c>
      <x:c r="H195" s="17" t="n">
        <x:f>SUM(E195:E198)-G195</x:f>
        <x:v>0</x:v>
      </x:c>
    </x:row>
    <x:row r="196" ht="23" customHeight="1">
      <x:c r="B196" s="17" t="str">
        <x:v>Math</x:v>
      </x:c>
      <x:c r="C196" s="17" t="str">
        <x:v>Round2</x:v>
      </x:c>
      <x:c r="D196" s="17" t="str">
        <x:v>FIXED_NOT_RUN</x:v>
      </x:c>
      <x:c r="E196" s="17" t="n">
        <x:f>0</x:f>
        <x:v>0</x:v>
      </x:c>
      <x:c r="F196" s="33" t="str">
        <x:f>IF('Verdicts'!E244=0,"—",E196/'Verdicts'!E244)</x:f>
        <x:v>—</x:v>
      </x:c>
      <x:c r="G196" s="17" t="n">
        <x:f>'Verdicts'!E244</x:f>
        <x:v>0</x:v>
      </x:c>
      <x:c r="H196" s="17"/>
    </x:row>
    <x:row r="197" ht="23" customHeight="1">
      <x:c r="B197" s="17" t="str">
        <x:v>Math</x:v>
      </x:c>
      <x:c r="C197" s="17" t="str">
        <x:v>Round2</x:v>
      </x:c>
      <x:c r="D197" s="17" t="str">
        <x:v>BOTH_NOT_RUN</x:v>
      </x:c>
      <x:c r="E197" s="17" t="n">
        <x:f>0</x:f>
        <x:v>0</x:v>
      </x:c>
      <x:c r="F197" s="33" t="str">
        <x:f>IF('Verdicts'!E244=0,"—",E197/'Verdicts'!E244)</x:f>
        <x:v>—</x:v>
      </x:c>
      <x:c r="G197" s="17" t="n">
        <x:f>'Verdicts'!E244</x:f>
        <x:v>0</x:v>
      </x:c>
      <x:c r="H197" s="17"/>
    </x:row>
    <x:row r="198" ht="23" customHeight="1">
      <x:c r="B198" s="17" t="str">
        <x:v>Math</x:v>
      </x:c>
      <x:c r="C198" s="17" t="str">
        <x:v>Round2</x:v>
      </x:c>
      <x:c r="D198" s="17" t="str">
        <x:v>COVERAGE_UNAVAILABLE</x:v>
      </x:c>
      <x:c r="E198" s="17" t="n">
        <x:f>0</x:f>
        <x:v>0</x:v>
      </x:c>
      <x:c r="F198" s="33" t="str">
        <x:f>IF('Verdicts'!E244=0,"—",E198/'Verdicts'!E244)</x:f>
        <x:v>—</x:v>
      </x:c>
      <x:c r="G198" s="17" t="n">
        <x:f>'Verdicts'!E244</x:f>
        <x:v>0</x:v>
      </x:c>
      <x:c r="H198" s="17"/>
    </x:row>
    <x:row r="199" ht="23" customHeight="1">
      <x:c r="B199" s="17" t="str">
        <x:v>Mockito</x:v>
      </x:c>
      <x:c r="C199" s="17" t="str">
        <x:v>All rounds</x:v>
      </x:c>
      <x:c r="D199" s="17" t="str">
        <x:v>BUGGY_NOT_RUN</x:v>
      </x:c>
      <x:c r="E199" s="17" t="n">
        <x:f>COUNTIF('BugResults'!$P$792:$P$829,"BUGGY_NOT_RUN")</x:f>
        <x:v>0</x:v>
      </x:c>
      <x:c r="F199" s="33" t="n">
        <x:f>IF('Verdicts'!E249=0,"—",E199/'Verdicts'!E249)</x:f>
        <x:v>0</x:v>
      </x:c>
      <x:c r="G199" s="17" t="n">
        <x:f>'Verdicts'!E249</x:f>
        <x:v>12</x:v>
      </x:c>
      <x:c r="H199" s="17" t="n">
        <x:f>SUM(E199:E202)-G199</x:f>
        <x:v>0</x:v>
      </x:c>
    </x:row>
    <x:row r="200" ht="23" customHeight="1">
      <x:c r="B200" s="17" t="str">
        <x:v>Mockito</x:v>
      </x:c>
      <x:c r="C200" s="17" t="str">
        <x:v>All rounds</x:v>
      </x:c>
      <x:c r="D200" s="17" t="str">
        <x:v>FIXED_NOT_RUN</x:v>
      </x:c>
      <x:c r="E200" s="17" t="n">
        <x:f>COUNTIF('BugResults'!$P$792:$P$829,"FIXED_NOT_RUN")</x:f>
        <x:v>1</x:v>
      </x:c>
      <x:c r="F200" s="33" t="n">
        <x:f>IF('Verdicts'!E249=0,"—",E200/'Verdicts'!E249)</x:f>
        <x:v>0.08333333333333333</x:v>
      </x:c>
      <x:c r="G200" s="17" t="n">
        <x:f>'Verdicts'!E249</x:f>
        <x:v>12</x:v>
      </x:c>
      <x:c r="H200" s="17"/>
    </x:row>
    <x:row r="201" ht="23" customHeight="1">
      <x:c r="B201" s="17" t="str">
        <x:v>Mockito</x:v>
      </x:c>
      <x:c r="C201" s="17" t="str">
        <x:v>All rounds</x:v>
      </x:c>
      <x:c r="D201" s="17" t="str">
        <x:v>BOTH_NOT_RUN</x:v>
      </x:c>
      <x:c r="E201" s="17" t="n">
        <x:f>COUNTIF('BugResults'!$P$792:$P$829,"BOTH_NOT_RUN")</x:f>
        <x:v>11</x:v>
      </x:c>
      <x:c r="F201" s="33" t="n">
        <x:f>IF('Verdicts'!E249=0,"—",E201/'Verdicts'!E249)</x:f>
        <x:v>0.9166666666666666</x:v>
      </x:c>
      <x:c r="G201" s="17" t="n">
        <x:f>'Verdicts'!E249</x:f>
        <x:v>12</x:v>
      </x:c>
      <x:c r="H201" s="17"/>
    </x:row>
    <x:row r="202" ht="23" customHeight="1">
      <x:c r="B202" s="17" t="str">
        <x:v>Mockito</x:v>
      </x:c>
      <x:c r="C202" s="17" t="str">
        <x:v>All rounds</x:v>
      </x:c>
      <x:c r="D202" s="17" t="str">
        <x:v>COVERAGE_UNAVAILABLE</x:v>
      </x:c>
      <x:c r="E202" s="17" t="n">
        <x:f>COUNTIF('BugResults'!$P$792:$P$829,"COVERAGE_UNAVAILABLE")</x:f>
        <x:v>0</x:v>
      </x:c>
      <x:c r="F202" s="33" t="n">
        <x:f>IF('Verdicts'!E249=0,"—",E202/'Verdicts'!E249)</x:f>
        <x:v>0</x:v>
      </x:c>
      <x:c r="G202" s="17" t="n">
        <x:f>'Verdicts'!E249</x:f>
        <x:v>12</x:v>
      </x:c>
      <x:c r="H202" s="17"/>
    </x:row>
    <x:row r="203" ht="23" customHeight="1">
      <x:c r="B203" s="17" t="str">
        <x:v>Mockito</x:v>
      </x:c>
      <x:c r="C203" s="17" t="str">
        <x:v>Round1</x:v>
      </x:c>
      <x:c r="D203" s="17" t="str">
        <x:v>BUGGY_NOT_RUN</x:v>
      </x:c>
      <x:c r="E203" s="17" t="n">
        <x:f>COUNTIF('BugResults'!$P$792:$P$829,"BUGGY_NOT_RUN")</x:f>
        <x:v>0</x:v>
      </x:c>
      <x:c r="F203" s="33" t="n">
        <x:f>IF('Verdicts'!E254=0,"—",E203/'Verdicts'!E254)</x:f>
        <x:v>0</x:v>
      </x:c>
      <x:c r="G203" s="17" t="n">
        <x:f>'Verdicts'!E254</x:f>
        <x:v>12</x:v>
      </x:c>
      <x:c r="H203" s="17" t="n">
        <x:f>SUM(E203:E206)-G203</x:f>
        <x:v>0</x:v>
      </x:c>
    </x:row>
    <x:row r="204" ht="23" customHeight="1">
      <x:c r="B204" s="17" t="str">
        <x:v>Mockito</x:v>
      </x:c>
      <x:c r="C204" s="17" t="str">
        <x:v>Round1</x:v>
      </x:c>
      <x:c r="D204" s="17" t="str">
        <x:v>FIXED_NOT_RUN</x:v>
      </x:c>
      <x:c r="E204" s="17" t="n">
        <x:f>COUNTIF('BugResults'!$P$792:$P$829,"FIXED_NOT_RUN")</x:f>
        <x:v>1</x:v>
      </x:c>
      <x:c r="F204" s="33" t="n">
        <x:f>IF('Verdicts'!E254=0,"—",E204/'Verdicts'!E254)</x:f>
        <x:v>0.08333333333333333</x:v>
      </x:c>
      <x:c r="G204" s="17" t="n">
        <x:f>'Verdicts'!E254</x:f>
        <x:v>12</x:v>
      </x:c>
      <x:c r="H204" s="17"/>
    </x:row>
    <x:row r="205" ht="23" customHeight="1">
      <x:c r="B205" s="17" t="str">
        <x:v>Mockito</x:v>
      </x:c>
      <x:c r="C205" s="17" t="str">
        <x:v>Round1</x:v>
      </x:c>
      <x:c r="D205" s="17" t="str">
        <x:v>BOTH_NOT_RUN</x:v>
      </x:c>
      <x:c r="E205" s="17" t="n">
        <x:f>COUNTIF('BugResults'!$P$792:$P$829,"BOTH_NOT_RUN")</x:f>
        <x:v>11</x:v>
      </x:c>
      <x:c r="F205" s="33" t="n">
        <x:f>IF('Verdicts'!E254=0,"—",E205/'Verdicts'!E254)</x:f>
        <x:v>0.9166666666666666</x:v>
      </x:c>
      <x:c r="G205" s="17" t="n">
        <x:f>'Verdicts'!E254</x:f>
        <x:v>12</x:v>
      </x:c>
      <x:c r="H205" s="17"/>
    </x:row>
    <x:row r="206" ht="23" customHeight="1">
      <x:c r="B206" s="17" t="str">
        <x:v>Mockito</x:v>
      </x:c>
      <x:c r="C206" s="17" t="str">
        <x:v>Round1</x:v>
      </x:c>
      <x:c r="D206" s="17" t="str">
        <x:v>COVERAGE_UNAVAILABLE</x:v>
      </x:c>
      <x:c r="E206" s="17" t="n">
        <x:f>COUNTIF('BugResults'!$P$792:$P$829,"COVERAGE_UNAVAILABLE")</x:f>
        <x:v>0</x:v>
      </x:c>
      <x:c r="F206" s="33" t="n">
        <x:f>IF('Verdicts'!E254=0,"—",E206/'Verdicts'!E254)</x:f>
        <x:v>0</x:v>
      </x:c>
      <x:c r="G206" s="17" t="n">
        <x:f>'Verdicts'!E254</x:f>
        <x:v>12</x:v>
      </x:c>
      <x:c r="H206" s="17"/>
    </x:row>
    <x:row r="207" ht="23" customHeight="1">
      <x:c r="B207" s="17" t="str">
        <x:v>Mockito</x:v>
      </x:c>
      <x:c r="C207" s="17" t="str">
        <x:v>Round2</x:v>
      </x:c>
      <x:c r="D207" s="17" t="str">
        <x:v>BUGGY_NOT_RUN</x:v>
      </x:c>
      <x:c r="E207" s="17" t="n">
        <x:f>0</x:f>
        <x:v>0</x:v>
      </x:c>
      <x:c r="F207" s="33" t="str">
        <x:f>IF('Verdicts'!E259=0,"—",E207/'Verdicts'!E259)</x:f>
        <x:v>—</x:v>
      </x:c>
      <x:c r="G207" s="17" t="n">
        <x:f>'Verdicts'!E259</x:f>
        <x:v>0</x:v>
      </x:c>
      <x:c r="H207" s="17" t="n">
        <x:f>SUM(E207:E210)-G207</x:f>
        <x:v>0</x:v>
      </x:c>
    </x:row>
    <x:row r="208" ht="23" customHeight="1">
      <x:c r="B208" s="17" t="str">
        <x:v>Mockito</x:v>
      </x:c>
      <x:c r="C208" s="17" t="str">
        <x:v>Round2</x:v>
      </x:c>
      <x:c r="D208" s="17" t="str">
        <x:v>FIXED_NOT_RUN</x:v>
      </x:c>
      <x:c r="E208" s="17" t="n">
        <x:f>0</x:f>
        <x:v>0</x:v>
      </x:c>
      <x:c r="F208" s="33" t="str">
        <x:f>IF('Verdicts'!E259=0,"—",E208/'Verdicts'!E259)</x:f>
        <x:v>—</x:v>
      </x:c>
      <x:c r="G208" s="17" t="n">
        <x:f>'Verdicts'!E259</x:f>
        <x:v>0</x:v>
      </x:c>
      <x:c r="H208" s="17"/>
    </x:row>
    <x:row r="209" ht="23" customHeight="1">
      <x:c r="B209" s="17" t="str">
        <x:v>Mockito</x:v>
      </x:c>
      <x:c r="C209" s="17" t="str">
        <x:v>Round2</x:v>
      </x:c>
      <x:c r="D209" s="17" t="str">
        <x:v>BOTH_NOT_RUN</x:v>
      </x:c>
      <x:c r="E209" s="17" t="n">
        <x:f>0</x:f>
        <x:v>0</x:v>
      </x:c>
      <x:c r="F209" s="33" t="str">
        <x:f>IF('Verdicts'!E259=0,"—",E209/'Verdicts'!E259)</x:f>
        <x:v>—</x:v>
      </x:c>
      <x:c r="G209" s="17" t="n">
        <x:f>'Verdicts'!E259</x:f>
        <x:v>0</x:v>
      </x:c>
      <x:c r="H209" s="17"/>
    </x:row>
    <x:row r="210" ht="23" customHeight="1">
      <x:c r="B210" s="17" t="str">
        <x:v>Mockito</x:v>
      </x:c>
      <x:c r="C210" s="17" t="str">
        <x:v>Round2</x:v>
      </x:c>
      <x:c r="D210" s="17" t="str">
        <x:v>COVERAGE_UNAVAILABLE</x:v>
      </x:c>
      <x:c r="E210" s="17" t="n">
        <x:f>0</x:f>
        <x:v>0</x:v>
      </x:c>
      <x:c r="F210" s="33" t="str">
        <x:f>IF('Verdicts'!E259=0,"—",E210/'Verdicts'!E259)</x:f>
        <x:v>—</x:v>
      </x:c>
      <x:c r="G210" s="17" t="n">
        <x:f>'Verdicts'!E259</x:f>
        <x:v>0</x:v>
      </x:c>
      <x:c r="H210" s="17"/>
    </x:row>
    <x:row r="211" ht="23" customHeight="1">
      <x:c r="B211" s="17" t="str">
        <x:v>Time</x:v>
      </x:c>
      <x:c r="C211" s="17" t="str">
        <x:v>All rounds</x:v>
      </x:c>
      <x:c r="D211" s="17" t="str">
        <x:v>BUGGY_NOT_RUN</x:v>
      </x:c>
      <x:c r="E211" s="17" t="n">
        <x:f>COUNTIF('BugResults'!$P$830:$P$855,"BUGGY_NOT_RUN")</x:f>
        <x:v>0</x:v>
      </x:c>
      <x:c r="F211" s="33" t="n">
        <x:f>IF('Verdicts'!E264=0,"—",E211/'Verdicts'!E264)</x:f>
        <x:v>0</x:v>
      </x:c>
      <x:c r="G211" s="17" t="n">
        <x:f>'Verdicts'!E264</x:f>
        <x:v>19</x:v>
      </x:c>
      <x:c r="H211" s="17" t="n">
        <x:f>SUM(E211:E214)-G211</x:f>
        <x:v>0</x:v>
      </x:c>
    </x:row>
    <x:row r="212" ht="23" customHeight="1">
      <x:c r="B212" s="17" t="str">
        <x:v>Time</x:v>
      </x:c>
      <x:c r="C212" s="17" t="str">
        <x:v>All rounds</x:v>
      </x:c>
      <x:c r="D212" s="17" t="str">
        <x:v>FIXED_NOT_RUN</x:v>
      </x:c>
      <x:c r="E212" s="17" t="n">
        <x:f>COUNTIF('BugResults'!$P$830:$P$855,"FIXED_NOT_RUN")</x:f>
        <x:v>0</x:v>
      </x:c>
      <x:c r="F212" s="33" t="n">
        <x:f>IF('Verdicts'!E264=0,"—",E212/'Verdicts'!E264)</x:f>
        <x:v>0</x:v>
      </x:c>
      <x:c r="G212" s="17" t="n">
        <x:f>'Verdicts'!E264</x:f>
        <x:v>19</x:v>
      </x:c>
      <x:c r="H212" s="17"/>
    </x:row>
    <x:row r="213" ht="23" customHeight="1">
      <x:c r="B213" s="17" t="str">
        <x:v>Time</x:v>
      </x:c>
      <x:c r="C213" s="17" t="str">
        <x:v>All rounds</x:v>
      </x:c>
      <x:c r="D213" s="17" t="str">
        <x:v>BOTH_NOT_RUN</x:v>
      </x:c>
      <x:c r="E213" s="17" t="n">
        <x:f>COUNTIF('BugResults'!$P$830:$P$855,"BOTH_NOT_RUN")</x:f>
        <x:v>19</x:v>
      </x:c>
      <x:c r="F213" s="33" t="n">
        <x:f>IF('Verdicts'!E264=0,"—",E213/'Verdicts'!E264)</x:f>
        <x:v>1</x:v>
      </x:c>
      <x:c r="G213" s="17" t="n">
        <x:f>'Verdicts'!E264</x:f>
        <x:v>19</x:v>
      </x:c>
      <x:c r="H213" s="17"/>
    </x:row>
    <x:row r="214" ht="23" customHeight="1">
      <x:c r="B214" s="17" t="str">
        <x:v>Time</x:v>
      </x:c>
      <x:c r="C214" s="17" t="str">
        <x:v>All rounds</x:v>
      </x:c>
      <x:c r="D214" s="17" t="str">
        <x:v>COVERAGE_UNAVAILABLE</x:v>
      </x:c>
      <x:c r="E214" s="17" t="n">
        <x:f>COUNTIF('BugResults'!$P$830:$P$855,"COVERAGE_UNAVAILABLE")</x:f>
        <x:v>0</x:v>
      </x:c>
      <x:c r="F214" s="33" t="n">
        <x:f>IF('Verdicts'!E264=0,"—",E214/'Verdicts'!E264)</x:f>
        <x:v>0</x:v>
      </x:c>
      <x:c r="G214" s="17" t="n">
        <x:f>'Verdicts'!E264</x:f>
        <x:v>19</x:v>
      </x:c>
      <x:c r="H214" s="17"/>
    </x:row>
    <x:row r="215" ht="23" customHeight="1">
      <x:c r="B215" s="17" t="str">
        <x:v>Time</x:v>
      </x:c>
      <x:c r="C215" s="17" t="str">
        <x:v>Round1</x:v>
      </x:c>
      <x:c r="D215" s="17" t="str">
        <x:v>BUGGY_NOT_RUN</x:v>
      </x:c>
      <x:c r="E215" s="17" t="n">
        <x:f>COUNTIF('BugResults'!$P$830:$P$855,"BUGGY_NOT_RUN")</x:f>
        <x:v>0</x:v>
      </x:c>
      <x:c r="F215" s="33" t="n">
        <x:f>IF('Verdicts'!E269=0,"—",E215/'Verdicts'!E269)</x:f>
        <x:v>0</x:v>
      </x:c>
      <x:c r="G215" s="17" t="n">
        <x:f>'Verdicts'!E269</x:f>
        <x:v>19</x:v>
      </x:c>
      <x:c r="H215" s="17" t="n">
        <x:f>SUM(E215:E218)-G215</x:f>
        <x:v>0</x:v>
      </x:c>
    </x:row>
    <x:row r="216" ht="23" customHeight="1">
      <x:c r="B216" s="17" t="str">
        <x:v>Time</x:v>
      </x:c>
      <x:c r="C216" s="17" t="str">
        <x:v>Round1</x:v>
      </x:c>
      <x:c r="D216" s="17" t="str">
        <x:v>FIXED_NOT_RUN</x:v>
      </x:c>
      <x:c r="E216" s="17" t="n">
        <x:f>COUNTIF('BugResults'!$P$830:$P$855,"FIXED_NOT_RUN")</x:f>
        <x:v>0</x:v>
      </x:c>
      <x:c r="F216" s="33" t="n">
        <x:f>IF('Verdicts'!E269=0,"—",E216/'Verdicts'!E269)</x:f>
        <x:v>0</x:v>
      </x:c>
      <x:c r="G216" s="17" t="n">
        <x:f>'Verdicts'!E269</x:f>
        <x:v>19</x:v>
      </x:c>
      <x:c r="H216" s="17"/>
    </x:row>
    <x:row r="217" ht="23" customHeight="1">
      <x:c r="B217" s="17" t="str">
        <x:v>Time</x:v>
      </x:c>
      <x:c r="C217" s="17" t="str">
        <x:v>Round1</x:v>
      </x:c>
      <x:c r="D217" s="17" t="str">
        <x:v>BOTH_NOT_RUN</x:v>
      </x:c>
      <x:c r="E217" s="17" t="n">
        <x:f>COUNTIF('BugResults'!$P$830:$P$855,"BOTH_NOT_RUN")</x:f>
        <x:v>19</x:v>
      </x:c>
      <x:c r="F217" s="33" t="n">
        <x:f>IF('Verdicts'!E269=0,"—",E217/'Verdicts'!E269)</x:f>
        <x:v>1</x:v>
      </x:c>
      <x:c r="G217" s="17" t="n">
        <x:f>'Verdicts'!E269</x:f>
        <x:v>19</x:v>
      </x:c>
      <x:c r="H217" s="17"/>
    </x:row>
    <x:row r="218" ht="23" customHeight="1">
      <x:c r="B218" s="17" t="str">
        <x:v>Time</x:v>
      </x:c>
      <x:c r="C218" s="17" t="str">
        <x:v>Round1</x:v>
      </x:c>
      <x:c r="D218" s="17" t="str">
        <x:v>COVERAGE_UNAVAILABLE</x:v>
      </x:c>
      <x:c r="E218" s="17" t="n">
        <x:f>COUNTIF('BugResults'!$P$830:$P$855,"COVERAGE_UNAVAILABLE")</x:f>
        <x:v>0</x:v>
      </x:c>
      <x:c r="F218" s="33" t="n">
        <x:f>IF('Verdicts'!E269=0,"—",E218/'Verdicts'!E269)</x:f>
        <x:v>0</x:v>
      </x:c>
      <x:c r="G218" s="17" t="n">
        <x:f>'Verdicts'!E269</x:f>
        <x:v>19</x:v>
      </x:c>
      <x:c r="H218" s="17"/>
    </x:row>
    <x:row r="219" ht="23" customHeight="1">
      <x:c r="B219" s="17" t="str">
        <x:v>Time</x:v>
      </x:c>
      <x:c r="C219" s="17" t="str">
        <x:v>Round2</x:v>
      </x:c>
      <x:c r="D219" s="17" t="str">
        <x:v>BUGGY_NOT_RUN</x:v>
      </x:c>
      <x:c r="E219" s="17" t="n">
        <x:f>0</x:f>
        <x:v>0</x:v>
      </x:c>
      <x:c r="F219" s="33" t="str">
        <x:f>IF('Verdicts'!E274=0,"—",E219/'Verdicts'!E274)</x:f>
        <x:v>—</x:v>
      </x:c>
      <x:c r="G219" s="17" t="n">
        <x:f>'Verdicts'!E274</x:f>
        <x:v>0</x:v>
      </x:c>
      <x:c r="H219" s="17" t="n">
        <x:f>SUM(E219:E222)-G219</x:f>
        <x:v>0</x:v>
      </x:c>
    </x:row>
    <x:row r="220" ht="23" customHeight="1">
      <x:c r="B220" s="17" t="str">
        <x:v>Time</x:v>
      </x:c>
      <x:c r="C220" s="17" t="str">
        <x:v>Round2</x:v>
      </x:c>
      <x:c r="D220" s="17" t="str">
        <x:v>FIXED_NOT_RUN</x:v>
      </x:c>
      <x:c r="E220" s="17" t="n">
        <x:f>0</x:f>
        <x:v>0</x:v>
      </x:c>
      <x:c r="F220" s="33" t="str">
        <x:f>IF('Verdicts'!E274=0,"—",E220/'Verdicts'!E274)</x:f>
        <x:v>—</x:v>
      </x:c>
      <x:c r="G220" s="17" t="n">
        <x:f>'Verdicts'!E274</x:f>
        <x:v>0</x:v>
      </x:c>
      <x:c r="H220" s="17"/>
    </x:row>
    <x:row r="221" ht="23" customHeight="1">
      <x:c r="B221" s="17" t="str">
        <x:v>Time</x:v>
      </x:c>
      <x:c r="C221" s="17" t="str">
        <x:v>Round2</x:v>
      </x:c>
      <x:c r="D221" s="17" t="str">
        <x:v>BOTH_NOT_RUN</x:v>
      </x:c>
      <x:c r="E221" s="17" t="n">
        <x:f>0</x:f>
        <x:v>0</x:v>
      </x:c>
      <x:c r="F221" s="33" t="str">
        <x:f>IF('Verdicts'!E274=0,"—",E221/'Verdicts'!E274)</x:f>
        <x:v>—</x:v>
      </x:c>
      <x:c r="G221" s="17" t="n">
        <x:f>'Verdicts'!E274</x:f>
        <x:v>0</x:v>
      </x:c>
      <x:c r="H221" s="17"/>
    </x:row>
    <x:row r="222" ht="23" customHeight="1">
      <x:c r="B222" s="17" t="str">
        <x:v>Time</x:v>
      </x:c>
      <x:c r="C222" s="17" t="str">
        <x:v>Round2</x:v>
      </x:c>
      <x:c r="D222" s="17" t="str">
        <x:v>COVERAGE_UNAVAILABLE</x:v>
      </x:c>
      <x:c r="E222" s="17" t="n">
        <x:f>0</x:f>
        <x:v>0</x:v>
      </x:c>
      <x:c r="F222" s="33" t="str">
        <x:f>IF('Verdicts'!E274=0,"—",E222/'Verdicts'!E274)</x:f>
        <x:v>—</x:v>
      </x:c>
      <x:c r="G222" s="17" t="n">
        <x:f>'Verdicts'!E274</x:f>
        <x:v>0</x:v>
      </x:c>
      <x:c r="H222" s="17"/>
    </x:row>
  </x:sheetData>
  <x:mergeCells>
    <x:mergeCell ref="B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2">
      <x:c r="B2" s="29" t="str">
        <x:v>Coverage by project and round</x:v>
      </x:c>
    </x:row>
    <x:row r="3">
      <x:c r="B3" t="str">
        <x:v>A = failed measurement (0%). B = successful zero-total metric (N/A), excluded from both averages.</x:v>
      </x:c>
    </x:row>
    <x:row r="4" ht="32" customHeight="1">
      <x:c r="B4" s="31" t="str">
        <x:v>Buggy coverage is retained when fixed or paired validation is unavailable. Latest FAIL excludes stale values. Runnable = (total − A) / total.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</x:row>
    <x:row r="6" ht="42" customHeight="1">
      <x:c r="B6" s="20" t="str">
        <x:v>Project</x:v>
      </x:c>
      <x:c r="C6" s="20" t="str">
        <x:v>Round</x:v>
      </x:c>
      <x:c r="D6" s="20" t="str">
        <x:v>Metric</x:v>
      </x:c>
      <x:c r="E6" s="20" t="str">
        <x:v>Total</x:v>
      </x:c>
      <x:c r="F6" s="20" t="str">
        <x:v>Numeric</x:v>
      </x:c>
      <x:c r="G6" s="20" t="str">
        <x:v>A: failure</x:v>
      </x:c>
      <x:c r="H6" s="20" t="str">
        <x:v>B: N/A</x:v>
      </x:c>
      <x:c r="I6" s="20" t="str">
        <x:v>Unresolved</x:v>
      </x:c>
      <x:c r="J6" s="20" t="str">
        <x:v>Recorded only</x:v>
      </x:c>
      <x:c r="K6" s="20" t="str">
        <x:v>All applicable</x:v>
      </x:c>
      <x:c r="L6" s="20" t="str">
        <x:v>Runnable</x:v>
      </x:c>
      <x:c r="M6" s="20" t="str">
        <x:v>n all (total − B)</x:v>
      </x:c>
    </x:row>
    <x:row r="7" ht="23" customHeight="1">
      <x:c r="B7" s="17" t="str">
        <x:v>All projects</x:v>
      </x:c>
      <x:c r="C7" s="17" t="str">
        <x:v>All rounds</x:v>
      </x:c>
      <x:c r="D7" s="17" t="str">
        <x:v>Line</x:v>
      </x:c>
      <x:c r="E7" s="40" t="n">
        <x:f>COUNTA('CoverageCases'!$D$2:$D$855)</x:f>
        <x:v>854</x:v>
      </x:c>
      <x:c r="F7" s="40" t="n">
        <x:f>COUNT('CoverageCases'!$O$2:$O$855)</x:f>
        <x:v>492</x:v>
      </x:c>
      <x:c r="G7" s="40" t="n">
        <x:f>COUNTIF('CoverageCases'!$G$2:$G$855,"A")</x:f>
        <x:v>362</x:v>
      </x:c>
      <x:c r="H7" s="40" t="n">
        <x:f>COUNTIF('CoverageCases'!$G$2:$G$855,"B")</x:f>
        <x:v>0</x:v>
      </x:c>
      <x:c r="I7" s="40" t="n">
        <x:f>COUNTIF('CoverageCases'!$G$2:$G$855,"UNRESOLVED")</x:f>
        <x:v>0</x:v>
      </x:c>
      <x:c r="J7" s="32" t="n">
        <x:f>IF(F7=0,"—",(SUM('CoverageCases'!$O$2:$O$855))/F7/100)</x:f>
        <x:v>0.4899936991869922</x:v>
      </x:c>
      <x:c r="K7" s="32" t="n">
        <x:f>IF(I7&gt;0,"Pending",IF(E7-H7=0,"—",(SUM('CoverageCases'!$O$2:$O$855))/(E7-H7)/100))</x:f>
        <x:v>0.2822914519906325</x:v>
      </x:c>
      <x:c r="L7" s="32" t="n">
        <x:f>IF(I7&gt;0,"Pending",IF(E7=0,"—",(E7-G7)/E7))</x:f>
        <x:v>0.5761124121779859</x:v>
      </x:c>
      <x:c r="M7" s="40" t="n">
        <x:f>IF(I7&gt;0,"Pending",E7-H7)</x:f>
        <x:v>854</x:v>
      </x:c>
    </x:row>
    <x:row r="8" ht="23" customHeight="1">
      <x:c r="B8" s="17" t="str">
        <x:v>All projects</x:v>
      </x:c>
      <x:c r="C8" s="17" t="str">
        <x:v>All rounds</x:v>
      </x:c>
      <x:c r="D8" s="17" t="str">
        <x:v>Condition</x:v>
      </x:c>
      <x:c r="E8" s="40" t="n">
        <x:f>COUNTA('CoverageCases'!$D$856:$D$1709)</x:f>
        <x:v>854</x:v>
      </x:c>
      <x:c r="F8" s="40" t="n">
        <x:f>COUNT('CoverageCases'!$O$856:$O$1709)</x:f>
        <x:v>488</x:v>
      </x:c>
      <x:c r="G8" s="40" t="n">
        <x:f>COUNTIF('CoverageCases'!$G$856:$G$1709,"A")</x:f>
        <x:v>362</x:v>
      </x:c>
      <x:c r="H8" s="40" t="n">
        <x:f>COUNTIF('CoverageCases'!$G$856:$G$1709,"B")</x:f>
        <x:v>4</x:v>
      </x:c>
      <x:c r="I8" s="40" t="n">
        <x:f>COUNTIF('CoverageCases'!$G$856:$G$1709,"UNRESOLVED")</x:f>
        <x:v>0</x:v>
      </x:c>
      <x:c r="J8" s="32" t="n">
        <x:f>IF(F8=0,"—",(SUM('CoverageCases'!$O$856:$O$1709))/F8/100)</x:f>
        <x:v>0.4375950819672129</x:v>
      </x:c>
      <x:c r="K8" s="32" t="n">
        <x:f>IF(I8&gt;0,"Pending",IF(E8-H8=0,"—",(SUM('CoverageCases'!$O$856:$O$1709))/(E8-H8)/100))</x:f>
        <x:v>0.2512310588235293</x:v>
      </x:c>
      <x:c r="L8" s="32" t="n">
        <x:f>IF(I8&gt;0,"Pending",IF(E8=0,"—",(E8-G8)/E8))</x:f>
        <x:v>0.5761124121779859</x:v>
      </x:c>
      <x:c r="M8" s="40" t="n">
        <x:f>IF(I8&gt;0,"Pending",E8-H8)</x:f>
        <x:v>850</x:v>
      </x:c>
    </x:row>
    <x:row r="9" ht="23" customHeight="1">
      <x:c r="B9" s="17" t="str">
        <x:v>All projects</x:v>
      </x:c>
      <x:c r="C9" s="17" t="str">
        <x:v>Round1</x:v>
      </x:c>
      <x:c r="D9" s="17" t="str">
        <x:v>Line</x:v>
      </x:c>
      <x:c r="E9" s="40" t="n">
        <x:f>COUNTA('CoverageCases'!$D$2:$D$855)</x:f>
        <x:v>854</x:v>
      </x:c>
      <x:c r="F9" s="40" t="n">
        <x:f>COUNT('CoverageCases'!$O$2:$O$855)</x:f>
        <x:v>492</x:v>
      </x:c>
      <x:c r="G9" s="40" t="n">
        <x:f>COUNTIF('CoverageCases'!$G$2:$G$855,"A")</x:f>
        <x:v>362</x:v>
      </x:c>
      <x:c r="H9" s="40" t="n">
        <x:f>COUNTIF('CoverageCases'!$G$2:$G$855,"B")</x:f>
        <x:v>0</x:v>
      </x:c>
      <x:c r="I9" s="40" t="n">
        <x:f>COUNTIF('CoverageCases'!$G$2:$G$855,"UNRESOLVED")</x:f>
        <x:v>0</x:v>
      </x:c>
      <x:c r="J9" s="32" t="n">
        <x:f>IF(F9=0,"—",(SUM('CoverageCases'!$O$2:$O$855))/F9/100)</x:f>
        <x:v>0.4899936991869922</x:v>
      </x:c>
      <x:c r="K9" s="32" t="n">
        <x:f>IF(I9&gt;0,"Pending",IF(E9-H9=0,"—",(SUM('CoverageCases'!$O$2:$O$855))/(E9-H9)/100))</x:f>
        <x:v>0.2822914519906325</x:v>
      </x:c>
      <x:c r="L9" s="32" t="n">
        <x:f>IF(I9&gt;0,"Pending",IF(E9=0,"—",(E9-G9)/E9))</x:f>
        <x:v>0.5761124121779859</x:v>
      </x:c>
      <x:c r="M9" s="40" t="n">
        <x:f>IF(I9&gt;0,"Pending",E9-H9)</x:f>
        <x:v>854</x:v>
      </x:c>
    </x:row>
    <x:row r="10" ht="23" customHeight="1">
      <x:c r="B10" s="17" t="str">
        <x:v>All projects</x:v>
      </x:c>
      <x:c r="C10" s="17" t="str">
        <x:v>Round1</x:v>
      </x:c>
      <x:c r="D10" s="17" t="str">
        <x:v>Condition</x:v>
      </x:c>
      <x:c r="E10" s="40" t="n">
        <x:f>COUNTA('CoverageCases'!$D$856:$D$1709)</x:f>
        <x:v>854</x:v>
      </x:c>
      <x:c r="F10" s="40" t="n">
        <x:f>COUNT('CoverageCases'!$O$856:$O$1709)</x:f>
        <x:v>488</x:v>
      </x:c>
      <x:c r="G10" s="40" t="n">
        <x:f>COUNTIF('CoverageCases'!$G$856:$G$1709,"A")</x:f>
        <x:v>362</x:v>
      </x:c>
      <x:c r="H10" s="40" t="n">
        <x:f>COUNTIF('CoverageCases'!$G$856:$G$1709,"B")</x:f>
        <x:v>4</x:v>
      </x:c>
      <x:c r="I10" s="40" t="n">
        <x:f>COUNTIF('CoverageCases'!$G$856:$G$1709,"UNRESOLVED")</x:f>
        <x:v>0</x:v>
      </x:c>
      <x:c r="J10" s="32" t="n">
        <x:f>IF(F10=0,"—",(SUM('CoverageCases'!$O$856:$O$1709))/F10/100)</x:f>
        <x:v>0.4375950819672129</x:v>
      </x:c>
      <x:c r="K10" s="32" t="n">
        <x:f>IF(I10&gt;0,"Pending",IF(E10-H10=0,"—",(SUM('CoverageCases'!$O$856:$O$1709))/(E10-H10)/100))</x:f>
        <x:v>0.2512310588235293</x:v>
      </x:c>
      <x:c r="L10" s="32" t="n">
        <x:f>IF(I10&gt;0,"Pending",IF(E10=0,"—",(E10-G10)/E10))</x:f>
        <x:v>0.5761124121779859</x:v>
      </x:c>
      <x:c r="M10" s="40" t="n">
        <x:f>IF(I10&gt;0,"Pending",E10-H10)</x:f>
        <x:v>850</x:v>
      </x:c>
    </x:row>
    <x:row r="11" ht="23" customHeight="1">
      <x:c r="B11" s="17" t="str">
        <x:v>All projects</x:v>
      </x:c>
      <x:c r="C11" s="17" t="str">
        <x:v>Round2</x:v>
      </x:c>
      <x:c r="D11" s="17" t="str">
        <x:v>Line</x:v>
      </x:c>
      <x:c r="E11" s="40" t="n">
        <x:f>0</x:f>
        <x:v>0</x:v>
      </x:c>
      <x:c r="F11" s="40" t="n">
        <x:f>0</x:f>
        <x:v>0</x:v>
      </x:c>
      <x:c r="G11" s="40" t="n">
        <x:f>0</x:f>
        <x:v>0</x:v>
      </x:c>
      <x:c r="H11" s="40" t="n">
        <x:f>0</x:f>
        <x:v>0</x:v>
      </x:c>
      <x:c r="I11" s="40" t="n">
        <x:f>0</x:f>
        <x:v>0</x:v>
      </x:c>
      <x:c r="J11" s="32" t="str">
        <x:f>IF(F11=0,"—",(0)/F11/100)</x:f>
        <x:v>—</x:v>
      </x:c>
      <x:c r="K11" s="32" t="str">
        <x:f>IF(I11&gt;0,"Pending",IF(E11-H11=0,"—",(0)/(E11-H11)/100))</x:f>
        <x:v>—</x:v>
      </x:c>
      <x:c r="L11" s="32" t="str">
        <x:f>IF(I11&gt;0,"Pending",IF(E11=0,"—",(E11-G11)/E11))</x:f>
        <x:v>—</x:v>
      </x:c>
      <x:c r="M11" s="40" t="n">
        <x:f>IF(I11&gt;0,"Pending",E11-H11)</x:f>
        <x:v>0</x:v>
      </x:c>
    </x:row>
    <x:row r="12" ht="23" customHeight="1">
      <x:c r="B12" s="17" t="str">
        <x:v>All projects</x:v>
      </x:c>
      <x:c r="C12" s="17" t="str">
        <x:v>Round2</x:v>
      </x:c>
      <x:c r="D12" s="17" t="str">
        <x:v>Condition</x:v>
      </x:c>
      <x:c r="E12" s="40" t="n">
        <x:f>0</x:f>
        <x:v>0</x:v>
      </x:c>
      <x:c r="F12" s="40" t="n">
        <x:f>0</x:f>
        <x:v>0</x:v>
      </x:c>
      <x:c r="G12" s="40" t="n">
        <x:f>0</x:f>
        <x:v>0</x:v>
      </x:c>
      <x:c r="H12" s="40" t="n">
        <x:f>0</x:f>
        <x:v>0</x:v>
      </x:c>
      <x:c r="I12" s="40" t="n">
        <x:f>0</x:f>
        <x:v>0</x:v>
      </x:c>
      <x:c r="J12" s="32" t="str">
        <x:f>IF(F12=0,"—",(0)/F12/100)</x:f>
        <x:v>—</x:v>
      </x:c>
      <x:c r="K12" s="32" t="str">
        <x:f>IF(I12&gt;0,"Pending",IF(E12-H12=0,"—",(0)/(E12-H12)/100))</x:f>
        <x:v>—</x:v>
      </x:c>
      <x:c r="L12" s="32" t="str">
        <x:f>IF(I12&gt;0,"Pending",IF(E12=0,"—",(E12-G12)/E12))</x:f>
        <x:v>—</x:v>
      </x:c>
      <x:c r="M12" s="40" t="n">
        <x:f>IF(I12&gt;0,"Pending",E12-H12)</x:f>
        <x:v>0</x:v>
      </x:c>
    </x:row>
    <x:row r="13" ht="23" customHeight="1">
      <x:c r="B13" s="17" t="str">
        <x:v>Chart</x:v>
      </x:c>
      <x:c r="C13" s="17" t="str">
        <x:v>All rounds</x:v>
      </x:c>
      <x:c r="D13" s="17" t="str">
        <x:v>Line</x:v>
      </x:c>
      <x:c r="E13" s="40" t="n">
        <x:f>COUNTA('CoverageCases'!$D$2:$D$27)</x:f>
        <x:v>26</x:v>
      </x:c>
      <x:c r="F13" s="40" t="n">
        <x:f>COUNT('CoverageCases'!$O$2:$O$27)</x:f>
        <x:v>17</x:v>
      </x:c>
      <x:c r="G13" s="40" t="n">
        <x:f>COUNTIF('CoverageCases'!$G$2:$G$27,"A")</x:f>
        <x:v>9</x:v>
      </x:c>
      <x:c r="H13" s="40" t="n">
        <x:f>COUNTIF('CoverageCases'!$G$2:$G$27,"B")</x:f>
        <x:v>0</x:v>
      </x:c>
      <x:c r="I13" s="40" t="n">
        <x:f>COUNTIF('CoverageCases'!$G$2:$G$27,"UNRESOLVED")</x:f>
        <x:v>0</x:v>
      </x:c>
      <x:c r="J13" s="32" t="n">
        <x:f>IF(F13=0,"—",(SUM('CoverageCases'!$O$2:$O$27))/F13/100)</x:f>
        <x:v>0.6389235294117649</x:v>
      </x:c>
      <x:c r="K13" s="32" t="n">
        <x:f>IF(I13&gt;0,"Pending",IF(E13-H13=0,"—",(SUM('CoverageCases'!$O$2:$O$27))/(E13-H13)/100))</x:f>
        <x:v>0.41775769230769244</x:v>
      </x:c>
      <x:c r="L13" s="32" t="n">
        <x:f>IF(I13&gt;0,"Pending",IF(E13=0,"—",(E13-G13)/E13))</x:f>
        <x:v>0.6538461538461539</x:v>
      </x:c>
      <x:c r="M13" s="40" t="n">
        <x:f>IF(I13&gt;0,"Pending",E13-H13)</x:f>
        <x:v>26</x:v>
      </x:c>
    </x:row>
    <x:row r="14" ht="23" customHeight="1">
      <x:c r="B14" s="17" t="str">
        <x:v>Chart</x:v>
      </x:c>
      <x:c r="C14" s="17" t="str">
        <x:v>All rounds</x:v>
      </x:c>
      <x:c r="D14" s="17" t="str">
        <x:v>Condition</x:v>
      </x:c>
      <x:c r="E14" s="40" t="n">
        <x:f>COUNTA('CoverageCases'!$D$856:$D$881)</x:f>
        <x:v>26</x:v>
      </x:c>
      <x:c r="F14" s="40" t="n">
        <x:f>COUNT('CoverageCases'!$O$856:$O$881)</x:f>
        <x:v>16</x:v>
      </x:c>
      <x:c r="G14" s="40" t="n">
        <x:f>COUNTIF('CoverageCases'!$G$856:$G$881,"A")</x:f>
        <x:v>9</x:v>
      </x:c>
      <x:c r="H14" s="40" t="n">
        <x:f>COUNTIF('CoverageCases'!$G$856:$G$881,"B")</x:f>
        <x:v>1</x:v>
      </x:c>
      <x:c r="I14" s="40" t="n">
        <x:f>COUNTIF('CoverageCases'!$G$856:$G$881,"UNRESOLVED")</x:f>
        <x:v>0</x:v>
      </x:c>
      <x:c r="J14" s="32" t="n">
        <x:f>IF(F14=0,"—",(SUM('CoverageCases'!$O$856:$O$881))/F14/100)</x:f>
        <x:v>0.5228312500000001</x:v>
      </x:c>
      <x:c r="K14" s="32" t="n">
        <x:f>IF(I14&gt;0,"Pending",IF(E14-H14=0,"—",(SUM('CoverageCases'!$O$856:$O$881))/(E14-H14)/100))</x:f>
        <x:v>0.3346120000000001</x:v>
      </x:c>
      <x:c r="L14" s="32" t="n">
        <x:f>IF(I14&gt;0,"Pending",IF(E14=0,"—",(E14-G14)/E14))</x:f>
        <x:v>0.6538461538461539</x:v>
      </x:c>
      <x:c r="M14" s="40" t="n">
        <x:f>IF(I14&gt;0,"Pending",E14-H14)</x:f>
        <x:v>25</x:v>
      </x:c>
    </x:row>
    <x:row r="15" ht="23" customHeight="1">
      <x:c r="B15" s="17" t="str">
        <x:v>Chart</x:v>
      </x:c>
      <x:c r="C15" s="17" t="str">
        <x:v>Round1</x:v>
      </x:c>
      <x:c r="D15" s="17" t="str">
        <x:v>Line</x:v>
      </x:c>
      <x:c r="E15" s="40" t="n">
        <x:f>COUNTA('CoverageCases'!$D$2:$D$27)</x:f>
        <x:v>26</x:v>
      </x:c>
      <x:c r="F15" s="40" t="n">
        <x:f>COUNT('CoverageCases'!$O$2:$O$27)</x:f>
        <x:v>17</x:v>
      </x:c>
      <x:c r="G15" s="40" t="n">
        <x:f>COUNTIF('CoverageCases'!$G$2:$G$27,"A")</x:f>
        <x:v>9</x:v>
      </x:c>
      <x:c r="H15" s="40" t="n">
        <x:f>COUNTIF('CoverageCases'!$G$2:$G$27,"B")</x:f>
        <x:v>0</x:v>
      </x:c>
      <x:c r="I15" s="40" t="n">
        <x:f>COUNTIF('CoverageCases'!$G$2:$G$27,"UNRESOLVED")</x:f>
        <x:v>0</x:v>
      </x:c>
      <x:c r="J15" s="32" t="n">
        <x:f>IF(F15=0,"—",(SUM('CoverageCases'!$O$2:$O$27))/F15/100)</x:f>
        <x:v>0.6389235294117649</x:v>
      </x:c>
      <x:c r="K15" s="32" t="n">
        <x:f>IF(I15&gt;0,"Pending",IF(E15-H15=0,"—",(SUM('CoverageCases'!$O$2:$O$27))/(E15-H15)/100))</x:f>
        <x:v>0.41775769230769244</x:v>
      </x:c>
      <x:c r="L15" s="32" t="n">
        <x:f>IF(I15&gt;0,"Pending",IF(E15=0,"—",(E15-G15)/E15))</x:f>
        <x:v>0.6538461538461539</x:v>
      </x:c>
      <x:c r="M15" s="40" t="n">
        <x:f>IF(I15&gt;0,"Pending",E15-H15)</x:f>
        <x:v>26</x:v>
      </x:c>
    </x:row>
    <x:row r="16" ht="23" customHeight="1">
      <x:c r="B16" s="17" t="str">
        <x:v>Chart</x:v>
      </x:c>
      <x:c r="C16" s="17" t="str">
        <x:v>Round1</x:v>
      </x:c>
      <x:c r="D16" s="17" t="str">
        <x:v>Condition</x:v>
      </x:c>
      <x:c r="E16" s="40" t="n">
        <x:f>COUNTA('CoverageCases'!$D$856:$D$881)</x:f>
        <x:v>26</x:v>
      </x:c>
      <x:c r="F16" s="40" t="n">
        <x:f>COUNT('CoverageCases'!$O$856:$O$881)</x:f>
        <x:v>16</x:v>
      </x:c>
      <x:c r="G16" s="40" t="n">
        <x:f>COUNTIF('CoverageCases'!$G$856:$G$881,"A")</x:f>
        <x:v>9</x:v>
      </x:c>
      <x:c r="H16" s="40" t="n">
        <x:f>COUNTIF('CoverageCases'!$G$856:$G$881,"B")</x:f>
        <x:v>1</x:v>
      </x:c>
      <x:c r="I16" s="40" t="n">
        <x:f>COUNTIF('CoverageCases'!$G$856:$G$881,"UNRESOLVED")</x:f>
        <x:v>0</x:v>
      </x:c>
      <x:c r="J16" s="32" t="n">
        <x:f>IF(F16=0,"—",(SUM('CoverageCases'!$O$856:$O$881))/F16/100)</x:f>
        <x:v>0.5228312500000001</x:v>
      </x:c>
      <x:c r="K16" s="32" t="n">
        <x:f>IF(I16&gt;0,"Pending",IF(E16-H16=0,"—",(SUM('CoverageCases'!$O$856:$O$881))/(E16-H16)/100))</x:f>
        <x:v>0.3346120000000001</x:v>
      </x:c>
      <x:c r="L16" s="32" t="n">
        <x:f>IF(I16&gt;0,"Pending",IF(E16=0,"—",(E16-G16)/E16))</x:f>
        <x:v>0.6538461538461539</x:v>
      </x:c>
      <x:c r="M16" s="40" t="n">
        <x:f>IF(I16&gt;0,"Pending",E16-H16)</x:f>
        <x:v>25</x:v>
      </x:c>
    </x:row>
    <x:row r="17" ht="23" customHeight="1">
      <x:c r="B17" s="17" t="str">
        <x:v>Chart</x:v>
      </x:c>
      <x:c r="C17" s="17" t="str">
        <x:v>Round2</x:v>
      </x:c>
      <x:c r="D17" s="17" t="str">
        <x:v>Line</x:v>
      </x:c>
      <x:c r="E17" s="40" t="n">
        <x:f>0</x:f>
        <x:v>0</x:v>
      </x:c>
      <x:c r="F17" s="40" t="n">
        <x:f>0</x:f>
        <x:v>0</x:v>
      </x:c>
      <x:c r="G17" s="40" t="n">
        <x:f>0</x:f>
        <x:v>0</x:v>
      </x:c>
      <x:c r="H17" s="40" t="n">
        <x:f>0</x:f>
        <x:v>0</x:v>
      </x:c>
      <x:c r="I17" s="40" t="n">
        <x:f>0</x:f>
        <x:v>0</x:v>
      </x:c>
      <x:c r="J17" s="32" t="str">
        <x:f>IF(F17=0,"—",(0)/F17/100)</x:f>
        <x:v>—</x:v>
      </x:c>
      <x:c r="K17" s="32" t="str">
        <x:f>IF(I17&gt;0,"Pending",IF(E17-H17=0,"—",(0)/(E17-H17)/100))</x:f>
        <x:v>—</x:v>
      </x:c>
      <x:c r="L17" s="32" t="str">
        <x:f>IF(I17&gt;0,"Pending",IF(E17=0,"—",(E17-G17)/E17))</x:f>
        <x:v>—</x:v>
      </x:c>
      <x:c r="M17" s="40" t="n">
        <x:f>IF(I17&gt;0,"Pending",E17-H17)</x:f>
        <x:v>0</x:v>
      </x:c>
    </x:row>
    <x:row r="18" ht="23" customHeight="1">
      <x:c r="B18" s="17" t="str">
        <x:v>Chart</x:v>
      </x:c>
      <x:c r="C18" s="17" t="str">
        <x:v>Round2</x:v>
      </x:c>
      <x:c r="D18" s="17" t="str">
        <x:v>Condition</x:v>
      </x:c>
      <x:c r="E18" s="40" t="n">
        <x:f>0</x:f>
        <x:v>0</x:v>
      </x:c>
      <x:c r="F18" s="40" t="n">
        <x:f>0</x:f>
        <x:v>0</x:v>
      </x:c>
      <x:c r="G18" s="40" t="n">
        <x:f>0</x:f>
        <x:v>0</x:v>
      </x:c>
      <x:c r="H18" s="40" t="n">
        <x:f>0</x:f>
        <x:v>0</x:v>
      </x:c>
      <x:c r="I18" s="40" t="n">
        <x:f>0</x:f>
        <x:v>0</x:v>
      </x:c>
      <x:c r="J18" s="32" t="str">
        <x:f>IF(F18=0,"—",(0)/F18/100)</x:f>
        <x:v>—</x:v>
      </x:c>
      <x:c r="K18" s="32" t="str">
        <x:f>IF(I18&gt;0,"Pending",IF(E18-H18=0,"—",(0)/(E18-H18)/100))</x:f>
        <x:v>—</x:v>
      </x:c>
      <x:c r="L18" s="32" t="str">
        <x:f>IF(I18&gt;0,"Pending",IF(E18=0,"—",(E18-G18)/E18))</x:f>
        <x:v>—</x:v>
      </x:c>
      <x:c r="M18" s="40" t="n">
        <x:f>IF(I18&gt;0,"Pending",E18-H18)</x:f>
        <x:v>0</x:v>
      </x:c>
    </x:row>
    <x:row r="19" ht="23" customHeight="1">
      <x:c r="B19" s="17" t="str">
        <x:v>Cli</x:v>
      </x:c>
      <x:c r="C19" s="17" t="str">
        <x:v>All rounds</x:v>
      </x:c>
      <x:c r="D19" s="17" t="str">
        <x:v>Line</x:v>
      </x:c>
      <x:c r="E19" s="40" t="n">
        <x:f>COUNTA('CoverageCases'!$D$28:$D$66)</x:f>
        <x:v>39</x:v>
      </x:c>
      <x:c r="F19" s="40" t="n">
        <x:f>COUNT('CoverageCases'!$O$28:$O$66)</x:f>
        <x:v>32</x:v>
      </x:c>
      <x:c r="G19" s="40" t="n">
        <x:f>COUNTIF('CoverageCases'!$G$28:$G$66,"A")</x:f>
        <x:v>7</x:v>
      </x:c>
      <x:c r="H19" s="40" t="n">
        <x:f>COUNTIF('CoverageCases'!$G$28:$G$66,"B")</x:f>
        <x:v>0</x:v>
      </x:c>
      <x:c r="I19" s="40" t="n">
        <x:f>COUNTIF('CoverageCases'!$G$28:$G$66,"UNRESOLVED")</x:f>
        <x:v>0</x:v>
      </x:c>
      <x:c r="J19" s="32" t="n">
        <x:f>IF(F19=0,"—",(SUM('CoverageCases'!$O$28:$O$66))/F19/100)</x:f>
        <x:v>0.15295000000000003</x:v>
      </x:c>
      <x:c r="K19" s="32" t="n">
        <x:f>IF(I19&gt;0,"Pending",IF(E19-H19=0,"—",(SUM('CoverageCases'!$O$28:$O$66))/(E19-H19)/100))</x:f>
        <x:v>0.1254974358974359</x:v>
      </x:c>
      <x:c r="L19" s="32" t="n">
        <x:f>IF(I19&gt;0,"Pending",IF(E19=0,"—",(E19-G19)/E19))</x:f>
        <x:v>0.8205128205128205</x:v>
      </x:c>
      <x:c r="M19" s="40" t="n">
        <x:f>IF(I19&gt;0,"Pending",E19-H19)</x:f>
        <x:v>39</x:v>
      </x:c>
    </x:row>
    <x:row r="20" ht="23" customHeight="1">
      <x:c r="B20" s="17" t="str">
        <x:v>Cli</x:v>
      </x:c>
      <x:c r="C20" s="17" t="str">
        <x:v>All rounds</x:v>
      </x:c>
      <x:c r="D20" s="17" t="str">
        <x:v>Condition</x:v>
      </x:c>
      <x:c r="E20" s="40" t="n">
        <x:f>COUNTA('CoverageCases'!$D$882:$D$920)</x:f>
        <x:v>39</x:v>
      </x:c>
      <x:c r="F20" s="40" t="n">
        <x:f>COUNT('CoverageCases'!$O$882:$O$920)</x:f>
        <x:v>32</x:v>
      </x:c>
      <x:c r="G20" s="40" t="n">
        <x:f>COUNTIF('CoverageCases'!$G$882:$G$920,"A")</x:f>
        <x:v>7</x:v>
      </x:c>
      <x:c r="H20" s="40" t="n">
        <x:f>COUNTIF('CoverageCases'!$G$882:$G$920,"B")</x:f>
        <x:v>0</x:v>
      </x:c>
      <x:c r="I20" s="40" t="n">
        <x:f>COUNTIF('CoverageCases'!$G$882:$G$920,"UNRESOLVED")</x:f>
        <x:v>0</x:v>
      </x:c>
      <x:c r="J20" s="32" t="n">
        <x:f>IF(F20=0,"—",(SUM('CoverageCases'!$O$882:$O$920))/F20/100)</x:f>
        <x:v>0.1461625</x:v>
      </x:c>
      <x:c r="K20" s="32" t="n">
        <x:f>IF(I20&gt;0,"Pending",IF(E20-H20=0,"—",(SUM('CoverageCases'!$O$882:$O$920))/(E20-H20)/100))</x:f>
        <x:v>0.11992820512820514</x:v>
      </x:c>
      <x:c r="L20" s="32" t="n">
        <x:f>IF(I20&gt;0,"Pending",IF(E20=0,"—",(E20-G20)/E20))</x:f>
        <x:v>0.8205128205128205</x:v>
      </x:c>
      <x:c r="M20" s="40" t="n">
        <x:f>IF(I20&gt;0,"Pending",E20-H20)</x:f>
        <x:v>39</x:v>
      </x:c>
    </x:row>
    <x:row r="21" ht="23" customHeight="1">
      <x:c r="B21" s="17" t="str">
        <x:v>Cli</x:v>
      </x:c>
      <x:c r="C21" s="17" t="str">
        <x:v>Round1</x:v>
      </x:c>
      <x:c r="D21" s="17" t="str">
        <x:v>Line</x:v>
      </x:c>
      <x:c r="E21" s="40" t="n">
        <x:f>COUNTA('CoverageCases'!$D$28:$D$66)</x:f>
        <x:v>39</x:v>
      </x:c>
      <x:c r="F21" s="40" t="n">
        <x:f>COUNT('CoverageCases'!$O$28:$O$66)</x:f>
        <x:v>32</x:v>
      </x:c>
      <x:c r="G21" s="40" t="n">
        <x:f>COUNTIF('CoverageCases'!$G$28:$G$66,"A")</x:f>
        <x:v>7</x:v>
      </x:c>
      <x:c r="H21" s="40" t="n">
        <x:f>COUNTIF('CoverageCases'!$G$28:$G$66,"B")</x:f>
        <x:v>0</x:v>
      </x:c>
      <x:c r="I21" s="40" t="n">
        <x:f>COUNTIF('CoverageCases'!$G$28:$G$66,"UNRESOLVED")</x:f>
        <x:v>0</x:v>
      </x:c>
      <x:c r="J21" s="32" t="n">
        <x:f>IF(F21=0,"—",(SUM('CoverageCases'!$O$28:$O$66))/F21/100)</x:f>
        <x:v>0.15295000000000003</x:v>
      </x:c>
      <x:c r="K21" s="32" t="n">
        <x:f>IF(I21&gt;0,"Pending",IF(E21-H21=0,"—",(SUM('CoverageCases'!$O$28:$O$66))/(E21-H21)/100))</x:f>
        <x:v>0.1254974358974359</x:v>
      </x:c>
      <x:c r="L21" s="32" t="n">
        <x:f>IF(I21&gt;0,"Pending",IF(E21=0,"—",(E21-G21)/E21))</x:f>
        <x:v>0.8205128205128205</x:v>
      </x:c>
      <x:c r="M21" s="40" t="n">
        <x:f>IF(I21&gt;0,"Pending",E21-H21)</x:f>
        <x:v>39</x:v>
      </x:c>
    </x:row>
    <x:row r="22" ht="23" customHeight="1">
      <x:c r="B22" s="17" t="str">
        <x:v>Cli</x:v>
      </x:c>
      <x:c r="C22" s="17" t="str">
        <x:v>Round1</x:v>
      </x:c>
      <x:c r="D22" s="17" t="str">
        <x:v>Condition</x:v>
      </x:c>
      <x:c r="E22" s="40" t="n">
        <x:f>COUNTA('CoverageCases'!$D$882:$D$920)</x:f>
        <x:v>39</x:v>
      </x:c>
      <x:c r="F22" s="40" t="n">
        <x:f>COUNT('CoverageCases'!$O$882:$O$920)</x:f>
        <x:v>32</x:v>
      </x:c>
      <x:c r="G22" s="40" t="n">
        <x:f>COUNTIF('CoverageCases'!$G$882:$G$920,"A")</x:f>
        <x:v>7</x:v>
      </x:c>
      <x:c r="H22" s="40" t="n">
        <x:f>COUNTIF('CoverageCases'!$G$882:$G$920,"B")</x:f>
        <x:v>0</x:v>
      </x:c>
      <x:c r="I22" s="40" t="n">
        <x:f>COUNTIF('CoverageCases'!$G$882:$G$920,"UNRESOLVED")</x:f>
        <x:v>0</x:v>
      </x:c>
      <x:c r="J22" s="32" t="n">
        <x:f>IF(F22=0,"—",(SUM('CoverageCases'!$O$882:$O$920))/F22/100)</x:f>
        <x:v>0.1461625</x:v>
      </x:c>
      <x:c r="K22" s="32" t="n">
        <x:f>IF(I22&gt;0,"Pending",IF(E22-H22=0,"—",(SUM('CoverageCases'!$O$882:$O$920))/(E22-H22)/100))</x:f>
        <x:v>0.11992820512820514</x:v>
      </x:c>
      <x:c r="L22" s="32" t="n">
        <x:f>IF(I22&gt;0,"Pending",IF(E22=0,"—",(E22-G22)/E22))</x:f>
        <x:v>0.8205128205128205</x:v>
      </x:c>
      <x:c r="M22" s="40" t="n">
        <x:f>IF(I22&gt;0,"Pending",E22-H22)</x:f>
        <x:v>39</x:v>
      </x:c>
    </x:row>
    <x:row r="23" ht="23" customHeight="1">
      <x:c r="B23" s="17" t="str">
        <x:v>Cli</x:v>
      </x:c>
      <x:c r="C23" s="17" t="str">
        <x:v>Round2</x:v>
      </x:c>
      <x:c r="D23" s="17" t="str">
        <x:v>Line</x:v>
      </x:c>
      <x:c r="E23" s="40" t="n">
        <x:f>0</x:f>
        <x:v>0</x:v>
      </x:c>
      <x:c r="F23" s="40" t="n">
        <x:f>0</x:f>
        <x:v>0</x:v>
      </x:c>
      <x:c r="G23" s="40" t="n">
        <x:f>0</x:f>
        <x:v>0</x:v>
      </x:c>
      <x:c r="H23" s="40" t="n">
        <x:f>0</x:f>
        <x:v>0</x:v>
      </x:c>
      <x:c r="I23" s="40" t="n">
        <x:f>0</x:f>
        <x:v>0</x:v>
      </x:c>
      <x:c r="J23" s="32" t="str">
        <x:f>IF(F23=0,"—",(0)/F23/100)</x:f>
        <x:v>—</x:v>
      </x:c>
      <x:c r="K23" s="32" t="str">
        <x:f>IF(I23&gt;0,"Pending",IF(E23-H23=0,"—",(0)/(E23-H23)/100))</x:f>
        <x:v>—</x:v>
      </x:c>
      <x:c r="L23" s="32" t="str">
        <x:f>IF(I23&gt;0,"Pending",IF(E23=0,"—",(E23-G23)/E23))</x:f>
        <x:v>—</x:v>
      </x:c>
      <x:c r="M23" s="40" t="n">
        <x:f>IF(I23&gt;0,"Pending",E23-H23)</x:f>
        <x:v>0</x:v>
      </x:c>
    </x:row>
    <x:row r="24" ht="23" customHeight="1">
      <x:c r="B24" s="17" t="str">
        <x:v>Cli</x:v>
      </x:c>
      <x:c r="C24" s="17" t="str">
        <x:v>Round2</x:v>
      </x:c>
      <x:c r="D24" s="17" t="str">
        <x:v>Condition</x:v>
      </x:c>
      <x:c r="E24" s="40" t="n">
        <x:f>0</x:f>
        <x:v>0</x:v>
      </x:c>
      <x:c r="F24" s="40" t="n">
        <x:f>0</x:f>
        <x:v>0</x:v>
      </x:c>
      <x:c r="G24" s="40" t="n">
        <x:f>0</x:f>
        <x:v>0</x:v>
      </x:c>
      <x:c r="H24" s="40" t="n">
        <x:f>0</x:f>
        <x:v>0</x:v>
      </x:c>
      <x:c r="I24" s="40" t="n">
        <x:f>0</x:f>
        <x:v>0</x:v>
      </x:c>
      <x:c r="J24" s="32" t="str">
        <x:f>IF(F24=0,"—",(0)/F24/100)</x:f>
        <x:v>—</x:v>
      </x:c>
      <x:c r="K24" s="32" t="str">
        <x:f>IF(I24&gt;0,"Pending",IF(E24-H24=0,"—",(0)/(E24-H24)/100))</x:f>
        <x:v>—</x:v>
      </x:c>
      <x:c r="L24" s="32" t="str">
        <x:f>IF(I24&gt;0,"Pending",IF(E24=0,"—",(E24-G24)/E24))</x:f>
        <x:v>—</x:v>
      </x:c>
      <x:c r="M24" s="40" t="n">
        <x:f>IF(I24&gt;0,"Pending",E24-H24)</x:f>
        <x:v>0</x:v>
      </x:c>
    </x:row>
    <x:row r="25" ht="23" customHeight="1">
      <x:c r="B25" s="17" t="str">
        <x:v>Closure</x:v>
      </x:c>
      <x:c r="C25" s="17" t="str">
        <x:v>All rounds</x:v>
      </x:c>
      <x:c r="D25" s="17" t="str">
        <x:v>Line</x:v>
      </x:c>
      <x:c r="E25" s="40" t="n">
        <x:f>COUNTA('CoverageCases'!$D$67:$D$240)</x:f>
        <x:v>174</x:v>
      </x:c>
      <x:c r="F25" s="40" t="n">
        <x:f>COUNT('CoverageCases'!$O$67:$O$240)</x:f>
        <x:v>20</x:v>
      </x:c>
      <x:c r="G25" s="40" t="n">
        <x:f>COUNTIF('CoverageCases'!$G$67:$G$240,"A")</x:f>
        <x:v>154</x:v>
      </x:c>
      <x:c r="H25" s="40" t="n">
        <x:f>COUNTIF('CoverageCases'!$G$67:$G$240,"B")</x:f>
        <x:v>0</x:v>
      </x:c>
      <x:c r="I25" s="40" t="n">
        <x:f>COUNTIF('CoverageCases'!$G$67:$G$240,"UNRESOLVED")</x:f>
        <x:v>0</x:v>
      </x:c>
      <x:c r="J25" s="32" t="n">
        <x:f>IF(F25=0,"—",(SUM('CoverageCases'!$O$67:$O$240))/F25/100)</x:f>
        <x:v>0.5418050000000001</x:v>
      </x:c>
      <x:c r="K25" s="32" t="n">
        <x:f>IF(I25&gt;0,"Pending",IF(E25-H25=0,"—",(SUM('CoverageCases'!$O$67:$O$240))/(E25-H25)/100))</x:f>
        <x:v>0.0622764367816092</x:v>
      </x:c>
      <x:c r="L25" s="32" t="n">
        <x:f>IF(I25&gt;0,"Pending",IF(E25=0,"—",(E25-G25)/E25))</x:f>
        <x:v>0.11494252873563218</x:v>
      </x:c>
      <x:c r="M25" s="40" t="n">
        <x:f>IF(I25&gt;0,"Pending",E25-H25)</x:f>
        <x:v>174</x:v>
      </x:c>
    </x:row>
    <x:row r="26" ht="23" customHeight="1">
      <x:c r="B26" s="17" t="str">
        <x:v>Closure</x:v>
      </x:c>
      <x:c r="C26" s="17" t="str">
        <x:v>All rounds</x:v>
      </x:c>
      <x:c r="D26" s="17" t="str">
        <x:v>Condition</x:v>
      </x:c>
      <x:c r="E26" s="40" t="n">
        <x:f>COUNTA('CoverageCases'!$D$921:$D$1094)</x:f>
        <x:v>174</x:v>
      </x:c>
      <x:c r="F26" s="40" t="n">
        <x:f>COUNT('CoverageCases'!$O$921:$O$1094)</x:f>
        <x:v>20</x:v>
      </x:c>
      <x:c r="G26" s="40" t="n">
        <x:f>COUNTIF('CoverageCases'!$G$921:$G$1094,"A")</x:f>
        <x:v>154</x:v>
      </x:c>
      <x:c r="H26" s="40" t="n">
        <x:f>COUNTIF('CoverageCases'!$G$921:$G$1094,"B")</x:f>
        <x:v>0</x:v>
      </x:c>
      <x:c r="I26" s="40" t="n">
        <x:f>COUNTIF('CoverageCases'!$G$921:$G$1094,"UNRESOLVED")</x:f>
        <x:v>0</x:v>
      </x:c>
      <x:c r="J26" s="32" t="n">
        <x:f>IF(F26=0,"—",(SUM('CoverageCases'!$O$921:$O$1094))/F26/100)</x:f>
        <x:v>0.4635850000000001</x:v>
      </x:c>
      <x:c r="K26" s="32" t="n">
        <x:f>IF(I26&gt;0,"Pending",IF(E26-H26=0,"—",(SUM('CoverageCases'!$O$921:$O$1094))/(E26-H26)/100))</x:f>
        <x:v>0.05328563218390805</x:v>
      </x:c>
      <x:c r="L26" s="32" t="n">
        <x:f>IF(I26&gt;0,"Pending",IF(E26=0,"—",(E26-G26)/E26))</x:f>
        <x:v>0.11494252873563218</x:v>
      </x:c>
      <x:c r="M26" s="40" t="n">
        <x:f>IF(I26&gt;0,"Pending",E26-H26)</x:f>
        <x:v>174</x:v>
      </x:c>
    </x:row>
    <x:row r="27" ht="23" customHeight="1">
      <x:c r="B27" s="17" t="str">
        <x:v>Closure</x:v>
      </x:c>
      <x:c r="C27" s="17" t="str">
        <x:v>Round1</x:v>
      </x:c>
      <x:c r="D27" s="17" t="str">
        <x:v>Line</x:v>
      </x:c>
      <x:c r="E27" s="40" t="n">
        <x:f>COUNTA('CoverageCases'!$D$67:$D$240)</x:f>
        <x:v>174</x:v>
      </x:c>
      <x:c r="F27" s="40" t="n">
        <x:f>COUNT('CoverageCases'!$O$67:$O$240)</x:f>
        <x:v>20</x:v>
      </x:c>
      <x:c r="G27" s="40" t="n">
        <x:f>COUNTIF('CoverageCases'!$G$67:$G$240,"A")</x:f>
        <x:v>154</x:v>
      </x:c>
      <x:c r="H27" s="40" t="n">
        <x:f>COUNTIF('CoverageCases'!$G$67:$G$240,"B")</x:f>
        <x:v>0</x:v>
      </x:c>
      <x:c r="I27" s="40" t="n">
        <x:f>COUNTIF('CoverageCases'!$G$67:$G$240,"UNRESOLVED")</x:f>
        <x:v>0</x:v>
      </x:c>
      <x:c r="J27" s="32" t="n">
        <x:f>IF(F27=0,"—",(SUM('CoverageCases'!$O$67:$O$240))/F27/100)</x:f>
        <x:v>0.5418050000000001</x:v>
      </x:c>
      <x:c r="K27" s="32" t="n">
        <x:f>IF(I27&gt;0,"Pending",IF(E27-H27=0,"—",(SUM('CoverageCases'!$O$67:$O$240))/(E27-H27)/100))</x:f>
        <x:v>0.0622764367816092</x:v>
      </x:c>
      <x:c r="L27" s="32" t="n">
        <x:f>IF(I27&gt;0,"Pending",IF(E27=0,"—",(E27-G27)/E27))</x:f>
        <x:v>0.11494252873563218</x:v>
      </x:c>
      <x:c r="M27" s="40" t="n">
        <x:f>IF(I27&gt;0,"Pending",E27-H27)</x:f>
        <x:v>174</x:v>
      </x:c>
    </x:row>
    <x:row r="28" ht="23" customHeight="1">
      <x:c r="B28" s="17" t="str">
        <x:v>Closure</x:v>
      </x:c>
      <x:c r="C28" s="17" t="str">
        <x:v>Round1</x:v>
      </x:c>
      <x:c r="D28" s="17" t="str">
        <x:v>Condition</x:v>
      </x:c>
      <x:c r="E28" s="40" t="n">
        <x:f>COUNTA('CoverageCases'!$D$921:$D$1094)</x:f>
        <x:v>174</x:v>
      </x:c>
      <x:c r="F28" s="40" t="n">
        <x:f>COUNT('CoverageCases'!$O$921:$O$1094)</x:f>
        <x:v>20</x:v>
      </x:c>
      <x:c r="G28" s="40" t="n">
        <x:f>COUNTIF('CoverageCases'!$G$921:$G$1094,"A")</x:f>
        <x:v>154</x:v>
      </x:c>
      <x:c r="H28" s="40" t="n">
        <x:f>COUNTIF('CoverageCases'!$G$921:$G$1094,"B")</x:f>
        <x:v>0</x:v>
      </x:c>
      <x:c r="I28" s="40" t="n">
        <x:f>COUNTIF('CoverageCases'!$G$921:$G$1094,"UNRESOLVED")</x:f>
        <x:v>0</x:v>
      </x:c>
      <x:c r="J28" s="32" t="n">
        <x:f>IF(F28=0,"—",(SUM('CoverageCases'!$O$921:$O$1094))/F28/100)</x:f>
        <x:v>0.4635850000000001</x:v>
      </x:c>
      <x:c r="K28" s="32" t="n">
        <x:f>IF(I28&gt;0,"Pending",IF(E28-H28=0,"—",(SUM('CoverageCases'!$O$921:$O$1094))/(E28-H28)/100))</x:f>
        <x:v>0.05328563218390805</x:v>
      </x:c>
      <x:c r="L28" s="32" t="n">
        <x:f>IF(I28&gt;0,"Pending",IF(E28=0,"—",(E28-G28)/E28))</x:f>
        <x:v>0.11494252873563218</x:v>
      </x:c>
      <x:c r="M28" s="40" t="n">
        <x:f>IF(I28&gt;0,"Pending",E28-H28)</x:f>
        <x:v>174</x:v>
      </x:c>
    </x:row>
    <x:row r="29" ht="23" customHeight="1">
      <x:c r="B29" s="17" t="str">
        <x:v>Closure</x:v>
      </x:c>
      <x:c r="C29" s="17" t="str">
        <x:v>Round2</x:v>
      </x:c>
      <x:c r="D29" s="17" t="str">
        <x:v>Line</x:v>
      </x:c>
      <x:c r="E29" s="40" t="n">
        <x:f>0</x:f>
        <x:v>0</x:v>
      </x:c>
      <x:c r="F29" s="40" t="n">
        <x:f>0</x:f>
        <x:v>0</x:v>
      </x:c>
      <x:c r="G29" s="40" t="n">
        <x:f>0</x:f>
        <x:v>0</x:v>
      </x:c>
      <x:c r="H29" s="40" t="n">
        <x:f>0</x:f>
        <x:v>0</x:v>
      </x:c>
      <x:c r="I29" s="40" t="n">
        <x:f>0</x:f>
        <x:v>0</x:v>
      </x:c>
      <x:c r="J29" s="32" t="str">
        <x:f>IF(F29=0,"—",(0)/F29/100)</x:f>
        <x:v>—</x:v>
      </x:c>
      <x:c r="K29" s="32" t="str">
        <x:f>IF(I29&gt;0,"Pending",IF(E29-H29=0,"—",(0)/(E29-H29)/100))</x:f>
        <x:v>—</x:v>
      </x:c>
      <x:c r="L29" s="32" t="str">
        <x:f>IF(I29&gt;0,"Pending",IF(E29=0,"—",(E29-G29)/E29))</x:f>
        <x:v>—</x:v>
      </x:c>
      <x:c r="M29" s="40" t="n">
        <x:f>IF(I29&gt;0,"Pending",E29-H29)</x:f>
        <x:v>0</x:v>
      </x:c>
    </x:row>
    <x:row r="30" ht="23" customHeight="1">
      <x:c r="B30" s="17" t="str">
        <x:v>Closure</x:v>
      </x:c>
      <x:c r="C30" s="17" t="str">
        <x:v>Round2</x:v>
      </x:c>
      <x:c r="D30" s="17" t="str">
        <x:v>Condition</x:v>
      </x:c>
      <x:c r="E30" s="40" t="n">
        <x:f>0</x:f>
        <x:v>0</x:v>
      </x:c>
      <x:c r="F30" s="40" t="n">
        <x:f>0</x:f>
        <x:v>0</x:v>
      </x:c>
      <x:c r="G30" s="40" t="n">
        <x:f>0</x:f>
        <x:v>0</x:v>
      </x:c>
      <x:c r="H30" s="40" t="n">
        <x:f>0</x:f>
        <x:v>0</x:v>
      </x:c>
      <x:c r="I30" s="40" t="n">
        <x:f>0</x:f>
        <x:v>0</x:v>
      </x:c>
      <x:c r="J30" s="32" t="str">
        <x:f>IF(F30=0,"—",(0)/F30/100)</x:f>
        <x:v>—</x:v>
      </x:c>
      <x:c r="K30" s="32" t="str">
        <x:f>IF(I30&gt;0,"Pending",IF(E30-H30=0,"—",(0)/(E30-H30)/100))</x:f>
        <x:v>—</x:v>
      </x:c>
      <x:c r="L30" s="32" t="str">
        <x:f>IF(I30&gt;0,"Pending",IF(E30=0,"—",(E30-G30)/E30))</x:f>
        <x:v>—</x:v>
      </x:c>
      <x:c r="M30" s="40" t="n">
        <x:f>IF(I30&gt;0,"Pending",E30-H30)</x:f>
        <x:v>0</x:v>
      </x:c>
    </x:row>
    <x:row r="31" ht="23" customHeight="1">
      <x:c r="B31" s="17" t="str">
        <x:v>Codec</x:v>
      </x:c>
      <x:c r="C31" s="17" t="str">
        <x:v>All rounds</x:v>
      </x:c>
      <x:c r="D31" s="17" t="str">
        <x:v>Line</x:v>
      </x:c>
      <x:c r="E31" s="40" t="n">
        <x:f>COUNTA('CoverageCases'!$D$241:$D$258)</x:f>
        <x:v>18</x:v>
      </x:c>
      <x:c r="F31" s="40" t="n">
        <x:f>COUNT('CoverageCases'!$O$241:$O$258)</x:f>
        <x:v>11</x:v>
      </x:c>
      <x:c r="G31" s="40" t="n">
        <x:f>COUNTIF('CoverageCases'!$G$241:$G$258,"A")</x:f>
        <x:v>7</x:v>
      </x:c>
      <x:c r="H31" s="40" t="n">
        <x:f>COUNTIF('CoverageCases'!$G$241:$G$258,"B")</x:f>
        <x:v>0</x:v>
      </x:c>
      <x:c r="I31" s="40" t="n">
        <x:f>COUNTIF('CoverageCases'!$G$241:$G$258,"UNRESOLVED")</x:f>
        <x:v>0</x:v>
      </x:c>
      <x:c r="J31" s="32" t="n">
        <x:f>IF(F31=0,"—",(SUM('CoverageCases'!$O$241:$O$258))/F31/100)</x:f>
        <x:v>0.8144090909090909</x:v>
      </x:c>
      <x:c r="K31" s="32" t="n">
        <x:f>IF(I31&gt;0,"Pending",IF(E31-H31=0,"—",(SUM('CoverageCases'!$O$241:$O$258))/(E31-H31)/100))</x:f>
        <x:v>0.49769444444444444</x:v>
      </x:c>
      <x:c r="L31" s="32" t="n">
        <x:f>IF(I31&gt;0,"Pending",IF(E31=0,"—",(E31-G31)/E31))</x:f>
        <x:v>0.6111111111111112</x:v>
      </x:c>
      <x:c r="M31" s="40" t="n">
        <x:f>IF(I31&gt;0,"Pending",E31-H31)</x:f>
        <x:v>18</x:v>
      </x:c>
    </x:row>
    <x:row r="32" ht="23" customHeight="1">
      <x:c r="B32" s="17" t="str">
        <x:v>Codec</x:v>
      </x:c>
      <x:c r="C32" s="17" t="str">
        <x:v>All rounds</x:v>
      </x:c>
      <x:c r="D32" s="17" t="str">
        <x:v>Condition</x:v>
      </x:c>
      <x:c r="E32" s="40" t="n">
        <x:f>COUNTA('CoverageCases'!$D$1095:$D$1112)</x:f>
        <x:v>18</x:v>
      </x:c>
      <x:c r="F32" s="40" t="n">
        <x:f>COUNT('CoverageCases'!$O$1095:$O$1112)</x:f>
        <x:v>11</x:v>
      </x:c>
      <x:c r="G32" s="40" t="n">
        <x:f>COUNTIF('CoverageCases'!$G$1095:$G$1112,"A")</x:f>
        <x:v>7</x:v>
      </x:c>
      <x:c r="H32" s="40" t="n">
        <x:f>COUNTIF('CoverageCases'!$G$1095:$G$1112,"B")</x:f>
        <x:v>0</x:v>
      </x:c>
      <x:c r="I32" s="40" t="n">
        <x:f>COUNTIF('CoverageCases'!$G$1095:$G$1112,"UNRESOLVED")</x:f>
        <x:v>0</x:v>
      </x:c>
      <x:c r="J32" s="32" t="n">
        <x:f>IF(F32=0,"—",(SUM('CoverageCases'!$O$1095:$O$1112))/F32/100)</x:f>
        <x:v>0.7582181818181817</x:v>
      </x:c>
      <x:c r="K32" s="32" t="n">
        <x:f>IF(I32&gt;0,"Pending",IF(E32-H32=0,"—",(SUM('CoverageCases'!$O$1095:$O$1112))/(E32-H32)/100))</x:f>
        <x:v>0.4633555555555555</x:v>
      </x:c>
      <x:c r="L32" s="32" t="n">
        <x:f>IF(I32&gt;0,"Pending",IF(E32=0,"—",(E32-G32)/E32))</x:f>
        <x:v>0.6111111111111112</x:v>
      </x:c>
      <x:c r="M32" s="40" t="n">
        <x:f>IF(I32&gt;0,"Pending",E32-H32)</x:f>
        <x:v>18</x:v>
      </x:c>
    </x:row>
    <x:row r="33" ht="23" customHeight="1">
      <x:c r="B33" s="17" t="str">
        <x:v>Codec</x:v>
      </x:c>
      <x:c r="C33" s="17" t="str">
        <x:v>Round1</x:v>
      </x:c>
      <x:c r="D33" s="17" t="str">
        <x:v>Line</x:v>
      </x:c>
      <x:c r="E33" s="40" t="n">
        <x:f>COUNTA('CoverageCases'!$D$241:$D$258)</x:f>
        <x:v>18</x:v>
      </x:c>
      <x:c r="F33" s="40" t="n">
        <x:f>COUNT('CoverageCases'!$O$241:$O$258)</x:f>
        <x:v>11</x:v>
      </x:c>
      <x:c r="G33" s="40" t="n">
        <x:f>COUNTIF('CoverageCases'!$G$241:$G$258,"A")</x:f>
        <x:v>7</x:v>
      </x:c>
      <x:c r="H33" s="40" t="n">
        <x:f>COUNTIF('CoverageCases'!$G$241:$G$258,"B")</x:f>
        <x:v>0</x:v>
      </x:c>
      <x:c r="I33" s="40" t="n">
        <x:f>COUNTIF('CoverageCases'!$G$241:$G$258,"UNRESOLVED")</x:f>
        <x:v>0</x:v>
      </x:c>
      <x:c r="J33" s="32" t="n">
        <x:f>IF(F33=0,"—",(SUM('CoverageCases'!$O$241:$O$258))/F33/100)</x:f>
        <x:v>0.8144090909090909</x:v>
      </x:c>
      <x:c r="K33" s="32" t="n">
        <x:f>IF(I33&gt;0,"Pending",IF(E33-H33=0,"—",(SUM('CoverageCases'!$O$241:$O$258))/(E33-H33)/100))</x:f>
        <x:v>0.49769444444444444</x:v>
      </x:c>
      <x:c r="L33" s="32" t="n">
        <x:f>IF(I33&gt;0,"Pending",IF(E33=0,"—",(E33-G33)/E33))</x:f>
        <x:v>0.6111111111111112</x:v>
      </x:c>
      <x:c r="M33" s="40" t="n">
        <x:f>IF(I33&gt;0,"Pending",E33-H33)</x:f>
        <x:v>18</x:v>
      </x:c>
    </x:row>
    <x:row r="34" ht="23" customHeight="1">
      <x:c r="B34" s="17" t="str">
        <x:v>Codec</x:v>
      </x:c>
      <x:c r="C34" s="17" t="str">
        <x:v>Round1</x:v>
      </x:c>
      <x:c r="D34" s="17" t="str">
        <x:v>Condition</x:v>
      </x:c>
      <x:c r="E34" s="40" t="n">
        <x:f>COUNTA('CoverageCases'!$D$1095:$D$1112)</x:f>
        <x:v>18</x:v>
      </x:c>
      <x:c r="F34" s="40" t="n">
        <x:f>COUNT('CoverageCases'!$O$1095:$O$1112)</x:f>
        <x:v>11</x:v>
      </x:c>
      <x:c r="G34" s="40" t="n">
        <x:f>COUNTIF('CoverageCases'!$G$1095:$G$1112,"A")</x:f>
        <x:v>7</x:v>
      </x:c>
      <x:c r="H34" s="40" t="n">
        <x:f>COUNTIF('CoverageCases'!$G$1095:$G$1112,"B")</x:f>
        <x:v>0</x:v>
      </x:c>
      <x:c r="I34" s="40" t="n">
        <x:f>COUNTIF('CoverageCases'!$G$1095:$G$1112,"UNRESOLVED")</x:f>
        <x:v>0</x:v>
      </x:c>
      <x:c r="J34" s="32" t="n">
        <x:f>IF(F34=0,"—",(SUM('CoverageCases'!$O$1095:$O$1112))/F34/100)</x:f>
        <x:v>0.7582181818181817</x:v>
      </x:c>
      <x:c r="K34" s="32" t="n">
        <x:f>IF(I34&gt;0,"Pending",IF(E34-H34=0,"—",(SUM('CoverageCases'!$O$1095:$O$1112))/(E34-H34)/100))</x:f>
        <x:v>0.4633555555555555</x:v>
      </x:c>
      <x:c r="L34" s="32" t="n">
        <x:f>IF(I34&gt;0,"Pending",IF(E34=0,"—",(E34-G34)/E34))</x:f>
        <x:v>0.6111111111111112</x:v>
      </x:c>
      <x:c r="M34" s="40" t="n">
        <x:f>IF(I34&gt;0,"Pending",E34-H34)</x:f>
        <x:v>18</x:v>
      </x:c>
    </x:row>
    <x:row r="35" ht="23" customHeight="1">
      <x:c r="B35" s="17" t="str">
        <x:v>Codec</x:v>
      </x:c>
      <x:c r="C35" s="17" t="str">
        <x:v>Round2</x:v>
      </x:c>
      <x:c r="D35" s="17" t="str">
        <x:v>Line</x:v>
      </x:c>
      <x:c r="E35" s="40" t="n">
        <x:f>0</x:f>
        <x:v>0</x:v>
      </x:c>
      <x:c r="F35" s="40" t="n">
        <x:f>0</x:f>
        <x:v>0</x:v>
      </x:c>
      <x:c r="G35" s="40" t="n">
        <x:f>0</x:f>
        <x:v>0</x:v>
      </x:c>
      <x:c r="H35" s="40" t="n">
        <x:f>0</x:f>
        <x:v>0</x:v>
      </x:c>
      <x:c r="I35" s="40" t="n">
        <x:f>0</x:f>
        <x:v>0</x:v>
      </x:c>
      <x:c r="J35" s="32" t="str">
        <x:f>IF(F35=0,"—",(0)/F35/100)</x:f>
        <x:v>—</x:v>
      </x:c>
      <x:c r="K35" s="32" t="str">
        <x:f>IF(I35&gt;0,"Pending",IF(E35-H35=0,"—",(0)/(E35-H35)/100))</x:f>
        <x:v>—</x:v>
      </x:c>
      <x:c r="L35" s="32" t="str">
        <x:f>IF(I35&gt;0,"Pending",IF(E35=0,"—",(E35-G35)/E35))</x:f>
        <x:v>—</x:v>
      </x:c>
      <x:c r="M35" s="40" t="n">
        <x:f>IF(I35&gt;0,"Pending",E35-H35)</x:f>
        <x:v>0</x:v>
      </x:c>
    </x:row>
    <x:row r="36" ht="23" customHeight="1">
      <x:c r="B36" s="17" t="str">
        <x:v>Codec</x:v>
      </x:c>
      <x:c r="C36" s="17" t="str">
        <x:v>Round2</x:v>
      </x:c>
      <x:c r="D36" s="17" t="str">
        <x:v>Condition</x:v>
      </x:c>
      <x:c r="E36" s="40" t="n">
        <x:f>0</x:f>
        <x:v>0</x:v>
      </x:c>
      <x:c r="F36" s="40" t="n">
        <x:f>0</x:f>
        <x:v>0</x:v>
      </x:c>
      <x:c r="G36" s="40" t="n">
        <x:f>0</x:f>
        <x:v>0</x:v>
      </x:c>
      <x:c r="H36" s="40" t="n">
        <x:f>0</x:f>
        <x:v>0</x:v>
      </x:c>
      <x:c r="I36" s="40" t="n">
        <x:f>0</x:f>
        <x:v>0</x:v>
      </x:c>
      <x:c r="J36" s="32" t="str">
        <x:f>IF(F36=0,"—",(0)/F36/100)</x:f>
        <x:v>—</x:v>
      </x:c>
      <x:c r="K36" s="32" t="str">
        <x:f>IF(I36&gt;0,"Pending",IF(E36-H36=0,"—",(0)/(E36-H36)/100))</x:f>
        <x:v>—</x:v>
      </x:c>
      <x:c r="L36" s="32" t="str">
        <x:f>IF(I36&gt;0,"Pending",IF(E36=0,"—",(E36-G36)/E36))</x:f>
        <x:v>—</x:v>
      </x:c>
      <x:c r="M36" s="40" t="n">
        <x:f>IF(I36&gt;0,"Pending",E36-H36)</x:f>
        <x:v>0</x:v>
      </x:c>
    </x:row>
    <x:row r="37" ht="23" customHeight="1">
      <x:c r="B37" s="17" t="str">
        <x:v>Collections</x:v>
      </x:c>
      <x:c r="C37" s="17" t="str">
        <x:v>All rounds</x:v>
      </x:c>
      <x:c r="D37" s="17" t="str">
        <x:v>Line</x:v>
      </x:c>
      <x:c r="E37" s="40" t="n">
        <x:f>COUNTA('CoverageCases'!$D$259:$D$286)</x:f>
        <x:v>28</x:v>
      </x:c>
      <x:c r="F37" s="40" t="n">
        <x:f>COUNT('CoverageCases'!$O$259:$O$286)</x:f>
        <x:v>25</x:v>
      </x:c>
      <x:c r="G37" s="40" t="n">
        <x:f>COUNTIF('CoverageCases'!$G$259:$G$286,"A")</x:f>
        <x:v>3</x:v>
      </x:c>
      <x:c r="H37" s="40" t="n">
        <x:f>COUNTIF('CoverageCases'!$G$259:$G$286,"B")</x:f>
        <x:v>0</x:v>
      </x:c>
      <x:c r="I37" s="40" t="n">
        <x:f>COUNTIF('CoverageCases'!$G$259:$G$286,"UNRESOLVED")</x:f>
        <x:v>0</x:v>
      </x:c>
      <x:c r="J37" s="32" t="n">
        <x:f>IF(F37=0,"—",(SUM('CoverageCases'!$O$259:$O$286))/F37/100)</x:f>
        <x:v>0.6802359999999998</x:v>
      </x:c>
      <x:c r="K37" s="32" t="n">
        <x:f>IF(I37&gt;0,"Pending",IF(E37-H37=0,"—",(SUM('CoverageCases'!$O$259:$O$286))/(E37-H37)/100))</x:f>
        <x:v>0.6073535714285714</x:v>
      </x:c>
      <x:c r="L37" s="32" t="n">
        <x:f>IF(I37&gt;0,"Pending",IF(E37=0,"—",(E37-G37)/E37))</x:f>
        <x:v>0.8928571428571429</x:v>
      </x:c>
      <x:c r="M37" s="40" t="n">
        <x:f>IF(I37&gt;0,"Pending",E37-H37)</x:f>
        <x:v>28</x:v>
      </x:c>
    </x:row>
    <x:row r="38" ht="23" customHeight="1">
      <x:c r="B38" s="17" t="str">
        <x:v>Collections</x:v>
      </x:c>
      <x:c r="C38" s="17" t="str">
        <x:v>All rounds</x:v>
      </x:c>
      <x:c r="D38" s="17" t="str">
        <x:v>Condition</x:v>
      </x:c>
      <x:c r="E38" s="40" t="n">
        <x:f>COUNTA('CoverageCases'!$D$1113:$D$1140)</x:f>
        <x:v>28</x:v>
      </x:c>
      <x:c r="F38" s="40" t="n">
        <x:f>COUNT('CoverageCases'!$O$1113:$O$1140)</x:f>
        <x:v>25</x:v>
      </x:c>
      <x:c r="G38" s="40" t="n">
        <x:f>COUNTIF('CoverageCases'!$G$1113:$G$1140,"A")</x:f>
        <x:v>3</x:v>
      </x:c>
      <x:c r="H38" s="40" t="n">
        <x:f>COUNTIF('CoverageCases'!$G$1113:$G$1140,"B")</x:f>
        <x:v>0</x:v>
      </x:c>
      <x:c r="I38" s="40" t="n">
        <x:f>COUNTIF('CoverageCases'!$G$1113:$G$1140,"UNRESOLVED")</x:f>
        <x:v>0</x:v>
      </x:c>
      <x:c r="J38" s="32" t="n">
        <x:f>IF(F38=0,"—",(SUM('CoverageCases'!$O$1113:$O$1140))/F38/100)</x:f>
        <x:v>0.6318159999999999</x:v>
      </x:c>
      <x:c r="K38" s="32" t="n">
        <x:f>IF(I38&gt;0,"Pending",IF(E38-H38=0,"—",(SUM('CoverageCases'!$O$1113:$O$1140))/(E38-H38)/100))</x:f>
        <x:v>0.5641214285714286</x:v>
      </x:c>
      <x:c r="L38" s="32" t="n">
        <x:f>IF(I38&gt;0,"Pending",IF(E38=0,"—",(E38-G38)/E38))</x:f>
        <x:v>0.8928571428571429</x:v>
      </x:c>
      <x:c r="M38" s="40" t="n">
        <x:f>IF(I38&gt;0,"Pending",E38-H38)</x:f>
        <x:v>28</x:v>
      </x:c>
    </x:row>
    <x:row r="39" ht="23" customHeight="1">
      <x:c r="B39" s="17" t="str">
        <x:v>Collections</x:v>
      </x:c>
      <x:c r="C39" s="17" t="str">
        <x:v>Round1</x:v>
      </x:c>
      <x:c r="D39" s="17" t="str">
        <x:v>Line</x:v>
      </x:c>
      <x:c r="E39" s="40" t="n">
        <x:f>COUNTA('CoverageCases'!$D$259:$D$286)</x:f>
        <x:v>28</x:v>
      </x:c>
      <x:c r="F39" s="40" t="n">
        <x:f>COUNT('CoverageCases'!$O$259:$O$286)</x:f>
        <x:v>25</x:v>
      </x:c>
      <x:c r="G39" s="40" t="n">
        <x:f>COUNTIF('CoverageCases'!$G$259:$G$286,"A")</x:f>
        <x:v>3</x:v>
      </x:c>
      <x:c r="H39" s="40" t="n">
        <x:f>COUNTIF('CoverageCases'!$G$259:$G$286,"B")</x:f>
        <x:v>0</x:v>
      </x:c>
      <x:c r="I39" s="40" t="n">
        <x:f>COUNTIF('CoverageCases'!$G$259:$G$286,"UNRESOLVED")</x:f>
        <x:v>0</x:v>
      </x:c>
      <x:c r="J39" s="32" t="n">
        <x:f>IF(F39=0,"—",(SUM('CoverageCases'!$O$259:$O$286))/F39/100)</x:f>
        <x:v>0.6802359999999998</x:v>
      </x:c>
      <x:c r="K39" s="32" t="n">
        <x:f>IF(I39&gt;0,"Pending",IF(E39-H39=0,"—",(SUM('CoverageCases'!$O$259:$O$286))/(E39-H39)/100))</x:f>
        <x:v>0.6073535714285714</x:v>
      </x:c>
      <x:c r="L39" s="32" t="n">
        <x:f>IF(I39&gt;0,"Pending",IF(E39=0,"—",(E39-G39)/E39))</x:f>
        <x:v>0.8928571428571429</x:v>
      </x:c>
      <x:c r="M39" s="40" t="n">
        <x:f>IF(I39&gt;0,"Pending",E39-H39)</x:f>
        <x:v>28</x:v>
      </x:c>
    </x:row>
    <x:row r="40" ht="23" customHeight="1">
      <x:c r="B40" s="17" t="str">
        <x:v>Collections</x:v>
      </x:c>
      <x:c r="C40" s="17" t="str">
        <x:v>Round1</x:v>
      </x:c>
      <x:c r="D40" s="17" t="str">
        <x:v>Condition</x:v>
      </x:c>
      <x:c r="E40" s="40" t="n">
        <x:f>COUNTA('CoverageCases'!$D$1113:$D$1140)</x:f>
        <x:v>28</x:v>
      </x:c>
      <x:c r="F40" s="40" t="n">
        <x:f>COUNT('CoverageCases'!$O$1113:$O$1140)</x:f>
        <x:v>25</x:v>
      </x:c>
      <x:c r="G40" s="40" t="n">
        <x:f>COUNTIF('CoverageCases'!$G$1113:$G$1140,"A")</x:f>
        <x:v>3</x:v>
      </x:c>
      <x:c r="H40" s="40" t="n">
        <x:f>COUNTIF('CoverageCases'!$G$1113:$G$1140,"B")</x:f>
        <x:v>0</x:v>
      </x:c>
      <x:c r="I40" s="40" t="n">
        <x:f>COUNTIF('CoverageCases'!$G$1113:$G$1140,"UNRESOLVED")</x:f>
        <x:v>0</x:v>
      </x:c>
      <x:c r="J40" s="32" t="n">
        <x:f>IF(F40=0,"—",(SUM('CoverageCases'!$O$1113:$O$1140))/F40/100)</x:f>
        <x:v>0.6318159999999999</x:v>
      </x:c>
      <x:c r="K40" s="32" t="n">
        <x:f>IF(I40&gt;0,"Pending",IF(E40-H40=0,"—",(SUM('CoverageCases'!$O$1113:$O$1140))/(E40-H40)/100))</x:f>
        <x:v>0.5641214285714286</x:v>
      </x:c>
      <x:c r="L40" s="32" t="n">
        <x:f>IF(I40&gt;0,"Pending",IF(E40=0,"—",(E40-G40)/E40))</x:f>
        <x:v>0.8928571428571429</x:v>
      </x:c>
      <x:c r="M40" s="40" t="n">
        <x:f>IF(I40&gt;0,"Pending",E40-H40)</x:f>
        <x:v>28</x:v>
      </x:c>
    </x:row>
    <x:row r="41" ht="23" customHeight="1">
      <x:c r="B41" s="17" t="str">
        <x:v>Collections</x:v>
      </x:c>
      <x:c r="C41" s="17" t="str">
        <x:v>Round2</x:v>
      </x:c>
      <x:c r="D41" s="17" t="str">
        <x:v>Line</x:v>
      </x:c>
      <x:c r="E41" s="40" t="n">
        <x:f>0</x:f>
        <x:v>0</x:v>
      </x:c>
      <x:c r="F41" s="40" t="n">
        <x:f>0</x:f>
        <x:v>0</x:v>
      </x:c>
      <x:c r="G41" s="40" t="n">
        <x:f>0</x:f>
        <x:v>0</x:v>
      </x:c>
      <x:c r="H41" s="40" t="n">
        <x:f>0</x:f>
        <x:v>0</x:v>
      </x:c>
      <x:c r="I41" s="40" t="n">
        <x:f>0</x:f>
        <x:v>0</x:v>
      </x:c>
      <x:c r="J41" s="32" t="str">
        <x:f>IF(F41=0,"—",(0)/F41/100)</x:f>
        <x:v>—</x:v>
      </x:c>
      <x:c r="K41" s="32" t="str">
        <x:f>IF(I41&gt;0,"Pending",IF(E41-H41=0,"—",(0)/(E41-H41)/100))</x:f>
        <x:v>—</x:v>
      </x:c>
      <x:c r="L41" s="32" t="str">
        <x:f>IF(I41&gt;0,"Pending",IF(E41=0,"—",(E41-G41)/E41))</x:f>
        <x:v>—</x:v>
      </x:c>
      <x:c r="M41" s="40" t="n">
        <x:f>IF(I41&gt;0,"Pending",E41-H41)</x:f>
        <x:v>0</x:v>
      </x:c>
    </x:row>
    <x:row r="42" ht="23" customHeight="1">
      <x:c r="B42" s="17" t="str">
        <x:v>Collections</x:v>
      </x:c>
      <x:c r="C42" s="17" t="str">
        <x:v>Round2</x:v>
      </x:c>
      <x:c r="D42" s="17" t="str">
        <x:v>Condition</x:v>
      </x:c>
      <x:c r="E42" s="40" t="n">
        <x:f>0</x:f>
        <x:v>0</x:v>
      </x:c>
      <x:c r="F42" s="40" t="n">
        <x:f>0</x:f>
        <x:v>0</x:v>
      </x:c>
      <x:c r="G42" s="40" t="n">
        <x:f>0</x:f>
        <x:v>0</x:v>
      </x:c>
      <x:c r="H42" s="40" t="n">
        <x:f>0</x:f>
        <x:v>0</x:v>
      </x:c>
      <x:c r="I42" s="40" t="n">
        <x:f>0</x:f>
        <x:v>0</x:v>
      </x:c>
      <x:c r="J42" s="32" t="str">
        <x:f>IF(F42=0,"—",(0)/F42/100)</x:f>
        <x:v>—</x:v>
      </x:c>
      <x:c r="K42" s="32" t="str">
        <x:f>IF(I42&gt;0,"Pending",IF(E42-H42=0,"—",(0)/(E42-H42)/100))</x:f>
        <x:v>—</x:v>
      </x:c>
      <x:c r="L42" s="32" t="str">
        <x:f>IF(I42&gt;0,"Pending",IF(E42=0,"—",(E42-G42)/E42))</x:f>
        <x:v>—</x:v>
      </x:c>
      <x:c r="M42" s="40" t="n">
        <x:f>IF(I42&gt;0,"Pending",E42-H42)</x:f>
        <x:v>0</x:v>
      </x:c>
    </x:row>
    <x:row r="43" ht="23" customHeight="1">
      <x:c r="B43" s="17" t="str">
        <x:v>Compress</x:v>
      </x:c>
      <x:c r="C43" s="17" t="str">
        <x:v>All rounds</x:v>
      </x:c>
      <x:c r="D43" s="17" t="str">
        <x:v>Line</x:v>
      </x:c>
      <x:c r="E43" s="40" t="n">
        <x:f>COUNTA('CoverageCases'!$D$287:$D$333)</x:f>
        <x:v>47</x:v>
      </x:c>
      <x:c r="F43" s="40" t="n">
        <x:f>COUNT('CoverageCases'!$O$287:$O$333)</x:f>
        <x:v>33</x:v>
      </x:c>
      <x:c r="G43" s="40" t="n">
        <x:f>COUNTIF('CoverageCases'!$G$287:$G$333,"A")</x:f>
        <x:v>14</x:v>
      </x:c>
      <x:c r="H43" s="40" t="n">
        <x:f>COUNTIF('CoverageCases'!$G$287:$G$333,"B")</x:f>
        <x:v>0</x:v>
      </x:c>
      <x:c r="I43" s="40" t="n">
        <x:f>COUNTIF('CoverageCases'!$G$287:$G$333,"UNRESOLVED")</x:f>
        <x:v>0</x:v>
      </x:c>
      <x:c r="J43" s="32" t="n">
        <x:f>IF(F43=0,"—",(SUM('CoverageCases'!$O$287:$O$333))/F43/100)</x:f>
        <x:v>0.8351969696969695</x:v>
      </x:c>
      <x:c r="K43" s="32" t="n">
        <x:f>IF(I43&gt;0,"Pending",IF(E43-H43=0,"—",(SUM('CoverageCases'!$O$287:$O$333))/(E43-H43)/100))</x:f>
        <x:v>0.5864148936170213</x:v>
      </x:c>
      <x:c r="L43" s="32" t="n">
        <x:f>IF(I43&gt;0,"Pending",IF(E43=0,"—",(E43-G43)/E43))</x:f>
        <x:v>0.7021276595744681</x:v>
      </x:c>
      <x:c r="M43" s="40" t="n">
        <x:f>IF(I43&gt;0,"Pending",E43-H43)</x:f>
        <x:v>47</x:v>
      </x:c>
    </x:row>
    <x:row r="44" ht="23" customHeight="1">
      <x:c r="B44" s="17" t="str">
        <x:v>Compress</x:v>
      </x:c>
      <x:c r="C44" s="17" t="str">
        <x:v>All rounds</x:v>
      </x:c>
      <x:c r="D44" s="17" t="str">
        <x:v>Condition</x:v>
      </x:c>
      <x:c r="E44" s="40" t="n">
        <x:f>COUNTA('CoverageCases'!$D$1141:$D$1187)</x:f>
        <x:v>47</x:v>
      </x:c>
      <x:c r="F44" s="40" t="n">
        <x:f>COUNT('CoverageCases'!$O$1141:$O$1187)</x:f>
        <x:v>33</x:v>
      </x:c>
      <x:c r="G44" s="40" t="n">
        <x:f>COUNTIF('CoverageCases'!$G$1141:$G$1187,"A")</x:f>
        <x:v>14</x:v>
      </x:c>
      <x:c r="H44" s="40" t="n">
        <x:f>COUNTIF('CoverageCases'!$G$1141:$G$1187,"B")</x:f>
        <x:v>0</x:v>
      </x:c>
      <x:c r="I44" s="40" t="n">
        <x:f>COUNTIF('CoverageCases'!$G$1141:$G$1187,"UNRESOLVED")</x:f>
        <x:v>0</x:v>
      </x:c>
      <x:c r="J44" s="32" t="n">
        <x:f>IF(F44=0,"—",(SUM('CoverageCases'!$O$1141:$O$1187))/F44/100)</x:f>
        <x:v>0.7683333333333331</x:v>
      </x:c>
      <x:c r="K44" s="32" t="n">
        <x:f>IF(I44&gt;0,"Pending",IF(E44-H44=0,"—",(SUM('CoverageCases'!$O$1141:$O$1187))/(E44-H44)/100))</x:f>
        <x:v>0.5394680851063829</x:v>
      </x:c>
      <x:c r="L44" s="32" t="n">
        <x:f>IF(I44&gt;0,"Pending",IF(E44=0,"—",(E44-G44)/E44))</x:f>
        <x:v>0.7021276595744681</x:v>
      </x:c>
      <x:c r="M44" s="40" t="n">
        <x:f>IF(I44&gt;0,"Pending",E44-H44)</x:f>
        <x:v>47</x:v>
      </x:c>
    </x:row>
    <x:row r="45" ht="23" customHeight="1">
      <x:c r="B45" s="17" t="str">
        <x:v>Compress</x:v>
      </x:c>
      <x:c r="C45" s="17" t="str">
        <x:v>Round1</x:v>
      </x:c>
      <x:c r="D45" s="17" t="str">
        <x:v>Line</x:v>
      </x:c>
      <x:c r="E45" s="40" t="n">
        <x:f>COUNTA('CoverageCases'!$D$287:$D$333)</x:f>
        <x:v>47</x:v>
      </x:c>
      <x:c r="F45" s="40" t="n">
        <x:f>COUNT('CoverageCases'!$O$287:$O$333)</x:f>
        <x:v>33</x:v>
      </x:c>
      <x:c r="G45" s="40" t="n">
        <x:f>COUNTIF('CoverageCases'!$G$287:$G$333,"A")</x:f>
        <x:v>14</x:v>
      </x:c>
      <x:c r="H45" s="40" t="n">
        <x:f>COUNTIF('CoverageCases'!$G$287:$G$333,"B")</x:f>
        <x:v>0</x:v>
      </x:c>
      <x:c r="I45" s="40" t="n">
        <x:f>COUNTIF('CoverageCases'!$G$287:$G$333,"UNRESOLVED")</x:f>
        <x:v>0</x:v>
      </x:c>
      <x:c r="J45" s="32" t="n">
        <x:f>IF(F45=0,"—",(SUM('CoverageCases'!$O$287:$O$333))/F45/100)</x:f>
        <x:v>0.8351969696969695</x:v>
      </x:c>
      <x:c r="K45" s="32" t="n">
        <x:f>IF(I45&gt;0,"Pending",IF(E45-H45=0,"—",(SUM('CoverageCases'!$O$287:$O$333))/(E45-H45)/100))</x:f>
        <x:v>0.5864148936170213</x:v>
      </x:c>
      <x:c r="L45" s="32" t="n">
        <x:f>IF(I45&gt;0,"Pending",IF(E45=0,"—",(E45-G45)/E45))</x:f>
        <x:v>0.7021276595744681</x:v>
      </x:c>
      <x:c r="M45" s="40" t="n">
        <x:f>IF(I45&gt;0,"Pending",E45-H45)</x:f>
        <x:v>47</x:v>
      </x:c>
    </x:row>
    <x:row r="46" ht="23" customHeight="1">
      <x:c r="B46" s="17" t="str">
        <x:v>Compress</x:v>
      </x:c>
      <x:c r="C46" s="17" t="str">
        <x:v>Round1</x:v>
      </x:c>
      <x:c r="D46" s="17" t="str">
        <x:v>Condition</x:v>
      </x:c>
      <x:c r="E46" s="40" t="n">
        <x:f>COUNTA('CoverageCases'!$D$1141:$D$1187)</x:f>
        <x:v>47</x:v>
      </x:c>
      <x:c r="F46" s="40" t="n">
        <x:f>COUNT('CoverageCases'!$O$1141:$O$1187)</x:f>
        <x:v>33</x:v>
      </x:c>
      <x:c r="G46" s="40" t="n">
        <x:f>COUNTIF('CoverageCases'!$G$1141:$G$1187,"A")</x:f>
        <x:v>14</x:v>
      </x:c>
      <x:c r="H46" s="40" t="n">
        <x:f>COUNTIF('CoverageCases'!$G$1141:$G$1187,"B")</x:f>
        <x:v>0</x:v>
      </x:c>
      <x:c r="I46" s="40" t="n">
        <x:f>COUNTIF('CoverageCases'!$G$1141:$G$1187,"UNRESOLVED")</x:f>
        <x:v>0</x:v>
      </x:c>
      <x:c r="J46" s="32" t="n">
        <x:f>IF(F46=0,"—",(SUM('CoverageCases'!$O$1141:$O$1187))/F46/100)</x:f>
        <x:v>0.7683333333333331</x:v>
      </x:c>
      <x:c r="K46" s="32" t="n">
        <x:f>IF(I46&gt;0,"Pending",IF(E46-H46=0,"—",(SUM('CoverageCases'!$O$1141:$O$1187))/(E46-H46)/100))</x:f>
        <x:v>0.5394680851063829</x:v>
      </x:c>
      <x:c r="L46" s="32" t="n">
        <x:f>IF(I46&gt;0,"Pending",IF(E46=0,"—",(E46-G46)/E46))</x:f>
        <x:v>0.7021276595744681</x:v>
      </x:c>
      <x:c r="M46" s="40" t="n">
        <x:f>IF(I46&gt;0,"Pending",E46-H46)</x:f>
        <x:v>47</x:v>
      </x:c>
    </x:row>
    <x:row r="47" ht="23" customHeight="1">
      <x:c r="B47" s="17" t="str">
        <x:v>Compress</x:v>
      </x:c>
      <x:c r="C47" s="17" t="str">
        <x:v>Round2</x:v>
      </x:c>
      <x:c r="D47" s="17" t="str">
        <x:v>Line</x:v>
      </x:c>
      <x:c r="E47" s="40" t="n">
        <x:f>0</x:f>
        <x:v>0</x:v>
      </x:c>
      <x:c r="F47" s="40" t="n">
        <x:f>0</x:f>
        <x:v>0</x:v>
      </x:c>
      <x:c r="G47" s="40" t="n">
        <x:f>0</x:f>
        <x:v>0</x:v>
      </x:c>
      <x:c r="H47" s="40" t="n">
        <x:f>0</x:f>
        <x:v>0</x:v>
      </x:c>
      <x:c r="I47" s="40" t="n">
        <x:f>0</x:f>
        <x:v>0</x:v>
      </x:c>
      <x:c r="J47" s="32" t="str">
        <x:f>IF(F47=0,"—",(0)/F47/100)</x:f>
        <x:v>—</x:v>
      </x:c>
      <x:c r="K47" s="32" t="str">
        <x:f>IF(I47&gt;0,"Pending",IF(E47-H47=0,"—",(0)/(E47-H47)/100))</x:f>
        <x:v>—</x:v>
      </x:c>
      <x:c r="L47" s="32" t="str">
        <x:f>IF(I47&gt;0,"Pending",IF(E47=0,"—",(E47-G47)/E47))</x:f>
        <x:v>—</x:v>
      </x:c>
      <x:c r="M47" s="40" t="n">
        <x:f>IF(I47&gt;0,"Pending",E47-H47)</x:f>
        <x:v>0</x:v>
      </x:c>
    </x:row>
    <x:row r="48" ht="23" customHeight="1">
      <x:c r="B48" s="17" t="str">
        <x:v>Compress</x:v>
      </x:c>
      <x:c r="C48" s="17" t="str">
        <x:v>Round2</x:v>
      </x:c>
      <x:c r="D48" s="17" t="str">
        <x:v>Condition</x:v>
      </x:c>
      <x:c r="E48" s="40" t="n">
        <x:f>0</x:f>
        <x:v>0</x:v>
      </x:c>
      <x:c r="F48" s="40" t="n">
        <x:f>0</x:f>
        <x:v>0</x:v>
      </x:c>
      <x:c r="G48" s="40" t="n">
        <x:f>0</x:f>
        <x:v>0</x:v>
      </x:c>
      <x:c r="H48" s="40" t="n">
        <x:f>0</x:f>
        <x:v>0</x:v>
      </x:c>
      <x:c r="I48" s="40" t="n">
        <x:f>0</x:f>
        <x:v>0</x:v>
      </x:c>
      <x:c r="J48" s="32" t="str">
        <x:f>IF(F48=0,"—",(0)/F48/100)</x:f>
        <x:v>—</x:v>
      </x:c>
      <x:c r="K48" s="32" t="str">
        <x:f>IF(I48&gt;0,"Pending",IF(E48-H48=0,"—",(0)/(E48-H48)/100))</x:f>
        <x:v>—</x:v>
      </x:c>
      <x:c r="L48" s="32" t="str">
        <x:f>IF(I48&gt;0,"Pending",IF(E48=0,"—",(E48-G48)/E48))</x:f>
        <x:v>—</x:v>
      </x:c>
      <x:c r="M48" s="40" t="n">
        <x:f>IF(I48&gt;0,"Pending",E48-H48)</x:f>
        <x:v>0</x:v>
      </x:c>
    </x:row>
    <x:row r="49" ht="23" customHeight="1">
      <x:c r="B49" s="17" t="str">
        <x:v>Csv</x:v>
      </x:c>
      <x:c r="C49" s="17" t="str">
        <x:v>All rounds</x:v>
      </x:c>
      <x:c r="D49" s="17" t="str">
        <x:v>Line</x:v>
      </x:c>
      <x:c r="E49" s="40" t="n">
        <x:f>COUNTA('CoverageCases'!$D$334:$D$349)</x:f>
        <x:v>16</x:v>
      </x:c>
      <x:c r="F49" s="40" t="n">
        <x:f>COUNT('CoverageCases'!$O$334:$O$349)</x:f>
        <x:v>8</x:v>
      </x:c>
      <x:c r="G49" s="40" t="n">
        <x:f>COUNTIF('CoverageCases'!$G$334:$G$349,"A")</x:f>
        <x:v>8</x:v>
      </x:c>
      <x:c r="H49" s="40" t="n">
        <x:f>COUNTIF('CoverageCases'!$G$334:$G$349,"B")</x:f>
        <x:v>0</x:v>
      </x:c>
      <x:c r="I49" s="40" t="n">
        <x:f>COUNTIF('CoverageCases'!$G$334:$G$349,"UNRESOLVED")</x:f>
        <x:v>0</x:v>
      </x:c>
      <x:c r="J49" s="32" t="n">
        <x:f>IF(F49=0,"—",(SUM('CoverageCases'!$O$334:$O$349))/F49/100)</x:f>
        <x:v>0.772775</x:v>
      </x:c>
      <x:c r="K49" s="32" t="n">
        <x:f>IF(I49&gt;0,"Pending",IF(E49-H49=0,"—",(SUM('CoverageCases'!$O$334:$O$349))/(E49-H49)/100))</x:f>
        <x:v>0.3863875</x:v>
      </x:c>
      <x:c r="L49" s="32" t="n">
        <x:f>IF(I49&gt;0,"Pending",IF(E49=0,"—",(E49-G49)/E49))</x:f>
        <x:v>0.5</x:v>
      </x:c>
      <x:c r="M49" s="40" t="n">
        <x:f>IF(I49&gt;0,"Pending",E49-H49)</x:f>
        <x:v>16</x:v>
      </x:c>
    </x:row>
    <x:row r="50" ht="23" customHeight="1">
      <x:c r="B50" s="17" t="str">
        <x:v>Csv</x:v>
      </x:c>
      <x:c r="C50" s="17" t="str">
        <x:v>All rounds</x:v>
      </x:c>
      <x:c r="D50" s="17" t="str">
        <x:v>Condition</x:v>
      </x:c>
      <x:c r="E50" s="40" t="n">
        <x:f>COUNTA('CoverageCases'!$D$1188:$D$1203)</x:f>
        <x:v>16</x:v>
      </x:c>
      <x:c r="F50" s="40" t="n">
        <x:f>COUNT('CoverageCases'!$O$1188:$O$1203)</x:f>
        <x:v>8</x:v>
      </x:c>
      <x:c r="G50" s="40" t="n">
        <x:f>COUNTIF('CoverageCases'!$G$1188:$G$1203,"A")</x:f>
        <x:v>8</x:v>
      </x:c>
      <x:c r="H50" s="40" t="n">
        <x:f>COUNTIF('CoverageCases'!$G$1188:$G$1203,"B")</x:f>
        <x:v>0</x:v>
      </x:c>
      <x:c r="I50" s="40" t="n">
        <x:f>COUNTIF('CoverageCases'!$G$1188:$G$1203,"UNRESOLVED")</x:f>
        <x:v>0</x:v>
      </x:c>
      <x:c r="J50" s="32" t="n">
        <x:f>IF(F50=0,"—",(SUM('CoverageCases'!$O$1188:$O$1203))/F50/100)</x:f>
        <x:v>0.7079875</x:v>
      </x:c>
      <x:c r="K50" s="32" t="n">
        <x:f>IF(I50&gt;0,"Pending",IF(E50-H50=0,"—",(SUM('CoverageCases'!$O$1188:$O$1203))/(E50-H50)/100))</x:f>
        <x:v>0.35399375</x:v>
      </x:c>
      <x:c r="L50" s="32" t="n">
        <x:f>IF(I50&gt;0,"Pending",IF(E50=0,"—",(E50-G50)/E50))</x:f>
        <x:v>0.5</x:v>
      </x:c>
      <x:c r="M50" s="40" t="n">
        <x:f>IF(I50&gt;0,"Pending",E50-H50)</x:f>
        <x:v>16</x:v>
      </x:c>
    </x:row>
    <x:row r="51" ht="23" customHeight="1">
      <x:c r="B51" s="17" t="str">
        <x:v>Csv</x:v>
      </x:c>
      <x:c r="C51" s="17" t="str">
        <x:v>Round1</x:v>
      </x:c>
      <x:c r="D51" s="17" t="str">
        <x:v>Line</x:v>
      </x:c>
      <x:c r="E51" s="40" t="n">
        <x:f>COUNTA('CoverageCases'!$D$334:$D$349)</x:f>
        <x:v>16</x:v>
      </x:c>
      <x:c r="F51" s="40" t="n">
        <x:f>COUNT('CoverageCases'!$O$334:$O$349)</x:f>
        <x:v>8</x:v>
      </x:c>
      <x:c r="G51" s="40" t="n">
        <x:f>COUNTIF('CoverageCases'!$G$334:$G$349,"A")</x:f>
        <x:v>8</x:v>
      </x:c>
      <x:c r="H51" s="40" t="n">
        <x:f>COUNTIF('CoverageCases'!$G$334:$G$349,"B")</x:f>
        <x:v>0</x:v>
      </x:c>
      <x:c r="I51" s="40" t="n">
        <x:f>COUNTIF('CoverageCases'!$G$334:$G$349,"UNRESOLVED")</x:f>
        <x:v>0</x:v>
      </x:c>
      <x:c r="J51" s="32" t="n">
        <x:f>IF(F51=0,"—",(SUM('CoverageCases'!$O$334:$O$349))/F51/100)</x:f>
        <x:v>0.772775</x:v>
      </x:c>
      <x:c r="K51" s="32" t="n">
        <x:f>IF(I51&gt;0,"Pending",IF(E51-H51=0,"—",(SUM('CoverageCases'!$O$334:$O$349))/(E51-H51)/100))</x:f>
        <x:v>0.3863875</x:v>
      </x:c>
      <x:c r="L51" s="32" t="n">
        <x:f>IF(I51&gt;0,"Pending",IF(E51=0,"—",(E51-G51)/E51))</x:f>
        <x:v>0.5</x:v>
      </x:c>
      <x:c r="M51" s="40" t="n">
        <x:f>IF(I51&gt;0,"Pending",E51-H51)</x:f>
        <x:v>16</x:v>
      </x:c>
    </x:row>
    <x:row r="52" ht="23" customHeight="1">
      <x:c r="B52" s="17" t="str">
        <x:v>Csv</x:v>
      </x:c>
      <x:c r="C52" s="17" t="str">
        <x:v>Round1</x:v>
      </x:c>
      <x:c r="D52" s="17" t="str">
        <x:v>Condition</x:v>
      </x:c>
      <x:c r="E52" s="40" t="n">
        <x:f>COUNTA('CoverageCases'!$D$1188:$D$1203)</x:f>
        <x:v>16</x:v>
      </x:c>
      <x:c r="F52" s="40" t="n">
        <x:f>COUNT('CoverageCases'!$O$1188:$O$1203)</x:f>
        <x:v>8</x:v>
      </x:c>
      <x:c r="G52" s="40" t="n">
        <x:f>COUNTIF('CoverageCases'!$G$1188:$G$1203,"A")</x:f>
        <x:v>8</x:v>
      </x:c>
      <x:c r="H52" s="40" t="n">
        <x:f>COUNTIF('CoverageCases'!$G$1188:$G$1203,"B")</x:f>
        <x:v>0</x:v>
      </x:c>
      <x:c r="I52" s="40" t="n">
        <x:f>COUNTIF('CoverageCases'!$G$1188:$G$1203,"UNRESOLVED")</x:f>
        <x:v>0</x:v>
      </x:c>
      <x:c r="J52" s="32" t="n">
        <x:f>IF(F52=0,"—",(SUM('CoverageCases'!$O$1188:$O$1203))/F52/100)</x:f>
        <x:v>0.7079875</x:v>
      </x:c>
      <x:c r="K52" s="32" t="n">
        <x:f>IF(I52&gt;0,"Pending",IF(E52-H52=0,"—",(SUM('CoverageCases'!$O$1188:$O$1203))/(E52-H52)/100))</x:f>
        <x:v>0.35399375</x:v>
      </x:c>
      <x:c r="L52" s="32" t="n">
        <x:f>IF(I52&gt;0,"Pending",IF(E52=0,"—",(E52-G52)/E52))</x:f>
        <x:v>0.5</x:v>
      </x:c>
      <x:c r="M52" s="40" t="n">
        <x:f>IF(I52&gt;0,"Pending",E52-H52)</x:f>
        <x:v>16</x:v>
      </x:c>
    </x:row>
    <x:row r="53" ht="23" customHeight="1">
      <x:c r="B53" s="17" t="str">
        <x:v>Csv</x:v>
      </x:c>
      <x:c r="C53" s="17" t="str">
        <x:v>Round2</x:v>
      </x:c>
      <x:c r="D53" s="17" t="str">
        <x:v>Line</x:v>
      </x:c>
      <x:c r="E53" s="40" t="n">
        <x:f>0</x:f>
        <x:v>0</x:v>
      </x:c>
      <x:c r="F53" s="40" t="n">
        <x:f>0</x:f>
        <x:v>0</x:v>
      </x:c>
      <x:c r="G53" s="40" t="n">
        <x:f>0</x:f>
        <x:v>0</x:v>
      </x:c>
      <x:c r="H53" s="40" t="n">
        <x:f>0</x:f>
        <x:v>0</x:v>
      </x:c>
      <x:c r="I53" s="40" t="n">
        <x:f>0</x:f>
        <x:v>0</x:v>
      </x:c>
      <x:c r="J53" s="32" t="str">
        <x:f>IF(F53=0,"—",(0)/F53/100)</x:f>
        <x:v>—</x:v>
      </x:c>
      <x:c r="K53" s="32" t="str">
        <x:f>IF(I53&gt;0,"Pending",IF(E53-H53=0,"—",(0)/(E53-H53)/100))</x:f>
        <x:v>—</x:v>
      </x:c>
      <x:c r="L53" s="32" t="str">
        <x:f>IF(I53&gt;0,"Pending",IF(E53=0,"—",(E53-G53)/E53))</x:f>
        <x:v>—</x:v>
      </x:c>
      <x:c r="M53" s="40" t="n">
        <x:f>IF(I53&gt;0,"Pending",E53-H53)</x:f>
        <x:v>0</x:v>
      </x:c>
    </x:row>
    <x:row r="54" ht="23" customHeight="1">
      <x:c r="B54" s="17" t="str">
        <x:v>Csv</x:v>
      </x:c>
      <x:c r="C54" s="17" t="str">
        <x:v>Round2</x:v>
      </x:c>
      <x:c r="D54" s="17" t="str">
        <x:v>Condition</x:v>
      </x:c>
      <x:c r="E54" s="40" t="n">
        <x:f>0</x:f>
        <x:v>0</x:v>
      </x:c>
      <x:c r="F54" s="40" t="n">
        <x:f>0</x:f>
        <x:v>0</x:v>
      </x:c>
      <x:c r="G54" s="40" t="n">
        <x:f>0</x:f>
        <x:v>0</x:v>
      </x:c>
      <x:c r="H54" s="40" t="n">
        <x:f>0</x:f>
        <x:v>0</x:v>
      </x:c>
      <x:c r="I54" s="40" t="n">
        <x:f>0</x:f>
        <x:v>0</x:v>
      </x:c>
      <x:c r="J54" s="32" t="str">
        <x:f>IF(F54=0,"—",(0)/F54/100)</x:f>
        <x:v>—</x:v>
      </x:c>
      <x:c r="K54" s="32" t="str">
        <x:f>IF(I54&gt;0,"Pending",IF(E54-H54=0,"—",(0)/(E54-H54)/100))</x:f>
        <x:v>—</x:v>
      </x:c>
      <x:c r="L54" s="32" t="str">
        <x:f>IF(I54&gt;0,"Pending",IF(E54=0,"—",(E54-G54)/E54))</x:f>
        <x:v>—</x:v>
      </x:c>
      <x:c r="M54" s="40" t="n">
        <x:f>IF(I54&gt;0,"Pending",E54-H54)</x:f>
        <x:v>0</x:v>
      </x:c>
    </x:row>
    <x:row r="55" ht="23" customHeight="1">
      <x:c r="B55" s="17" t="str">
        <x:v>Gson</x:v>
      </x:c>
      <x:c r="C55" s="17" t="str">
        <x:v>All rounds</x:v>
      </x:c>
      <x:c r="D55" s="17" t="str">
        <x:v>Line</x:v>
      </x:c>
      <x:c r="E55" s="40" t="n">
        <x:f>COUNTA('CoverageCases'!$D$350:$D$367)</x:f>
        <x:v>18</x:v>
      </x:c>
      <x:c r="F55" s="40" t="n">
        <x:f>COUNT('CoverageCases'!$O$350:$O$367)</x:f>
        <x:v>13</x:v>
      </x:c>
      <x:c r="G55" s="40" t="n">
        <x:f>COUNTIF('CoverageCases'!$G$350:$G$367,"A")</x:f>
        <x:v>5</x:v>
      </x:c>
      <x:c r="H55" s="40" t="n">
        <x:f>COUNTIF('CoverageCases'!$G$350:$G$367,"B")</x:f>
        <x:v>0</x:v>
      </x:c>
      <x:c r="I55" s="40" t="n">
        <x:f>COUNTIF('CoverageCases'!$G$350:$G$367,"UNRESOLVED")</x:f>
        <x:v>0</x:v>
      </x:c>
      <x:c r="J55" s="32" t="n">
        <x:f>IF(F55=0,"—",(SUM('CoverageCases'!$O$350:$O$367))/F55/100)</x:f>
        <x:v>0.9019307692307692</x:v>
      </x:c>
      <x:c r="K55" s="32" t="n">
        <x:f>IF(I55&gt;0,"Pending",IF(E55-H55=0,"—",(SUM('CoverageCases'!$O$350:$O$367))/(E55-H55)/100))</x:f>
        <x:v>0.6513944444444445</x:v>
      </x:c>
      <x:c r="L55" s="32" t="n">
        <x:f>IF(I55&gt;0,"Pending",IF(E55=0,"—",(E55-G55)/E55))</x:f>
        <x:v>0.7222222222222222</x:v>
      </x:c>
      <x:c r="M55" s="40" t="n">
        <x:f>IF(I55&gt;0,"Pending",E55-H55)</x:f>
        <x:v>18</x:v>
      </x:c>
    </x:row>
    <x:row r="56" ht="23" customHeight="1">
      <x:c r="B56" s="17" t="str">
        <x:v>Gson</x:v>
      </x:c>
      <x:c r="C56" s="17" t="str">
        <x:v>All rounds</x:v>
      </x:c>
      <x:c r="D56" s="17" t="str">
        <x:v>Condition</x:v>
      </x:c>
      <x:c r="E56" s="40" t="n">
        <x:f>COUNTA('CoverageCases'!$D$1204:$D$1221)</x:f>
        <x:v>18</x:v>
      </x:c>
      <x:c r="F56" s="40" t="n">
        <x:f>COUNT('CoverageCases'!$O$1204:$O$1221)</x:f>
        <x:v>12</x:v>
      </x:c>
      <x:c r="G56" s="40" t="n">
        <x:f>COUNTIF('CoverageCases'!$G$1204:$G$1221,"A")</x:f>
        <x:v>5</x:v>
      </x:c>
      <x:c r="H56" s="40" t="n">
        <x:f>COUNTIF('CoverageCases'!$G$1204:$G$1221,"B")</x:f>
        <x:v>1</x:v>
      </x:c>
      <x:c r="I56" s="40" t="n">
        <x:f>COUNTIF('CoverageCases'!$G$1204:$G$1221,"UNRESOLVED")</x:f>
        <x:v>0</x:v>
      </x:c>
      <x:c r="J56" s="32" t="n">
        <x:f>IF(F56=0,"—",(SUM('CoverageCases'!$O$1204:$O$1221))/F56/100)</x:f>
        <x:v>0.8873666666666666</x:v>
      </x:c>
      <x:c r="K56" s="32" t="n">
        <x:f>IF(I56&gt;0,"Pending",IF(E56-H56=0,"—",(SUM('CoverageCases'!$O$1204:$O$1221))/(E56-H56)/100))</x:f>
        <x:v>0.6263764705882352</x:v>
      </x:c>
      <x:c r="L56" s="32" t="n">
        <x:f>IF(I56&gt;0,"Pending",IF(E56=0,"—",(E56-G56)/E56))</x:f>
        <x:v>0.7222222222222222</x:v>
      </x:c>
      <x:c r="M56" s="40" t="n">
        <x:f>IF(I56&gt;0,"Pending",E56-H56)</x:f>
        <x:v>17</x:v>
      </x:c>
    </x:row>
    <x:row r="57" ht="23" customHeight="1">
      <x:c r="B57" s="17" t="str">
        <x:v>Gson</x:v>
      </x:c>
      <x:c r="C57" s="17" t="str">
        <x:v>Round1</x:v>
      </x:c>
      <x:c r="D57" s="17" t="str">
        <x:v>Line</x:v>
      </x:c>
      <x:c r="E57" s="40" t="n">
        <x:f>COUNTA('CoverageCases'!$D$350:$D$367)</x:f>
        <x:v>18</x:v>
      </x:c>
      <x:c r="F57" s="40" t="n">
        <x:f>COUNT('CoverageCases'!$O$350:$O$367)</x:f>
        <x:v>13</x:v>
      </x:c>
      <x:c r="G57" s="40" t="n">
        <x:f>COUNTIF('CoverageCases'!$G$350:$G$367,"A")</x:f>
        <x:v>5</x:v>
      </x:c>
      <x:c r="H57" s="40" t="n">
        <x:f>COUNTIF('CoverageCases'!$G$350:$G$367,"B")</x:f>
        <x:v>0</x:v>
      </x:c>
      <x:c r="I57" s="40" t="n">
        <x:f>COUNTIF('CoverageCases'!$G$350:$G$367,"UNRESOLVED")</x:f>
        <x:v>0</x:v>
      </x:c>
      <x:c r="J57" s="32" t="n">
        <x:f>IF(F57=0,"—",(SUM('CoverageCases'!$O$350:$O$367))/F57/100)</x:f>
        <x:v>0.9019307692307692</x:v>
      </x:c>
      <x:c r="K57" s="32" t="n">
        <x:f>IF(I57&gt;0,"Pending",IF(E57-H57=0,"—",(SUM('CoverageCases'!$O$350:$O$367))/(E57-H57)/100))</x:f>
        <x:v>0.6513944444444445</x:v>
      </x:c>
      <x:c r="L57" s="32" t="n">
        <x:f>IF(I57&gt;0,"Pending",IF(E57=0,"—",(E57-G57)/E57))</x:f>
        <x:v>0.7222222222222222</x:v>
      </x:c>
      <x:c r="M57" s="40" t="n">
        <x:f>IF(I57&gt;0,"Pending",E57-H57)</x:f>
        <x:v>18</x:v>
      </x:c>
    </x:row>
    <x:row r="58" ht="23" customHeight="1">
      <x:c r="B58" s="17" t="str">
        <x:v>Gson</x:v>
      </x:c>
      <x:c r="C58" s="17" t="str">
        <x:v>Round1</x:v>
      </x:c>
      <x:c r="D58" s="17" t="str">
        <x:v>Condition</x:v>
      </x:c>
      <x:c r="E58" s="40" t="n">
        <x:f>COUNTA('CoverageCases'!$D$1204:$D$1221)</x:f>
        <x:v>18</x:v>
      </x:c>
      <x:c r="F58" s="40" t="n">
        <x:f>COUNT('CoverageCases'!$O$1204:$O$1221)</x:f>
        <x:v>12</x:v>
      </x:c>
      <x:c r="G58" s="40" t="n">
        <x:f>COUNTIF('CoverageCases'!$G$1204:$G$1221,"A")</x:f>
        <x:v>5</x:v>
      </x:c>
      <x:c r="H58" s="40" t="n">
        <x:f>COUNTIF('CoverageCases'!$G$1204:$G$1221,"B")</x:f>
        <x:v>1</x:v>
      </x:c>
      <x:c r="I58" s="40" t="n">
        <x:f>COUNTIF('CoverageCases'!$G$1204:$G$1221,"UNRESOLVED")</x:f>
        <x:v>0</x:v>
      </x:c>
      <x:c r="J58" s="32" t="n">
        <x:f>IF(F58=0,"—",(SUM('CoverageCases'!$O$1204:$O$1221))/F58/100)</x:f>
        <x:v>0.8873666666666666</x:v>
      </x:c>
      <x:c r="K58" s="32" t="n">
        <x:f>IF(I58&gt;0,"Pending",IF(E58-H58=0,"—",(SUM('CoverageCases'!$O$1204:$O$1221))/(E58-H58)/100))</x:f>
        <x:v>0.6263764705882352</x:v>
      </x:c>
      <x:c r="L58" s="32" t="n">
        <x:f>IF(I58&gt;0,"Pending",IF(E58=0,"—",(E58-G58)/E58))</x:f>
        <x:v>0.7222222222222222</x:v>
      </x:c>
      <x:c r="M58" s="40" t="n">
        <x:f>IF(I58&gt;0,"Pending",E58-H58)</x:f>
        <x:v>17</x:v>
      </x:c>
    </x:row>
    <x:row r="59" ht="23" customHeight="1">
      <x:c r="B59" s="17" t="str">
        <x:v>Gson</x:v>
      </x:c>
      <x:c r="C59" s="17" t="str">
        <x:v>Round2</x:v>
      </x:c>
      <x:c r="D59" s="17" t="str">
        <x:v>Line</x:v>
      </x:c>
      <x:c r="E59" s="40" t="n">
        <x:f>0</x:f>
        <x:v>0</x:v>
      </x:c>
      <x:c r="F59" s="40" t="n">
        <x:f>0</x:f>
        <x:v>0</x:v>
      </x:c>
      <x:c r="G59" s="40" t="n">
        <x:f>0</x:f>
        <x:v>0</x:v>
      </x:c>
      <x:c r="H59" s="40" t="n">
        <x:f>0</x:f>
        <x:v>0</x:v>
      </x:c>
      <x:c r="I59" s="40" t="n">
        <x:f>0</x:f>
        <x:v>0</x:v>
      </x:c>
      <x:c r="J59" s="32" t="str">
        <x:f>IF(F59=0,"—",(0)/F59/100)</x:f>
        <x:v>—</x:v>
      </x:c>
      <x:c r="K59" s="32" t="str">
        <x:f>IF(I59&gt;0,"Pending",IF(E59-H59=0,"—",(0)/(E59-H59)/100))</x:f>
        <x:v>—</x:v>
      </x:c>
      <x:c r="L59" s="32" t="str">
        <x:f>IF(I59&gt;0,"Pending",IF(E59=0,"—",(E59-G59)/E59))</x:f>
        <x:v>—</x:v>
      </x:c>
      <x:c r="M59" s="40" t="n">
        <x:f>IF(I59&gt;0,"Pending",E59-H59)</x:f>
        <x:v>0</x:v>
      </x:c>
    </x:row>
    <x:row r="60" ht="23" customHeight="1">
      <x:c r="B60" s="17" t="str">
        <x:v>Gson</x:v>
      </x:c>
      <x:c r="C60" s="17" t="str">
        <x:v>Round2</x:v>
      </x:c>
      <x:c r="D60" s="17" t="str">
        <x:v>Condition</x:v>
      </x:c>
      <x:c r="E60" s="40" t="n">
        <x:f>0</x:f>
        <x:v>0</x:v>
      </x:c>
      <x:c r="F60" s="40" t="n">
        <x:f>0</x:f>
        <x:v>0</x:v>
      </x:c>
      <x:c r="G60" s="40" t="n">
        <x:f>0</x:f>
        <x:v>0</x:v>
      </x:c>
      <x:c r="H60" s="40" t="n">
        <x:f>0</x:f>
        <x:v>0</x:v>
      </x:c>
      <x:c r="I60" s="40" t="n">
        <x:f>0</x:f>
        <x:v>0</x:v>
      </x:c>
      <x:c r="J60" s="32" t="str">
        <x:f>IF(F60=0,"—",(0)/F60/100)</x:f>
        <x:v>—</x:v>
      </x:c>
      <x:c r="K60" s="32" t="str">
        <x:f>IF(I60&gt;0,"Pending",IF(E60-H60=0,"—",(0)/(E60-H60)/100))</x:f>
        <x:v>—</x:v>
      </x:c>
      <x:c r="L60" s="32" t="str">
        <x:f>IF(I60&gt;0,"Pending",IF(E60=0,"—",(E60-G60)/E60))</x:f>
        <x:v>—</x:v>
      </x:c>
      <x:c r="M60" s="40" t="n">
        <x:f>IF(I60&gt;0,"Pending",E60-H60)</x:f>
        <x:v>0</x:v>
      </x:c>
    </x:row>
    <x:row r="61" ht="23" customHeight="1">
      <x:c r="B61" s="17" t="str">
        <x:v>JacksonCore</x:v>
      </x:c>
      <x:c r="C61" s="17" t="str">
        <x:v>All rounds</x:v>
      </x:c>
      <x:c r="D61" s="17" t="str">
        <x:v>Line</x:v>
      </x:c>
      <x:c r="E61" s="40" t="n">
        <x:f>COUNTA('CoverageCases'!$D$368:$D$393)</x:f>
        <x:v>26</x:v>
      </x:c>
      <x:c r="F61" s="40" t="n">
        <x:f>COUNT('CoverageCases'!$O$368:$O$393)</x:f>
        <x:v>20</x:v>
      </x:c>
      <x:c r="G61" s="40" t="n">
        <x:f>COUNTIF('CoverageCases'!$G$368:$G$393,"A")</x:f>
        <x:v>6</x:v>
      </x:c>
      <x:c r="H61" s="40" t="n">
        <x:f>COUNTIF('CoverageCases'!$G$368:$G$393,"B")</x:f>
        <x:v>0</x:v>
      </x:c>
      <x:c r="I61" s="40" t="n">
        <x:f>COUNTIF('CoverageCases'!$G$368:$G$393,"UNRESOLVED")</x:f>
        <x:v>0</x:v>
      </x:c>
      <x:c r="J61" s="32" t="n">
        <x:f>IF(F61=0,"—",(SUM('CoverageCases'!$O$368:$O$393))/F61/100)</x:f>
        <x:v>0.495275</x:v>
      </x:c>
      <x:c r="K61" s="32" t="n">
        <x:f>IF(I61&gt;0,"Pending",IF(E61-H61=0,"—",(SUM('CoverageCases'!$O$368:$O$393))/(E61-H61)/100))</x:f>
        <x:v>0.38098076923076923</x:v>
      </x:c>
      <x:c r="L61" s="32" t="n">
        <x:f>IF(I61&gt;0,"Pending",IF(E61=0,"—",(E61-G61)/E61))</x:f>
        <x:v>0.7692307692307693</x:v>
      </x:c>
      <x:c r="M61" s="40" t="n">
        <x:f>IF(I61&gt;0,"Pending",E61-H61)</x:f>
        <x:v>26</x:v>
      </x:c>
    </x:row>
    <x:row r="62" ht="23" customHeight="1">
      <x:c r="B62" s="17" t="str">
        <x:v>JacksonCore</x:v>
      </x:c>
      <x:c r="C62" s="17" t="str">
        <x:v>All rounds</x:v>
      </x:c>
      <x:c r="D62" s="17" t="str">
        <x:v>Condition</x:v>
      </x:c>
      <x:c r="E62" s="40" t="n">
        <x:f>COUNTA('CoverageCases'!$D$1222:$D$1247)</x:f>
        <x:v>26</x:v>
      </x:c>
      <x:c r="F62" s="40" t="n">
        <x:f>COUNT('CoverageCases'!$O$1222:$O$1247)</x:f>
        <x:v>20</x:v>
      </x:c>
      <x:c r="G62" s="40" t="n">
        <x:f>COUNTIF('CoverageCases'!$G$1222:$G$1247,"A")</x:f>
        <x:v>6</x:v>
      </x:c>
      <x:c r="H62" s="40" t="n">
        <x:f>COUNTIF('CoverageCases'!$G$1222:$G$1247,"B")</x:f>
        <x:v>0</x:v>
      </x:c>
      <x:c r="I62" s="40" t="n">
        <x:f>COUNTIF('CoverageCases'!$G$1222:$G$1247,"UNRESOLVED")</x:f>
        <x:v>0</x:v>
      </x:c>
      <x:c r="J62" s="32" t="n">
        <x:f>IF(F62=0,"—",(SUM('CoverageCases'!$O$1222:$O$1247))/F62/100)</x:f>
        <x:v>0.41098499999999993</x:v>
      </x:c>
      <x:c r="K62" s="32" t="n">
        <x:f>IF(I62&gt;0,"Pending",IF(E62-H62=0,"—",(SUM('CoverageCases'!$O$1222:$O$1247))/(E62-H62)/100))</x:f>
        <x:v>0.31614230769230767</x:v>
      </x:c>
      <x:c r="L62" s="32" t="n">
        <x:f>IF(I62&gt;0,"Pending",IF(E62=0,"—",(E62-G62)/E62))</x:f>
        <x:v>0.7692307692307693</x:v>
      </x:c>
      <x:c r="M62" s="40" t="n">
        <x:f>IF(I62&gt;0,"Pending",E62-H62)</x:f>
        <x:v>26</x:v>
      </x:c>
    </x:row>
    <x:row r="63" ht="23" customHeight="1">
      <x:c r="B63" s="17" t="str">
        <x:v>JacksonCore</x:v>
      </x:c>
      <x:c r="C63" s="17" t="str">
        <x:v>Round1</x:v>
      </x:c>
      <x:c r="D63" s="17" t="str">
        <x:v>Line</x:v>
      </x:c>
      <x:c r="E63" s="40" t="n">
        <x:f>COUNTA('CoverageCases'!$D$368:$D$393)</x:f>
        <x:v>26</x:v>
      </x:c>
      <x:c r="F63" s="40" t="n">
        <x:f>COUNT('CoverageCases'!$O$368:$O$393)</x:f>
        <x:v>20</x:v>
      </x:c>
      <x:c r="G63" s="40" t="n">
        <x:f>COUNTIF('CoverageCases'!$G$368:$G$393,"A")</x:f>
        <x:v>6</x:v>
      </x:c>
      <x:c r="H63" s="40" t="n">
        <x:f>COUNTIF('CoverageCases'!$G$368:$G$393,"B")</x:f>
        <x:v>0</x:v>
      </x:c>
      <x:c r="I63" s="40" t="n">
        <x:f>COUNTIF('CoverageCases'!$G$368:$G$393,"UNRESOLVED")</x:f>
        <x:v>0</x:v>
      </x:c>
      <x:c r="J63" s="32" t="n">
        <x:f>IF(F63=0,"—",(SUM('CoverageCases'!$O$368:$O$393))/F63/100)</x:f>
        <x:v>0.495275</x:v>
      </x:c>
      <x:c r="K63" s="32" t="n">
        <x:f>IF(I63&gt;0,"Pending",IF(E63-H63=0,"—",(SUM('CoverageCases'!$O$368:$O$393))/(E63-H63)/100))</x:f>
        <x:v>0.38098076923076923</x:v>
      </x:c>
      <x:c r="L63" s="32" t="n">
        <x:f>IF(I63&gt;0,"Pending",IF(E63=0,"—",(E63-G63)/E63))</x:f>
        <x:v>0.7692307692307693</x:v>
      </x:c>
      <x:c r="M63" s="40" t="n">
        <x:f>IF(I63&gt;0,"Pending",E63-H63)</x:f>
        <x:v>26</x:v>
      </x:c>
    </x:row>
    <x:row r="64" ht="23" customHeight="1">
      <x:c r="B64" s="17" t="str">
        <x:v>JacksonCore</x:v>
      </x:c>
      <x:c r="C64" s="17" t="str">
        <x:v>Round1</x:v>
      </x:c>
      <x:c r="D64" s="17" t="str">
        <x:v>Condition</x:v>
      </x:c>
      <x:c r="E64" s="40" t="n">
        <x:f>COUNTA('CoverageCases'!$D$1222:$D$1247)</x:f>
        <x:v>26</x:v>
      </x:c>
      <x:c r="F64" s="40" t="n">
        <x:f>COUNT('CoverageCases'!$O$1222:$O$1247)</x:f>
        <x:v>20</x:v>
      </x:c>
      <x:c r="G64" s="40" t="n">
        <x:f>COUNTIF('CoverageCases'!$G$1222:$G$1247,"A")</x:f>
        <x:v>6</x:v>
      </x:c>
      <x:c r="H64" s="40" t="n">
        <x:f>COUNTIF('CoverageCases'!$G$1222:$G$1247,"B")</x:f>
        <x:v>0</x:v>
      </x:c>
      <x:c r="I64" s="40" t="n">
        <x:f>COUNTIF('CoverageCases'!$G$1222:$G$1247,"UNRESOLVED")</x:f>
        <x:v>0</x:v>
      </x:c>
      <x:c r="J64" s="32" t="n">
        <x:f>IF(F64=0,"—",(SUM('CoverageCases'!$O$1222:$O$1247))/F64/100)</x:f>
        <x:v>0.41098499999999993</x:v>
      </x:c>
      <x:c r="K64" s="32" t="n">
        <x:f>IF(I64&gt;0,"Pending",IF(E64-H64=0,"—",(SUM('CoverageCases'!$O$1222:$O$1247))/(E64-H64)/100))</x:f>
        <x:v>0.31614230769230767</x:v>
      </x:c>
      <x:c r="L64" s="32" t="n">
        <x:f>IF(I64&gt;0,"Pending",IF(E64=0,"—",(E64-G64)/E64))</x:f>
        <x:v>0.7692307692307693</x:v>
      </x:c>
      <x:c r="M64" s="40" t="n">
        <x:f>IF(I64&gt;0,"Pending",E64-H64)</x:f>
        <x:v>26</x:v>
      </x:c>
    </x:row>
    <x:row r="65" ht="23" customHeight="1">
      <x:c r="B65" s="17" t="str">
        <x:v>JacksonCore</x:v>
      </x:c>
      <x:c r="C65" s="17" t="str">
        <x:v>Round2</x:v>
      </x:c>
      <x:c r="D65" s="17" t="str">
        <x:v>Line</x:v>
      </x:c>
      <x:c r="E65" s="40" t="n">
        <x:f>0</x:f>
        <x:v>0</x:v>
      </x:c>
      <x:c r="F65" s="40" t="n">
        <x:f>0</x:f>
        <x:v>0</x:v>
      </x:c>
      <x:c r="G65" s="40" t="n">
        <x:f>0</x:f>
        <x:v>0</x:v>
      </x:c>
      <x:c r="H65" s="40" t="n">
        <x:f>0</x:f>
        <x:v>0</x:v>
      </x:c>
      <x:c r="I65" s="40" t="n">
        <x:f>0</x:f>
        <x:v>0</x:v>
      </x:c>
      <x:c r="J65" s="32" t="str">
        <x:f>IF(F65=0,"—",(0)/F65/100)</x:f>
        <x:v>—</x:v>
      </x:c>
      <x:c r="K65" s="32" t="str">
        <x:f>IF(I65&gt;0,"Pending",IF(E65-H65=0,"—",(0)/(E65-H65)/100))</x:f>
        <x:v>—</x:v>
      </x:c>
      <x:c r="L65" s="32" t="str">
        <x:f>IF(I65&gt;0,"Pending",IF(E65=0,"—",(E65-G65)/E65))</x:f>
        <x:v>—</x:v>
      </x:c>
      <x:c r="M65" s="40" t="n">
        <x:f>IF(I65&gt;0,"Pending",E65-H65)</x:f>
        <x:v>0</x:v>
      </x:c>
    </x:row>
    <x:row r="66" ht="23" customHeight="1">
      <x:c r="B66" s="17" t="str">
        <x:v>JacksonCore</x:v>
      </x:c>
      <x:c r="C66" s="17" t="str">
        <x:v>Round2</x:v>
      </x:c>
      <x:c r="D66" s="17" t="str">
        <x:v>Condition</x:v>
      </x:c>
      <x:c r="E66" s="40" t="n">
        <x:f>0</x:f>
        <x:v>0</x:v>
      </x:c>
      <x:c r="F66" s="40" t="n">
        <x:f>0</x:f>
        <x:v>0</x:v>
      </x:c>
      <x:c r="G66" s="40" t="n">
        <x:f>0</x:f>
        <x:v>0</x:v>
      </x:c>
      <x:c r="H66" s="40" t="n">
        <x:f>0</x:f>
        <x:v>0</x:v>
      </x:c>
      <x:c r="I66" s="40" t="n">
        <x:f>0</x:f>
        <x:v>0</x:v>
      </x:c>
      <x:c r="J66" s="32" t="str">
        <x:f>IF(F66=0,"—",(0)/F66/100)</x:f>
        <x:v>—</x:v>
      </x:c>
      <x:c r="K66" s="32" t="str">
        <x:f>IF(I66&gt;0,"Pending",IF(E66-H66=0,"—",(0)/(E66-H66)/100))</x:f>
        <x:v>—</x:v>
      </x:c>
      <x:c r="L66" s="32" t="str">
        <x:f>IF(I66&gt;0,"Pending",IF(E66=0,"—",(E66-G66)/E66))</x:f>
        <x:v>—</x:v>
      </x:c>
      <x:c r="M66" s="40" t="n">
        <x:f>IF(I66&gt;0,"Pending",E66-H66)</x:f>
        <x:v>0</x:v>
      </x:c>
    </x:row>
    <x:row r="67" ht="23" customHeight="1">
      <x:c r="B67" s="17" t="str">
        <x:v>JacksonDatabind</x:v>
      </x:c>
      <x:c r="C67" s="17" t="str">
        <x:v>All rounds</x:v>
      </x:c>
      <x:c r="D67" s="17" t="str">
        <x:v>Line</x:v>
      </x:c>
      <x:c r="E67" s="40" t="n">
        <x:f>COUNTA('CoverageCases'!$D$394:$D$503)</x:f>
        <x:v>110</x:v>
      </x:c>
      <x:c r="F67" s="40" t="n">
        <x:f>COUNT('CoverageCases'!$O$394:$O$503)</x:f>
        <x:v>74</x:v>
      </x:c>
      <x:c r="G67" s="40" t="n">
        <x:f>COUNTIF('CoverageCases'!$G$394:$G$503,"A")</x:f>
        <x:v>36</x:v>
      </x:c>
      <x:c r="H67" s="40" t="n">
        <x:f>COUNTIF('CoverageCases'!$G$394:$G$503,"B")</x:f>
        <x:v>0</x:v>
      </x:c>
      <x:c r="I67" s="40" t="n">
        <x:f>COUNTIF('CoverageCases'!$G$394:$G$503,"UNRESOLVED")</x:f>
        <x:v>0</x:v>
      </x:c>
      <x:c r="J67" s="32" t="n">
        <x:f>IF(F67=0,"—",(SUM('CoverageCases'!$O$394:$O$503))/F67/100)</x:f>
        <x:v>0.19274594594594588</x:v>
      </x:c>
      <x:c r="K67" s="32" t="n">
        <x:f>IF(I67&gt;0,"Pending",IF(E67-H67=0,"—",(SUM('CoverageCases'!$O$394:$O$503))/(E67-H67)/100))</x:f>
        <x:v>0.12966545454545453</x:v>
      </x:c>
      <x:c r="L67" s="32" t="n">
        <x:f>IF(I67&gt;0,"Pending",IF(E67=0,"—",(E67-G67)/E67))</x:f>
        <x:v>0.6727272727272727</x:v>
      </x:c>
      <x:c r="M67" s="40" t="n">
        <x:f>IF(I67&gt;0,"Pending",E67-H67)</x:f>
        <x:v>110</x:v>
      </x:c>
    </x:row>
    <x:row r="68" ht="23" customHeight="1">
      <x:c r="B68" s="17" t="str">
        <x:v>JacksonDatabind</x:v>
      </x:c>
      <x:c r="C68" s="17" t="str">
        <x:v>All rounds</x:v>
      </x:c>
      <x:c r="D68" s="17" t="str">
        <x:v>Condition</x:v>
      </x:c>
      <x:c r="E68" s="40" t="n">
        <x:f>COUNTA('CoverageCases'!$D$1248:$D$1357)</x:f>
        <x:v>110</x:v>
      </x:c>
      <x:c r="F68" s="40" t="n">
        <x:f>COUNT('CoverageCases'!$O$1248:$O$1357)</x:f>
        <x:v>74</x:v>
      </x:c>
      <x:c r="G68" s="40" t="n">
        <x:f>COUNTIF('CoverageCases'!$G$1248:$G$1357,"A")</x:f>
        <x:v>36</x:v>
      </x:c>
      <x:c r="H68" s="40" t="n">
        <x:f>COUNTIF('CoverageCases'!$G$1248:$G$1357,"B")</x:f>
        <x:v>0</x:v>
      </x:c>
      <x:c r="I68" s="40" t="n">
        <x:f>COUNTIF('CoverageCases'!$G$1248:$G$1357,"UNRESOLVED")</x:f>
        <x:v>0</x:v>
      </x:c>
      <x:c r="J68" s="32" t="n">
        <x:f>IF(F68=0,"—",(SUM('CoverageCases'!$O$1248:$O$1357))/F68/100)</x:f>
        <x:v>0.16200945945945944</x:v>
      </x:c>
      <x:c r="K68" s="32" t="n">
        <x:f>IF(I68&gt;0,"Pending",IF(E68-H68=0,"—",(SUM('CoverageCases'!$O$1248:$O$1357))/(E68-H68)/100))</x:f>
        <x:v>0.10898818181818179</x:v>
      </x:c>
      <x:c r="L68" s="32" t="n">
        <x:f>IF(I68&gt;0,"Pending",IF(E68=0,"—",(E68-G68)/E68))</x:f>
        <x:v>0.6727272727272727</x:v>
      </x:c>
      <x:c r="M68" s="40" t="n">
        <x:f>IF(I68&gt;0,"Pending",E68-H68)</x:f>
        <x:v>110</x:v>
      </x:c>
    </x:row>
    <x:row r="69" ht="23" customHeight="1">
      <x:c r="B69" s="17" t="str">
        <x:v>JacksonDatabind</x:v>
      </x:c>
      <x:c r="C69" s="17" t="str">
        <x:v>Round1</x:v>
      </x:c>
      <x:c r="D69" s="17" t="str">
        <x:v>Line</x:v>
      </x:c>
      <x:c r="E69" s="40" t="n">
        <x:f>COUNTA('CoverageCases'!$D$394:$D$503)</x:f>
        <x:v>110</x:v>
      </x:c>
      <x:c r="F69" s="40" t="n">
        <x:f>COUNT('CoverageCases'!$O$394:$O$503)</x:f>
        <x:v>74</x:v>
      </x:c>
      <x:c r="G69" s="40" t="n">
        <x:f>COUNTIF('CoverageCases'!$G$394:$G$503,"A")</x:f>
        <x:v>36</x:v>
      </x:c>
      <x:c r="H69" s="40" t="n">
        <x:f>COUNTIF('CoverageCases'!$G$394:$G$503,"B")</x:f>
        <x:v>0</x:v>
      </x:c>
      <x:c r="I69" s="40" t="n">
        <x:f>COUNTIF('CoverageCases'!$G$394:$G$503,"UNRESOLVED")</x:f>
        <x:v>0</x:v>
      </x:c>
      <x:c r="J69" s="32" t="n">
        <x:f>IF(F69=0,"—",(SUM('CoverageCases'!$O$394:$O$503))/F69/100)</x:f>
        <x:v>0.19274594594594588</x:v>
      </x:c>
      <x:c r="K69" s="32" t="n">
        <x:f>IF(I69&gt;0,"Pending",IF(E69-H69=0,"—",(SUM('CoverageCases'!$O$394:$O$503))/(E69-H69)/100))</x:f>
        <x:v>0.12966545454545453</x:v>
      </x:c>
      <x:c r="L69" s="32" t="n">
        <x:f>IF(I69&gt;0,"Pending",IF(E69=0,"—",(E69-G69)/E69))</x:f>
        <x:v>0.6727272727272727</x:v>
      </x:c>
      <x:c r="M69" s="40" t="n">
        <x:f>IF(I69&gt;0,"Pending",E69-H69)</x:f>
        <x:v>110</x:v>
      </x:c>
    </x:row>
    <x:row r="70" ht="23" customHeight="1">
      <x:c r="B70" s="17" t="str">
        <x:v>JacksonDatabind</x:v>
      </x:c>
      <x:c r="C70" s="17" t="str">
        <x:v>Round1</x:v>
      </x:c>
      <x:c r="D70" s="17" t="str">
        <x:v>Condition</x:v>
      </x:c>
      <x:c r="E70" s="40" t="n">
        <x:f>COUNTA('CoverageCases'!$D$1248:$D$1357)</x:f>
        <x:v>110</x:v>
      </x:c>
      <x:c r="F70" s="40" t="n">
        <x:f>COUNT('CoverageCases'!$O$1248:$O$1357)</x:f>
        <x:v>74</x:v>
      </x:c>
      <x:c r="G70" s="40" t="n">
        <x:f>COUNTIF('CoverageCases'!$G$1248:$G$1357,"A")</x:f>
        <x:v>36</x:v>
      </x:c>
      <x:c r="H70" s="40" t="n">
        <x:f>COUNTIF('CoverageCases'!$G$1248:$G$1357,"B")</x:f>
        <x:v>0</x:v>
      </x:c>
      <x:c r="I70" s="40" t="n">
        <x:f>COUNTIF('CoverageCases'!$G$1248:$G$1357,"UNRESOLVED")</x:f>
        <x:v>0</x:v>
      </x:c>
      <x:c r="J70" s="32" t="n">
        <x:f>IF(F70=0,"—",(SUM('CoverageCases'!$O$1248:$O$1357))/F70/100)</x:f>
        <x:v>0.16200945945945944</x:v>
      </x:c>
      <x:c r="K70" s="32" t="n">
        <x:f>IF(I70&gt;0,"Pending",IF(E70-H70=0,"—",(SUM('CoverageCases'!$O$1248:$O$1357))/(E70-H70)/100))</x:f>
        <x:v>0.10898818181818179</x:v>
      </x:c>
      <x:c r="L70" s="32" t="n">
        <x:f>IF(I70&gt;0,"Pending",IF(E70=0,"—",(E70-G70)/E70))</x:f>
        <x:v>0.6727272727272727</x:v>
      </x:c>
      <x:c r="M70" s="40" t="n">
        <x:f>IF(I70&gt;0,"Pending",E70-H70)</x:f>
        <x:v>110</x:v>
      </x:c>
    </x:row>
    <x:row r="71" ht="23" customHeight="1">
      <x:c r="B71" s="17" t="str">
        <x:v>JacksonDatabind</x:v>
      </x:c>
      <x:c r="C71" s="17" t="str">
        <x:v>Round2</x:v>
      </x:c>
      <x:c r="D71" s="17" t="str">
        <x:v>Line</x:v>
      </x:c>
      <x:c r="E71" s="40" t="n">
        <x:f>0</x:f>
        <x:v>0</x:v>
      </x:c>
      <x:c r="F71" s="40" t="n">
        <x:f>0</x:f>
        <x:v>0</x:v>
      </x:c>
      <x:c r="G71" s="40" t="n">
        <x:f>0</x:f>
        <x:v>0</x:v>
      </x:c>
      <x:c r="H71" s="40" t="n">
        <x:f>0</x:f>
        <x:v>0</x:v>
      </x:c>
      <x:c r="I71" s="40" t="n">
        <x:f>0</x:f>
        <x:v>0</x:v>
      </x:c>
      <x:c r="J71" s="32" t="str">
        <x:f>IF(F71=0,"—",(0)/F71/100)</x:f>
        <x:v>—</x:v>
      </x:c>
      <x:c r="K71" s="32" t="str">
        <x:f>IF(I71&gt;0,"Pending",IF(E71-H71=0,"—",(0)/(E71-H71)/100))</x:f>
        <x:v>—</x:v>
      </x:c>
      <x:c r="L71" s="32" t="str">
        <x:f>IF(I71&gt;0,"Pending",IF(E71=0,"—",(E71-G71)/E71))</x:f>
        <x:v>—</x:v>
      </x:c>
      <x:c r="M71" s="40" t="n">
        <x:f>IF(I71&gt;0,"Pending",E71-H71)</x:f>
        <x:v>0</x:v>
      </x:c>
    </x:row>
    <x:row r="72" ht="23" customHeight="1">
      <x:c r="B72" s="17" t="str">
        <x:v>JacksonDatabind</x:v>
      </x:c>
      <x:c r="C72" s="17" t="str">
        <x:v>Round2</x:v>
      </x:c>
      <x:c r="D72" s="17" t="str">
        <x:v>Condition</x:v>
      </x:c>
      <x:c r="E72" s="40" t="n">
        <x:f>0</x:f>
        <x:v>0</x:v>
      </x:c>
      <x:c r="F72" s="40" t="n">
        <x:f>0</x:f>
        <x:v>0</x:v>
      </x:c>
      <x:c r="G72" s="40" t="n">
        <x:f>0</x:f>
        <x:v>0</x:v>
      </x:c>
      <x:c r="H72" s="40" t="n">
        <x:f>0</x:f>
        <x:v>0</x:v>
      </x:c>
      <x:c r="I72" s="40" t="n">
        <x:f>0</x:f>
        <x:v>0</x:v>
      </x:c>
      <x:c r="J72" s="32" t="str">
        <x:f>IF(F72=0,"—",(0)/F72/100)</x:f>
        <x:v>—</x:v>
      </x:c>
      <x:c r="K72" s="32" t="str">
        <x:f>IF(I72&gt;0,"Pending",IF(E72-H72=0,"—",(0)/(E72-H72)/100))</x:f>
        <x:v>—</x:v>
      </x:c>
      <x:c r="L72" s="32" t="str">
        <x:f>IF(I72&gt;0,"Pending",IF(E72=0,"—",(E72-G72)/E72))</x:f>
        <x:v>—</x:v>
      </x:c>
      <x:c r="M72" s="40" t="n">
        <x:f>IF(I72&gt;0,"Pending",E72-H72)</x:f>
        <x:v>0</x:v>
      </x:c>
    </x:row>
    <x:row r="73" ht="23" customHeight="1">
      <x:c r="B73" s="17" t="str">
        <x:v>JacksonXml</x:v>
      </x:c>
      <x:c r="C73" s="17" t="str">
        <x:v>All rounds</x:v>
      </x:c>
      <x:c r="D73" s="17" t="str">
        <x:v>Line</x:v>
      </x:c>
      <x:c r="E73" s="40" t="n">
        <x:f>COUNTA('CoverageCases'!$D$504:$D$509)</x:f>
        <x:v>6</x:v>
      </x:c>
      <x:c r="F73" s="40" t="n">
        <x:f>COUNT('CoverageCases'!$O$504:$O$509)</x:f>
        <x:v>5</x:v>
      </x:c>
      <x:c r="G73" s="40" t="n">
        <x:f>COUNTIF('CoverageCases'!$G$504:$G$509,"A")</x:f>
        <x:v>1</x:v>
      </x:c>
      <x:c r="H73" s="40" t="n">
        <x:f>COUNTIF('CoverageCases'!$G$504:$G$509,"B")</x:f>
        <x:v>0</x:v>
      </x:c>
      <x:c r="I73" s="40" t="n">
        <x:f>COUNTIF('CoverageCases'!$G$504:$G$509,"UNRESOLVED")</x:f>
        <x:v>0</x:v>
      </x:c>
      <x:c r="J73" s="32" t="n">
        <x:f>IF(F73=0,"—",(SUM('CoverageCases'!$O$504:$O$509))/F73/100)</x:f>
        <x:v>0.22966</x:v>
      </x:c>
      <x:c r="K73" s="32" t="n">
        <x:f>IF(I73&gt;0,"Pending",IF(E73-H73=0,"—",(SUM('CoverageCases'!$O$504:$O$509))/(E73-H73)/100))</x:f>
        <x:v>0.19138333333333335</x:v>
      </x:c>
      <x:c r="L73" s="32" t="n">
        <x:f>IF(I73&gt;0,"Pending",IF(E73=0,"—",(E73-G73)/E73))</x:f>
        <x:v>0.8333333333333334</x:v>
      </x:c>
      <x:c r="M73" s="40" t="n">
        <x:f>IF(I73&gt;0,"Pending",E73-H73)</x:f>
        <x:v>6</x:v>
      </x:c>
    </x:row>
    <x:row r="74" ht="23" customHeight="1">
      <x:c r="B74" s="17" t="str">
        <x:v>JacksonXml</x:v>
      </x:c>
      <x:c r="C74" s="17" t="str">
        <x:v>All rounds</x:v>
      </x:c>
      <x:c r="D74" s="17" t="str">
        <x:v>Condition</x:v>
      </x:c>
      <x:c r="E74" s="40" t="n">
        <x:f>COUNTA('CoverageCases'!$D$1358:$D$1363)</x:f>
        <x:v>6</x:v>
      </x:c>
      <x:c r="F74" s="40" t="n">
        <x:f>COUNT('CoverageCases'!$O$1358:$O$1363)</x:f>
        <x:v>5</x:v>
      </x:c>
      <x:c r="G74" s="40" t="n">
        <x:f>COUNTIF('CoverageCases'!$G$1358:$G$1363,"A")</x:f>
        <x:v>1</x:v>
      </x:c>
      <x:c r="H74" s="40" t="n">
        <x:f>COUNTIF('CoverageCases'!$G$1358:$G$1363,"B")</x:f>
        <x:v>0</x:v>
      </x:c>
      <x:c r="I74" s="40" t="n">
        <x:f>COUNTIF('CoverageCases'!$G$1358:$G$1363,"UNRESOLVED")</x:f>
        <x:v>0</x:v>
      </x:c>
      <x:c r="J74" s="32" t="n">
        <x:f>IF(F74=0,"—",(SUM('CoverageCases'!$O$1358:$O$1363))/F74/100)</x:f>
        <x:v>0.15583999999999998</x:v>
      </x:c>
      <x:c r="K74" s="32" t="n">
        <x:f>IF(I74&gt;0,"Pending",IF(E74-H74=0,"—",(SUM('CoverageCases'!$O$1358:$O$1363))/(E74-H74)/100))</x:f>
        <x:v>0.12986666666666666</x:v>
      </x:c>
      <x:c r="L74" s="32" t="n">
        <x:f>IF(I74&gt;0,"Pending",IF(E74=0,"—",(E74-G74)/E74))</x:f>
        <x:v>0.8333333333333334</x:v>
      </x:c>
      <x:c r="M74" s="40" t="n">
        <x:f>IF(I74&gt;0,"Pending",E74-H74)</x:f>
        <x:v>6</x:v>
      </x:c>
    </x:row>
    <x:row r="75" ht="23" customHeight="1">
      <x:c r="B75" s="17" t="str">
        <x:v>JacksonXml</x:v>
      </x:c>
      <x:c r="C75" s="17" t="str">
        <x:v>Round1</x:v>
      </x:c>
      <x:c r="D75" s="17" t="str">
        <x:v>Line</x:v>
      </x:c>
      <x:c r="E75" s="40" t="n">
        <x:f>COUNTA('CoverageCases'!$D$504:$D$509)</x:f>
        <x:v>6</x:v>
      </x:c>
      <x:c r="F75" s="40" t="n">
        <x:f>COUNT('CoverageCases'!$O$504:$O$509)</x:f>
        <x:v>5</x:v>
      </x:c>
      <x:c r="G75" s="40" t="n">
        <x:f>COUNTIF('CoverageCases'!$G$504:$G$509,"A")</x:f>
        <x:v>1</x:v>
      </x:c>
      <x:c r="H75" s="40" t="n">
        <x:f>COUNTIF('CoverageCases'!$G$504:$G$509,"B")</x:f>
        <x:v>0</x:v>
      </x:c>
      <x:c r="I75" s="40" t="n">
        <x:f>COUNTIF('CoverageCases'!$G$504:$G$509,"UNRESOLVED")</x:f>
        <x:v>0</x:v>
      </x:c>
      <x:c r="J75" s="32" t="n">
        <x:f>IF(F75=0,"—",(SUM('CoverageCases'!$O$504:$O$509))/F75/100)</x:f>
        <x:v>0.22966</x:v>
      </x:c>
      <x:c r="K75" s="32" t="n">
        <x:f>IF(I75&gt;0,"Pending",IF(E75-H75=0,"—",(SUM('CoverageCases'!$O$504:$O$509))/(E75-H75)/100))</x:f>
        <x:v>0.19138333333333335</x:v>
      </x:c>
      <x:c r="L75" s="32" t="n">
        <x:f>IF(I75&gt;0,"Pending",IF(E75=0,"—",(E75-G75)/E75))</x:f>
        <x:v>0.8333333333333334</x:v>
      </x:c>
      <x:c r="M75" s="40" t="n">
        <x:f>IF(I75&gt;0,"Pending",E75-H75)</x:f>
        <x:v>6</x:v>
      </x:c>
    </x:row>
    <x:row r="76" ht="23" customHeight="1">
      <x:c r="B76" s="17" t="str">
        <x:v>JacksonXml</x:v>
      </x:c>
      <x:c r="C76" s="17" t="str">
        <x:v>Round1</x:v>
      </x:c>
      <x:c r="D76" s="17" t="str">
        <x:v>Condition</x:v>
      </x:c>
      <x:c r="E76" s="40" t="n">
        <x:f>COUNTA('CoverageCases'!$D$1358:$D$1363)</x:f>
        <x:v>6</x:v>
      </x:c>
      <x:c r="F76" s="40" t="n">
        <x:f>COUNT('CoverageCases'!$O$1358:$O$1363)</x:f>
        <x:v>5</x:v>
      </x:c>
      <x:c r="G76" s="40" t="n">
        <x:f>COUNTIF('CoverageCases'!$G$1358:$G$1363,"A")</x:f>
        <x:v>1</x:v>
      </x:c>
      <x:c r="H76" s="40" t="n">
        <x:f>COUNTIF('CoverageCases'!$G$1358:$G$1363,"B")</x:f>
        <x:v>0</x:v>
      </x:c>
      <x:c r="I76" s="40" t="n">
        <x:f>COUNTIF('CoverageCases'!$G$1358:$G$1363,"UNRESOLVED")</x:f>
        <x:v>0</x:v>
      </x:c>
      <x:c r="J76" s="32" t="n">
        <x:f>IF(F76=0,"—",(SUM('CoverageCases'!$O$1358:$O$1363))/F76/100)</x:f>
        <x:v>0.15583999999999998</x:v>
      </x:c>
      <x:c r="K76" s="32" t="n">
        <x:f>IF(I76&gt;0,"Pending",IF(E76-H76=0,"—",(SUM('CoverageCases'!$O$1358:$O$1363))/(E76-H76)/100))</x:f>
        <x:v>0.12986666666666666</x:v>
      </x:c>
      <x:c r="L76" s="32" t="n">
        <x:f>IF(I76&gt;0,"Pending",IF(E76=0,"—",(E76-G76)/E76))</x:f>
        <x:v>0.8333333333333334</x:v>
      </x:c>
      <x:c r="M76" s="40" t="n">
        <x:f>IF(I76&gt;0,"Pending",E76-H76)</x:f>
        <x:v>6</x:v>
      </x:c>
    </x:row>
    <x:row r="77" ht="23" customHeight="1">
      <x:c r="B77" s="17" t="str">
        <x:v>JacksonXml</x:v>
      </x:c>
      <x:c r="C77" s="17" t="str">
        <x:v>Round2</x:v>
      </x:c>
      <x:c r="D77" s="17" t="str">
        <x:v>Line</x:v>
      </x:c>
      <x:c r="E77" s="40" t="n">
        <x:f>0</x:f>
        <x:v>0</x:v>
      </x:c>
      <x:c r="F77" s="40" t="n">
        <x:f>0</x:f>
        <x:v>0</x:v>
      </x:c>
      <x:c r="G77" s="40" t="n">
        <x:f>0</x:f>
        <x:v>0</x:v>
      </x:c>
      <x:c r="H77" s="40" t="n">
        <x:f>0</x:f>
        <x:v>0</x:v>
      </x:c>
      <x:c r="I77" s="40" t="n">
        <x:f>0</x:f>
        <x:v>0</x:v>
      </x:c>
      <x:c r="J77" s="32" t="str">
        <x:f>IF(F77=0,"—",(0)/F77/100)</x:f>
        <x:v>—</x:v>
      </x:c>
      <x:c r="K77" s="32" t="str">
        <x:f>IF(I77&gt;0,"Pending",IF(E77-H77=0,"—",(0)/(E77-H77)/100))</x:f>
        <x:v>—</x:v>
      </x:c>
      <x:c r="L77" s="32" t="str">
        <x:f>IF(I77&gt;0,"Pending",IF(E77=0,"—",(E77-G77)/E77))</x:f>
        <x:v>—</x:v>
      </x:c>
      <x:c r="M77" s="40" t="n">
        <x:f>IF(I77&gt;0,"Pending",E77-H77)</x:f>
        <x:v>0</x:v>
      </x:c>
    </x:row>
    <x:row r="78" ht="23" customHeight="1">
      <x:c r="B78" s="17" t="str">
        <x:v>JacksonXml</x:v>
      </x:c>
      <x:c r="C78" s="17" t="str">
        <x:v>Round2</x:v>
      </x:c>
      <x:c r="D78" s="17" t="str">
        <x:v>Condition</x:v>
      </x:c>
      <x:c r="E78" s="40" t="n">
        <x:f>0</x:f>
        <x:v>0</x:v>
      </x:c>
      <x:c r="F78" s="40" t="n">
        <x:f>0</x:f>
        <x:v>0</x:v>
      </x:c>
      <x:c r="G78" s="40" t="n">
        <x:f>0</x:f>
        <x:v>0</x:v>
      </x:c>
      <x:c r="H78" s="40" t="n">
        <x:f>0</x:f>
        <x:v>0</x:v>
      </x:c>
      <x:c r="I78" s="40" t="n">
        <x:f>0</x:f>
        <x:v>0</x:v>
      </x:c>
      <x:c r="J78" s="32" t="str">
        <x:f>IF(F78=0,"—",(0)/F78/100)</x:f>
        <x:v>—</x:v>
      </x:c>
      <x:c r="K78" s="32" t="str">
        <x:f>IF(I78&gt;0,"Pending",IF(E78-H78=0,"—",(0)/(E78-H78)/100))</x:f>
        <x:v>—</x:v>
      </x:c>
      <x:c r="L78" s="32" t="str">
        <x:f>IF(I78&gt;0,"Pending",IF(E78=0,"—",(E78-G78)/E78))</x:f>
        <x:v>—</x:v>
      </x:c>
      <x:c r="M78" s="40" t="n">
        <x:f>IF(I78&gt;0,"Pending",E78-H78)</x:f>
        <x:v>0</x:v>
      </x:c>
    </x:row>
    <x:row r="79" ht="23" customHeight="1">
      <x:c r="B79" s="17" t="str">
        <x:v>Jsoup</x:v>
      </x:c>
      <x:c r="C79" s="17" t="str">
        <x:v>All rounds</x:v>
      </x:c>
      <x:c r="D79" s="17" t="str">
        <x:v>Line</x:v>
      </x:c>
      <x:c r="E79" s="40" t="n">
        <x:f>COUNTA('CoverageCases'!$D$510:$D$602)</x:f>
        <x:v>93</x:v>
      </x:c>
      <x:c r="F79" s="40" t="n">
        <x:f>COUNT('CoverageCases'!$O$510:$O$602)</x:f>
        <x:v>49</x:v>
      </x:c>
      <x:c r="G79" s="40" t="n">
        <x:f>COUNTIF('CoverageCases'!$G$510:$G$602,"A")</x:f>
        <x:v>44</x:v>
      </x:c>
      <x:c r="H79" s="40" t="n">
        <x:f>COUNTIF('CoverageCases'!$G$510:$G$602,"B")</x:f>
        <x:v>0</x:v>
      </x:c>
      <x:c r="I79" s="40" t="n">
        <x:f>COUNTIF('CoverageCases'!$G$510:$G$602,"UNRESOLVED")</x:f>
        <x:v>0</x:v>
      </x:c>
      <x:c r="J79" s="32" t="n">
        <x:f>IF(F79=0,"—",(SUM('CoverageCases'!$O$510:$O$602))/F79/100)</x:f>
        <x:v>0.9577918367346939</x:v>
      </x:c>
      <x:c r="K79" s="32" t="n">
        <x:f>IF(I79&gt;0,"Pending",IF(E79-H79=0,"—",(SUM('CoverageCases'!$O$510:$O$602))/(E79-H79)/100))</x:f>
        <x:v>0.5046430107526882</x:v>
      </x:c>
      <x:c r="L79" s="32" t="n">
        <x:f>IF(I79&gt;0,"Pending",IF(E79=0,"—",(E79-G79)/E79))</x:f>
        <x:v>0.5268817204301075</x:v>
      </x:c>
      <x:c r="M79" s="40" t="n">
        <x:f>IF(I79&gt;0,"Pending",E79-H79)</x:f>
        <x:v>93</x:v>
      </x:c>
    </x:row>
    <x:row r="80" ht="23" customHeight="1">
      <x:c r="B80" s="17" t="str">
        <x:v>Jsoup</x:v>
      </x:c>
      <x:c r="C80" s="17" t="str">
        <x:v>All rounds</x:v>
      </x:c>
      <x:c r="D80" s="17" t="str">
        <x:v>Condition</x:v>
      </x:c>
      <x:c r="E80" s="40" t="n">
        <x:f>COUNTA('CoverageCases'!$D$1364:$D$1456)</x:f>
        <x:v>93</x:v>
      </x:c>
      <x:c r="F80" s="40" t="n">
        <x:f>COUNT('CoverageCases'!$O$1364:$O$1456)</x:f>
        <x:v>49</x:v>
      </x:c>
      <x:c r="G80" s="40" t="n">
        <x:f>COUNTIF('CoverageCases'!$G$1364:$G$1456,"A")</x:f>
        <x:v>44</x:v>
      </x:c>
      <x:c r="H80" s="40" t="n">
        <x:f>COUNTIF('CoverageCases'!$G$1364:$G$1456,"B")</x:f>
        <x:v>0</x:v>
      </x:c>
      <x:c r="I80" s="40" t="n">
        <x:f>COUNTIF('CoverageCases'!$G$1364:$G$1456,"UNRESOLVED")</x:f>
        <x:v>0</x:v>
      </x:c>
      <x:c r="J80" s="32" t="n">
        <x:f>IF(F80=0,"—",(SUM('CoverageCases'!$O$1364:$O$1456))/F80/100)</x:f>
        <x:v>0.8921306122448979</x:v>
      </x:c>
      <x:c r="K80" s="32" t="n">
        <x:f>IF(I80&gt;0,"Pending",IF(E80-H80=0,"—",(SUM('CoverageCases'!$O$1364:$O$1456))/(E80-H80)/100))</x:f>
        <x:v>0.47004731182795695</x:v>
      </x:c>
      <x:c r="L80" s="32" t="n">
        <x:f>IF(I80&gt;0,"Pending",IF(E80=0,"—",(E80-G80)/E80))</x:f>
        <x:v>0.5268817204301075</x:v>
      </x:c>
      <x:c r="M80" s="40" t="n">
        <x:f>IF(I80&gt;0,"Pending",E80-H80)</x:f>
        <x:v>93</x:v>
      </x:c>
    </x:row>
    <x:row r="81" ht="23" customHeight="1">
      <x:c r="B81" s="17" t="str">
        <x:v>Jsoup</x:v>
      </x:c>
      <x:c r="C81" s="17" t="str">
        <x:v>Round1</x:v>
      </x:c>
      <x:c r="D81" s="17" t="str">
        <x:v>Line</x:v>
      </x:c>
      <x:c r="E81" s="40" t="n">
        <x:f>COUNTA('CoverageCases'!$D$510:$D$602)</x:f>
        <x:v>93</x:v>
      </x:c>
      <x:c r="F81" s="40" t="n">
        <x:f>COUNT('CoverageCases'!$O$510:$O$602)</x:f>
        <x:v>49</x:v>
      </x:c>
      <x:c r="G81" s="40" t="n">
        <x:f>COUNTIF('CoverageCases'!$G$510:$G$602,"A")</x:f>
        <x:v>44</x:v>
      </x:c>
      <x:c r="H81" s="40" t="n">
        <x:f>COUNTIF('CoverageCases'!$G$510:$G$602,"B")</x:f>
        <x:v>0</x:v>
      </x:c>
      <x:c r="I81" s="40" t="n">
        <x:f>COUNTIF('CoverageCases'!$G$510:$G$602,"UNRESOLVED")</x:f>
        <x:v>0</x:v>
      </x:c>
      <x:c r="J81" s="32" t="n">
        <x:f>IF(F81=0,"—",(SUM('CoverageCases'!$O$510:$O$602))/F81/100)</x:f>
        <x:v>0.9577918367346939</x:v>
      </x:c>
      <x:c r="K81" s="32" t="n">
        <x:f>IF(I81&gt;0,"Pending",IF(E81-H81=0,"—",(SUM('CoverageCases'!$O$510:$O$602))/(E81-H81)/100))</x:f>
        <x:v>0.5046430107526882</x:v>
      </x:c>
      <x:c r="L81" s="32" t="n">
        <x:f>IF(I81&gt;0,"Pending",IF(E81=0,"—",(E81-G81)/E81))</x:f>
        <x:v>0.5268817204301075</x:v>
      </x:c>
      <x:c r="M81" s="40" t="n">
        <x:f>IF(I81&gt;0,"Pending",E81-H81)</x:f>
        <x:v>93</x:v>
      </x:c>
    </x:row>
    <x:row r="82" ht="23" customHeight="1">
      <x:c r="B82" s="17" t="str">
        <x:v>Jsoup</x:v>
      </x:c>
      <x:c r="C82" s="17" t="str">
        <x:v>Round1</x:v>
      </x:c>
      <x:c r="D82" s="17" t="str">
        <x:v>Condition</x:v>
      </x:c>
      <x:c r="E82" s="40" t="n">
        <x:f>COUNTA('CoverageCases'!$D$1364:$D$1456)</x:f>
        <x:v>93</x:v>
      </x:c>
      <x:c r="F82" s="40" t="n">
        <x:f>COUNT('CoverageCases'!$O$1364:$O$1456)</x:f>
        <x:v>49</x:v>
      </x:c>
      <x:c r="G82" s="40" t="n">
        <x:f>COUNTIF('CoverageCases'!$G$1364:$G$1456,"A")</x:f>
        <x:v>44</x:v>
      </x:c>
      <x:c r="H82" s="40" t="n">
        <x:f>COUNTIF('CoverageCases'!$G$1364:$G$1456,"B")</x:f>
        <x:v>0</x:v>
      </x:c>
      <x:c r="I82" s="40" t="n">
        <x:f>COUNTIF('CoverageCases'!$G$1364:$G$1456,"UNRESOLVED")</x:f>
        <x:v>0</x:v>
      </x:c>
      <x:c r="J82" s="32" t="n">
        <x:f>IF(F82=0,"—",(SUM('CoverageCases'!$O$1364:$O$1456))/F82/100)</x:f>
        <x:v>0.8921306122448979</x:v>
      </x:c>
      <x:c r="K82" s="32" t="n">
        <x:f>IF(I82&gt;0,"Pending",IF(E82-H82=0,"—",(SUM('CoverageCases'!$O$1364:$O$1456))/(E82-H82)/100))</x:f>
        <x:v>0.47004731182795695</x:v>
      </x:c>
      <x:c r="L82" s="32" t="n">
        <x:f>IF(I82&gt;0,"Pending",IF(E82=0,"—",(E82-G82)/E82))</x:f>
        <x:v>0.5268817204301075</x:v>
      </x:c>
      <x:c r="M82" s="40" t="n">
        <x:f>IF(I82&gt;0,"Pending",E82-H82)</x:f>
        <x:v>93</x:v>
      </x:c>
    </x:row>
    <x:row r="83" ht="23" customHeight="1">
      <x:c r="B83" s="17" t="str">
        <x:v>Jsoup</x:v>
      </x:c>
      <x:c r="C83" s="17" t="str">
        <x:v>Round2</x:v>
      </x:c>
      <x:c r="D83" s="17" t="str">
        <x:v>Line</x:v>
      </x:c>
      <x:c r="E83" s="40" t="n">
        <x:f>0</x:f>
        <x:v>0</x:v>
      </x:c>
      <x:c r="F83" s="40" t="n">
        <x:f>0</x:f>
        <x:v>0</x:v>
      </x:c>
      <x:c r="G83" s="40" t="n">
        <x:f>0</x:f>
        <x:v>0</x:v>
      </x:c>
      <x:c r="H83" s="40" t="n">
        <x:f>0</x:f>
        <x:v>0</x:v>
      </x:c>
      <x:c r="I83" s="40" t="n">
        <x:f>0</x:f>
        <x:v>0</x:v>
      </x:c>
      <x:c r="J83" s="32" t="str">
        <x:f>IF(F83=0,"—",(0)/F83/100)</x:f>
        <x:v>—</x:v>
      </x:c>
      <x:c r="K83" s="32" t="str">
        <x:f>IF(I83&gt;0,"Pending",IF(E83-H83=0,"—",(0)/(E83-H83)/100))</x:f>
        <x:v>—</x:v>
      </x:c>
      <x:c r="L83" s="32" t="str">
        <x:f>IF(I83&gt;0,"Pending",IF(E83=0,"—",(E83-G83)/E83))</x:f>
        <x:v>—</x:v>
      </x:c>
      <x:c r="M83" s="40" t="n">
        <x:f>IF(I83&gt;0,"Pending",E83-H83)</x:f>
        <x:v>0</x:v>
      </x:c>
    </x:row>
    <x:row r="84" ht="23" customHeight="1">
      <x:c r="B84" s="17" t="str">
        <x:v>Jsoup</x:v>
      </x:c>
      <x:c r="C84" s="17" t="str">
        <x:v>Round2</x:v>
      </x:c>
      <x:c r="D84" s="17" t="str">
        <x:v>Condition</x:v>
      </x:c>
      <x:c r="E84" s="40" t="n">
        <x:f>0</x:f>
        <x:v>0</x:v>
      </x:c>
      <x:c r="F84" s="40" t="n">
        <x:f>0</x:f>
        <x:v>0</x:v>
      </x:c>
      <x:c r="G84" s="40" t="n">
        <x:f>0</x:f>
        <x:v>0</x:v>
      </x:c>
      <x:c r="H84" s="40" t="n">
        <x:f>0</x:f>
        <x:v>0</x:v>
      </x:c>
      <x:c r="I84" s="40" t="n">
        <x:f>0</x:f>
        <x:v>0</x:v>
      </x:c>
      <x:c r="J84" s="32" t="str">
        <x:f>IF(F84=0,"—",(0)/F84/100)</x:f>
        <x:v>—</x:v>
      </x:c>
      <x:c r="K84" s="32" t="str">
        <x:f>IF(I84&gt;0,"Pending",IF(E84-H84=0,"—",(0)/(E84-H84)/100))</x:f>
        <x:v>—</x:v>
      </x:c>
      <x:c r="L84" s="32" t="str">
        <x:f>IF(I84&gt;0,"Pending",IF(E84=0,"—",(E84-G84)/E84))</x:f>
        <x:v>—</x:v>
      </x:c>
      <x:c r="M84" s="40" t="n">
        <x:f>IF(I84&gt;0,"Pending",E84-H84)</x:f>
        <x:v>0</x:v>
      </x:c>
    </x:row>
    <x:row r="85" ht="23" customHeight="1">
      <x:c r="B85" s="17" t="str">
        <x:v>JxPath</x:v>
      </x:c>
      <x:c r="C85" s="17" t="str">
        <x:v>All rounds</x:v>
      </x:c>
      <x:c r="D85" s="17" t="str">
        <x:v>Line</x:v>
      </x:c>
      <x:c r="E85" s="40" t="n">
        <x:f>COUNTA('CoverageCases'!$D$603:$D$624)</x:f>
        <x:v>22</x:v>
      </x:c>
      <x:c r="F85" s="40" t="n">
        <x:f>COUNT('CoverageCases'!$O$603:$O$624)</x:f>
        <x:v>8</x:v>
      </x:c>
      <x:c r="G85" s="40" t="n">
        <x:f>COUNTIF('CoverageCases'!$G$603:$G$624,"A")</x:f>
        <x:v>14</x:v>
      </x:c>
      <x:c r="H85" s="40" t="n">
        <x:f>COUNTIF('CoverageCases'!$G$603:$G$624,"B")</x:f>
        <x:v>0</x:v>
      </x:c>
      <x:c r="I85" s="40" t="n">
        <x:f>COUNTIF('CoverageCases'!$G$603:$G$624,"UNRESOLVED")</x:f>
        <x:v>0</x:v>
      </x:c>
      <x:c r="J85" s="32" t="n">
        <x:f>IF(F85=0,"—",(SUM('CoverageCases'!$O$603:$O$624))/F85/100)</x:f>
        <x:v>0.5771000000000001</x:v>
      </x:c>
      <x:c r="K85" s="32" t="n">
        <x:f>IF(I85&gt;0,"Pending",IF(E85-H85=0,"—",(SUM('CoverageCases'!$O$603:$O$624))/(E85-H85)/100))</x:f>
        <x:v>0.20985454545454543</x:v>
      </x:c>
      <x:c r="L85" s="32" t="n">
        <x:f>IF(I85&gt;0,"Pending",IF(E85=0,"—",(E85-G85)/E85))</x:f>
        <x:v>0.36363636363636365</x:v>
      </x:c>
      <x:c r="M85" s="40" t="n">
        <x:f>IF(I85&gt;0,"Pending",E85-H85)</x:f>
        <x:v>22</x:v>
      </x:c>
    </x:row>
    <x:row r="86" ht="23" customHeight="1">
      <x:c r="B86" s="17" t="str">
        <x:v>JxPath</x:v>
      </x:c>
      <x:c r="C86" s="17" t="str">
        <x:v>All rounds</x:v>
      </x:c>
      <x:c r="D86" s="17" t="str">
        <x:v>Condition</x:v>
      </x:c>
      <x:c r="E86" s="40" t="n">
        <x:f>COUNTA('CoverageCases'!$D$1457:$D$1478)</x:f>
        <x:v>22</x:v>
      </x:c>
      <x:c r="F86" s="40" t="n">
        <x:f>COUNT('CoverageCases'!$O$1457:$O$1478)</x:f>
        <x:v>8</x:v>
      </x:c>
      <x:c r="G86" s="40" t="n">
        <x:f>COUNTIF('CoverageCases'!$G$1457:$G$1478,"A")</x:f>
        <x:v>14</x:v>
      </x:c>
      <x:c r="H86" s="40" t="n">
        <x:f>COUNTIF('CoverageCases'!$G$1457:$G$1478,"B")</x:f>
        <x:v>0</x:v>
      </x:c>
      <x:c r="I86" s="40" t="n">
        <x:f>COUNTIF('CoverageCases'!$G$1457:$G$1478,"UNRESOLVED")</x:f>
        <x:v>0</x:v>
      </x:c>
      <x:c r="J86" s="32" t="n">
        <x:f>IF(F86=0,"—",(SUM('CoverageCases'!$O$1457:$O$1478))/F86/100)</x:f>
        <x:v>0.5289</x:v>
      </x:c>
      <x:c r="K86" s="32" t="n">
        <x:f>IF(I86&gt;0,"Pending",IF(E86-H86=0,"—",(SUM('CoverageCases'!$O$1457:$O$1478))/(E86-H86)/100))</x:f>
        <x:v>0.19232727272727274</x:v>
      </x:c>
      <x:c r="L86" s="32" t="n">
        <x:f>IF(I86&gt;0,"Pending",IF(E86=0,"—",(E86-G86)/E86))</x:f>
        <x:v>0.36363636363636365</x:v>
      </x:c>
      <x:c r="M86" s="40" t="n">
        <x:f>IF(I86&gt;0,"Pending",E86-H86)</x:f>
        <x:v>22</x:v>
      </x:c>
    </x:row>
    <x:row r="87" ht="23" customHeight="1">
      <x:c r="B87" s="17" t="str">
        <x:v>JxPath</x:v>
      </x:c>
      <x:c r="C87" s="17" t="str">
        <x:v>Round1</x:v>
      </x:c>
      <x:c r="D87" s="17" t="str">
        <x:v>Line</x:v>
      </x:c>
      <x:c r="E87" s="40" t="n">
        <x:f>COUNTA('CoverageCases'!$D$603:$D$624)</x:f>
        <x:v>22</x:v>
      </x:c>
      <x:c r="F87" s="40" t="n">
        <x:f>COUNT('CoverageCases'!$O$603:$O$624)</x:f>
        <x:v>8</x:v>
      </x:c>
      <x:c r="G87" s="40" t="n">
        <x:f>COUNTIF('CoverageCases'!$G$603:$G$624,"A")</x:f>
        <x:v>14</x:v>
      </x:c>
      <x:c r="H87" s="40" t="n">
        <x:f>COUNTIF('CoverageCases'!$G$603:$G$624,"B")</x:f>
        <x:v>0</x:v>
      </x:c>
      <x:c r="I87" s="40" t="n">
        <x:f>COUNTIF('CoverageCases'!$G$603:$G$624,"UNRESOLVED")</x:f>
        <x:v>0</x:v>
      </x:c>
      <x:c r="J87" s="32" t="n">
        <x:f>IF(F87=0,"—",(SUM('CoverageCases'!$O$603:$O$624))/F87/100)</x:f>
        <x:v>0.5771000000000001</x:v>
      </x:c>
      <x:c r="K87" s="32" t="n">
        <x:f>IF(I87&gt;0,"Pending",IF(E87-H87=0,"—",(SUM('CoverageCases'!$O$603:$O$624))/(E87-H87)/100))</x:f>
        <x:v>0.20985454545454543</x:v>
      </x:c>
      <x:c r="L87" s="32" t="n">
        <x:f>IF(I87&gt;0,"Pending",IF(E87=0,"—",(E87-G87)/E87))</x:f>
        <x:v>0.36363636363636365</x:v>
      </x:c>
      <x:c r="M87" s="40" t="n">
        <x:f>IF(I87&gt;0,"Pending",E87-H87)</x:f>
        <x:v>22</x:v>
      </x:c>
    </x:row>
    <x:row r="88" ht="23" customHeight="1">
      <x:c r="B88" s="17" t="str">
        <x:v>JxPath</x:v>
      </x:c>
      <x:c r="C88" s="17" t="str">
        <x:v>Round1</x:v>
      </x:c>
      <x:c r="D88" s="17" t="str">
        <x:v>Condition</x:v>
      </x:c>
      <x:c r="E88" s="40" t="n">
        <x:f>COUNTA('CoverageCases'!$D$1457:$D$1478)</x:f>
        <x:v>22</x:v>
      </x:c>
      <x:c r="F88" s="40" t="n">
        <x:f>COUNT('CoverageCases'!$O$1457:$O$1478)</x:f>
        <x:v>8</x:v>
      </x:c>
      <x:c r="G88" s="40" t="n">
        <x:f>COUNTIF('CoverageCases'!$G$1457:$G$1478,"A")</x:f>
        <x:v>14</x:v>
      </x:c>
      <x:c r="H88" s="40" t="n">
        <x:f>COUNTIF('CoverageCases'!$G$1457:$G$1478,"B")</x:f>
        <x:v>0</x:v>
      </x:c>
      <x:c r="I88" s="40" t="n">
        <x:f>COUNTIF('CoverageCases'!$G$1457:$G$1478,"UNRESOLVED")</x:f>
        <x:v>0</x:v>
      </x:c>
      <x:c r="J88" s="32" t="n">
        <x:f>IF(F88=0,"—",(SUM('CoverageCases'!$O$1457:$O$1478))/F88/100)</x:f>
        <x:v>0.5289</x:v>
      </x:c>
      <x:c r="K88" s="32" t="n">
        <x:f>IF(I88&gt;0,"Pending",IF(E88-H88=0,"—",(SUM('CoverageCases'!$O$1457:$O$1478))/(E88-H88)/100))</x:f>
        <x:v>0.19232727272727274</x:v>
      </x:c>
      <x:c r="L88" s="32" t="n">
        <x:f>IF(I88&gt;0,"Pending",IF(E88=0,"—",(E88-G88)/E88))</x:f>
        <x:v>0.36363636363636365</x:v>
      </x:c>
      <x:c r="M88" s="40" t="n">
        <x:f>IF(I88&gt;0,"Pending",E88-H88)</x:f>
        <x:v>22</x:v>
      </x:c>
    </x:row>
    <x:row r="89" ht="23" customHeight="1">
      <x:c r="B89" s="17" t="str">
        <x:v>JxPath</x:v>
      </x:c>
      <x:c r="C89" s="17" t="str">
        <x:v>Round2</x:v>
      </x:c>
      <x:c r="D89" s="17" t="str">
        <x:v>Line</x:v>
      </x:c>
      <x:c r="E89" s="40" t="n">
        <x:f>0</x:f>
        <x:v>0</x:v>
      </x:c>
      <x:c r="F89" s="40" t="n">
        <x:f>0</x:f>
        <x:v>0</x:v>
      </x:c>
      <x:c r="G89" s="40" t="n">
        <x:f>0</x:f>
        <x:v>0</x:v>
      </x:c>
      <x:c r="H89" s="40" t="n">
        <x:f>0</x:f>
        <x:v>0</x:v>
      </x:c>
      <x:c r="I89" s="40" t="n">
        <x:f>0</x:f>
        <x:v>0</x:v>
      </x:c>
      <x:c r="J89" s="32" t="str">
        <x:f>IF(F89=0,"—",(0)/F89/100)</x:f>
        <x:v>—</x:v>
      </x:c>
      <x:c r="K89" s="32" t="str">
        <x:f>IF(I89&gt;0,"Pending",IF(E89-H89=0,"—",(0)/(E89-H89)/100))</x:f>
        <x:v>—</x:v>
      </x:c>
      <x:c r="L89" s="32" t="str">
        <x:f>IF(I89&gt;0,"Pending",IF(E89=0,"—",(E89-G89)/E89))</x:f>
        <x:v>—</x:v>
      </x:c>
      <x:c r="M89" s="40" t="n">
        <x:f>IF(I89&gt;0,"Pending",E89-H89)</x:f>
        <x:v>0</x:v>
      </x:c>
    </x:row>
    <x:row r="90" ht="23" customHeight="1">
      <x:c r="B90" s="17" t="str">
        <x:v>JxPath</x:v>
      </x:c>
      <x:c r="C90" s="17" t="str">
        <x:v>Round2</x:v>
      </x:c>
      <x:c r="D90" s="17" t="str">
        <x:v>Condition</x:v>
      </x:c>
      <x:c r="E90" s="40" t="n">
        <x:f>0</x:f>
        <x:v>0</x:v>
      </x:c>
      <x:c r="F90" s="40" t="n">
        <x:f>0</x:f>
        <x:v>0</x:v>
      </x:c>
      <x:c r="G90" s="40" t="n">
        <x:f>0</x:f>
        <x:v>0</x:v>
      </x:c>
      <x:c r="H90" s="40" t="n">
        <x:f>0</x:f>
        <x:v>0</x:v>
      </x:c>
      <x:c r="I90" s="40" t="n">
        <x:f>0</x:f>
        <x:v>0</x:v>
      </x:c>
      <x:c r="J90" s="32" t="str">
        <x:f>IF(F90=0,"—",(0)/F90/100)</x:f>
        <x:v>—</x:v>
      </x:c>
      <x:c r="K90" s="32" t="str">
        <x:f>IF(I90&gt;0,"Pending",IF(E90-H90=0,"—",(0)/(E90-H90)/100))</x:f>
        <x:v>—</x:v>
      </x:c>
      <x:c r="L90" s="32" t="str">
        <x:f>IF(I90&gt;0,"Pending",IF(E90=0,"—",(E90-G90)/E90))</x:f>
        <x:v>—</x:v>
      </x:c>
      <x:c r="M90" s="40" t="n">
        <x:f>IF(I90&gt;0,"Pending",E90-H90)</x:f>
        <x:v>0</x:v>
      </x:c>
    </x:row>
    <x:row r="91" ht="23" customHeight="1">
      <x:c r="B91" s="17" t="str">
        <x:v>Lang</x:v>
      </x:c>
      <x:c r="C91" s="17" t="str">
        <x:v>All rounds</x:v>
      </x:c>
      <x:c r="D91" s="17" t="str">
        <x:v>Line</x:v>
      </x:c>
      <x:c r="E91" s="40" t="n">
        <x:f>COUNTA('CoverageCases'!$D$625:$D$685)</x:f>
        <x:v>61</x:v>
      </x:c>
      <x:c r="F91" s="40" t="n">
        <x:f>COUNT('CoverageCases'!$O$625:$O$685)</x:f>
        <x:v>47</x:v>
      </x:c>
      <x:c r="G91" s="40" t="n">
        <x:f>COUNTIF('CoverageCases'!$G$625:$G$685,"A")</x:f>
        <x:v>14</x:v>
      </x:c>
      <x:c r="H91" s="40" t="n">
        <x:f>COUNTIF('CoverageCases'!$G$625:$G$685,"B")</x:f>
        <x:v>0</x:v>
      </x:c>
      <x:c r="I91" s="40" t="n">
        <x:f>COUNTIF('CoverageCases'!$G$625:$G$685,"UNRESOLVED")</x:f>
        <x:v>0</x:v>
      </x:c>
      <x:c r="J91" s="32" t="n">
        <x:f>IF(F91=0,"—",(SUM('CoverageCases'!$O$625:$O$685))/F91/100)</x:f>
        <x:v>0.5995212765957448</x:v>
      </x:c>
      <x:c r="K91" s="32" t="n">
        <x:f>IF(I91&gt;0,"Pending",IF(E91-H91=0,"—",(SUM('CoverageCases'!$O$625:$O$685))/(E91-H91)/100))</x:f>
        <x:v>0.4619262295081969</x:v>
      </x:c>
      <x:c r="L91" s="32" t="n">
        <x:f>IF(I91&gt;0,"Pending",IF(E91=0,"—",(E91-G91)/E91))</x:f>
        <x:v>0.7704918032786885</x:v>
      </x:c>
      <x:c r="M91" s="40" t="n">
        <x:f>IF(I91&gt;0,"Pending",E91-H91)</x:f>
        <x:v>61</x:v>
      </x:c>
    </x:row>
    <x:row r="92" ht="23" customHeight="1">
      <x:c r="B92" s="17" t="str">
        <x:v>Lang</x:v>
      </x:c>
      <x:c r="C92" s="17" t="str">
        <x:v>All rounds</x:v>
      </x:c>
      <x:c r="D92" s="17" t="str">
        <x:v>Condition</x:v>
      </x:c>
      <x:c r="E92" s="40" t="n">
        <x:f>COUNTA('CoverageCases'!$D$1479:$D$1539)</x:f>
        <x:v>61</x:v>
      </x:c>
      <x:c r="F92" s="40" t="n">
        <x:f>COUNT('CoverageCases'!$O$1479:$O$1539)</x:f>
        <x:v>47</x:v>
      </x:c>
      <x:c r="G92" s="40" t="n">
        <x:f>COUNTIF('CoverageCases'!$G$1479:$G$1539,"A")</x:f>
        <x:v>14</x:v>
      </x:c>
      <x:c r="H92" s="40" t="n">
        <x:f>COUNTIF('CoverageCases'!$G$1479:$G$1539,"B")</x:f>
        <x:v>0</x:v>
      </x:c>
      <x:c r="I92" s="40" t="n">
        <x:f>COUNTIF('CoverageCases'!$G$1479:$G$1539,"UNRESOLVED")</x:f>
        <x:v>0</x:v>
      </x:c>
      <x:c r="J92" s="32" t="n">
        <x:f>IF(F92=0,"—",(SUM('CoverageCases'!$O$1479:$O$1539))/F92/100)</x:f>
        <x:v>0.5364382978723405</x:v>
      </x:c>
      <x:c r="K92" s="32" t="n">
        <x:f>IF(I92&gt;0,"Pending",IF(E92-H92=0,"—",(SUM('CoverageCases'!$O$1479:$O$1539))/(E92-H92)/100))</x:f>
        <x:v>0.4133213114754099</x:v>
      </x:c>
      <x:c r="L92" s="32" t="n">
        <x:f>IF(I92&gt;0,"Pending",IF(E92=0,"—",(E92-G92)/E92))</x:f>
        <x:v>0.7704918032786885</x:v>
      </x:c>
      <x:c r="M92" s="40" t="n">
        <x:f>IF(I92&gt;0,"Pending",E92-H92)</x:f>
        <x:v>61</x:v>
      </x:c>
    </x:row>
    <x:row r="93" ht="23" customHeight="1">
      <x:c r="B93" s="17" t="str">
        <x:v>Lang</x:v>
      </x:c>
      <x:c r="C93" s="17" t="str">
        <x:v>Round1</x:v>
      </x:c>
      <x:c r="D93" s="17" t="str">
        <x:v>Line</x:v>
      </x:c>
      <x:c r="E93" s="40" t="n">
        <x:f>COUNTA('CoverageCases'!$D$625:$D$685)</x:f>
        <x:v>61</x:v>
      </x:c>
      <x:c r="F93" s="40" t="n">
        <x:f>COUNT('CoverageCases'!$O$625:$O$685)</x:f>
        <x:v>47</x:v>
      </x:c>
      <x:c r="G93" s="40" t="n">
        <x:f>COUNTIF('CoverageCases'!$G$625:$G$685,"A")</x:f>
        <x:v>14</x:v>
      </x:c>
      <x:c r="H93" s="40" t="n">
        <x:f>COUNTIF('CoverageCases'!$G$625:$G$685,"B")</x:f>
        <x:v>0</x:v>
      </x:c>
      <x:c r="I93" s="40" t="n">
        <x:f>COUNTIF('CoverageCases'!$G$625:$G$685,"UNRESOLVED")</x:f>
        <x:v>0</x:v>
      </x:c>
      <x:c r="J93" s="32" t="n">
        <x:f>IF(F93=0,"—",(SUM('CoverageCases'!$O$625:$O$685))/F93/100)</x:f>
        <x:v>0.5995212765957448</x:v>
      </x:c>
      <x:c r="K93" s="32" t="n">
        <x:f>IF(I93&gt;0,"Pending",IF(E93-H93=0,"—",(SUM('CoverageCases'!$O$625:$O$685))/(E93-H93)/100))</x:f>
        <x:v>0.4619262295081969</x:v>
      </x:c>
      <x:c r="L93" s="32" t="n">
        <x:f>IF(I93&gt;0,"Pending",IF(E93=0,"—",(E93-G93)/E93))</x:f>
        <x:v>0.7704918032786885</x:v>
      </x:c>
      <x:c r="M93" s="40" t="n">
        <x:f>IF(I93&gt;0,"Pending",E93-H93)</x:f>
        <x:v>61</x:v>
      </x:c>
    </x:row>
    <x:row r="94" ht="23" customHeight="1">
      <x:c r="B94" s="17" t="str">
        <x:v>Lang</x:v>
      </x:c>
      <x:c r="C94" s="17" t="str">
        <x:v>Round1</x:v>
      </x:c>
      <x:c r="D94" s="17" t="str">
        <x:v>Condition</x:v>
      </x:c>
      <x:c r="E94" s="40" t="n">
        <x:f>COUNTA('CoverageCases'!$D$1479:$D$1539)</x:f>
        <x:v>61</x:v>
      </x:c>
      <x:c r="F94" s="40" t="n">
        <x:f>COUNT('CoverageCases'!$O$1479:$O$1539)</x:f>
        <x:v>47</x:v>
      </x:c>
      <x:c r="G94" s="40" t="n">
        <x:f>COUNTIF('CoverageCases'!$G$1479:$G$1539,"A")</x:f>
        <x:v>14</x:v>
      </x:c>
      <x:c r="H94" s="40" t="n">
        <x:f>COUNTIF('CoverageCases'!$G$1479:$G$1539,"B")</x:f>
        <x:v>0</x:v>
      </x:c>
      <x:c r="I94" s="40" t="n">
        <x:f>COUNTIF('CoverageCases'!$G$1479:$G$1539,"UNRESOLVED")</x:f>
        <x:v>0</x:v>
      </x:c>
      <x:c r="J94" s="32" t="n">
        <x:f>IF(F94=0,"—",(SUM('CoverageCases'!$O$1479:$O$1539))/F94/100)</x:f>
        <x:v>0.5364382978723405</x:v>
      </x:c>
      <x:c r="K94" s="32" t="n">
        <x:f>IF(I94&gt;0,"Pending",IF(E94-H94=0,"—",(SUM('CoverageCases'!$O$1479:$O$1539))/(E94-H94)/100))</x:f>
        <x:v>0.4133213114754099</x:v>
      </x:c>
      <x:c r="L94" s="32" t="n">
        <x:f>IF(I94&gt;0,"Pending",IF(E94=0,"—",(E94-G94)/E94))</x:f>
        <x:v>0.7704918032786885</x:v>
      </x:c>
      <x:c r="M94" s="40" t="n">
        <x:f>IF(I94&gt;0,"Pending",E94-H94)</x:f>
        <x:v>61</x:v>
      </x:c>
    </x:row>
    <x:row r="95" ht="23" customHeight="1">
      <x:c r="B95" s="17" t="str">
        <x:v>Lang</x:v>
      </x:c>
      <x:c r="C95" s="17" t="str">
        <x:v>Round2</x:v>
      </x:c>
      <x:c r="D95" s="17" t="str">
        <x:v>Line</x:v>
      </x:c>
      <x:c r="E95" s="40" t="n">
        <x:f>0</x:f>
        <x:v>0</x:v>
      </x:c>
      <x:c r="F95" s="40" t="n">
        <x:f>0</x:f>
        <x:v>0</x:v>
      </x:c>
      <x:c r="G95" s="40" t="n">
        <x:f>0</x:f>
        <x:v>0</x:v>
      </x:c>
      <x:c r="H95" s="40" t="n">
        <x:f>0</x:f>
        <x:v>0</x:v>
      </x:c>
      <x:c r="I95" s="40" t="n">
        <x:f>0</x:f>
        <x:v>0</x:v>
      </x:c>
      <x:c r="J95" s="32" t="str">
        <x:f>IF(F95=0,"—",(0)/F95/100)</x:f>
        <x:v>—</x:v>
      </x:c>
      <x:c r="K95" s="32" t="str">
        <x:f>IF(I95&gt;0,"Pending",IF(E95-H95=0,"—",(0)/(E95-H95)/100))</x:f>
        <x:v>—</x:v>
      </x:c>
      <x:c r="L95" s="32" t="str">
        <x:f>IF(I95&gt;0,"Pending",IF(E95=0,"—",(E95-G95)/E95))</x:f>
        <x:v>—</x:v>
      </x:c>
      <x:c r="M95" s="40" t="n">
        <x:f>IF(I95&gt;0,"Pending",E95-H95)</x:f>
        <x:v>0</x:v>
      </x:c>
    </x:row>
    <x:row r="96" ht="23" customHeight="1">
      <x:c r="B96" s="17" t="str">
        <x:v>Lang</x:v>
      </x:c>
      <x:c r="C96" s="17" t="str">
        <x:v>Round2</x:v>
      </x:c>
      <x:c r="D96" s="17" t="str">
        <x:v>Condition</x:v>
      </x:c>
      <x:c r="E96" s="40" t="n">
        <x:f>0</x:f>
        <x:v>0</x:v>
      </x:c>
      <x:c r="F96" s="40" t="n">
        <x:f>0</x:f>
        <x:v>0</x:v>
      </x:c>
      <x:c r="G96" s="40" t="n">
        <x:f>0</x:f>
        <x:v>0</x:v>
      </x:c>
      <x:c r="H96" s="40" t="n">
        <x:f>0</x:f>
        <x:v>0</x:v>
      </x:c>
      <x:c r="I96" s="40" t="n">
        <x:f>0</x:f>
        <x:v>0</x:v>
      </x:c>
      <x:c r="J96" s="32" t="str">
        <x:f>IF(F96=0,"—",(0)/F96/100)</x:f>
        <x:v>—</x:v>
      </x:c>
      <x:c r="K96" s="32" t="str">
        <x:f>IF(I96&gt;0,"Pending",IF(E96-H96=0,"—",(0)/(E96-H96)/100))</x:f>
        <x:v>—</x:v>
      </x:c>
      <x:c r="L96" s="32" t="str">
        <x:f>IF(I96&gt;0,"Pending",IF(E96=0,"—",(E96-G96)/E96))</x:f>
        <x:v>—</x:v>
      </x:c>
      <x:c r="M96" s="40" t="n">
        <x:f>IF(I96&gt;0,"Pending",E96-H96)</x:f>
        <x:v>0</x:v>
      </x:c>
    </x:row>
    <x:row r="97" ht="23" customHeight="1">
      <x:c r="B97" s="17" t="str">
        <x:v>Math</x:v>
      </x:c>
      <x:c r="C97" s="17" t="str">
        <x:v>All rounds</x:v>
      </x:c>
      <x:c r="D97" s="17" t="str">
        <x:v>Line</x:v>
      </x:c>
      <x:c r="E97" s="40" t="n">
        <x:f>COUNTA('CoverageCases'!$D$686:$D$791)</x:f>
        <x:v>106</x:v>
      </x:c>
      <x:c r="F97" s="40" t="n">
        <x:f>COUNT('CoverageCases'!$O$686:$O$791)</x:f>
        <x:v>96</x:v>
      </x:c>
      <x:c r="G97" s="40" t="n">
        <x:f>COUNTIF('CoverageCases'!$G$686:$G$791,"A")</x:f>
        <x:v>10</x:v>
      </x:c>
      <x:c r="H97" s="40" t="n">
        <x:f>COUNTIF('CoverageCases'!$G$686:$G$791,"B")</x:f>
        <x:v>0</x:v>
      </x:c>
      <x:c r="I97" s="40" t="n">
        <x:f>COUNTIF('CoverageCases'!$G$686:$G$791,"UNRESOLVED")</x:f>
        <x:v>0</x:v>
      </x:c>
      <x:c r="J97" s="32" t="n">
        <x:f>IF(F97=0,"—",(SUM('CoverageCases'!$O$686:$O$791))/F97/100)</x:f>
        <x:v>0.08468229166666666</x:v>
      </x:c>
      <x:c r="K97" s="32" t="n">
        <x:f>IF(I97&gt;0,"Pending",IF(E97-H97=0,"—",(SUM('CoverageCases'!$O$686:$O$791))/(E97-H97)/100))</x:f>
        <x:v>0.07669339622641509</x:v>
      </x:c>
      <x:c r="L97" s="32" t="n">
        <x:f>IF(I97&gt;0,"Pending",IF(E97=0,"—",(E97-G97)/E97))</x:f>
        <x:v>0.9056603773584906</x:v>
      </x:c>
      <x:c r="M97" s="40" t="n">
        <x:f>IF(I97&gt;0,"Pending",E97-H97)</x:f>
        <x:v>106</x:v>
      </x:c>
    </x:row>
    <x:row r="98" ht="23" customHeight="1">
      <x:c r="B98" s="17" t="str">
        <x:v>Math</x:v>
      </x:c>
      <x:c r="C98" s="17" t="str">
        <x:v>All rounds</x:v>
      </x:c>
      <x:c r="D98" s="17" t="str">
        <x:v>Condition</x:v>
      </x:c>
      <x:c r="E98" s="40" t="n">
        <x:f>COUNTA('CoverageCases'!$D$1540:$D$1645)</x:f>
        <x:v>106</x:v>
      </x:c>
      <x:c r="F98" s="40" t="n">
        <x:f>COUNT('CoverageCases'!$O$1540:$O$1645)</x:f>
        <x:v>96</x:v>
      </x:c>
      <x:c r="G98" s="40" t="n">
        <x:f>COUNTIF('CoverageCases'!$G$1540:$G$1645,"A")</x:f>
        <x:v>10</x:v>
      </x:c>
      <x:c r="H98" s="40" t="n">
        <x:f>COUNTIF('CoverageCases'!$G$1540:$G$1645,"B")</x:f>
        <x:v>0</x:v>
      </x:c>
      <x:c r="I98" s="40" t="n">
        <x:f>COUNTIF('CoverageCases'!$G$1540:$G$1645,"UNRESOLVED")</x:f>
        <x:v>0</x:v>
      </x:c>
      <x:c r="J98" s="32" t="n">
        <x:f>IF(F98=0,"—",(SUM('CoverageCases'!$O$1540:$O$1645))/F98/100)</x:f>
        <x:v>0.07350833333333334</x:v>
      </x:c>
      <x:c r="K98" s="32" t="n">
        <x:f>IF(I98&gt;0,"Pending",IF(E98-H98=0,"—",(SUM('CoverageCases'!$O$1540:$O$1645))/(E98-H98)/100))</x:f>
        <x:v>0.06657358490566039</x:v>
      </x:c>
      <x:c r="L98" s="32" t="n">
        <x:f>IF(I98&gt;0,"Pending",IF(E98=0,"—",(E98-G98)/E98))</x:f>
        <x:v>0.9056603773584906</x:v>
      </x:c>
      <x:c r="M98" s="40" t="n">
        <x:f>IF(I98&gt;0,"Pending",E98-H98)</x:f>
        <x:v>106</x:v>
      </x:c>
    </x:row>
    <x:row r="99" ht="23" customHeight="1">
      <x:c r="B99" s="17" t="str">
        <x:v>Math</x:v>
      </x:c>
      <x:c r="C99" s="17" t="str">
        <x:v>Round1</x:v>
      </x:c>
      <x:c r="D99" s="17" t="str">
        <x:v>Line</x:v>
      </x:c>
      <x:c r="E99" s="40" t="n">
        <x:f>COUNTA('CoverageCases'!$D$686:$D$791)</x:f>
        <x:v>106</x:v>
      </x:c>
      <x:c r="F99" s="40" t="n">
        <x:f>COUNT('CoverageCases'!$O$686:$O$791)</x:f>
        <x:v>96</x:v>
      </x:c>
      <x:c r="G99" s="40" t="n">
        <x:f>COUNTIF('CoverageCases'!$G$686:$G$791,"A")</x:f>
        <x:v>10</x:v>
      </x:c>
      <x:c r="H99" s="40" t="n">
        <x:f>COUNTIF('CoverageCases'!$G$686:$G$791,"B")</x:f>
        <x:v>0</x:v>
      </x:c>
      <x:c r="I99" s="40" t="n">
        <x:f>COUNTIF('CoverageCases'!$G$686:$G$791,"UNRESOLVED")</x:f>
        <x:v>0</x:v>
      </x:c>
      <x:c r="J99" s="32" t="n">
        <x:f>IF(F99=0,"—",(SUM('CoverageCases'!$O$686:$O$791))/F99/100)</x:f>
        <x:v>0.08468229166666666</x:v>
      </x:c>
      <x:c r="K99" s="32" t="n">
        <x:f>IF(I99&gt;0,"Pending",IF(E99-H99=0,"—",(SUM('CoverageCases'!$O$686:$O$791))/(E99-H99)/100))</x:f>
        <x:v>0.07669339622641509</x:v>
      </x:c>
      <x:c r="L99" s="32" t="n">
        <x:f>IF(I99&gt;0,"Pending",IF(E99=0,"—",(E99-G99)/E99))</x:f>
        <x:v>0.9056603773584906</x:v>
      </x:c>
      <x:c r="M99" s="40" t="n">
        <x:f>IF(I99&gt;0,"Pending",E99-H99)</x:f>
        <x:v>106</x:v>
      </x:c>
    </x:row>
    <x:row r="100" ht="23" customHeight="1">
      <x:c r="B100" s="17" t="str">
        <x:v>Math</x:v>
      </x:c>
      <x:c r="C100" s="17" t="str">
        <x:v>Round1</x:v>
      </x:c>
      <x:c r="D100" s="17" t="str">
        <x:v>Condition</x:v>
      </x:c>
      <x:c r="E100" s="40" t="n">
        <x:f>COUNTA('CoverageCases'!$D$1540:$D$1645)</x:f>
        <x:v>106</x:v>
      </x:c>
      <x:c r="F100" s="40" t="n">
        <x:f>COUNT('CoverageCases'!$O$1540:$O$1645)</x:f>
        <x:v>96</x:v>
      </x:c>
      <x:c r="G100" s="40" t="n">
        <x:f>COUNTIF('CoverageCases'!$G$1540:$G$1645,"A")</x:f>
        <x:v>10</x:v>
      </x:c>
      <x:c r="H100" s="40" t="n">
        <x:f>COUNTIF('CoverageCases'!$G$1540:$G$1645,"B")</x:f>
        <x:v>0</x:v>
      </x:c>
      <x:c r="I100" s="40" t="n">
        <x:f>COUNTIF('CoverageCases'!$G$1540:$G$1645,"UNRESOLVED")</x:f>
        <x:v>0</x:v>
      </x:c>
      <x:c r="J100" s="32" t="n">
        <x:f>IF(F100=0,"—",(SUM('CoverageCases'!$O$1540:$O$1645))/F100/100)</x:f>
        <x:v>0.07350833333333334</x:v>
      </x:c>
      <x:c r="K100" s="32" t="n">
        <x:f>IF(I100&gt;0,"Pending",IF(E100-H100=0,"—",(SUM('CoverageCases'!$O$1540:$O$1645))/(E100-H100)/100))</x:f>
        <x:v>0.06657358490566039</x:v>
      </x:c>
      <x:c r="L100" s="32" t="n">
        <x:f>IF(I100&gt;0,"Pending",IF(E100=0,"—",(E100-G100)/E100))</x:f>
        <x:v>0.9056603773584906</x:v>
      </x:c>
      <x:c r="M100" s="40" t="n">
        <x:f>IF(I100&gt;0,"Pending",E100-H100)</x:f>
        <x:v>106</x:v>
      </x:c>
    </x:row>
    <x:row r="101" ht="23" customHeight="1">
      <x:c r="B101" s="17" t="str">
        <x:v>Math</x:v>
      </x:c>
      <x:c r="C101" s="17" t="str">
        <x:v>Round2</x:v>
      </x:c>
      <x:c r="D101" s="17" t="str">
        <x:v>Line</x:v>
      </x:c>
      <x:c r="E101" s="40" t="n">
        <x:f>0</x:f>
        <x:v>0</x:v>
      </x:c>
      <x:c r="F101" s="40" t="n">
        <x:f>0</x:f>
        <x:v>0</x:v>
      </x:c>
      <x:c r="G101" s="40" t="n">
        <x:f>0</x:f>
        <x:v>0</x:v>
      </x:c>
      <x:c r="H101" s="40" t="n">
        <x:f>0</x:f>
        <x:v>0</x:v>
      </x:c>
      <x:c r="I101" s="40" t="n">
        <x:f>0</x:f>
        <x:v>0</x:v>
      </x:c>
      <x:c r="J101" s="32" t="str">
        <x:f>IF(F101=0,"—",(0)/F101/100)</x:f>
        <x:v>—</x:v>
      </x:c>
      <x:c r="K101" s="32" t="str">
        <x:f>IF(I101&gt;0,"Pending",IF(E101-H101=0,"—",(0)/(E101-H101)/100))</x:f>
        <x:v>—</x:v>
      </x:c>
      <x:c r="L101" s="32" t="str">
        <x:f>IF(I101&gt;0,"Pending",IF(E101=0,"—",(E101-G101)/E101))</x:f>
        <x:v>—</x:v>
      </x:c>
      <x:c r="M101" s="40" t="n">
        <x:f>IF(I101&gt;0,"Pending",E101-H101)</x:f>
        <x:v>0</x:v>
      </x:c>
    </x:row>
    <x:row r="102" ht="23" customHeight="1">
      <x:c r="B102" s="17" t="str">
        <x:v>Math</x:v>
      </x:c>
      <x:c r="C102" s="17" t="str">
        <x:v>Round2</x:v>
      </x:c>
      <x:c r="D102" s="17" t="str">
        <x:v>Condition</x:v>
      </x:c>
      <x:c r="E102" s="40" t="n">
        <x:f>0</x:f>
        <x:v>0</x:v>
      </x:c>
      <x:c r="F102" s="40" t="n">
        <x:f>0</x:f>
        <x:v>0</x:v>
      </x:c>
      <x:c r="G102" s="40" t="n">
        <x:f>0</x:f>
        <x:v>0</x:v>
      </x:c>
      <x:c r="H102" s="40" t="n">
        <x:f>0</x:f>
        <x:v>0</x:v>
      </x:c>
      <x:c r="I102" s="40" t="n">
        <x:f>0</x:f>
        <x:v>0</x:v>
      </x:c>
      <x:c r="J102" s="32" t="str">
        <x:f>IF(F102=0,"—",(0)/F102/100)</x:f>
        <x:v>—</x:v>
      </x:c>
      <x:c r="K102" s="32" t="str">
        <x:f>IF(I102&gt;0,"Pending",IF(E102-H102=0,"—",(0)/(E102-H102)/100))</x:f>
        <x:v>—</x:v>
      </x:c>
      <x:c r="L102" s="32" t="str">
        <x:f>IF(I102&gt;0,"Pending",IF(E102=0,"—",(E102-G102)/E102))</x:f>
        <x:v>—</x:v>
      </x:c>
      <x:c r="M102" s="40" t="n">
        <x:f>IF(I102&gt;0,"Pending",E102-H102)</x:f>
        <x:v>0</x:v>
      </x:c>
    </x:row>
    <x:row r="103" ht="23" customHeight="1">
      <x:c r="B103" s="17" t="str">
        <x:v>Mockito</x:v>
      </x:c>
      <x:c r="C103" s="17" t="str">
        <x:v>All rounds</x:v>
      </x:c>
      <x:c r="D103" s="17" t="str">
        <x:v>Line</x:v>
      </x:c>
      <x:c r="E103" s="40" t="n">
        <x:f>COUNTA('CoverageCases'!$D$792:$D$829)</x:f>
        <x:v>38</x:v>
      </x:c>
      <x:c r="F103" s="40" t="n">
        <x:f>COUNT('CoverageCases'!$O$792:$O$829)</x:f>
        <x:v>27</x:v>
      </x:c>
      <x:c r="G103" s="40" t="n">
        <x:f>COUNTIF('CoverageCases'!$G$792:$G$829,"A")</x:f>
        <x:v>11</x:v>
      </x:c>
      <x:c r="H103" s="40" t="n">
        <x:f>COUNTIF('CoverageCases'!$G$792:$G$829,"B")</x:f>
        <x:v>0</x:v>
      </x:c>
      <x:c r="I103" s="40" t="n">
        <x:f>COUNTIF('CoverageCases'!$G$792:$G$829,"UNRESOLVED")</x:f>
        <x:v>0</x:v>
      </x:c>
      <x:c r="J103" s="32" t="n">
        <x:f>IF(F103=0,"—",(SUM('CoverageCases'!$O$792:$O$829))/F103/100)</x:f>
        <x:v>0.8657518518518519</x:v>
      </x:c>
      <x:c r="K103" s="32" t="n">
        <x:f>IF(I103&gt;0,"Pending",IF(E103-H103=0,"—",(SUM('CoverageCases'!$O$792:$O$829))/(E103-H103)/100))</x:f>
        <x:v>0.6151394736842106</x:v>
      </x:c>
      <x:c r="L103" s="32" t="n">
        <x:f>IF(I103&gt;0,"Pending",IF(E103=0,"—",(E103-G103)/E103))</x:f>
        <x:v>0.7105263157894737</x:v>
      </x:c>
      <x:c r="M103" s="40" t="n">
        <x:f>IF(I103&gt;0,"Pending",E103-H103)</x:f>
        <x:v>38</x:v>
      </x:c>
    </x:row>
    <x:row r="104" ht="23" customHeight="1">
      <x:c r="B104" s="17" t="str">
        <x:v>Mockito</x:v>
      </x:c>
      <x:c r="C104" s="17" t="str">
        <x:v>All rounds</x:v>
      </x:c>
      <x:c r="D104" s="17" t="str">
        <x:v>Condition</x:v>
      </x:c>
      <x:c r="E104" s="40" t="n">
        <x:f>COUNTA('CoverageCases'!$D$1646:$D$1683)</x:f>
        <x:v>38</x:v>
      </x:c>
      <x:c r="F104" s="40" t="n">
        <x:f>COUNT('CoverageCases'!$O$1646:$O$1683)</x:f>
        <x:v>25</x:v>
      </x:c>
      <x:c r="G104" s="40" t="n">
        <x:f>COUNTIF('CoverageCases'!$G$1646:$G$1683,"A")</x:f>
        <x:v>11</x:v>
      </x:c>
      <x:c r="H104" s="40" t="n">
        <x:f>COUNTIF('CoverageCases'!$G$1646:$G$1683,"B")</x:f>
        <x:v>2</x:v>
      </x:c>
      <x:c r="I104" s="40" t="n">
        <x:f>COUNTIF('CoverageCases'!$G$1646:$G$1683,"UNRESOLVED")</x:f>
        <x:v>0</x:v>
      </x:c>
      <x:c r="J104" s="32" t="n">
        <x:f>IF(F104=0,"—",(SUM('CoverageCases'!$O$1646:$O$1683))/F104/100)</x:f>
        <x:v>0.7291959999999998</x:v>
      </x:c>
      <x:c r="K104" s="32" t="n">
        <x:f>IF(I104&gt;0,"Pending",IF(E104-H104=0,"—",(SUM('CoverageCases'!$O$1646:$O$1683))/(E104-H104)/100))</x:f>
        <x:v>0.506386111111111</x:v>
      </x:c>
      <x:c r="L104" s="32" t="n">
        <x:f>IF(I104&gt;0,"Pending",IF(E104=0,"—",(E104-G104)/E104))</x:f>
        <x:v>0.7105263157894737</x:v>
      </x:c>
      <x:c r="M104" s="40" t="n">
        <x:f>IF(I104&gt;0,"Pending",E104-H104)</x:f>
        <x:v>36</x:v>
      </x:c>
    </x:row>
    <x:row r="105" ht="23" customHeight="1">
      <x:c r="B105" s="17" t="str">
        <x:v>Mockito</x:v>
      </x:c>
      <x:c r="C105" s="17" t="str">
        <x:v>Round1</x:v>
      </x:c>
      <x:c r="D105" s="17" t="str">
        <x:v>Line</x:v>
      </x:c>
      <x:c r="E105" s="40" t="n">
        <x:f>COUNTA('CoverageCases'!$D$792:$D$829)</x:f>
        <x:v>38</x:v>
      </x:c>
      <x:c r="F105" s="40" t="n">
        <x:f>COUNT('CoverageCases'!$O$792:$O$829)</x:f>
        <x:v>27</x:v>
      </x:c>
      <x:c r="G105" s="40" t="n">
        <x:f>COUNTIF('CoverageCases'!$G$792:$G$829,"A")</x:f>
        <x:v>11</x:v>
      </x:c>
      <x:c r="H105" s="40" t="n">
        <x:f>COUNTIF('CoverageCases'!$G$792:$G$829,"B")</x:f>
        <x:v>0</x:v>
      </x:c>
      <x:c r="I105" s="40" t="n">
        <x:f>COUNTIF('CoverageCases'!$G$792:$G$829,"UNRESOLVED")</x:f>
        <x:v>0</x:v>
      </x:c>
      <x:c r="J105" s="32" t="n">
        <x:f>IF(F105=0,"—",(SUM('CoverageCases'!$O$792:$O$829))/F105/100)</x:f>
        <x:v>0.8657518518518519</x:v>
      </x:c>
      <x:c r="K105" s="32" t="n">
        <x:f>IF(I105&gt;0,"Pending",IF(E105-H105=0,"—",(SUM('CoverageCases'!$O$792:$O$829))/(E105-H105)/100))</x:f>
        <x:v>0.6151394736842106</x:v>
      </x:c>
      <x:c r="L105" s="32" t="n">
        <x:f>IF(I105&gt;0,"Pending",IF(E105=0,"—",(E105-G105)/E105))</x:f>
        <x:v>0.7105263157894737</x:v>
      </x:c>
      <x:c r="M105" s="40" t="n">
        <x:f>IF(I105&gt;0,"Pending",E105-H105)</x:f>
        <x:v>38</x:v>
      </x:c>
    </x:row>
    <x:row r="106" ht="23" customHeight="1">
      <x:c r="B106" s="17" t="str">
        <x:v>Mockito</x:v>
      </x:c>
      <x:c r="C106" s="17" t="str">
        <x:v>Round1</x:v>
      </x:c>
      <x:c r="D106" s="17" t="str">
        <x:v>Condition</x:v>
      </x:c>
      <x:c r="E106" s="40" t="n">
        <x:f>COUNTA('CoverageCases'!$D$1646:$D$1683)</x:f>
        <x:v>38</x:v>
      </x:c>
      <x:c r="F106" s="40" t="n">
        <x:f>COUNT('CoverageCases'!$O$1646:$O$1683)</x:f>
        <x:v>25</x:v>
      </x:c>
      <x:c r="G106" s="40" t="n">
        <x:f>COUNTIF('CoverageCases'!$G$1646:$G$1683,"A")</x:f>
        <x:v>11</x:v>
      </x:c>
      <x:c r="H106" s="40" t="n">
        <x:f>COUNTIF('CoverageCases'!$G$1646:$G$1683,"B")</x:f>
        <x:v>2</x:v>
      </x:c>
      <x:c r="I106" s="40" t="n">
        <x:f>COUNTIF('CoverageCases'!$G$1646:$G$1683,"UNRESOLVED")</x:f>
        <x:v>0</x:v>
      </x:c>
      <x:c r="J106" s="32" t="n">
        <x:f>IF(F106=0,"—",(SUM('CoverageCases'!$O$1646:$O$1683))/F106/100)</x:f>
        <x:v>0.7291959999999998</x:v>
      </x:c>
      <x:c r="K106" s="32" t="n">
        <x:f>IF(I106&gt;0,"Pending",IF(E106-H106=0,"—",(SUM('CoverageCases'!$O$1646:$O$1683))/(E106-H106)/100))</x:f>
        <x:v>0.506386111111111</x:v>
      </x:c>
      <x:c r="L106" s="32" t="n">
        <x:f>IF(I106&gt;0,"Pending",IF(E106=0,"—",(E106-G106)/E106))</x:f>
        <x:v>0.7105263157894737</x:v>
      </x:c>
      <x:c r="M106" s="40" t="n">
        <x:f>IF(I106&gt;0,"Pending",E106-H106)</x:f>
        <x:v>36</x:v>
      </x:c>
    </x:row>
    <x:row r="107" ht="23" customHeight="1">
      <x:c r="B107" s="17" t="str">
        <x:v>Mockito</x:v>
      </x:c>
      <x:c r="C107" s="17" t="str">
        <x:v>Round2</x:v>
      </x:c>
      <x:c r="D107" s="17" t="str">
        <x:v>Line</x:v>
      </x:c>
      <x:c r="E107" s="40" t="n">
        <x:f>0</x:f>
        <x:v>0</x:v>
      </x:c>
      <x:c r="F107" s="40" t="n">
        <x:f>0</x:f>
        <x:v>0</x:v>
      </x:c>
      <x:c r="G107" s="40" t="n">
        <x:f>0</x:f>
        <x:v>0</x:v>
      </x:c>
      <x:c r="H107" s="40" t="n">
        <x:f>0</x:f>
        <x:v>0</x:v>
      </x:c>
      <x:c r="I107" s="40" t="n">
        <x:f>0</x:f>
        <x:v>0</x:v>
      </x:c>
      <x:c r="J107" s="32" t="str">
        <x:f>IF(F107=0,"—",(0)/F107/100)</x:f>
        <x:v>—</x:v>
      </x:c>
      <x:c r="K107" s="32" t="str">
        <x:f>IF(I107&gt;0,"Pending",IF(E107-H107=0,"—",(0)/(E107-H107)/100))</x:f>
        <x:v>—</x:v>
      </x:c>
      <x:c r="L107" s="32" t="str">
        <x:f>IF(I107&gt;0,"Pending",IF(E107=0,"—",(E107-G107)/E107))</x:f>
        <x:v>—</x:v>
      </x:c>
      <x:c r="M107" s="40" t="n">
        <x:f>IF(I107&gt;0,"Pending",E107-H107)</x:f>
        <x:v>0</x:v>
      </x:c>
    </x:row>
    <x:row r="108" ht="23" customHeight="1">
      <x:c r="B108" s="17" t="str">
        <x:v>Mockito</x:v>
      </x:c>
      <x:c r="C108" s="17" t="str">
        <x:v>Round2</x:v>
      </x:c>
      <x:c r="D108" s="17" t="str">
        <x:v>Condition</x:v>
      </x:c>
      <x:c r="E108" s="40" t="n">
        <x:f>0</x:f>
        <x:v>0</x:v>
      </x:c>
      <x:c r="F108" s="40" t="n">
        <x:f>0</x:f>
        <x:v>0</x:v>
      </x:c>
      <x:c r="G108" s="40" t="n">
        <x:f>0</x:f>
        <x:v>0</x:v>
      </x:c>
      <x:c r="H108" s="40" t="n">
        <x:f>0</x:f>
        <x:v>0</x:v>
      </x:c>
      <x:c r="I108" s="40" t="n">
        <x:f>0</x:f>
        <x:v>0</x:v>
      </x:c>
      <x:c r="J108" s="32" t="str">
        <x:f>IF(F108=0,"—",(0)/F108/100)</x:f>
        <x:v>—</x:v>
      </x:c>
      <x:c r="K108" s="32" t="str">
        <x:f>IF(I108&gt;0,"Pending",IF(E108-H108=0,"—",(0)/(E108-H108)/100))</x:f>
        <x:v>—</x:v>
      </x:c>
      <x:c r="L108" s="32" t="str">
        <x:f>IF(I108&gt;0,"Pending",IF(E108=0,"—",(E108-G108)/E108))</x:f>
        <x:v>—</x:v>
      </x:c>
      <x:c r="M108" s="40" t="n">
        <x:f>IF(I108&gt;0,"Pending",E108-H108)</x:f>
        <x:v>0</x:v>
      </x:c>
    </x:row>
    <x:row r="109" ht="23" customHeight="1">
      <x:c r="B109" s="17" t="str">
        <x:v>Time</x:v>
      </x:c>
      <x:c r="C109" s="17" t="str">
        <x:v>All rounds</x:v>
      </x:c>
      <x:c r="D109" s="17" t="str">
        <x:v>Line</x:v>
      </x:c>
      <x:c r="E109" s="40" t="n">
        <x:f>COUNTA('CoverageCases'!$D$830:$D$855)</x:f>
        <x:v>26</x:v>
      </x:c>
      <x:c r="F109" s="40" t="n">
        <x:f>COUNT('CoverageCases'!$O$830:$O$855)</x:f>
        <x:v>7</x:v>
      </x:c>
      <x:c r="G109" s="40" t="n">
        <x:f>COUNTIF('CoverageCases'!$G$830:$G$855,"A")</x:f>
        <x:v>19</x:v>
      </x:c>
      <x:c r="H109" s="40" t="n">
        <x:f>COUNTIF('CoverageCases'!$G$830:$G$855,"B")</x:f>
        <x:v>0</x:v>
      </x:c>
      <x:c r="I109" s="40" t="n">
        <x:f>COUNTIF('CoverageCases'!$G$830:$G$855,"UNRESOLVED")</x:f>
        <x:v>0</x:v>
      </x:c>
      <x:c r="J109" s="32" t="n">
        <x:f>IF(F109=0,"—",(SUM('CoverageCases'!$O$830:$O$855))/F109/100)</x:f>
        <x:v>0.9290857142857143</x:v>
      </x:c>
      <x:c r="K109" s="32" t="n">
        <x:f>IF(I109&gt;0,"Pending",IF(E109-H109=0,"—",(SUM('CoverageCases'!$O$830:$O$855))/(E109-H109)/100))</x:f>
        <x:v>0.25013846153846153</x:v>
      </x:c>
      <x:c r="L109" s="32" t="n">
        <x:f>IF(I109&gt;0,"Pending",IF(E109=0,"—",(E109-G109)/E109))</x:f>
        <x:v>0.2692307692307692</x:v>
      </x:c>
      <x:c r="M109" s="40" t="n">
        <x:f>IF(I109&gt;0,"Pending",E109-H109)</x:f>
        <x:v>26</x:v>
      </x:c>
    </x:row>
    <x:row r="110" ht="23" customHeight="1">
      <x:c r="B110" s="17" t="str">
        <x:v>Time</x:v>
      </x:c>
      <x:c r="C110" s="17" t="str">
        <x:v>All rounds</x:v>
      </x:c>
      <x:c r="D110" s="17" t="str">
        <x:v>Condition</x:v>
      </x:c>
      <x:c r="E110" s="40" t="n">
        <x:f>COUNTA('CoverageCases'!$D$1684:$D$1709)</x:f>
        <x:v>26</x:v>
      </x:c>
      <x:c r="F110" s="40" t="n">
        <x:f>COUNT('CoverageCases'!$O$1684:$O$1709)</x:f>
        <x:v>7</x:v>
      </x:c>
      <x:c r="G110" s="40" t="n">
        <x:f>COUNTIF('CoverageCases'!$G$1684:$G$1709,"A")</x:f>
        <x:v>19</x:v>
      </x:c>
      <x:c r="H110" s="40" t="n">
        <x:f>COUNTIF('CoverageCases'!$G$1684:$G$1709,"B")</x:f>
        <x:v>0</x:v>
      </x:c>
      <x:c r="I110" s="40" t="n">
        <x:f>COUNTIF('CoverageCases'!$G$1684:$G$1709,"UNRESOLVED")</x:f>
        <x:v>0</x:v>
      </x:c>
      <x:c r="J110" s="32" t="n">
        <x:f>IF(F110=0,"—",(SUM('CoverageCases'!$O$1684:$O$1709))/F110/100)</x:f>
        <x:v>0.8566571428571429</x:v>
      </x:c>
      <x:c r="K110" s="32" t="n">
        <x:f>IF(I110&gt;0,"Pending",IF(E110-H110=0,"—",(SUM('CoverageCases'!$O$1684:$O$1709))/(E110-H110)/100))</x:f>
        <x:v>0.23063846153846154</x:v>
      </x:c>
      <x:c r="L110" s="32" t="n">
        <x:f>IF(I110&gt;0,"Pending",IF(E110=0,"—",(E110-G110)/E110))</x:f>
        <x:v>0.2692307692307692</x:v>
      </x:c>
      <x:c r="M110" s="40" t="n">
        <x:f>IF(I110&gt;0,"Pending",E110-H110)</x:f>
        <x:v>26</x:v>
      </x:c>
    </x:row>
    <x:row r="111" ht="23" customHeight="1">
      <x:c r="B111" s="17" t="str">
        <x:v>Time</x:v>
      </x:c>
      <x:c r="C111" s="17" t="str">
        <x:v>Round1</x:v>
      </x:c>
      <x:c r="D111" s="17" t="str">
        <x:v>Line</x:v>
      </x:c>
      <x:c r="E111" s="40" t="n">
        <x:f>COUNTA('CoverageCases'!$D$830:$D$855)</x:f>
        <x:v>26</x:v>
      </x:c>
      <x:c r="F111" s="40" t="n">
        <x:f>COUNT('CoverageCases'!$O$830:$O$855)</x:f>
        <x:v>7</x:v>
      </x:c>
      <x:c r="G111" s="40" t="n">
        <x:f>COUNTIF('CoverageCases'!$G$830:$G$855,"A")</x:f>
        <x:v>19</x:v>
      </x:c>
      <x:c r="H111" s="40" t="n">
        <x:f>COUNTIF('CoverageCases'!$G$830:$G$855,"B")</x:f>
        <x:v>0</x:v>
      </x:c>
      <x:c r="I111" s="40" t="n">
        <x:f>COUNTIF('CoverageCases'!$G$830:$G$855,"UNRESOLVED")</x:f>
        <x:v>0</x:v>
      </x:c>
      <x:c r="J111" s="32" t="n">
        <x:f>IF(F111=0,"—",(SUM('CoverageCases'!$O$830:$O$855))/F111/100)</x:f>
        <x:v>0.9290857142857143</x:v>
      </x:c>
      <x:c r="K111" s="32" t="n">
        <x:f>IF(I111&gt;0,"Pending",IF(E111-H111=0,"—",(SUM('CoverageCases'!$O$830:$O$855))/(E111-H111)/100))</x:f>
        <x:v>0.25013846153846153</x:v>
      </x:c>
      <x:c r="L111" s="32" t="n">
        <x:f>IF(I111&gt;0,"Pending",IF(E111=0,"—",(E111-G111)/E111))</x:f>
        <x:v>0.2692307692307692</x:v>
      </x:c>
      <x:c r="M111" s="40" t="n">
        <x:f>IF(I111&gt;0,"Pending",E111-H111)</x:f>
        <x:v>26</x:v>
      </x:c>
    </x:row>
    <x:row r="112" ht="23" customHeight="1">
      <x:c r="B112" s="17" t="str">
        <x:v>Time</x:v>
      </x:c>
      <x:c r="C112" s="17" t="str">
        <x:v>Round1</x:v>
      </x:c>
      <x:c r="D112" s="17" t="str">
        <x:v>Condition</x:v>
      </x:c>
      <x:c r="E112" s="40" t="n">
        <x:f>COUNTA('CoverageCases'!$D$1684:$D$1709)</x:f>
        <x:v>26</x:v>
      </x:c>
      <x:c r="F112" s="40" t="n">
        <x:f>COUNT('CoverageCases'!$O$1684:$O$1709)</x:f>
        <x:v>7</x:v>
      </x:c>
      <x:c r="G112" s="40" t="n">
        <x:f>COUNTIF('CoverageCases'!$G$1684:$G$1709,"A")</x:f>
        <x:v>19</x:v>
      </x:c>
      <x:c r="H112" s="40" t="n">
        <x:f>COUNTIF('CoverageCases'!$G$1684:$G$1709,"B")</x:f>
        <x:v>0</x:v>
      </x:c>
      <x:c r="I112" s="40" t="n">
        <x:f>COUNTIF('CoverageCases'!$G$1684:$G$1709,"UNRESOLVED")</x:f>
        <x:v>0</x:v>
      </x:c>
      <x:c r="J112" s="32" t="n">
        <x:f>IF(F112=0,"—",(SUM('CoverageCases'!$O$1684:$O$1709))/F112/100)</x:f>
        <x:v>0.8566571428571429</x:v>
      </x:c>
      <x:c r="K112" s="32" t="n">
        <x:f>IF(I112&gt;0,"Pending",IF(E112-H112=0,"—",(SUM('CoverageCases'!$O$1684:$O$1709))/(E112-H112)/100))</x:f>
        <x:v>0.23063846153846154</x:v>
      </x:c>
      <x:c r="L112" s="32" t="n">
        <x:f>IF(I112&gt;0,"Pending",IF(E112=0,"—",(E112-G112)/E112))</x:f>
        <x:v>0.2692307692307692</x:v>
      </x:c>
      <x:c r="M112" s="40" t="n">
        <x:f>IF(I112&gt;0,"Pending",E112-H112)</x:f>
        <x:v>26</x:v>
      </x:c>
    </x:row>
    <x:row r="113" ht="23" customHeight="1">
      <x:c r="B113" s="17" t="str">
        <x:v>Time</x:v>
      </x:c>
      <x:c r="C113" s="17" t="str">
        <x:v>Round2</x:v>
      </x:c>
      <x:c r="D113" s="17" t="str">
        <x:v>Line</x:v>
      </x:c>
      <x:c r="E113" s="40" t="n">
        <x:f>0</x:f>
        <x:v>0</x:v>
      </x:c>
      <x:c r="F113" s="40" t="n">
        <x:f>0</x:f>
        <x:v>0</x:v>
      </x:c>
      <x:c r="G113" s="40" t="n">
        <x:f>0</x:f>
        <x:v>0</x:v>
      </x:c>
      <x:c r="H113" s="40" t="n">
        <x:f>0</x:f>
        <x:v>0</x:v>
      </x:c>
      <x:c r="I113" s="40" t="n">
        <x:f>0</x:f>
        <x:v>0</x:v>
      </x:c>
      <x:c r="J113" s="32" t="str">
        <x:f>IF(F113=0,"—",(0)/F113/100)</x:f>
        <x:v>—</x:v>
      </x:c>
      <x:c r="K113" s="32" t="str">
        <x:f>IF(I113&gt;0,"Pending",IF(E113-H113=0,"—",(0)/(E113-H113)/100))</x:f>
        <x:v>—</x:v>
      </x:c>
      <x:c r="L113" s="32" t="str">
        <x:f>IF(I113&gt;0,"Pending",IF(E113=0,"—",(E113-G113)/E113))</x:f>
        <x:v>—</x:v>
      </x:c>
      <x:c r="M113" s="40" t="n">
        <x:f>IF(I113&gt;0,"Pending",E113-H113)</x:f>
        <x:v>0</x:v>
      </x:c>
    </x:row>
    <x:row r="114" ht="23" customHeight="1">
      <x:c r="B114" s="17" t="str">
        <x:v>Time</x:v>
      </x:c>
      <x:c r="C114" s="17" t="str">
        <x:v>Round2</x:v>
      </x:c>
      <x:c r="D114" s="17" t="str">
        <x:v>Condition</x:v>
      </x:c>
      <x:c r="E114" s="40" t="n">
        <x:f>0</x:f>
        <x:v>0</x:v>
      </x:c>
      <x:c r="F114" s="40" t="n">
        <x:f>0</x:f>
        <x:v>0</x:v>
      </x:c>
      <x:c r="G114" s="40" t="n">
        <x:f>0</x:f>
        <x:v>0</x:v>
      </x:c>
      <x:c r="H114" s="40" t="n">
        <x:f>0</x:f>
        <x:v>0</x:v>
      </x:c>
      <x:c r="I114" s="40" t="n">
        <x:f>0</x:f>
        <x:v>0</x:v>
      </x:c>
      <x:c r="J114" s="32" t="str">
        <x:f>IF(F114=0,"—",(0)/F114/100)</x:f>
        <x:v>—</x:v>
      </x:c>
      <x:c r="K114" s="32" t="str">
        <x:f>IF(I114&gt;0,"Pending",IF(E114-H114=0,"—",(0)/(E114-H114)/100))</x:f>
        <x:v>—</x:v>
      </x:c>
      <x:c r="L114" s="32" t="str">
        <x:f>IF(I114&gt;0,"Pending",IF(E114=0,"—",(E114-G114)/E114))</x:f>
        <x:v>—</x:v>
      </x:c>
      <x:c r="M114" s="40" t="n">
        <x:f>IF(I114&gt;0,"Pending",E114-H114)</x:f>
        <x:v>0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64" hidden="0" customWidth="1"/>
    <x:col min="14" max="14" width="64" hidden="0" customWidth="1"/>
    <x:col min="15" max="15" width="22" hidden="0" customWidth="1"/>
    <x:col min="16" max="16" width="24" hidden="0" customWidth="1"/>
    <x:col min="17" max="17" width="64" hidden="0" customWidth="1"/>
  </x:cols>
  <x:sheetData>
    <x:row r="1" ht="42" customHeight="1">
      <x:c r="A1" s="38" t="str">
        <x:v>Method</x:v>
      </x:c>
      <x:c r="B1" s="38" t="str">
        <x:v>Project</x:v>
      </x:c>
      <x:c r="C1" s="38" t="str">
        <x:v>Round</x:v>
      </x:c>
      <x:c r="D1" s="38" t="str">
        <x:v>Target</x:v>
      </x:c>
      <x:c r="E1" s="38" t="str">
        <x:v>Metric</x:v>
      </x:c>
      <x:c r="F1" s="38" t="str">
        <x:v>Measurable total</x:v>
      </x:c>
      <x:c r="G1" s="38" t="str">
        <x:v>Class</x:v>
      </x:c>
      <x:c r="H1" s="38" t="str">
        <x:v>Raw coverage (%)</x:v>
      </x:c>
      <x:c r="I1" s="38" t="str">
        <x:v>Coverage status</x:v>
      </x:c>
      <x:c r="J1" s="38" t="str">
        <x:v>Compile</x:v>
      </x:c>
      <x:c r="K1" s="38" t="str">
        <x:v>Test compile</x:v>
      </x:c>
      <x:c r="L1" s="38" t="str">
        <x:v>Buggy result</x:v>
      </x:c>
      <x:c r="M1" s="38" t="str">
        <x:v>Reason</x:v>
      </x:c>
      <x:c r="N1" s="38" t="str">
        <x:v>Coverage source</x:v>
      </x:c>
      <x:c r="O1" s="38" t="str">
        <x:v>Eligible coverage (%)</x:v>
      </x:c>
      <x:c r="P1" s="38" t="str">
        <x:v>Latest verdict</x:v>
      </x:c>
      <x:c r="Q1" s="38" t="str">
        <x:v>Verdict source</x:v>
      </x:c>
    </x:row>
    <x:row r="2">
      <x:c r="A2" s="35" t="str">
        <x:v>gemini</x:v>
      </x:c>
      <x:c r="B2" s="35" t="str">
        <x:v>Chart</x:v>
      </x:c>
      <x:c r="C2" s="35" t="str">
        <x:v>Round1</x:v>
      </x:c>
      <x:c r="D2" s="35" t="str">
        <x:v>Chart_1</x:v>
      </x:c>
      <x:c r="E2" s="35" t="str">
        <x:v>Line</x:v>
      </x:c>
      <x:c r="F2" s="35"/>
      <x:c r="G2" s="35" t="str">
        <x:v>A</x:v>
      </x:c>
      <x:c r="H2" s="39" t="str">
        <x:f>IF(ISNUMBER('Data'!E2),'Data'!E2*100,"")</x:f>
      </x:c>
      <x:c r="I2" s="35"/>
      <x:c r="J2" s="35" t="str">
        <x:v>PASS</x:v>
      </x:c>
      <x:c r="K2" s="35" t="str">
        <x:v>FAIL</x:v>
      </x:c>
      <x:c r="L2" s="35" t="str">
        <x:v>NOT_RUN</x:v>
      </x:c>
      <x:c r="M2" s="35" t="str">
        <x:v>coverage unavailable or execution/compile failed</x:v>
      </x:c>
      <x:c r="N2" s="35" t="str">
        <x:v>Gemini-3.8-flash/Result/Chart_1/result.json</x:v>
      </x:c>
      <x:c r="O2" s="39" t="str">
        <x:f>IF(AND(G2="RECORDED",ISNUMBER(H2)),H2,"")</x:f>
      </x:c>
      <x:c r="P2" s="35" t="str">
        <x:v>NOT_AVAILABLE</x:v>
      </x:c>
      <x:c r="Q2" s="35" t="str">
        <x:v>Gemini-3.8-flash/Result/Chart_1/result.json</x:v>
      </x:c>
    </x:row>
    <x:row r="3">
      <x:c r="A3" s="35" t="str">
        <x:v>gemini</x:v>
      </x:c>
      <x:c r="B3" s="35" t="str">
        <x:v>Chart</x:v>
      </x:c>
      <x:c r="C3" s="35" t="str">
        <x:v>Round1</x:v>
      </x:c>
      <x:c r="D3" s="35" t="str">
        <x:v>Chart_10</x:v>
      </x:c>
      <x:c r="E3" s="35" t="str">
        <x:v>Line</x:v>
      </x:c>
      <x:c r="F3" s="35" t="n">
        <x:v>3</x:v>
      </x:c>
      <x:c r="G3" s="35" t="str">
        <x:v>RECORDED</x:v>
      </x:c>
      <x:c r="H3" s="39" t="n">
        <x:f>IF(ISNUMBER('Data'!E3),'Data'!E3*100,"")</x:f>
        <x:v>100</x:v>
      </x:c>
      <x:c r="I3" s="35" t="str">
        <x:v>PASS</x:v>
      </x:c>
      <x:c r="J3" s="35" t="str">
        <x:v>PASS</x:v>
      </x:c>
      <x:c r="K3" s="35" t="str">
        <x:v>PASS</x:v>
      </x:c>
      <x:c r="L3" s="35" t="str">
        <x:v>PASS</x:v>
      </x:c>
      <x:c r="M3" s="35" t="str">
        <x:v>numeric coverage for applicable metric</x:v>
      </x:c>
      <x:c r="N3" s="35" t="str">
        <x:v>Gemini-3.8-flash/Result/Chart_10/result.json</x:v>
      </x:c>
      <x:c r="O3" s="39" t="n">
        <x:f>IF(AND(G3="RECORDED",ISNUMBER(H3)),H3,"")</x:f>
        <x:v>100</x:v>
      </x:c>
      <x:c r="P3" s="35" t="str">
        <x:v>INCONCLUSIVE</x:v>
      </x:c>
      <x:c r="Q3" s="35" t="str">
        <x:v>Gemini-3.8-flash/Result/Chart_10/result.json</x:v>
      </x:c>
    </x:row>
    <x:row r="4">
      <x:c r="A4" s="35" t="str">
        <x:v>gemini</x:v>
      </x:c>
      <x:c r="B4" s="35" t="str">
        <x:v>Chart</x:v>
      </x:c>
      <x:c r="C4" s="35" t="str">
        <x:v>Round1</x:v>
      </x:c>
      <x:c r="D4" s="35" t="str">
        <x:v>Chart_11</x:v>
      </x:c>
      <x:c r="E4" s="35" t="str">
        <x:v>Line</x:v>
      </x:c>
      <x:c r="F4" s="35"/>
      <x:c r="G4" s="35" t="str">
        <x:v>A</x:v>
      </x:c>
      <x:c r="H4" s="39" t="str">
        <x:f>IF(ISNUMBER('Data'!E4),'Data'!E4*100,"")</x:f>
      </x:c>
      <x:c r="I4" s="35"/>
      <x:c r="J4" s="35" t="str">
        <x:v>PASS</x:v>
      </x:c>
      <x:c r="K4" s="35" t="str">
        <x:v>FAIL</x:v>
      </x:c>
      <x:c r="L4" s="35" t="str">
        <x:v>NOT_RUN</x:v>
      </x:c>
      <x:c r="M4" s="35" t="str">
        <x:v>coverage unavailable or execution/compile failed</x:v>
      </x:c>
      <x:c r="N4" s="35" t="str">
        <x:v>Gemini-3.8-flash/Result/Chart_11/result.json</x:v>
      </x:c>
      <x:c r="O4" s="39" t="str">
        <x:f>IF(AND(G4="RECORDED",ISNUMBER(H4)),H4,"")</x:f>
      </x:c>
      <x:c r="P4" s="35" t="str">
        <x:v>NOT_AVAILABLE</x:v>
      </x:c>
      <x:c r="Q4" s="35" t="str">
        <x:v>Gemini-3.8-flash/Result/Chart_11/result.json</x:v>
      </x:c>
    </x:row>
    <x:row r="5">
      <x:c r="A5" s="35" t="str">
        <x:v>gemini</x:v>
      </x:c>
      <x:c r="B5" s="35" t="str">
        <x:v>Chart</x:v>
      </x:c>
      <x:c r="C5" s="35" t="str">
        <x:v>Round1</x:v>
      </x:c>
      <x:c r="D5" s="35" t="str">
        <x:v>Chart_12</x:v>
      </x:c>
      <x:c r="E5" s="35" t="str">
        <x:v>Line</x:v>
      </x:c>
      <x:c r="F5" s="35" t="n">
        <x:v>190</x:v>
      </x:c>
      <x:c r="G5" s="35" t="str">
        <x:v>RECORDED</x:v>
      </x:c>
      <x:c r="H5" s="39" t="n">
        <x:f>IF(ISNUMBER('Data'!E5),'Data'!E5*100,"")</x:f>
        <x:v>98.42</x:v>
      </x:c>
      <x:c r="I5" s="35" t="str">
        <x:v>PASS</x:v>
      </x:c>
      <x:c r="J5" s="35" t="str">
        <x:v>PASS</x:v>
      </x:c>
      <x:c r="K5" s="35" t="str">
        <x:v>PASS</x:v>
      </x:c>
      <x:c r="L5" s="35" t="str">
        <x:v>PASS</x:v>
      </x:c>
      <x:c r="M5" s="35" t="str">
        <x:v>numeric coverage for applicable metric</x:v>
      </x:c>
      <x:c r="N5" s="35" t="str">
        <x:v>Gemini-3.8-flash/Result/Chart_12/result.json</x:v>
      </x:c>
      <x:c r="O5" s="39" t="n">
        <x:f>IF(AND(G5="RECORDED",ISNUMBER(H5)),H5,"")</x:f>
        <x:v>98.42</x:v>
      </x:c>
      <x:c r="P5" s="35" t="str">
        <x:v>NOT_REVEALING</x:v>
      </x:c>
      <x:c r="Q5" s="35" t="str">
        <x:v>Gemini-3.8-flash/Result/Chart_12/result.json</x:v>
      </x:c>
    </x:row>
    <x:row r="6">
      <x:c r="A6" s="35" t="str">
        <x:v>gemini</x:v>
      </x:c>
      <x:c r="B6" s="35" t="str">
        <x:v>Chart</x:v>
      </x:c>
      <x:c r="C6" s="35" t="str">
        <x:v>Round1</x:v>
      </x:c>
      <x:c r="D6" s="35" t="str">
        <x:v>Chart_13</x:v>
      </x:c>
      <x:c r="E6" s="35" t="str">
        <x:v>Line</x:v>
      </x:c>
      <x:c r="F6" s="35" t="n">
        <x:v>229</x:v>
      </x:c>
      <x:c r="G6" s="35" t="str">
        <x:v>RECORDED</x:v>
      </x:c>
      <x:c r="H6" s="39" t="n">
        <x:f>IF(ISNUMBER('Data'!E6),'Data'!E6*100,"")</x:f>
        <x:v>100</x:v>
      </x:c>
      <x:c r="I6" s="35" t="str">
        <x:v>PASS</x:v>
      </x:c>
      <x:c r="J6" s="35" t="str">
        <x:v>PASS</x:v>
      </x:c>
      <x:c r="K6" s="35" t="str">
        <x:v>PASS</x:v>
      </x:c>
      <x:c r="L6" s="35" t="str">
        <x:v>PASS</x:v>
      </x:c>
      <x:c r="M6" s="35" t="str">
        <x:v>numeric coverage for applicable metric</x:v>
      </x:c>
      <x:c r="N6" s="35" t="str">
        <x:v>Gemini-3.8-flash/Result/Chart_13/result.json</x:v>
      </x:c>
      <x:c r="O6" s="39" t="n">
        <x:f>IF(AND(G6="RECORDED",ISNUMBER(H6)),H6,"")</x:f>
        <x:v>100</x:v>
      </x:c>
      <x:c r="P6" s="35" t="str">
        <x:v>NOT_REVEALING</x:v>
      </x:c>
      <x:c r="Q6" s="35" t="str">
        <x:v>Gemini-3.8-flash/Result/Chart_13/result.json</x:v>
      </x:c>
    </x:row>
    <x:row r="7">
      <x:c r="A7" s="35" t="str">
        <x:v>gemini</x:v>
      </x:c>
      <x:c r="B7" s="35" t="str">
        <x:v>Chart</x:v>
      </x:c>
      <x:c r="C7" s="35" t="str">
        <x:v>Round1</x:v>
      </x:c>
      <x:c r="D7" s="35" t="str">
        <x:v>Chart_14</x:v>
      </x:c>
      <x:c r="E7" s="35" t="str">
        <x:v>Line</x:v>
      </x:c>
      <x:c r="F7" s="35" t="n">
        <x:v>2722</x:v>
      </x:c>
      <x:c r="G7" s="35" t="str">
        <x:v>RECORDED</x:v>
      </x:c>
      <x:c r="H7" s="39" t="n">
        <x:f>IF(ISNUMBER('Data'!E7),'Data'!E7*100,"")</x:f>
        <x:v>59.040000000000006</x:v>
      </x:c>
      <x:c r="I7" s="35" t="str">
        <x:v>PASS</x:v>
      </x:c>
      <x:c r="J7" s="35" t="str">
        <x:v>PASS</x:v>
      </x:c>
      <x:c r="K7" s="35" t="str">
        <x:v>PASS</x:v>
      </x:c>
      <x:c r="L7" s="35" t="str">
        <x:v>PASS</x:v>
      </x:c>
      <x:c r="M7" s="35" t="str">
        <x:v>numeric coverage for applicable metric</x:v>
      </x:c>
      <x:c r="N7" s="35" t="str">
        <x:v>Gemini-3.8-flash/Result/Chart_14/result.json</x:v>
      </x:c>
      <x:c r="O7" s="39" t="n">
        <x:f>IF(AND(G7="RECORDED",ISNUMBER(H7)),H7,"")</x:f>
        <x:v>59.040000000000006</x:v>
      </x:c>
      <x:c r="P7" s="35" t="str">
        <x:v>NOT_REVEALING</x:v>
      </x:c>
      <x:c r="Q7" s="35" t="str">
        <x:v>Gemini-3.8-flash/Result/Chart_14/result.json</x:v>
      </x:c>
    </x:row>
    <x:row r="8">
      <x:c r="A8" s="35" t="str">
        <x:v>gemini</x:v>
      </x:c>
      <x:c r="B8" s="35" t="str">
        <x:v>Chart</x:v>
      </x:c>
      <x:c r="C8" s="35" t="str">
        <x:v>Round1</x:v>
      </x:c>
      <x:c r="D8" s="35" t="str">
        <x:v>Chart_15</x:v>
      </x:c>
      <x:c r="E8" s="35" t="str">
        <x:v>Line</x:v>
      </x:c>
      <x:c r="F8" s="35"/>
      <x:c r="G8" s="35" t="str">
        <x:v>A</x:v>
      </x:c>
      <x:c r="H8" s="39" t="str">
        <x:f>IF(ISNUMBER('Data'!E8),'Data'!E8*100,"")</x:f>
      </x:c>
      <x:c r="I8" s="35"/>
      <x:c r="J8" s="35" t="str">
        <x:v>PASS</x:v>
      </x:c>
      <x:c r="K8" s="35" t="str">
        <x:v>FAIL</x:v>
      </x:c>
      <x:c r="L8" s="35" t="str">
        <x:v>NOT_RUN</x:v>
      </x:c>
      <x:c r="M8" s="35" t="str">
        <x:v>coverage unavailable or execution/compile failed</x:v>
      </x:c>
      <x:c r="N8" s="35" t="str">
        <x:v>Gemini-3.8-flash/Result/Chart_15/result.json</x:v>
      </x:c>
      <x:c r="O8" s="39" t="str">
        <x:f>IF(AND(G8="RECORDED",ISNUMBER(H8)),H8,"")</x:f>
      </x:c>
      <x:c r="P8" s="35" t="str">
        <x:v>NOT_AVAILABLE</x:v>
      </x:c>
      <x:c r="Q8" s="35" t="str">
        <x:v>Gemini-3.8-flash/Result/Chart_15/result.json</x:v>
      </x:c>
    </x:row>
    <x:row r="9">
      <x:c r="A9" s="35" t="str">
        <x:v>gemini</x:v>
      </x:c>
      <x:c r="B9" s="35" t="str">
        <x:v>Chart</x:v>
      </x:c>
      <x:c r="C9" s="35" t="str">
        <x:v>Round1</x:v>
      </x:c>
      <x:c r="D9" s="35" t="str">
        <x:v>Chart_16</x:v>
      </x:c>
      <x:c r="E9" s="35" t="str">
        <x:v>Line</x:v>
      </x:c>
      <x:c r="F9" s="35" t="n">
        <x:v>188</x:v>
      </x:c>
      <x:c r="G9" s="35" t="str">
        <x:v>RECORDED</x:v>
      </x:c>
      <x:c r="H9" s="39" t="n">
        <x:f>IF(ISNUMBER('Data'!E9),'Data'!E9*100,"")</x:f>
        <x:v>22.87</x:v>
      </x:c>
      <x:c r="I9" s="35" t="str">
        <x:v>PASS</x:v>
      </x:c>
      <x:c r="J9" s="35" t="str">
        <x:v>PASS</x:v>
      </x:c>
      <x:c r="K9" s="35" t="str">
        <x:v>PASS</x:v>
      </x:c>
      <x:c r="L9" s="35" t="str">
        <x:v>PASS</x:v>
      </x:c>
      <x:c r="M9" s="35" t="str">
        <x:v>numeric coverage for applicable metric</x:v>
      </x:c>
      <x:c r="N9" s="35" t="str">
        <x:v>Gemini-3.8-flash/Result/Chart_16/result.json</x:v>
      </x:c>
      <x:c r="O9" s="39" t="n">
        <x:f>IF(AND(G9="RECORDED",ISNUMBER(H9)),H9,"")</x:f>
        <x:v>22.87</x:v>
      </x:c>
      <x:c r="P9" s="35" t="str">
        <x:v>NOT_REVEALING</x:v>
      </x:c>
      <x:c r="Q9" s="35" t="str">
        <x:v>Gemini-3.8-flash/Result/Chart_16/result.json</x:v>
      </x:c>
    </x:row>
    <x:row r="10">
      <x:c r="A10" s="35" t="str">
        <x:v>gemini</x:v>
      </x:c>
      <x:c r="B10" s="35" t="str">
        <x:v>Chart</x:v>
      </x:c>
      <x:c r="C10" s="35" t="str">
        <x:v>Round1</x:v>
      </x:c>
      <x:c r="D10" s="35" t="str">
        <x:v>Chart_17</x:v>
      </x:c>
      <x:c r="E10" s="35" t="str">
        <x:v>Line</x:v>
      </x:c>
      <x:c r="F10" s="35"/>
      <x:c r="G10" s="35" t="str">
        <x:v>A</x:v>
      </x:c>
      <x:c r="H10" s="39" t="str">
        <x:f>IF(ISNUMBER('Data'!E10),'Data'!E10*100,"")</x:f>
      </x:c>
      <x:c r="I10" s="35"/>
      <x:c r="J10" s="35" t="str">
        <x:v>PASS</x:v>
      </x:c>
      <x:c r="K10" s="35" t="str">
        <x:v>FAIL</x:v>
      </x:c>
      <x:c r="L10" s="35" t="str">
        <x:v>NOT_RUN</x:v>
      </x:c>
      <x:c r="M10" s="35" t="str">
        <x:v>coverage unavailable or execution/compile failed</x:v>
      </x:c>
      <x:c r="N10" s="35" t="str">
        <x:v>Gemini-3.8-flash/Result/Chart_17/result.json</x:v>
      </x:c>
      <x:c r="O10" s="39" t="str">
        <x:f>IF(AND(G10="RECORDED",ISNUMBER(H10)),H10,"")</x:f>
      </x:c>
      <x:c r="P10" s="35" t="str">
        <x:v>NOT_AVAILABLE</x:v>
      </x:c>
      <x:c r="Q10" s="35" t="str">
        <x:v>Gemini-3.8-flash/Result/Chart_17/result.json</x:v>
      </x:c>
    </x:row>
    <x:row r="11">
      <x:c r="A11" s="35" t="str">
        <x:v>gemini</x:v>
      </x:c>
      <x:c r="B11" s="35" t="str">
        <x:v>Chart</x:v>
      </x:c>
      <x:c r="C11" s="35" t="str">
        <x:v>Round1</x:v>
      </x:c>
      <x:c r="D11" s="35" t="str">
        <x:v>Chart_18</x:v>
      </x:c>
      <x:c r="E11" s="35" t="str">
        <x:v>Line</x:v>
      </x:c>
      <x:c r="F11" s="35" t="n">
        <x:v>266</x:v>
      </x:c>
      <x:c r="G11" s="35" t="str">
        <x:v>RECORDED</x:v>
      </x:c>
      <x:c r="H11" s="39" t="n">
        <x:f>IF(ISNUMBER('Data'!E11),'Data'!E11*100,"")</x:f>
        <x:v>22.93</x:v>
      </x:c>
      <x:c r="I11" s="35" t="str">
        <x:v>PASS</x:v>
      </x:c>
      <x:c r="J11" s="35" t="str">
        <x:v>PASS</x:v>
      </x:c>
      <x:c r="K11" s="35" t="str">
        <x:v>PASS</x:v>
      </x:c>
      <x:c r="L11" s="35" t="str">
        <x:v>PASS</x:v>
      </x:c>
      <x:c r="M11" s="35" t="str">
        <x:v>numeric coverage for applicable metric</x:v>
      </x:c>
      <x:c r="N11" s="35" t="str">
        <x:v>Gemini-3.8-flash/Result/Chart_18/result.json</x:v>
      </x:c>
      <x:c r="O11" s="39" t="n">
        <x:f>IF(AND(G11="RECORDED",ISNUMBER(H11)),H11,"")</x:f>
        <x:v>22.93</x:v>
      </x:c>
      <x:c r="P11" s="35" t="str">
        <x:v>NOT_REVEALING</x:v>
      </x:c>
      <x:c r="Q11" s="35" t="str">
        <x:v>Gemini-3.8-flash/Result/Chart_18/result.json</x:v>
      </x:c>
    </x:row>
    <x:row r="12">
      <x:c r="A12" s="35" t="str">
        <x:v>gemini</x:v>
      </x:c>
      <x:c r="B12" s="35" t="str">
        <x:v>Chart</x:v>
      </x:c>
      <x:c r="C12" s="35" t="str">
        <x:v>Round1</x:v>
      </x:c>
      <x:c r="D12" s="35" t="str">
        <x:v>Chart_19</x:v>
      </x:c>
      <x:c r="E12" s="35" t="str">
        <x:v>Line</x:v>
      </x:c>
      <x:c r="F12" s="35"/>
      <x:c r="G12" s="35" t="str">
        <x:v>A</x:v>
      </x:c>
      <x:c r="H12" s="39" t="str">
        <x:f>IF(ISNUMBER('Data'!E12),'Data'!E12*100,"")</x:f>
      </x:c>
      <x:c r="I12" s="35"/>
      <x:c r="J12" s="35" t="str">
        <x:v>PASS</x:v>
      </x:c>
      <x:c r="K12" s="35" t="str">
        <x:v>FAIL</x:v>
      </x:c>
      <x:c r="L12" s="35" t="str">
        <x:v>NOT_RUN</x:v>
      </x:c>
      <x:c r="M12" s="35" t="str">
        <x:v>coverage unavailable or execution/compile failed</x:v>
      </x:c>
      <x:c r="N12" s="35" t="str">
        <x:v>Gemini-3.8-flash/Result/Chart_19/result.json</x:v>
      </x:c>
      <x:c r="O12" s="39" t="str">
        <x:f>IF(AND(G12="RECORDED",ISNUMBER(H12)),H12,"")</x:f>
      </x:c>
      <x:c r="P12" s="35" t="str">
        <x:v>NOT_AVAILABLE</x:v>
      </x:c>
      <x:c r="Q12" s="35" t="str">
        <x:v>Gemini-3.8-flash/Result/Chart_19/result.json</x:v>
      </x:c>
    </x:row>
    <x:row r="13">
      <x:c r="A13" s="35" t="str">
        <x:v>gemini</x:v>
      </x:c>
      <x:c r="B13" s="35" t="str">
        <x:v>Chart</x:v>
      </x:c>
      <x:c r="C13" s="35" t="str">
        <x:v>Round1</x:v>
      </x:c>
      <x:c r="D13" s="35" t="str">
        <x:v>Chart_2</x:v>
      </x:c>
      <x:c r="E13" s="35" t="str">
        <x:v>Line</x:v>
      </x:c>
      <x:c r="F13" s="35"/>
      <x:c r="G13" s="35" t="str">
        <x:v>A</x:v>
      </x:c>
      <x:c r="H13" s="39" t="str">
        <x:f>IF(ISNUMBER('Data'!E13),'Data'!E13*100,"")</x:f>
      </x:c>
      <x:c r="I13" s="35"/>
      <x:c r="J13" s="35" t="str">
        <x:v>PASS</x:v>
      </x:c>
      <x:c r="K13" s="35" t="str">
        <x:v>FAIL</x:v>
      </x:c>
      <x:c r="L13" s="35" t="str">
        <x:v>NOT_RUN</x:v>
      </x:c>
      <x:c r="M13" s="35" t="str">
        <x:v>coverage unavailable or execution/compile failed</x:v>
      </x:c>
      <x:c r="N13" s="35" t="str">
        <x:v>Gemini-3.8-flash/Result/Chart_2/result.json</x:v>
      </x:c>
      <x:c r="O13" s="39" t="str">
        <x:f>IF(AND(G13="RECORDED",ISNUMBER(H13)),H13,"")</x:f>
      </x:c>
      <x:c r="P13" s="35" t="str">
        <x:v>NOT_AVAILABLE</x:v>
      </x:c>
      <x:c r="Q13" s="35" t="str">
        <x:v>Gemini-3.8-flash/Result/Chart_2/result.json</x:v>
      </x:c>
    </x:row>
    <x:row r="14">
      <x:c r="A14" s="35" t="str">
        <x:v>gemini</x:v>
      </x:c>
      <x:c r="B14" s="35" t="str">
        <x:v>Chart</x:v>
      </x:c>
      <x:c r="C14" s="35" t="str">
        <x:v>Round1</x:v>
      </x:c>
      <x:c r="D14" s="35" t="str">
        <x:v>Chart_20</x:v>
      </x:c>
      <x:c r="E14" s="35" t="str">
        <x:v>Line</x:v>
      </x:c>
      <x:c r="F14" s="35" t="n">
        <x:v>22</x:v>
      </x:c>
      <x:c r="G14" s="35" t="str">
        <x:v>RECORDED</x:v>
      </x:c>
      <x:c r="H14" s="39" t="n">
        <x:f>IF(ISNUMBER('Data'!E14),'Data'!E14*100,"")</x:f>
        <x:v>95.45</x:v>
      </x:c>
      <x:c r="I14" s="35" t="str">
        <x:v>PASS</x:v>
      </x:c>
      <x:c r="J14" s="35" t="str">
        <x:v>PASS</x:v>
      </x:c>
      <x:c r="K14" s="35" t="str">
        <x:v>PASS</x:v>
      </x:c>
      <x:c r="L14" s="35" t="str">
        <x:v>FAIL</x:v>
      </x:c>
      <x:c r="M14" s="35" t="str">
        <x:v>numeric coverage for applicable metric</x:v>
      </x:c>
      <x:c r="N14" s="35" t="str">
        <x:v>Gemini-3.8-flash/Result/Chart_20/result.json</x:v>
      </x:c>
      <x:c r="O14" s="39" t="n">
        <x:f>IF(AND(G14="RECORDED",ISNUMBER(H14)),H14,"")</x:f>
        <x:v>95.45</x:v>
      </x:c>
      <x:c r="P14" s="35" t="str">
        <x:v>INCONCLUSIVE</x:v>
      </x:c>
      <x:c r="Q14" s="35" t="str">
        <x:v>Gemini-3.8-flash/Result/Chart_20/result.json</x:v>
      </x:c>
    </x:row>
    <x:row r="15">
      <x:c r="A15" s="35" t="str">
        <x:v>gemini</x:v>
      </x:c>
      <x:c r="B15" s="35" t="str">
        <x:v>Chart</x:v>
      </x:c>
      <x:c r="C15" s="35" t="str">
        <x:v>Round1</x:v>
      </x:c>
      <x:c r="D15" s="35" t="str">
        <x:v>Chart_21</x:v>
      </x:c>
      <x:c r="E15" s="35" t="str">
        <x:v>Line</x:v>
      </x:c>
      <x:c r="F15" s="35" t="n">
        <x:v>161</x:v>
      </x:c>
      <x:c r="G15" s="35" t="str">
        <x:v>RECORDED</x:v>
      </x:c>
      <x:c r="H15" s="39" t="n">
        <x:f>IF(ISNUMBER('Data'!E15),'Data'!E15*100,"")</x:f>
        <x:v>23.6</x:v>
      </x:c>
      <x:c r="I15" s="35" t="str">
        <x:v>PASS</x:v>
      </x:c>
      <x:c r="J15" s="35" t="str">
        <x:v>PASS</x:v>
      </x:c>
      <x:c r="K15" s="35" t="str">
        <x:v>PASS</x:v>
      </x:c>
      <x:c r="L15" s="35" t="str">
        <x:v>PASS</x:v>
      </x:c>
      <x:c r="M15" s="35" t="str">
        <x:v>numeric coverage for applicable metric</x:v>
      </x:c>
      <x:c r="N15" s="35" t="str">
        <x:v>Gemini-3.8-flash/Result/Chart_21/result.json</x:v>
      </x:c>
      <x:c r="O15" s="39" t="n">
        <x:f>IF(AND(G15="RECORDED",ISNUMBER(H15)),H15,"")</x:f>
        <x:v>23.6</x:v>
      </x:c>
      <x:c r="P15" s="35" t="str">
        <x:v>NOT_REVEALING</x:v>
      </x:c>
      <x:c r="Q15" s="35" t="str">
        <x:v>Gemini-3.8-flash/Result/Chart_21/result.json</x:v>
      </x:c>
    </x:row>
    <x:row r="16">
      <x:c r="A16" s="35" t="str">
        <x:v>gemini</x:v>
      </x:c>
      <x:c r="B16" s="35" t="str">
        <x:v>Chart</x:v>
      </x:c>
      <x:c r="C16" s="35" t="str">
        <x:v>Round1</x:v>
      </x:c>
      <x:c r="D16" s="35" t="str">
        <x:v>Chart_22</x:v>
      </x:c>
      <x:c r="E16" s="35" t="str">
        <x:v>Line</x:v>
      </x:c>
      <x:c r="F16" s="35" t="n">
        <x:v>124</x:v>
      </x:c>
      <x:c r="G16" s="35" t="str">
        <x:v>RECORDED</x:v>
      </x:c>
      <x:c r="H16" s="39" t="n">
        <x:f>IF(ISNUMBER('Data'!E16),'Data'!E16*100,"")</x:f>
        <x:v>22.58</x:v>
      </x:c>
      <x:c r="I16" s="35" t="str">
        <x:v>PASS</x:v>
      </x:c>
      <x:c r="J16" s="35" t="str">
        <x:v>PASS</x:v>
      </x:c>
      <x:c r="K16" s="35" t="str">
        <x:v>PASS</x:v>
      </x:c>
      <x:c r="L16" s="35" t="str">
        <x:v>PASS</x:v>
      </x:c>
      <x:c r="M16" s="35" t="str">
        <x:v>numeric coverage for applicable metric</x:v>
      </x:c>
      <x:c r="N16" s="35" t="str">
        <x:v>Gemini-3.8-flash/Result/Chart_22/result.json</x:v>
      </x:c>
      <x:c r="O16" s="39" t="n">
        <x:f>IF(AND(G16="RECORDED",ISNUMBER(H16)),H16,"")</x:f>
        <x:v>22.58</x:v>
      </x:c>
      <x:c r="P16" s="35" t="str">
        <x:v>NOT_REVEALING</x:v>
      </x:c>
      <x:c r="Q16" s="35" t="str">
        <x:v>Gemini-3.8-flash/Result/Chart_22/result.json</x:v>
      </x:c>
    </x:row>
    <x:row r="17">
      <x:c r="A17" s="35" t="str">
        <x:v>gemini</x:v>
      </x:c>
      <x:c r="B17" s="35" t="str">
        <x:v>Chart</x:v>
      </x:c>
      <x:c r="C17" s="35" t="str">
        <x:v>Round1</x:v>
      </x:c>
      <x:c r="D17" s="35" t="str">
        <x:v>Chart_23</x:v>
      </x:c>
      <x:c r="E17" s="35" t="str">
        <x:v>Line</x:v>
      </x:c>
      <x:c r="F17" s="35" t="n">
        <x:v>144</x:v>
      </x:c>
      <x:c r="G17" s="35" t="str">
        <x:v>RECORDED</x:v>
      </x:c>
      <x:c r="H17" s="39" t="n">
        <x:f>IF(ISNUMBER('Data'!E17),'Data'!E17*100,"")</x:f>
        <x:v>97.92</x:v>
      </x:c>
      <x:c r="I17" s="35" t="str">
        <x:v>PASS</x:v>
      </x:c>
      <x:c r="J17" s="35" t="str">
        <x:v>PASS</x:v>
      </x:c>
      <x:c r="K17" s="35" t="str">
        <x:v>PASS</x:v>
      </x:c>
      <x:c r="L17" s="35" t="str">
        <x:v>PASS</x:v>
      </x:c>
      <x:c r="M17" s="35" t="str">
        <x:v>numeric coverage for applicable metric</x:v>
      </x:c>
      <x:c r="N17" s="35" t="str">
        <x:v>Gemini-3.8-flash/Result/Chart_23/result.json</x:v>
      </x:c>
      <x:c r="O17" s="39" t="n">
        <x:f>IF(AND(G17="RECORDED",ISNUMBER(H17)),H17,"")</x:f>
        <x:v>97.92</x:v>
      </x:c>
      <x:c r="P17" s="35" t="str">
        <x:v>NOT_REVEALING</x:v>
      </x:c>
      <x:c r="Q17" s="35" t="str">
        <x:v>Gemini-3.8-flash/Result/Chart_23/result.json</x:v>
      </x:c>
    </x:row>
    <x:row r="18">
      <x:c r="A18" s="35" t="str">
        <x:v>gemini</x:v>
      </x:c>
      <x:c r="B18" s="35" t="str">
        <x:v>Chart</x:v>
      </x:c>
      <x:c r="C18" s="35" t="str">
        <x:v>Round1</x:v>
      </x:c>
      <x:c r="D18" s="35" t="str">
        <x:v>Chart_24</x:v>
      </x:c>
      <x:c r="E18" s="35" t="str">
        <x:v>Line</x:v>
      </x:c>
      <x:c r="F18" s="35" t="n">
        <x:v>25</x:v>
      </x:c>
      <x:c r="G18" s="35" t="str">
        <x:v>RECORDED</x:v>
      </x:c>
      <x:c r="H18" s="39" t="n">
        <x:f>IF(ISNUMBER('Data'!E18),'Data'!E18*100,"")</x:f>
        <x:v>100</x:v>
      </x:c>
      <x:c r="I18" s="35" t="str">
        <x:v>PASS</x:v>
      </x:c>
      <x:c r="J18" s="35" t="str">
        <x:v>PASS</x:v>
      </x:c>
      <x:c r="K18" s="35" t="str">
        <x:v>PASS</x:v>
      </x:c>
      <x:c r="L18" s="35" t="str">
        <x:v>PASS</x:v>
      </x:c>
      <x:c r="M18" s="35" t="str">
        <x:v>numeric coverage for applicable metric</x:v>
      </x:c>
      <x:c r="N18" s="35" t="str">
        <x:v>Gemini-3.8-flash/Result/Chart_24/result.json</x:v>
      </x:c>
      <x:c r="O18" s="39" t="n">
        <x:f>IF(AND(G18="RECORDED",ISNUMBER(H18)),H18,"")</x:f>
        <x:v>100</x:v>
      </x:c>
      <x:c r="P18" s="35" t="str">
        <x:v>NOT_REVEALING</x:v>
      </x:c>
      <x:c r="Q18" s="35" t="str">
        <x:v>Gemini-3.8-flash/Result/Chart_24/result.json</x:v>
      </x:c>
    </x:row>
    <x:row r="19">
      <x:c r="A19" s="35" t="str">
        <x:v>gemini</x:v>
      </x:c>
      <x:c r="B19" s="35" t="str">
        <x:v>Chart</x:v>
      </x:c>
      <x:c r="C19" s="35" t="str">
        <x:v>Round1</x:v>
      </x:c>
      <x:c r="D19" s="35" t="str">
        <x:v>Chart_25</x:v>
      </x:c>
      <x:c r="E19" s="35" t="str">
        <x:v>Line</x:v>
      </x:c>
      <x:c r="F19" s="35"/>
      <x:c r="G19" s="35" t="str">
        <x:v>A</x:v>
      </x:c>
      <x:c r="H19" s="39" t="str">
        <x:f>IF(ISNUMBER('Data'!E19),'Data'!E19*100,"")</x:f>
      </x:c>
      <x:c r="I19" s="35"/>
      <x:c r="J19" s="35" t="str">
        <x:v>PASS</x:v>
      </x:c>
      <x:c r="K19" s="35" t="str">
        <x:v>FAIL</x:v>
      </x:c>
      <x:c r="L19" s="35" t="str">
        <x:v>NOT_RUN</x:v>
      </x:c>
      <x:c r="M19" s="35" t="str">
        <x:v>coverage unavailable or execution/compile failed</x:v>
      </x:c>
      <x:c r="N19" s="35" t="str">
        <x:v>Gemini-3.8-flash/Result/Chart_25/result.json</x:v>
      </x:c>
      <x:c r="O19" s="39" t="str">
        <x:f>IF(AND(G19="RECORDED",ISNUMBER(H19)),H19,"")</x:f>
      </x:c>
      <x:c r="P19" s="35" t="str">
        <x:v>NOT_AVAILABLE</x:v>
      </x:c>
      <x:c r="Q19" s="35" t="str">
        <x:v>Gemini-3.8-flash/Result/Chart_25/result.json</x:v>
      </x:c>
    </x:row>
    <x:row r="20">
      <x:c r="A20" s="35" t="str">
        <x:v>gemini</x:v>
      </x:c>
      <x:c r="B20" s="35" t="str">
        <x:v>Chart</x:v>
      </x:c>
      <x:c r="C20" s="35" t="str">
        <x:v>Round1</x:v>
      </x:c>
      <x:c r="D20" s="35" t="str">
        <x:v>Chart_26</x:v>
      </x:c>
      <x:c r="E20" s="35" t="str">
        <x:v>Line</x:v>
      </x:c>
      <x:c r="F20" s="35" t="n">
        <x:v>350</x:v>
      </x:c>
      <x:c r="G20" s="35" t="str">
        <x:v>RECORDED</x:v>
      </x:c>
      <x:c r="H20" s="39" t="n">
        <x:f>IF(ISNUMBER('Data'!E20),'Data'!E20*100,"")</x:f>
        <x:v>100</x:v>
      </x:c>
      <x:c r="I20" s="35" t="str">
        <x:v>PASS</x:v>
      </x:c>
      <x:c r="J20" s="35" t="str">
        <x:v>PASS</x:v>
      </x:c>
      <x:c r="K20" s="35" t="str">
        <x:v>PASS</x:v>
      </x:c>
      <x:c r="L20" s="35" t="str">
        <x:v>FAIL</x:v>
      </x:c>
      <x:c r="M20" s="35" t="str">
        <x:v>numeric coverage for applicable metric</x:v>
      </x:c>
      <x:c r="N20" s="35" t="str">
        <x:v>Gemini-3.8-flash/Result/Chart_26/result.json</x:v>
      </x:c>
      <x:c r="O20" s="39" t="n">
        <x:f>IF(AND(G20="RECORDED",ISNUMBER(H20)),H20,"")</x:f>
        <x:v>100</x:v>
      </x:c>
      <x:c r="P20" s="35" t="str">
        <x:v>INCONCLUSIVE</x:v>
      </x:c>
      <x:c r="Q20" s="35" t="str">
        <x:v>Gemini-3.8-flash/Result/Chart_26/result.json</x:v>
      </x:c>
    </x:row>
    <x:row r="21">
      <x:c r="A21" s="35" t="str">
        <x:v>gemini</x:v>
      </x:c>
      <x:c r="B21" s="35" t="str">
        <x:v>Chart</x:v>
      </x:c>
      <x:c r="C21" s="35" t="str">
        <x:v>Round1</x:v>
      </x:c>
      <x:c r="D21" s="35" t="str">
        <x:v>Chart_3</x:v>
      </x:c>
      <x:c r="E21" s="35" t="str">
        <x:v>Line</x:v>
      </x:c>
      <x:c r="F21" s="35" t="n">
        <x:v>380</x:v>
      </x:c>
      <x:c r="G21" s="35" t="str">
        <x:v>RECORDED</x:v>
      </x:c>
      <x:c r="H21" s="39" t="n">
        <x:f>IF(ISNUMBER('Data'!E21),'Data'!E21*100,"")</x:f>
        <x:v>47.63</x:v>
      </x:c>
      <x:c r="I21" s="35" t="str">
        <x:v>PASS</x:v>
      </x:c>
      <x:c r="J21" s="35" t="str">
        <x:v>PASS</x:v>
      </x:c>
      <x:c r="K21" s="35" t="str">
        <x:v>PASS</x:v>
      </x:c>
      <x:c r="L21" s="35" t="str">
        <x:v>PASS</x:v>
      </x:c>
      <x:c r="M21" s="35" t="str">
        <x:v>numeric coverage for applicable metric</x:v>
      </x:c>
      <x:c r="N21" s="35" t="str">
        <x:v>Gemini-3.8-flash/Result/Chart_3/result.json</x:v>
      </x:c>
      <x:c r="O21" s="39" t="n">
        <x:f>IF(AND(G21="RECORDED",ISNUMBER(H21)),H21,"")</x:f>
        <x:v>47.63</x:v>
      </x:c>
      <x:c r="P21" s="35" t="str">
        <x:v>NOT_REVEALING</x:v>
      </x:c>
      <x:c r="Q21" s="35" t="str">
        <x:v>Gemini-3.8-flash/Result/Chart_3/result.json</x:v>
      </x:c>
    </x:row>
    <x:row r="22">
      <x:c r="A22" s="35" t="str">
        <x:v>gemini</x:v>
      </x:c>
      <x:c r="B22" s="35" t="str">
        <x:v>Chart</x:v>
      </x:c>
      <x:c r="C22" s="35" t="str">
        <x:v>Round1</x:v>
      </x:c>
      <x:c r="D22" s="35" t="str">
        <x:v>Chart_4</x:v>
      </x:c>
      <x:c r="E22" s="35" t="str">
        <x:v>Line</x:v>
      </x:c>
      <x:c r="F22" s="35" t="n">
        <x:v>1808</x:v>
      </x:c>
      <x:c r="G22" s="35" t="str">
        <x:v>RECORDED</x:v>
      </x:c>
      <x:c r="H22" s="39" t="n">
        <x:f>IF(ISNUMBER('Data'!E22),'Data'!E22*100,"")</x:f>
        <x:v>85.34</x:v>
      </x:c>
      <x:c r="I22" s="35" t="str">
        <x:v>PASS</x:v>
      </x:c>
      <x:c r="J22" s="35" t="str">
        <x:v>PASS</x:v>
      </x:c>
      <x:c r="K22" s="35" t="str">
        <x:v>PASS</x:v>
      </x:c>
      <x:c r="L22" s="35" t="str">
        <x:v>FAIL</x:v>
      </x:c>
      <x:c r="M22" s="35" t="str">
        <x:v>numeric coverage for applicable metric</x:v>
      </x:c>
      <x:c r="N22" s="35" t="str">
        <x:v>Gemini-3.8-flash/Result/Chart_4/result.json</x:v>
      </x:c>
      <x:c r="O22" s="39" t="n">
        <x:f>IF(AND(G22="RECORDED",ISNUMBER(H22)),H22,"")</x:f>
        <x:v>85.34</x:v>
      </x:c>
      <x:c r="P22" s="35" t="str">
        <x:v>INCONCLUSIVE</x:v>
      </x:c>
      <x:c r="Q22" s="35" t="str">
        <x:v>Gemini-3.8-flash/Result/Chart_4/result.json</x:v>
      </x:c>
    </x:row>
    <x:row r="23">
      <x:c r="A23" s="35" t="str">
        <x:v>gemini</x:v>
      </x:c>
      <x:c r="B23" s="35" t="str">
        <x:v>Chart</x:v>
      </x:c>
      <x:c r="C23" s="35" t="str">
        <x:v>Round1</x:v>
      </x:c>
      <x:c r="D23" s="35" t="str">
        <x:v>Chart_5</x:v>
      </x:c>
      <x:c r="E23" s="35" t="str">
        <x:v>Line</x:v>
      </x:c>
      <x:c r="F23" s="35" t="n">
        <x:v>172</x:v>
      </x:c>
      <x:c r="G23" s="35" t="str">
        <x:v>RECORDED</x:v>
      </x:c>
      <x:c r="H23" s="39" t="n">
        <x:f>IF(ISNUMBER('Data'!E23),'Data'!E23*100,"")</x:f>
        <x:v>59.3</x:v>
      </x:c>
      <x:c r="I23" s="35" t="str">
        <x:v>PASS</x:v>
      </x:c>
      <x:c r="J23" s="35" t="str">
        <x:v>PASS</x:v>
      </x:c>
      <x:c r="K23" s="35" t="str">
        <x:v>PASS</x:v>
      </x:c>
      <x:c r="L23" s="35" t="str">
        <x:v>FAIL</x:v>
      </x:c>
      <x:c r="M23" s="35" t="str">
        <x:v>numeric coverage for applicable metric</x:v>
      </x:c>
      <x:c r="N23" s="35" t="str">
        <x:v>Gemini-3.8-flash/Result/Chart_5/result.json</x:v>
      </x:c>
      <x:c r="O23" s="39" t="n">
        <x:f>IF(AND(G23="RECORDED",ISNUMBER(H23)),H23,"")</x:f>
        <x:v>59.3</x:v>
      </x:c>
      <x:c r="P23" s="35" t="str">
        <x:v>INCONCLUSIVE</x:v>
      </x:c>
      <x:c r="Q23" s="35" t="str">
        <x:v>Gemini-3.8-flash/Result/Chart_5/result.json</x:v>
      </x:c>
    </x:row>
    <x:row r="24">
      <x:c r="A24" s="35" t="str">
        <x:v>gemini</x:v>
      </x:c>
      <x:c r="B24" s="35" t="str">
        <x:v>Chart</x:v>
      </x:c>
      <x:c r="C24" s="35" t="str">
        <x:v>Round1</x:v>
      </x:c>
      <x:c r="D24" s="35" t="str">
        <x:v>Chart_6</x:v>
      </x:c>
      <x:c r="E24" s="35" t="str">
        <x:v>Line</x:v>
      </x:c>
      <x:c r="F24" s="35"/>
      <x:c r="G24" s="35" t="str">
        <x:v>A</x:v>
      </x:c>
      <x:c r="H24" s="39" t="str">
        <x:f>IF(ISNUMBER('Data'!E24),'Data'!E24*100,"")</x:f>
      </x:c>
      <x:c r="I24" s="35"/>
      <x:c r="J24" s="35" t="str">
        <x:v>PASS</x:v>
      </x:c>
      <x:c r="K24" s="35" t="str">
        <x:v>FAIL</x:v>
      </x:c>
      <x:c r="L24" s="35" t="str">
        <x:v>NOT_RUN</x:v>
      </x:c>
      <x:c r="M24" s="35" t="str">
        <x:v>coverage unavailable or execution/compile failed</x:v>
      </x:c>
      <x:c r="N24" s="35" t="str">
        <x:v>Gemini-3.8-flash/Result/Chart_6/result.json</x:v>
      </x:c>
      <x:c r="O24" s="39" t="str">
        <x:f>IF(AND(G24="RECORDED",ISNUMBER(H24)),H24,"")</x:f>
      </x:c>
      <x:c r="P24" s="35" t="str">
        <x:v>NOT_AVAILABLE</x:v>
      </x:c>
      <x:c r="Q24" s="35" t="str">
        <x:v>Gemini-3.8-flash/Result/Chart_6/result.json</x:v>
      </x:c>
    </x:row>
    <x:row r="25">
      <x:c r="A25" s="35" t="str">
        <x:v>gemini</x:v>
      </x:c>
      <x:c r="B25" s="35" t="str">
        <x:v>Chart</x:v>
      </x:c>
      <x:c r="C25" s="35" t="str">
        <x:v>Round1</x:v>
      </x:c>
      <x:c r="D25" s="35" t="str">
        <x:v>Chart_7</x:v>
      </x:c>
      <x:c r="E25" s="35" t="str">
        <x:v>Line</x:v>
      </x:c>
      <x:c r="F25" s="35" t="n">
        <x:v>159</x:v>
      </x:c>
      <x:c r="G25" s="35" t="str">
        <x:v>RECORDED</x:v>
      </x:c>
      <x:c r="H25" s="39" t="n">
        <x:f>IF(ISNUMBER('Data'!E25),'Data'!E25*100,"")</x:f>
        <x:v>25.16</x:v>
      </x:c>
      <x:c r="I25" s="35" t="str">
        <x:v>PASS</x:v>
      </x:c>
      <x:c r="J25" s="35" t="str">
        <x:v>PASS</x:v>
      </x:c>
      <x:c r="K25" s="35" t="str">
        <x:v>PASS</x:v>
      </x:c>
      <x:c r="L25" s="35" t="str">
        <x:v>PASS</x:v>
      </x:c>
      <x:c r="M25" s="35" t="str">
        <x:v>numeric coverage for applicable metric</x:v>
      </x:c>
      <x:c r="N25" s="35" t="str">
        <x:v>Gemini-3.8-flash/Result/Chart_7/result.json</x:v>
      </x:c>
      <x:c r="O25" s="39" t="n">
        <x:f>IF(AND(G25="RECORDED",ISNUMBER(H25)),H25,"")</x:f>
        <x:v>25.16</x:v>
      </x:c>
      <x:c r="P25" s="35" t="str">
        <x:v>NOT_REVEALING</x:v>
      </x:c>
      <x:c r="Q25" s="35" t="str">
        <x:v>Gemini-3.8-flash/Result/Chart_7/result.json</x:v>
      </x:c>
    </x:row>
    <x:row r="26">
      <x:c r="A26" s="35" t="str">
        <x:v>gemini</x:v>
      </x:c>
      <x:c r="B26" s="35" t="str">
        <x:v>Chart</x:v>
      </x:c>
      <x:c r="C26" s="35" t="str">
        <x:v>Round1</x:v>
      </x:c>
      <x:c r="D26" s="35" t="str">
        <x:v>Chart_8</x:v>
      </x:c>
      <x:c r="E26" s="35" t="str">
        <x:v>Line</x:v>
      </x:c>
      <x:c r="F26" s="35" t="n">
        <x:v>162</x:v>
      </x:c>
      <x:c r="G26" s="35" t="str">
        <x:v>RECORDED</x:v>
      </x:c>
      <x:c r="H26" s="39" t="n">
        <x:f>IF(ISNUMBER('Data'!E26),'Data'!E26*100,"")</x:f>
        <x:v>25.929999999999996</x:v>
      </x:c>
      <x:c r="I26" s="35" t="str">
        <x:v>PASS</x:v>
      </x:c>
      <x:c r="J26" s="35" t="str">
        <x:v>PASS</x:v>
      </x:c>
      <x:c r="K26" s="35" t="str">
        <x:v>PASS</x:v>
      </x:c>
      <x:c r="L26" s="35" t="str">
        <x:v>PASS</x:v>
      </x:c>
      <x:c r="M26" s="35" t="str">
        <x:v>numeric coverage for applicable metric</x:v>
      </x:c>
      <x:c r="N26" s="35" t="str">
        <x:v>Gemini-3.8-flash/Result/Chart_8/result.json</x:v>
      </x:c>
      <x:c r="O26" s="39" t="n">
        <x:f>IF(AND(G26="RECORDED",ISNUMBER(H26)),H26,"")</x:f>
        <x:v>25.929999999999996</x:v>
      </x:c>
      <x:c r="P26" s="35" t="str">
        <x:v>NOT_REVEALING</x:v>
      </x:c>
      <x:c r="Q26" s="35" t="str">
        <x:v>Gemini-3.8-flash/Result/Chart_8/result.json</x:v>
      </x:c>
    </x:row>
    <x:row r="27">
      <x:c r="A27" s="35" t="str">
        <x:v>gemini</x:v>
      </x:c>
      <x:c r="B27" s="35" t="str">
        <x:v>Chart</x:v>
      </x:c>
      <x:c r="C27" s="35" t="str">
        <x:v>Round1</x:v>
      </x:c>
      <x:c r="D27" s="35" t="str">
        <x:v>Chart_9</x:v>
      </x:c>
      <x:c r="E27" s="35" t="str">
        <x:v>Line</x:v>
      </x:c>
      <x:c r="F27" s="35"/>
      <x:c r="G27" s="35" t="str">
        <x:v>A</x:v>
      </x:c>
      <x:c r="H27" s="39" t="str">
        <x:f>IF(ISNUMBER('Data'!E27),'Data'!E27*100,"")</x:f>
      </x:c>
      <x:c r="I27" s="35"/>
      <x:c r="J27" s="35" t="str">
        <x:v>PASS</x:v>
      </x:c>
      <x:c r="K27" s="35" t="str">
        <x:v>FAIL</x:v>
      </x:c>
      <x:c r="L27" s="35" t="str">
        <x:v>NOT_RUN</x:v>
      </x:c>
      <x:c r="M27" s="35" t="str">
        <x:v>coverage unavailable or execution/compile failed</x:v>
      </x:c>
      <x:c r="N27" s="35" t="str">
        <x:v>Gemini-3.8-flash/Result/Chart_9/result.json</x:v>
      </x:c>
      <x:c r="O27" s="39" t="str">
        <x:f>IF(AND(G27="RECORDED",ISNUMBER(H27)),H27,"")</x:f>
      </x:c>
      <x:c r="P27" s="35" t="str">
        <x:v>NOT_AVAILABLE</x:v>
      </x:c>
      <x:c r="Q27" s="35" t="str">
        <x:v>Gemini-3.8-flash/Result/Chart_9/result.json</x:v>
      </x:c>
    </x:row>
    <x:row r="28">
      <x:c r="A28" s="35" t="str">
        <x:v>gemini</x:v>
      </x:c>
      <x:c r="B28" s="35" t="str">
        <x:v>Cli</x:v>
      </x:c>
      <x:c r="C28" s="35" t="str">
        <x:v>Round1</x:v>
      </x:c>
      <x:c r="D28" s="35" t="str">
        <x:v>Cli_1</x:v>
      </x:c>
      <x:c r="E28" s="35" t="str">
        <x:v>Line</x:v>
      </x:c>
      <x:c r="F28" s="35" t="n">
        <x:v>45</x:v>
      </x:c>
      <x:c r="G28" s="35" t="str">
        <x:v>RECORDED</x:v>
      </x:c>
      <x:c r="H28" s="39" t="n">
        <x:f>IF(ISNUMBER('Data'!E28),'Data'!E28*100,"")</x:f>
        <x:v>0</x:v>
      </x:c>
      <x:c r="I28" s="35" t="str">
        <x:v>PASS</x:v>
      </x:c>
      <x:c r="J28" s="35" t="str">
        <x:v>PASS</x:v>
      </x:c>
      <x:c r="K28" s="35" t="str">
        <x:v>PASS</x:v>
      </x:c>
      <x:c r="L28" s="35" t="str">
        <x:v>FAIL</x:v>
      </x:c>
      <x:c r="M28" s="35" t="str">
        <x:v>numeric coverage for applicable metric</x:v>
      </x:c>
      <x:c r="N28" s="35" t="str">
        <x:v>Gemini-3.8-flash/Result/Cli_1/result.json</x:v>
      </x:c>
      <x:c r="O28" s="39" t="n">
        <x:f>IF(AND(G28="RECORDED",ISNUMBER(H28)),H28,"")</x:f>
        <x:v>0</x:v>
      </x:c>
      <x:c r="P28" s="35" t="str">
        <x:v>INCONCLUSIVE</x:v>
      </x:c>
      <x:c r="Q28" s="35" t="str">
        <x:v>Gemini-3.8-flash/Result/Cli_1/result.json</x:v>
      </x:c>
    </x:row>
    <x:row r="29">
      <x:c r="A29" s="35" t="str">
        <x:v>gemini</x:v>
      </x:c>
      <x:c r="B29" s="35" t="str">
        <x:v>Cli</x:v>
      </x:c>
      <x:c r="C29" s="35" t="str">
        <x:v>Round1</x:v>
      </x:c>
      <x:c r="D29" s="35" t="str">
        <x:v>Cli_10</x:v>
      </x:c>
      <x:c r="E29" s="35" t="str">
        <x:v>Line</x:v>
      </x:c>
      <x:c r="F29" s="35"/>
      <x:c r="G29" s="35" t="str">
        <x:v>A</x:v>
      </x:c>
      <x:c r="H29" s="39" t="str">
        <x:f>IF(ISNUMBER('Data'!E29),'Data'!E29*100,"")</x:f>
      </x:c>
      <x:c r="I29" s="35"/>
      <x:c r="J29" s="35" t="str">
        <x:v>PASS</x:v>
      </x:c>
      <x:c r="K29" s="35" t="str">
        <x:v>FAIL</x:v>
      </x:c>
      <x:c r="L29" s="35" t="str">
        <x:v>NOT_RUN</x:v>
      </x:c>
      <x:c r="M29" s="35" t="str">
        <x:v>coverage unavailable or execution/compile failed</x:v>
      </x:c>
      <x:c r="N29" s="35" t="str">
        <x:v>Gemini-3.8-flash/Result/Cli_10/result.json</x:v>
      </x:c>
      <x:c r="O29" s="39" t="str">
        <x:f>IF(AND(G29="RECORDED",ISNUMBER(H29)),H29,"")</x:f>
      </x:c>
      <x:c r="P29" s="35" t="str">
        <x:v>NOT_AVAILABLE</x:v>
      </x:c>
      <x:c r="Q29" s="35" t="str">
        <x:v>Gemini-3.8-flash/Result/Cli_10/result.json</x:v>
      </x:c>
    </x:row>
    <x:row r="30">
      <x:c r="A30" s="35" t="str">
        <x:v>gemini</x:v>
      </x:c>
      <x:c r="B30" s="35" t="str">
        <x:v>Cli</x:v>
      </x:c>
      <x:c r="C30" s="35" t="str">
        <x:v>Round1</x:v>
      </x:c>
      <x:c r="D30" s="35" t="str">
        <x:v>Cli_11</x:v>
      </x:c>
      <x:c r="E30" s="35" t="str">
        <x:v>Line</x:v>
      </x:c>
      <x:c r="F30" s="35" t="n">
        <x:v>198</x:v>
      </x:c>
      <x:c r="G30" s="35" t="str">
        <x:v>RECORDED</x:v>
      </x:c>
      <x:c r="H30" s="39" t="n">
        <x:f>IF(ISNUMBER('Data'!E30),'Data'!E30*100,"")</x:f>
        <x:v>0</x:v>
      </x:c>
      <x:c r="I30" s="35" t="str">
        <x:v>PASS</x:v>
      </x:c>
      <x:c r="J30" s="35" t="str">
        <x:v>PASS</x:v>
      </x:c>
      <x:c r="K30" s="35" t="str">
        <x:v>PASS</x:v>
      </x:c>
      <x:c r="L30" s="35" t="str">
        <x:v>FAIL</x:v>
      </x:c>
      <x:c r="M30" s="35" t="str">
        <x:v>numeric coverage for applicable metric</x:v>
      </x:c>
      <x:c r="N30" s="35" t="str">
        <x:v>Gemini-3.8-flash/Result/Cli_11/result.json</x:v>
      </x:c>
      <x:c r="O30" s="39" t="n">
        <x:f>IF(AND(G30="RECORDED",ISNUMBER(H30)),H30,"")</x:f>
        <x:v>0</x:v>
      </x:c>
      <x:c r="P30" s="35" t="str">
        <x:v>INCONCLUSIVE</x:v>
      </x:c>
      <x:c r="Q30" s="35" t="str">
        <x:v>Gemini-3.8-flash/Result/Cli_11/result.json</x:v>
      </x:c>
    </x:row>
    <x:row r="31">
      <x:c r="A31" s="35" t="str">
        <x:v>gemini</x:v>
      </x:c>
      <x:c r="B31" s="35" t="str">
        <x:v>Cli</x:v>
      </x:c>
      <x:c r="C31" s="35" t="str">
        <x:v>Round1</x:v>
      </x:c>
      <x:c r="D31" s="35" t="str">
        <x:v>Cli_12</x:v>
      </x:c>
      <x:c r="E31" s="35" t="str">
        <x:v>Line</x:v>
      </x:c>
      <x:c r="F31" s="35"/>
      <x:c r="G31" s="35" t="str">
        <x:v>A</x:v>
      </x:c>
      <x:c r="H31" s="39" t="str">
        <x:f>IF(ISNUMBER('Data'!E31),'Data'!E31*100,"")</x:f>
      </x:c>
      <x:c r="I31" s="35"/>
      <x:c r="J31" s="35" t="str">
        <x:v>PASS</x:v>
      </x:c>
      <x:c r="K31" s="35" t="str">
        <x:v>FAIL</x:v>
      </x:c>
      <x:c r="L31" s="35" t="str">
        <x:v>NOT_RUN</x:v>
      </x:c>
      <x:c r="M31" s="35" t="str">
        <x:v>coverage unavailable or execution/compile failed</x:v>
      </x:c>
      <x:c r="N31" s="35" t="str">
        <x:v>Gemini-3.8-flash/Result/Cli_12/result.json</x:v>
      </x:c>
      <x:c r="O31" s="39" t="str">
        <x:f>IF(AND(G31="RECORDED",ISNUMBER(H31)),H31,"")</x:f>
      </x:c>
      <x:c r="P31" s="35" t="str">
        <x:v>NOT_AVAILABLE</x:v>
      </x:c>
      <x:c r="Q31" s="35" t="str">
        <x:v>Gemini-3.8-flash/Result/Cli_12/result.json</x:v>
      </x:c>
    </x:row>
    <x:row r="32">
      <x:c r="A32" s="35" t="str">
        <x:v>gemini</x:v>
      </x:c>
      <x:c r="B32" s="35" t="str">
        <x:v>Cli</x:v>
      </x:c>
      <x:c r="C32" s="35" t="str">
        <x:v>Round1</x:v>
      </x:c>
      <x:c r="D32" s="35" t="str">
        <x:v>Cli_13</x:v>
      </x:c>
      <x:c r="E32" s="35" t="str">
        <x:v>Line</x:v>
      </x:c>
      <x:c r="F32" s="35"/>
      <x:c r="G32" s="35" t="str">
        <x:v>A</x:v>
      </x:c>
      <x:c r="H32" s="39" t="str">
        <x:f>IF(ISNUMBER('Data'!E32),'Data'!E32*100,"")</x:f>
      </x:c>
      <x:c r="I32" s="35"/>
      <x:c r="J32" s="35" t="str">
        <x:v>PASS</x:v>
      </x:c>
      <x:c r="K32" s="35" t="str">
        <x:v>FAIL</x:v>
      </x:c>
      <x:c r="L32" s="35" t="str">
        <x:v>NOT_RUN</x:v>
      </x:c>
      <x:c r="M32" s="35" t="str">
        <x:v>coverage unavailable or execution/compile failed</x:v>
      </x:c>
      <x:c r="N32" s="35" t="str">
        <x:v>Gemini-3.8-flash/Result/Cli_13/result.json</x:v>
      </x:c>
      <x:c r="O32" s="39" t="str">
        <x:f>IF(AND(G32="RECORDED",ISNUMBER(H32)),H32,"")</x:f>
      </x:c>
      <x:c r="P32" s="35" t="str">
        <x:v>NOT_AVAILABLE</x:v>
      </x:c>
      <x:c r="Q32" s="35" t="str">
        <x:v>Gemini-3.8-flash/Result/Cli_13/result.json</x:v>
      </x:c>
    </x:row>
    <x:row r="33">
      <x:c r="A33" s="35" t="str">
        <x:v>gemini</x:v>
      </x:c>
      <x:c r="B33" s="35" t="str">
        <x:v>Cli</x:v>
      </x:c>
      <x:c r="C33" s="35" t="str">
        <x:v>Round1</x:v>
      </x:c>
      <x:c r="D33" s="35" t="str">
        <x:v>Cli_14</x:v>
      </x:c>
      <x:c r="E33" s="35" t="str">
        <x:v>Line</x:v>
      </x:c>
      <x:c r="F33" s="35"/>
      <x:c r="G33" s="35" t="str">
        <x:v>A</x:v>
      </x:c>
      <x:c r="H33" s="39" t="str">
        <x:f>IF(ISNUMBER('Data'!E33),'Data'!E33*100,"")</x:f>
      </x:c>
      <x:c r="I33" s="35"/>
      <x:c r="J33" s="35" t="str">
        <x:v>PASS</x:v>
      </x:c>
      <x:c r="K33" s="35" t="str">
        <x:v>FAIL</x:v>
      </x:c>
      <x:c r="L33" s="35" t="str">
        <x:v>NOT_RUN</x:v>
      </x:c>
      <x:c r="M33" s="35" t="str">
        <x:v>coverage unavailable or execution/compile failed</x:v>
      </x:c>
      <x:c r="N33" s="35" t="str">
        <x:v>Gemini-3.8-flash/Result/Cli_14/result.json</x:v>
      </x:c>
      <x:c r="O33" s="39" t="str">
        <x:f>IF(AND(G33="RECORDED",ISNUMBER(H33)),H33,"")</x:f>
      </x:c>
      <x:c r="P33" s="35" t="str">
        <x:v>NOT_AVAILABLE</x:v>
      </x:c>
      <x:c r="Q33" s="35" t="str">
        <x:v>Gemini-3.8-flash/Result/Cli_14/result.json</x:v>
      </x:c>
    </x:row>
    <x:row r="34">
      <x:c r="A34" s="35" t="str">
        <x:v>gemini</x:v>
      </x:c>
      <x:c r="B34" s="35" t="str">
        <x:v>Cli</x:v>
      </x:c>
      <x:c r="C34" s="35" t="str">
        <x:v>Round1</x:v>
      </x:c>
      <x:c r="D34" s="35" t="str">
        <x:v>Cli_15</x:v>
      </x:c>
      <x:c r="E34" s="35" t="str">
        <x:v>Line</x:v>
      </x:c>
      <x:c r="F34" s="35" t="n">
        <x:v>93</x:v>
      </x:c>
      <x:c r="G34" s="35" t="str">
        <x:v>RECORDED</x:v>
      </x:c>
      <x:c r="H34" s="39" t="n">
        <x:f>IF(ISNUMBER('Data'!E34),'Data'!E34*100,"")</x:f>
        <x:v>0</x:v>
      </x:c>
      <x:c r="I34" s="35" t="str">
        <x:v>PASS</x:v>
      </x:c>
      <x:c r="J34" s="35" t="str">
        <x:v>PASS</x:v>
      </x:c>
      <x:c r="K34" s="35" t="str">
        <x:v>PASS</x:v>
      </x:c>
      <x:c r="L34" s="35" t="str">
        <x:v>FAIL</x:v>
      </x:c>
      <x:c r="M34" s="35" t="str">
        <x:v>numeric coverage for applicable metric</x:v>
      </x:c>
      <x:c r="N34" s="35" t="str">
        <x:v>Gemini-3.8-flash/Result/Cli_15/result.json</x:v>
      </x:c>
      <x:c r="O34" s="39" t="n">
        <x:f>IF(AND(G34="RECORDED",ISNUMBER(H34)),H34,"")</x:f>
        <x:v>0</x:v>
      </x:c>
      <x:c r="P34" s="35" t="str">
        <x:v>INCONCLUSIVE</x:v>
      </x:c>
      <x:c r="Q34" s="35" t="str">
        <x:v>Gemini-3.8-flash/Result/Cli_15/result.json</x:v>
      </x:c>
    </x:row>
    <x:row r="35">
      <x:c r="A35" s="35" t="str">
        <x:v>gemini</x:v>
      </x:c>
      <x:c r="B35" s="35" t="str">
        <x:v>Cli</x:v>
      </x:c>
      <x:c r="C35" s="35" t="str">
        <x:v>Round1</x:v>
      </x:c>
      <x:c r="D35" s="35" t="str">
        <x:v>Cli_16</x:v>
      </x:c>
      <x:c r="E35" s="35" t="str">
        <x:v>Line</x:v>
      </x:c>
      <x:c r="F35" s="35"/>
      <x:c r="G35" s="35" t="str">
        <x:v>A</x:v>
      </x:c>
      <x:c r="H35" s="39" t="str">
        <x:f>IF(ISNUMBER('Data'!E35),'Data'!E35*100,"")</x:f>
      </x:c>
      <x:c r="I35" s="35"/>
      <x:c r="J35" s="35" t="str">
        <x:v>PASS</x:v>
      </x:c>
      <x:c r="K35" s="35" t="str">
        <x:v>FAIL</x:v>
      </x:c>
      <x:c r="L35" s="35" t="str">
        <x:v>NOT_RUN</x:v>
      </x:c>
      <x:c r="M35" s="35" t="str">
        <x:v>coverage unavailable or execution/compile failed</x:v>
      </x:c>
      <x:c r="N35" s="35" t="str">
        <x:v>Gemini-3.8-flash/Result/Cli_16/result.json</x:v>
      </x:c>
      <x:c r="O35" s="39" t="str">
        <x:f>IF(AND(G35="RECORDED",ISNUMBER(H35)),H35,"")</x:f>
      </x:c>
      <x:c r="P35" s="35" t="str">
        <x:v>NOT_AVAILABLE</x:v>
      </x:c>
      <x:c r="Q35" s="35" t="str">
        <x:v>Gemini-3.8-flash/Result/Cli_16/result.json</x:v>
      </x:c>
    </x:row>
    <x:row r="36">
      <x:c r="A36" s="35" t="str">
        <x:v>gemini</x:v>
      </x:c>
      <x:c r="B36" s="35" t="str">
        <x:v>Cli</x:v>
      </x:c>
      <x:c r="C36" s="35" t="str">
        <x:v>Round1</x:v>
      </x:c>
      <x:c r="D36" s="35" t="str">
        <x:v>Cli_17</x:v>
      </x:c>
      <x:c r="E36" s="35" t="str">
        <x:v>Line</x:v>
      </x:c>
      <x:c r="F36" s="35" t="n">
        <x:v>67</x:v>
      </x:c>
      <x:c r="G36" s="35" t="str">
        <x:v>RECORDED</x:v>
      </x:c>
      <x:c r="H36" s="39" t="n">
        <x:f>IF(ISNUMBER('Data'!E36),'Data'!E36*100,"")</x:f>
        <x:v>0</x:v>
      </x:c>
      <x:c r="I36" s="35" t="str">
        <x:v>PASS</x:v>
      </x:c>
      <x:c r="J36" s="35" t="str">
        <x:v>PASS</x:v>
      </x:c>
      <x:c r="K36" s="35" t="str">
        <x:v>PASS</x:v>
      </x:c>
      <x:c r="L36" s="35" t="str">
        <x:v>FAIL</x:v>
      </x:c>
      <x:c r="M36" s="35" t="str">
        <x:v>numeric coverage for applicable metric</x:v>
      </x:c>
      <x:c r="N36" s="35" t="str">
        <x:v>Gemini-3.8-flash/Result/Cli_17/result.json</x:v>
      </x:c>
      <x:c r="O36" s="39" t="n">
        <x:f>IF(AND(G36="RECORDED",ISNUMBER(H36)),H36,"")</x:f>
        <x:v>0</x:v>
      </x:c>
      <x:c r="P36" s="35" t="str">
        <x:v>INCONCLUSIVE</x:v>
      </x:c>
      <x:c r="Q36" s="35" t="str">
        <x:v>Gemini-3.8-flash/Result/Cli_17/result.json</x:v>
      </x:c>
    </x:row>
    <x:row r="37">
      <x:c r="A37" s="35" t="str">
        <x:v>gemini</x:v>
      </x:c>
      <x:c r="B37" s="35" t="str">
        <x:v>Cli</x:v>
      </x:c>
      <x:c r="C37" s="35" t="str">
        <x:v>Round1</x:v>
      </x:c>
      <x:c r="D37" s="35" t="str">
        <x:v>Cli_18</x:v>
      </x:c>
      <x:c r="E37" s="35" t="str">
        <x:v>Line</x:v>
      </x:c>
      <x:c r="F37" s="35" t="n">
        <x:v>66</x:v>
      </x:c>
      <x:c r="G37" s="35" t="str">
        <x:v>RECORDED</x:v>
      </x:c>
      <x:c r="H37" s="39" t="n">
        <x:f>IF(ISNUMBER('Data'!E37),'Data'!E37*100,"")</x:f>
        <x:v>0</x:v>
      </x:c>
      <x:c r="I37" s="35" t="str">
        <x:v>PASS</x:v>
      </x:c>
      <x:c r="J37" s="35" t="str">
        <x:v>PASS</x:v>
      </x:c>
      <x:c r="K37" s="35" t="str">
        <x:v>PASS</x:v>
      </x:c>
      <x:c r="L37" s="35" t="str">
        <x:v>FAIL</x:v>
      </x:c>
      <x:c r="M37" s="35" t="str">
        <x:v>numeric coverage for applicable metric</x:v>
      </x:c>
      <x:c r="N37" s="35" t="str">
        <x:v>Gemini-3.8-flash/Result/Cli_18/result.json</x:v>
      </x:c>
      <x:c r="O37" s="39" t="n">
        <x:f>IF(AND(G37="RECORDED",ISNUMBER(H37)),H37,"")</x:f>
        <x:v>0</x:v>
      </x:c>
      <x:c r="P37" s="35" t="str">
        <x:v>INCONCLUSIVE</x:v>
      </x:c>
      <x:c r="Q37" s="35" t="str">
        <x:v>Gemini-3.8-flash/Result/Cli_18/result.json</x:v>
      </x:c>
    </x:row>
    <x:row r="38">
      <x:c r="A38" s="35" t="str">
        <x:v>gemini</x:v>
      </x:c>
      <x:c r="B38" s="35" t="str">
        <x:v>Cli</x:v>
      </x:c>
      <x:c r="C38" s="35" t="str">
        <x:v>Round1</x:v>
      </x:c>
      <x:c r="D38" s="35" t="str">
        <x:v>Cli_19</x:v>
      </x:c>
      <x:c r="E38" s="35" t="str">
        <x:v>Line</x:v>
      </x:c>
      <x:c r="F38" s="35" t="n">
        <x:v>65</x:v>
      </x:c>
      <x:c r="G38" s="35" t="str">
        <x:v>RECORDED</x:v>
      </x:c>
      <x:c r="H38" s="39" t="n">
        <x:f>IF(ISNUMBER('Data'!E38),'Data'!E38*100,"")</x:f>
        <x:v>0</x:v>
      </x:c>
      <x:c r="I38" s="35" t="str">
        <x:v>PASS</x:v>
      </x:c>
      <x:c r="J38" s="35" t="str">
        <x:v>PASS</x:v>
      </x:c>
      <x:c r="K38" s="35" t="str">
        <x:v>PASS</x:v>
      </x:c>
      <x:c r="L38" s="35" t="str">
        <x:v>FAIL</x:v>
      </x:c>
      <x:c r="M38" s="35" t="str">
        <x:v>numeric coverage for applicable metric</x:v>
      </x:c>
      <x:c r="N38" s="35" t="str">
        <x:v>Gemini-3.8-flash/Result/Cli_19/result.json</x:v>
      </x:c>
      <x:c r="O38" s="39" t="n">
        <x:f>IF(AND(G38="RECORDED",ISNUMBER(H38)),H38,"")</x:f>
        <x:v>0</x:v>
      </x:c>
      <x:c r="P38" s="35" t="str">
        <x:v>INCONCLUSIVE</x:v>
      </x:c>
      <x:c r="Q38" s="35" t="str">
        <x:v>Gemini-3.8-flash/Result/Cli_19/result.json</x:v>
      </x:c>
    </x:row>
    <x:row r="39">
      <x:c r="A39" s="35" t="str">
        <x:v>gemini</x:v>
      </x:c>
      <x:c r="B39" s="35" t="str">
        <x:v>Cli</x:v>
      </x:c>
      <x:c r="C39" s="35" t="str">
        <x:v>Round1</x:v>
      </x:c>
      <x:c r="D39" s="35" t="str">
        <x:v>Cli_2</x:v>
      </x:c>
      <x:c r="E39" s="35" t="str">
        <x:v>Line</x:v>
      </x:c>
      <x:c r="F39" s="35" t="n">
        <x:v>68</x:v>
      </x:c>
      <x:c r="G39" s="35" t="str">
        <x:v>RECORDED</x:v>
      </x:c>
      <x:c r="H39" s="39" t="n">
        <x:f>IF(ISNUMBER('Data'!E39),'Data'!E39*100,"")</x:f>
        <x:v>0</x:v>
      </x:c>
      <x:c r="I39" s="35" t="str">
        <x:v>PASS</x:v>
      </x:c>
      <x:c r="J39" s="35" t="str">
        <x:v>PASS</x:v>
      </x:c>
      <x:c r="K39" s="35" t="str">
        <x:v>PASS</x:v>
      </x:c>
      <x:c r="L39" s="35" t="str">
        <x:v>FAIL</x:v>
      </x:c>
      <x:c r="M39" s="35" t="str">
        <x:v>numeric coverage for applicable metric</x:v>
      </x:c>
      <x:c r="N39" s="35" t="str">
        <x:v>Gemini-3.8-flash/Result/Cli_2/result.json</x:v>
      </x:c>
      <x:c r="O39" s="39" t="n">
        <x:f>IF(AND(G39="RECORDED",ISNUMBER(H39)),H39,"")</x:f>
        <x:v>0</x:v>
      </x:c>
      <x:c r="P39" s="35" t="str">
        <x:v>INCONCLUSIVE</x:v>
      </x:c>
      <x:c r="Q39" s="35" t="str">
        <x:v>Gemini-3.8-flash/Result/Cli_2/result.json</x:v>
      </x:c>
    </x:row>
    <x:row r="40">
      <x:c r="A40" s="35" t="str">
        <x:v>gemini</x:v>
      </x:c>
      <x:c r="B40" s="35" t="str">
        <x:v>Cli</x:v>
      </x:c>
      <x:c r="C40" s="35" t="str">
        <x:v>Round1</x:v>
      </x:c>
      <x:c r="D40" s="35" t="str">
        <x:v>Cli_20</x:v>
      </x:c>
      <x:c r="E40" s="35" t="str">
        <x:v>Line</x:v>
      </x:c>
      <x:c r="F40" s="35" t="n">
        <x:v>64</x:v>
      </x:c>
      <x:c r="G40" s="35" t="str">
        <x:v>RECORDED</x:v>
      </x:c>
      <x:c r="H40" s="39" t="n">
        <x:f>IF(ISNUMBER('Data'!E40),'Data'!E40*100,"")</x:f>
        <x:v>0</x:v>
      </x:c>
      <x:c r="I40" s="35" t="str">
        <x:v>PASS</x:v>
      </x:c>
      <x:c r="J40" s="35" t="str">
        <x:v>PASS</x:v>
      </x:c>
      <x:c r="K40" s="35" t="str">
        <x:v>PASS</x:v>
      </x:c>
      <x:c r="L40" s="35" t="str">
        <x:v>FAIL</x:v>
      </x:c>
      <x:c r="M40" s="35" t="str">
        <x:v>numeric coverage for applicable metric</x:v>
      </x:c>
      <x:c r="N40" s="35" t="str">
        <x:v>Gemini-3.8-flash/Result/Cli_20/result.json</x:v>
      </x:c>
      <x:c r="O40" s="39" t="n">
        <x:f>IF(AND(G40="RECORDED",ISNUMBER(H40)),H40,"")</x:f>
        <x:v>0</x:v>
      </x:c>
      <x:c r="P40" s="35" t="str">
        <x:v>INCONCLUSIVE</x:v>
      </x:c>
      <x:c r="Q40" s="35" t="str">
        <x:v>Gemini-3.8-flash/Result/Cli_20/result.json</x:v>
      </x:c>
    </x:row>
    <x:row r="41">
      <x:c r="A41" s="35" t="str">
        <x:v>gemini</x:v>
      </x:c>
      <x:c r="B41" s="35" t="str">
        <x:v>Cli</x:v>
      </x:c>
      <x:c r="C41" s="35" t="str">
        <x:v>Round1</x:v>
      </x:c>
      <x:c r="D41" s="35" t="str">
        <x:v>Cli_21</x:v>
      </x:c>
      <x:c r="E41" s="35" t="str">
        <x:v>Line</x:v>
      </x:c>
      <x:c r="F41" s="35"/>
      <x:c r="G41" s="35" t="str">
        <x:v>A</x:v>
      </x:c>
      <x:c r="H41" s="39" t="str">
        <x:f>IF(ISNUMBER('Data'!E41),'Data'!E41*100,"")</x:f>
      </x:c>
      <x:c r="I41" s="35"/>
      <x:c r="J41" s="35" t="str">
        <x:v>PASS</x:v>
      </x:c>
      <x:c r="K41" s="35" t="str">
        <x:v>FAIL</x:v>
      </x:c>
      <x:c r="L41" s="35" t="str">
        <x:v>NOT_RUN</x:v>
      </x:c>
      <x:c r="M41" s="35" t="str">
        <x:v>coverage unavailable or execution/compile failed</x:v>
      </x:c>
      <x:c r="N41" s="35" t="str">
        <x:v>Gemini-3.8-flash/Result/Cli_21/result.json</x:v>
      </x:c>
      <x:c r="O41" s="39" t="str">
        <x:f>IF(AND(G41="RECORDED",ISNUMBER(H41)),H41,"")</x:f>
      </x:c>
      <x:c r="P41" s="35" t="str">
        <x:v>NOT_AVAILABLE</x:v>
      </x:c>
      <x:c r="Q41" s="35" t="str">
        <x:v>Gemini-3.8-flash/Result/Cli_21/result.json</x:v>
      </x:c>
    </x:row>
    <x:row r="42">
      <x:c r="A42" s="35" t="str">
        <x:v>gemini</x:v>
      </x:c>
      <x:c r="B42" s="35" t="str">
        <x:v>Cli</x:v>
      </x:c>
      <x:c r="C42" s="35" t="str">
        <x:v>Round1</x:v>
      </x:c>
      <x:c r="D42" s="35" t="str">
        <x:v>Cli_22</x:v>
      </x:c>
      <x:c r="E42" s="35" t="str">
        <x:v>Line</x:v>
      </x:c>
      <x:c r="F42" s="35" t="n">
        <x:v>57</x:v>
      </x:c>
      <x:c r="G42" s="35" t="str">
        <x:v>RECORDED</x:v>
      </x:c>
      <x:c r="H42" s="39" t="n">
        <x:f>IF(ISNUMBER('Data'!E42),'Data'!E42*100,"")</x:f>
        <x:v>0</x:v>
      </x:c>
      <x:c r="I42" s="35" t="str">
        <x:v>PASS</x:v>
      </x:c>
      <x:c r="J42" s="35" t="str">
        <x:v>PASS</x:v>
      </x:c>
      <x:c r="K42" s="35" t="str">
        <x:v>PASS</x:v>
      </x:c>
      <x:c r="L42" s="35" t="str">
        <x:v>FAIL</x:v>
      </x:c>
      <x:c r="M42" s="35" t="str">
        <x:v>numeric coverage for applicable metric</x:v>
      </x:c>
      <x:c r="N42" s="35" t="str">
        <x:v>Gemini-3.8-flash/Result/Cli_22/result.json</x:v>
      </x:c>
      <x:c r="O42" s="39" t="n">
        <x:f>IF(AND(G42="RECORDED",ISNUMBER(H42)),H42,"")</x:f>
        <x:v>0</x:v>
      </x:c>
      <x:c r="P42" s="35" t="str">
        <x:v>INCONCLUSIVE</x:v>
      </x:c>
      <x:c r="Q42" s="35" t="str">
        <x:v>Gemini-3.8-flash/Result/Cli_22/result.json</x:v>
      </x:c>
    </x:row>
    <x:row r="43">
      <x:c r="A43" s="35" t="str">
        <x:v>gemini</x:v>
      </x:c>
      <x:c r="B43" s="35" t="str">
        <x:v>Cli</x:v>
      </x:c>
      <x:c r="C43" s="35" t="str">
        <x:v>Round1</x:v>
      </x:c>
      <x:c r="D43" s="35" t="str">
        <x:v>Cli_23</x:v>
      </x:c>
      <x:c r="E43" s="35" t="str">
        <x:v>Line</x:v>
      </x:c>
      <x:c r="F43" s="35" t="n">
        <x:v>198</x:v>
      </x:c>
      <x:c r="G43" s="35" t="str">
        <x:v>RECORDED</x:v>
      </x:c>
      <x:c r="H43" s="39" t="n">
        <x:f>IF(ISNUMBER('Data'!E43),'Data'!E43*100,"")</x:f>
        <x:v>0</x:v>
      </x:c>
      <x:c r="I43" s="35" t="str">
        <x:v>PASS</x:v>
      </x:c>
      <x:c r="J43" s="35" t="str">
        <x:v>PASS</x:v>
      </x:c>
      <x:c r="K43" s="35" t="str">
        <x:v>PASS</x:v>
      </x:c>
      <x:c r="L43" s="35" t="str">
        <x:v>FAIL</x:v>
      </x:c>
      <x:c r="M43" s="35" t="str">
        <x:v>numeric coverage for applicable metric</x:v>
      </x:c>
      <x:c r="N43" s="35" t="str">
        <x:v>Gemini-3.8-flash/Result/Cli_23/result.json</x:v>
      </x:c>
      <x:c r="O43" s="39" t="n">
        <x:f>IF(AND(G43="RECORDED",ISNUMBER(H43)),H43,"")</x:f>
        <x:v>0</x:v>
      </x:c>
      <x:c r="P43" s="35" t="str">
        <x:v>INCONCLUSIVE</x:v>
      </x:c>
      <x:c r="Q43" s="35" t="str">
        <x:v>Gemini-3.8-flash/Result/Cli_23/result.json</x:v>
      </x:c>
    </x:row>
    <x:row r="44">
      <x:c r="A44" s="35" t="str">
        <x:v>gemini</x:v>
      </x:c>
      <x:c r="B44" s="35" t="str">
        <x:v>Cli</x:v>
      </x:c>
      <x:c r="C44" s="35" t="str">
        <x:v>Round1</x:v>
      </x:c>
      <x:c r="D44" s="35" t="str">
        <x:v>Cli_24</x:v>
      </x:c>
      <x:c r="E44" s="35" t="str">
        <x:v>Line</x:v>
      </x:c>
      <x:c r="F44" s="35" t="n">
        <x:v>198</x:v>
      </x:c>
      <x:c r="G44" s="35" t="str">
        <x:v>RECORDED</x:v>
      </x:c>
      <x:c r="H44" s="39" t="n">
        <x:f>IF(ISNUMBER('Data'!E44),'Data'!E44*100,"")</x:f>
        <x:v>0</x:v>
      </x:c>
      <x:c r="I44" s="35" t="str">
        <x:v>PASS</x:v>
      </x:c>
      <x:c r="J44" s="35" t="str">
        <x:v>PASS</x:v>
      </x:c>
      <x:c r="K44" s="35" t="str">
        <x:v>PASS</x:v>
      </x:c>
      <x:c r="L44" s="35" t="str">
        <x:v>FAIL</x:v>
      </x:c>
      <x:c r="M44" s="35" t="str">
        <x:v>numeric coverage for applicable metric</x:v>
      </x:c>
      <x:c r="N44" s="35" t="str">
        <x:v>Gemini-3.8-flash/Result/Cli_24/result.json</x:v>
      </x:c>
      <x:c r="O44" s="39" t="n">
        <x:f>IF(AND(G44="RECORDED",ISNUMBER(H44)),H44,"")</x:f>
        <x:v>0</x:v>
      </x:c>
      <x:c r="P44" s="35" t="str">
        <x:v>INCONCLUSIVE</x:v>
      </x:c>
      <x:c r="Q44" s="35" t="str">
        <x:v>Gemini-3.8-flash/Result/Cli_24/result.json</x:v>
      </x:c>
    </x:row>
    <x:row r="45">
      <x:c r="A45" s="35" t="str">
        <x:v>gemini</x:v>
      </x:c>
      <x:c r="B45" s="35" t="str">
        <x:v>Cli</x:v>
      </x:c>
      <x:c r="C45" s="35" t="str">
        <x:v>Round1</x:v>
      </x:c>
      <x:c r="D45" s="35" t="str">
        <x:v>Cli_25</x:v>
      </x:c>
      <x:c r="E45" s="35" t="str">
        <x:v>Line</x:v>
      </x:c>
      <x:c r="F45" s="35" t="n">
        <x:v>198</x:v>
      </x:c>
      <x:c r="G45" s="35" t="str">
        <x:v>RECORDED</x:v>
      </x:c>
      <x:c r="H45" s="39" t="n">
        <x:f>IF(ISNUMBER('Data'!E45),'Data'!E45*100,"")</x:f>
        <x:v>0</x:v>
      </x:c>
      <x:c r="I45" s="35" t="str">
        <x:v>PASS</x:v>
      </x:c>
      <x:c r="J45" s="35" t="str">
        <x:v>PASS</x:v>
      </x:c>
      <x:c r="K45" s="35" t="str">
        <x:v>PASS</x:v>
      </x:c>
      <x:c r="L45" s="35" t="str">
        <x:v>FAIL</x:v>
      </x:c>
      <x:c r="M45" s="35" t="str">
        <x:v>numeric coverage for applicable metric</x:v>
      </x:c>
      <x:c r="N45" s="35" t="str">
        <x:v>Gemini-3.8-flash/Result/Cli_25/result.json</x:v>
      </x:c>
      <x:c r="O45" s="39" t="n">
        <x:f>IF(AND(G45="RECORDED",ISNUMBER(H45)),H45,"")</x:f>
        <x:v>0</x:v>
      </x:c>
      <x:c r="P45" s="35" t="str">
        <x:v>INCONCLUSIVE</x:v>
      </x:c>
      <x:c r="Q45" s="35" t="str">
        <x:v>Gemini-3.8-flash/Result/Cli_25/result.json</x:v>
      </x:c>
    </x:row>
    <x:row r="46">
      <x:c r="A46" s="35" t="str">
        <x:v>gemini</x:v>
      </x:c>
      <x:c r="B46" s="35" t="str">
        <x:v>Cli</x:v>
      </x:c>
      <x:c r="C46" s="35" t="str">
        <x:v>Round1</x:v>
      </x:c>
      <x:c r="D46" s="35" t="str">
        <x:v>Cli_26</x:v>
      </x:c>
      <x:c r="E46" s="35" t="str">
        <x:v>Line</x:v>
      </x:c>
      <x:c r="F46" s="35" t="n">
        <x:v>61</x:v>
      </x:c>
      <x:c r="G46" s="35" t="str">
        <x:v>RECORDED</x:v>
      </x:c>
      <x:c r="H46" s="39" t="n">
        <x:f>IF(ISNUMBER('Data'!E46),'Data'!E46*100,"")</x:f>
        <x:v>0</x:v>
      </x:c>
      <x:c r="I46" s="35" t="str">
        <x:v>PASS</x:v>
      </x:c>
      <x:c r="J46" s="35" t="str">
        <x:v>PASS</x:v>
      </x:c>
      <x:c r="K46" s="35" t="str">
        <x:v>PASS</x:v>
      </x:c>
      <x:c r="L46" s="35" t="str">
        <x:v>FAIL</x:v>
      </x:c>
      <x:c r="M46" s="35" t="str">
        <x:v>numeric coverage for applicable metric</x:v>
      </x:c>
      <x:c r="N46" s="35" t="str">
        <x:v>Gemini-3.8-flash/Result/Cli_26/result.json</x:v>
      </x:c>
      <x:c r="O46" s="39" t="n">
        <x:f>IF(AND(G46="RECORDED",ISNUMBER(H46)),H46,"")</x:f>
        <x:v>0</x:v>
      </x:c>
      <x:c r="P46" s="35" t="str">
        <x:v>INCONCLUSIVE</x:v>
      </x:c>
      <x:c r="Q46" s="35" t="str">
        <x:v>Gemini-3.8-flash/Result/Cli_26/result.json</x:v>
      </x:c>
    </x:row>
    <x:row r="47">
      <x:c r="A47" s="35" t="str">
        <x:v>gemini</x:v>
      </x:c>
      <x:c r="B47" s="35" t="str">
        <x:v>Cli</x:v>
      </x:c>
      <x:c r="C47" s="35" t="str">
        <x:v>Round1</x:v>
      </x:c>
      <x:c r="D47" s="35" t="str">
        <x:v>Cli_27</x:v>
      </x:c>
      <x:c r="E47" s="35" t="str">
        <x:v>Line</x:v>
      </x:c>
      <x:c r="F47" s="35" t="n">
        <x:v>34</x:v>
      </x:c>
      <x:c r="G47" s="35" t="str">
        <x:v>RECORDED</x:v>
      </x:c>
      <x:c r="H47" s="39" t="n">
        <x:f>IF(ISNUMBER('Data'!E47),'Data'!E47*100,"")</x:f>
        <x:v>0</x:v>
      </x:c>
      <x:c r="I47" s="35" t="str">
        <x:v>PASS</x:v>
      </x:c>
      <x:c r="J47" s="35" t="str">
        <x:v>PASS</x:v>
      </x:c>
      <x:c r="K47" s="35" t="str">
        <x:v>PASS</x:v>
      </x:c>
      <x:c r="L47" s="35" t="str">
        <x:v>FAIL</x:v>
      </x:c>
      <x:c r="M47" s="35" t="str">
        <x:v>numeric coverage for applicable metric</x:v>
      </x:c>
      <x:c r="N47" s="35" t="str">
        <x:v>Gemini-3.8-flash/Result/Cli_27/result.json</x:v>
      </x:c>
      <x:c r="O47" s="39" t="n">
        <x:f>IF(AND(G47="RECORDED",ISNUMBER(H47)),H47,"")</x:f>
        <x:v>0</x:v>
      </x:c>
      <x:c r="P47" s="35" t="str">
        <x:v>INCONCLUSIVE</x:v>
      </x:c>
      <x:c r="Q47" s="35" t="str">
        <x:v>Gemini-3.8-flash/Result/Cli_27/result.json</x:v>
      </x:c>
    </x:row>
    <x:row r="48">
      <x:c r="A48" s="35" t="str">
        <x:v>gemini</x:v>
      </x:c>
      <x:c r="B48" s="35" t="str">
        <x:v>Cli</x:v>
      </x:c>
      <x:c r="C48" s="35" t="str">
        <x:v>Round1</x:v>
      </x:c>
      <x:c r="D48" s="35" t="str">
        <x:v>Cli_28</x:v>
      </x:c>
      <x:c r="E48" s="35" t="str">
        <x:v>Line</x:v>
      </x:c>
      <x:c r="F48" s="35" t="n">
        <x:v>101</x:v>
      </x:c>
      <x:c r="G48" s="35" t="str">
        <x:v>RECORDED</x:v>
      </x:c>
      <x:c r="H48" s="39" t="n">
        <x:f>IF(ISNUMBER('Data'!E48),'Data'!E48*100,"")</x:f>
        <x:v>0</x:v>
      </x:c>
      <x:c r="I48" s="35" t="str">
        <x:v>PASS</x:v>
      </x:c>
      <x:c r="J48" s="35" t="str">
        <x:v>PASS</x:v>
      </x:c>
      <x:c r="K48" s="35" t="str">
        <x:v>PASS</x:v>
      </x:c>
      <x:c r="L48" s="35" t="str">
        <x:v>FAIL</x:v>
      </x:c>
      <x:c r="M48" s="35" t="str">
        <x:v>numeric coverage for applicable metric</x:v>
      </x:c>
      <x:c r="N48" s="35" t="str">
        <x:v>Gemini-3.8-flash/Result/Cli_28/result.json</x:v>
      </x:c>
      <x:c r="O48" s="39" t="n">
        <x:f>IF(AND(G48="RECORDED",ISNUMBER(H48)),H48,"")</x:f>
        <x:v>0</x:v>
      </x:c>
      <x:c r="P48" s="35" t="str">
        <x:v>INCONCLUSIVE</x:v>
      </x:c>
      <x:c r="Q48" s="35" t="str">
        <x:v>Gemini-3.8-flash/Result/Cli_28/result.json</x:v>
      </x:c>
    </x:row>
    <x:row r="49">
      <x:c r="A49" s="35" t="str">
        <x:v>gemini</x:v>
      </x:c>
      <x:c r="B49" s="35" t="str">
        <x:v>Cli</x:v>
      </x:c>
      <x:c r="C49" s="35" t="str">
        <x:v>Round1</x:v>
      </x:c>
      <x:c r="D49" s="35" t="str">
        <x:v>Cli_29</x:v>
      </x:c>
      <x:c r="E49" s="35" t="str">
        <x:v>Line</x:v>
      </x:c>
      <x:c r="F49" s="35" t="n">
        <x:v>14</x:v>
      </x:c>
      <x:c r="G49" s="35" t="str">
        <x:v>RECORDED</x:v>
      </x:c>
      <x:c r="H49" s="39" t="n">
        <x:f>IF(ISNUMBER('Data'!E49),'Data'!E49*100,"")</x:f>
        <x:v>0</x:v>
      </x:c>
      <x:c r="I49" s="35" t="str">
        <x:v>PASS</x:v>
      </x:c>
      <x:c r="J49" s="35" t="str">
        <x:v>PASS</x:v>
      </x:c>
      <x:c r="K49" s="35" t="str">
        <x:v>PASS</x:v>
      </x:c>
      <x:c r="L49" s="35" t="str">
        <x:v>FAIL</x:v>
      </x:c>
      <x:c r="M49" s="35" t="str">
        <x:v>numeric coverage for applicable metric</x:v>
      </x:c>
      <x:c r="N49" s="35" t="str">
        <x:v>Gemini-3.8-flash/Result/Cli_29/result.json</x:v>
      </x:c>
      <x:c r="O49" s="39" t="n">
        <x:f>IF(AND(G49="RECORDED",ISNUMBER(H49)),H49,"")</x:f>
        <x:v>0</x:v>
      </x:c>
      <x:c r="P49" s="35" t="str">
        <x:v>INCONCLUSIVE</x:v>
      </x:c>
      <x:c r="Q49" s="35" t="str">
        <x:v>Gemini-3.8-flash/Result/Cli_29/result.json</x:v>
      </x:c>
    </x:row>
    <x:row r="50">
      <x:c r="A50" s="35" t="str">
        <x:v>gemini</x:v>
      </x:c>
      <x:c r="B50" s="35" t="str">
        <x:v>Cli</x:v>
      </x:c>
      <x:c r="C50" s="35" t="str">
        <x:v>Round1</x:v>
      </x:c>
      <x:c r="D50" s="35" t="str">
        <x:v>Cli_3</x:v>
      </x:c>
      <x:c r="E50" s="35" t="str">
        <x:v>Line</x:v>
      </x:c>
      <x:c r="F50" s="35" t="n">
        <x:v>55</x:v>
      </x:c>
      <x:c r="G50" s="35" t="str">
        <x:v>RECORDED</x:v>
      </x:c>
      <x:c r="H50" s="39" t="n">
        <x:f>IF(ISNUMBER('Data'!E50),'Data'!E50*100,"")</x:f>
        <x:v>0</x:v>
      </x:c>
      <x:c r="I50" s="35" t="str">
        <x:v>PASS</x:v>
      </x:c>
      <x:c r="J50" s="35" t="str">
        <x:v>PASS</x:v>
      </x:c>
      <x:c r="K50" s="35" t="str">
        <x:v>PASS</x:v>
      </x:c>
      <x:c r="L50" s="35" t="str">
        <x:v>FAIL</x:v>
      </x:c>
      <x:c r="M50" s="35" t="str">
        <x:v>numeric coverage for applicable metric</x:v>
      </x:c>
      <x:c r="N50" s="35" t="str">
        <x:v>Gemini-3.8-flash/Result/Cli_3/result.json</x:v>
      </x:c>
      <x:c r="O50" s="39" t="n">
        <x:f>IF(AND(G50="RECORDED",ISNUMBER(H50)),H50,"")</x:f>
        <x:v>0</x:v>
      </x:c>
      <x:c r="P50" s="35" t="str">
        <x:v>INCONCLUSIVE</x:v>
      </x:c>
      <x:c r="Q50" s="35" t="str">
        <x:v>Gemini-3.8-flash/Result/Cli_3/result.json</x:v>
      </x:c>
    </x:row>
    <x:row r="51">
      <x:c r="A51" s="35" t="str">
        <x:v>gemini</x:v>
      </x:c>
      <x:c r="B51" s="35" t="str">
        <x:v>Cli</x:v>
      </x:c>
      <x:c r="C51" s="35" t="str">
        <x:v>Round1</x:v>
      </x:c>
      <x:c r="D51" s="35" t="str">
        <x:v>Cli_30</x:v>
      </x:c>
      <x:c r="E51" s="35" t="str">
        <x:v>Line</x:v>
      </x:c>
      <x:c r="F51" s="35" t="n">
        <x:v>288</x:v>
      </x:c>
      <x:c r="G51" s="35" t="str">
        <x:v>RECORDED</x:v>
      </x:c>
      <x:c r="H51" s="39" t="n">
        <x:f>IF(ISNUMBER('Data'!E51),'Data'!E51*100,"")</x:f>
        <x:v>0</x:v>
      </x:c>
      <x:c r="I51" s="35" t="str">
        <x:v>PASS</x:v>
      </x:c>
      <x:c r="J51" s="35" t="str">
        <x:v>PASS</x:v>
      </x:c>
      <x:c r="K51" s="35" t="str">
        <x:v>PASS</x:v>
      </x:c>
      <x:c r="L51" s="35" t="str">
        <x:v>FAIL</x:v>
      </x:c>
      <x:c r="M51" s="35" t="str">
        <x:v>numeric coverage for applicable metric</x:v>
      </x:c>
      <x:c r="N51" s="35" t="str">
        <x:v>Gemini-3.8-flash/Result/Cli_30/result.json</x:v>
      </x:c>
      <x:c r="O51" s="39" t="n">
        <x:f>IF(AND(G51="RECORDED",ISNUMBER(H51)),H51,"")</x:f>
        <x:v>0</x:v>
      </x:c>
      <x:c r="P51" s="35" t="str">
        <x:v>INCONCLUSIVE</x:v>
      </x:c>
      <x:c r="Q51" s="35" t="str">
        <x:v>Gemini-3.8-flash/Result/Cli_30/result.json</x:v>
      </x:c>
    </x:row>
    <x:row r="52">
      <x:c r="A52" s="35" t="str">
        <x:v>gemini</x:v>
      </x:c>
      <x:c r="B52" s="35" t="str">
        <x:v>Cli</x:v>
      </x:c>
      <x:c r="C52" s="35" t="str">
        <x:v>Round1</x:v>
      </x:c>
      <x:c r="D52" s="35" t="str">
        <x:v>Cli_31</x:v>
      </x:c>
      <x:c r="E52" s="35" t="str">
        <x:v>Line</x:v>
      </x:c>
      <x:c r="F52" s="35" t="n">
        <x:v>386</x:v>
      </x:c>
      <x:c r="G52" s="35" t="str">
        <x:v>RECORDED</x:v>
      </x:c>
      <x:c r="H52" s="39" t="n">
        <x:f>IF(ISNUMBER('Data'!E52),'Data'!E52*100,"")</x:f>
        <x:v>0</x:v>
      </x:c>
      <x:c r="I52" s="35" t="str">
        <x:v>PASS</x:v>
      </x:c>
      <x:c r="J52" s="35" t="str">
        <x:v>PASS</x:v>
      </x:c>
      <x:c r="K52" s="35" t="str">
        <x:v>PASS</x:v>
      </x:c>
      <x:c r="L52" s="35" t="str">
        <x:v>FAIL</x:v>
      </x:c>
      <x:c r="M52" s="35" t="str">
        <x:v>numeric coverage for applicable metric</x:v>
      </x:c>
      <x:c r="N52" s="35" t="str">
        <x:v>Gemini-3.8-flash/Result/Cli_31/result.json</x:v>
      </x:c>
      <x:c r="O52" s="39" t="n">
        <x:f>IF(AND(G52="RECORDED",ISNUMBER(H52)),H52,"")</x:f>
        <x:v>0</x:v>
      </x:c>
      <x:c r="P52" s="35" t="str">
        <x:v>INCONCLUSIVE</x:v>
      </x:c>
      <x:c r="Q52" s="35" t="str">
        <x:v>Gemini-3.8-flash/Result/Cli_31/result.json</x:v>
      </x:c>
    </x:row>
    <x:row r="53">
      <x:c r="A53" s="35" t="str">
        <x:v>gemini</x:v>
      </x:c>
      <x:c r="B53" s="35" t="str">
        <x:v>Cli</x:v>
      </x:c>
      <x:c r="C53" s="35" t="str">
        <x:v>Round1</x:v>
      </x:c>
      <x:c r="D53" s="35" t="str">
        <x:v>Cli_32</x:v>
      </x:c>
      <x:c r="E53" s="35" t="str">
        <x:v>Line</x:v>
      </x:c>
      <x:c r="F53" s="35" t="n">
        <x:v>203</x:v>
      </x:c>
      <x:c r="G53" s="35" t="str">
        <x:v>RECORDED</x:v>
      </x:c>
      <x:c r="H53" s="39" t="n">
        <x:f>IF(ISNUMBER('Data'!E53),'Data'!E53*100,"")</x:f>
        <x:v>0</x:v>
      </x:c>
      <x:c r="I53" s="35" t="str">
        <x:v>PASS</x:v>
      </x:c>
      <x:c r="J53" s="35" t="str">
        <x:v>PASS</x:v>
      </x:c>
      <x:c r="K53" s="35" t="str">
        <x:v>PASS</x:v>
      </x:c>
      <x:c r="L53" s="35" t="str">
        <x:v>FAIL</x:v>
      </x:c>
      <x:c r="M53" s="35" t="str">
        <x:v>numeric coverage for applicable metric</x:v>
      </x:c>
      <x:c r="N53" s="35" t="str">
        <x:v>Gemini-3.8-flash/Result/Cli_32/result.json</x:v>
      </x:c>
      <x:c r="O53" s="39" t="n">
        <x:f>IF(AND(G53="RECORDED",ISNUMBER(H53)),H53,"")</x:f>
        <x:v>0</x:v>
      </x:c>
      <x:c r="P53" s="35" t="str">
        <x:v>INCONCLUSIVE</x:v>
      </x:c>
      <x:c r="Q53" s="35" t="str">
        <x:v>Gemini-3.8-flash/Result/Cli_32/result.json</x:v>
      </x:c>
    </x:row>
    <x:row r="54">
      <x:c r="A54" s="35" t="str">
        <x:v>gemini</x:v>
      </x:c>
      <x:c r="B54" s="35" t="str">
        <x:v>Cli</x:v>
      </x:c>
      <x:c r="C54" s="35" t="str">
        <x:v>Round1</x:v>
      </x:c>
      <x:c r="D54" s="35" t="str">
        <x:v>Cli_33</x:v>
      </x:c>
      <x:c r="E54" s="35" t="str">
        <x:v>Line</x:v>
      </x:c>
      <x:c r="F54" s="35" t="n">
        <x:v>201</x:v>
      </x:c>
      <x:c r="G54" s="35" t="str">
        <x:v>RECORDED</x:v>
      </x:c>
      <x:c r="H54" s="39" t="n">
        <x:f>IF(ISNUMBER('Data'!E54),'Data'!E54*100,"")</x:f>
        <x:v>0</x:v>
      </x:c>
      <x:c r="I54" s="35" t="str">
        <x:v>PASS</x:v>
      </x:c>
      <x:c r="J54" s="35" t="str">
        <x:v>PASS</x:v>
      </x:c>
      <x:c r="K54" s="35" t="str">
        <x:v>PASS</x:v>
      </x:c>
      <x:c r="L54" s="35" t="str">
        <x:v>FAIL</x:v>
      </x:c>
      <x:c r="M54" s="35" t="str">
        <x:v>numeric coverage for applicable metric</x:v>
      </x:c>
      <x:c r="N54" s="35" t="str">
        <x:v>Gemini-3.8-flash/Result/Cli_33/result.json</x:v>
      </x:c>
      <x:c r="O54" s="39" t="n">
        <x:f>IF(AND(G54="RECORDED",ISNUMBER(H54)),H54,"")</x:f>
        <x:v>0</x:v>
      </x:c>
      <x:c r="P54" s="35" t="str">
        <x:v>INCONCLUSIVE</x:v>
      </x:c>
      <x:c r="Q54" s="35" t="str">
        <x:v>Gemini-3.8-flash/Result/Cli_33/result.json</x:v>
      </x:c>
    </x:row>
    <x:row r="55">
      <x:c r="A55" s="35" t="str">
        <x:v>gemini</x:v>
      </x:c>
      <x:c r="B55" s="35" t="str">
        <x:v>Cli</x:v>
      </x:c>
      <x:c r="C55" s="35" t="str">
        <x:v>Round1</x:v>
      </x:c>
      <x:c r="D55" s="35" t="str">
        <x:v>Cli_34</x:v>
      </x:c>
      <x:c r="E55" s="35" t="str">
        <x:v>Line</x:v>
      </x:c>
      <x:c r="F55" s="35" t="n">
        <x:v>180</x:v>
      </x:c>
      <x:c r="G55" s="35" t="str">
        <x:v>RECORDED</x:v>
      </x:c>
      <x:c r="H55" s="39" t="n">
        <x:f>IF(ISNUMBER('Data'!E55),'Data'!E55*100,"")</x:f>
        <x:v>0</x:v>
      </x:c>
      <x:c r="I55" s="35" t="str">
        <x:v>PASS</x:v>
      </x:c>
      <x:c r="J55" s="35" t="str">
        <x:v>PASS</x:v>
      </x:c>
      <x:c r="K55" s="35" t="str">
        <x:v>PASS</x:v>
      </x:c>
      <x:c r="L55" s="35" t="str">
        <x:v>FAIL</x:v>
      </x:c>
      <x:c r="M55" s="35" t="str">
        <x:v>numeric coverage for applicable metric</x:v>
      </x:c>
      <x:c r="N55" s="35" t="str">
        <x:v>Gemini-3.8-flash/Result/Cli_34/result.json</x:v>
      </x:c>
      <x:c r="O55" s="39" t="n">
        <x:f>IF(AND(G55="RECORDED",ISNUMBER(H55)),H55,"")</x:f>
        <x:v>0</x:v>
      </x:c>
      <x:c r="P55" s="35" t="str">
        <x:v>INCONCLUSIVE</x:v>
      </x:c>
      <x:c r="Q55" s="35" t="str">
        <x:v>Gemini-3.8-flash/Result/Cli_34/result.json</x:v>
      </x:c>
    </x:row>
    <x:row r="56">
      <x:c r="A56" s="35" t="str">
        <x:v>gemini</x:v>
      </x:c>
      <x:c r="B56" s="35" t="str">
        <x:v>Cli</x:v>
      </x:c>
      <x:c r="C56" s="35" t="str">
        <x:v>Round1</x:v>
      </x:c>
      <x:c r="D56" s="35" t="str">
        <x:v>Cli_35</x:v>
      </x:c>
      <x:c r="E56" s="35" t="str">
        <x:v>Line</x:v>
      </x:c>
      <x:c r="F56" s="35" t="n">
        <x:v>57</x:v>
      </x:c>
      <x:c r="G56" s="35" t="str">
        <x:v>RECORDED</x:v>
      </x:c>
      <x:c r="H56" s="39" t="n">
        <x:f>IF(ISNUMBER('Data'!E56),'Data'!E56*100,"")</x:f>
        <x:v>100</x:v>
      </x:c>
      <x:c r="I56" s="35" t="str">
        <x:v>PASS</x:v>
      </x:c>
      <x:c r="J56" s="35" t="str">
        <x:v>PASS</x:v>
      </x:c>
      <x:c r="K56" s="35" t="str">
        <x:v>PASS</x:v>
      </x:c>
      <x:c r="L56" s="35" t="str">
        <x:v>FAIL</x:v>
      </x:c>
      <x:c r="M56" s="35" t="str">
        <x:v>numeric coverage for applicable metric</x:v>
      </x:c>
      <x:c r="N56" s="35" t="str">
        <x:v>Gemini-3.8-flash/Result/Cli_35/result.json</x:v>
      </x:c>
      <x:c r="O56" s="39" t="n">
        <x:f>IF(AND(G56="RECORDED",ISNUMBER(H56)),H56,"")</x:f>
        <x:v>100</x:v>
      </x:c>
      <x:c r="P56" s="35" t="str">
        <x:v>INCONCLUSIVE</x:v>
      </x:c>
      <x:c r="Q56" s="35" t="str">
        <x:v>Gemini-3.8-flash/Result/Cli_35/result.json</x:v>
      </x:c>
    </x:row>
    <x:row r="57">
      <x:c r="A57" s="35" t="str">
        <x:v>gemini</x:v>
      </x:c>
      <x:c r="B57" s="35" t="str">
        <x:v>Cli</x:v>
      </x:c>
      <x:c r="C57" s="35" t="str">
        <x:v>Round1</x:v>
      </x:c>
      <x:c r="D57" s="35" t="str">
        <x:v>Cli_36</x:v>
      </x:c>
      <x:c r="E57" s="35" t="str">
        <x:v>Line</x:v>
      </x:c>
      <x:c r="F57" s="35" t="n">
        <x:v>94</x:v>
      </x:c>
      <x:c r="G57" s="35" t="str">
        <x:v>RECORDED</x:v>
      </x:c>
      <x:c r="H57" s="39" t="n">
        <x:f>IF(ISNUMBER('Data'!E57),'Data'!E57*100,"")</x:f>
        <x:v>100</x:v>
      </x:c>
      <x:c r="I57" s="35" t="str">
        <x:v>PASS</x:v>
      </x:c>
      <x:c r="J57" s="35" t="str">
        <x:v>PASS</x:v>
      </x:c>
      <x:c r="K57" s="35" t="str">
        <x:v>PASS</x:v>
      </x:c>
      <x:c r="L57" s="35" t="str">
        <x:v>PASS</x:v>
      </x:c>
      <x:c r="M57" s="35" t="str">
        <x:v>numeric coverage for applicable metric</x:v>
      </x:c>
      <x:c r="N57" s="35" t="str">
        <x:v>Gemini-3.8-flash/Result/Cli_36/result.json</x:v>
      </x:c>
      <x:c r="O57" s="39" t="n">
        <x:f>IF(AND(G57="RECORDED",ISNUMBER(H57)),H57,"")</x:f>
        <x:v>100</x:v>
      </x:c>
      <x:c r="P57" s="35" t="str">
        <x:v>NOT_REVEALING</x:v>
      </x:c>
      <x:c r="Q57" s="35" t="str">
        <x:v>Gemini-3.8-flash/Result/Cli_36/result.json</x:v>
      </x:c>
    </x:row>
    <x:row r="58">
      <x:c r="A58" s="35" t="str">
        <x:v>gemini</x:v>
      </x:c>
      <x:c r="B58" s="35" t="str">
        <x:v>Cli</x:v>
      </x:c>
      <x:c r="C58" s="35" t="str">
        <x:v>Round1</x:v>
      </x:c>
      <x:c r="D58" s="35" t="str">
        <x:v>Cli_37</x:v>
      </x:c>
      <x:c r="E58" s="35" t="str">
        <x:v>Line</x:v>
      </x:c>
      <x:c r="F58" s="35" t="n">
        <x:v>187</x:v>
      </x:c>
      <x:c r="G58" s="35" t="str">
        <x:v>RECORDED</x:v>
      </x:c>
      <x:c r="H58" s="39" t="n">
        <x:f>IF(ISNUMBER('Data'!E58),'Data'!E58*100,"")</x:f>
        <x:v>95.72</x:v>
      </x:c>
      <x:c r="I58" s="35" t="str">
        <x:v>PASS</x:v>
      </x:c>
      <x:c r="J58" s="35" t="str">
        <x:v>PASS</x:v>
      </x:c>
      <x:c r="K58" s="35" t="str">
        <x:v>PASS</x:v>
      </x:c>
      <x:c r="L58" s="35" t="str">
        <x:v>PASS</x:v>
      </x:c>
      <x:c r="M58" s="35" t="str">
        <x:v>numeric coverage for applicable metric</x:v>
      </x:c>
      <x:c r="N58" s="35" t="str">
        <x:v>Gemini-3.8-flash/Result/Cli_37/result.json</x:v>
      </x:c>
      <x:c r="O58" s="39" t="n">
        <x:f>IF(AND(G58="RECORDED",ISNUMBER(H58)),H58,"")</x:f>
        <x:v>95.72</x:v>
      </x:c>
      <x:c r="P58" s="35" t="str">
        <x:v>NOT_REVEALING</x:v>
      </x:c>
      <x:c r="Q58" s="35" t="str">
        <x:v>Gemini-3.8-flash/Result/Cli_37/result.json</x:v>
      </x:c>
    </x:row>
    <x:row r="59">
      <x:c r="A59" s="35" t="str">
        <x:v>gemini</x:v>
      </x:c>
      <x:c r="B59" s="35" t="str">
        <x:v>Cli</x:v>
      </x:c>
      <x:c r="C59" s="35" t="str">
        <x:v>Round1</x:v>
      </x:c>
      <x:c r="D59" s="35" t="str">
        <x:v>Cli_38</x:v>
      </x:c>
      <x:c r="E59" s="35" t="str">
        <x:v>Line</x:v>
      </x:c>
      <x:c r="F59" s="35" t="n">
        <x:v>191</x:v>
      </x:c>
      <x:c r="G59" s="35" t="str">
        <x:v>RECORDED</x:v>
      </x:c>
      <x:c r="H59" s="39" t="n">
        <x:f>IF(ISNUMBER('Data'!E59),'Data'!E59*100,"")</x:f>
        <x:v>93.72</x:v>
      </x:c>
      <x:c r="I59" s="35" t="str">
        <x:v>PASS</x:v>
      </x:c>
      <x:c r="J59" s="35" t="str">
        <x:v>PASS</x:v>
      </x:c>
      <x:c r="K59" s="35" t="str">
        <x:v>PASS</x:v>
      </x:c>
      <x:c r="L59" s="35" t="str">
        <x:v>FAIL</x:v>
      </x:c>
      <x:c r="M59" s="35" t="str">
        <x:v>numeric coverage for applicable metric</x:v>
      </x:c>
      <x:c r="N59" s="35" t="str">
        <x:v>Gemini-3.8-flash/Result/Cli_38/result.json</x:v>
      </x:c>
      <x:c r="O59" s="39" t="n">
        <x:f>IF(AND(G59="RECORDED",ISNUMBER(H59)),H59,"")</x:f>
        <x:v>93.72</x:v>
      </x:c>
      <x:c r="P59" s="35" t="str">
        <x:v>INCONCLUSIVE</x:v>
      </x:c>
      <x:c r="Q59" s="35" t="str">
        <x:v>Gemini-3.8-flash/Result/Cli_38/result.json</x:v>
      </x:c>
    </x:row>
    <x:row r="60">
      <x:c r="A60" s="35" t="str">
        <x:v>gemini</x:v>
      </x:c>
      <x:c r="B60" s="35" t="str">
        <x:v>Cli</x:v>
      </x:c>
      <x:c r="C60" s="35" t="str">
        <x:v>Round1</x:v>
      </x:c>
      <x:c r="D60" s="35" t="str">
        <x:v>Cli_39</x:v>
      </x:c>
      <x:c r="E60" s="35" t="str">
        <x:v>Line</x:v>
      </x:c>
      <x:c r="F60" s="35" t="n">
        <x:v>42</x:v>
      </x:c>
      <x:c r="G60" s="35" t="str">
        <x:v>RECORDED</x:v>
      </x:c>
      <x:c r="H60" s="39" t="n">
        <x:f>IF(ISNUMBER('Data'!E60),'Data'!E60*100,"")</x:f>
        <x:v>100</x:v>
      </x:c>
      <x:c r="I60" s="35" t="str">
        <x:v>PASS</x:v>
      </x:c>
      <x:c r="J60" s="35" t="str">
        <x:v>PASS</x:v>
      </x:c>
      <x:c r="K60" s="35" t="str">
        <x:v>PASS</x:v>
      </x:c>
      <x:c r="L60" s="35" t="str">
        <x:v>PASS</x:v>
      </x:c>
      <x:c r="M60" s="35" t="str">
        <x:v>numeric coverage for applicable metric</x:v>
      </x:c>
      <x:c r="N60" s="35" t="str">
        <x:v>Gemini-3.8-flash/Result/Cli_39/result.json</x:v>
      </x:c>
      <x:c r="O60" s="39" t="n">
        <x:f>IF(AND(G60="RECORDED",ISNUMBER(H60)),H60,"")</x:f>
        <x:v>100</x:v>
      </x:c>
      <x:c r="P60" s="35" t="str">
        <x:v>INCONCLUSIVE</x:v>
      </x:c>
      <x:c r="Q60" s="35" t="str">
        <x:v>Gemini-3.8-flash/Result/Cli_39/result.json</x:v>
      </x:c>
    </x:row>
    <x:row r="61">
      <x:c r="A61" s="35" t="str">
        <x:v>gemini</x:v>
      </x:c>
      <x:c r="B61" s="35" t="str">
        <x:v>Cli</x:v>
      </x:c>
      <x:c r="C61" s="35" t="str">
        <x:v>Round1</x:v>
      </x:c>
      <x:c r="D61" s="35" t="str">
        <x:v>Cli_4</x:v>
      </x:c>
      <x:c r="E61" s="35" t="str">
        <x:v>Line</x:v>
      </x:c>
      <x:c r="F61" s="35" t="n">
        <x:v>99</x:v>
      </x:c>
      <x:c r="G61" s="35" t="str">
        <x:v>RECORDED</x:v>
      </x:c>
      <x:c r="H61" s="39" t="n">
        <x:f>IF(ISNUMBER('Data'!E61),'Data'!E61*100,"")</x:f>
        <x:v>0</x:v>
      </x:c>
      <x:c r="I61" s="35" t="str">
        <x:v>PASS</x:v>
      </x:c>
      <x:c r="J61" s="35" t="str">
        <x:v>PASS</x:v>
      </x:c>
      <x:c r="K61" s="35" t="str">
        <x:v>PASS</x:v>
      </x:c>
      <x:c r="L61" s="35" t="str">
        <x:v>FAIL</x:v>
      </x:c>
      <x:c r="M61" s="35" t="str">
        <x:v>numeric coverage for applicable metric</x:v>
      </x:c>
      <x:c r="N61" s="35" t="str">
        <x:v>Gemini-3.8-flash/Result/Cli_4/result.json</x:v>
      </x:c>
      <x:c r="O61" s="39" t="n">
        <x:f>IF(AND(G61="RECORDED",ISNUMBER(H61)),H61,"")</x:f>
        <x:v>0</x:v>
      </x:c>
      <x:c r="P61" s="35" t="str">
        <x:v>INCONCLUSIVE</x:v>
      </x:c>
      <x:c r="Q61" s="35" t="str">
        <x:v>Gemini-3.8-flash/Result/Cli_4/result.json</x:v>
      </x:c>
    </x:row>
    <x:row r="62">
      <x:c r="A62" s="35" t="str">
        <x:v>gemini</x:v>
      </x:c>
      <x:c r="B62" s="35" t="str">
        <x:v>Cli</x:v>
      </x:c>
      <x:c r="C62" s="35" t="str">
        <x:v>Round1</x:v>
      </x:c>
      <x:c r="D62" s="35" t="str">
        <x:v>Cli_40</x:v>
      </x:c>
      <x:c r="E62" s="35" t="str">
        <x:v>Line</x:v>
      </x:c>
      <x:c r="F62" s="35"/>
      <x:c r="G62" s="35" t="str">
        <x:v>A</x:v>
      </x:c>
      <x:c r="H62" s="39" t="str">
        <x:f>IF(ISNUMBER('Data'!E62),'Data'!E62*100,"")</x:f>
      </x:c>
      <x:c r="I62" s="35"/>
      <x:c r="J62" s="35" t="str">
        <x:v>PASS</x:v>
      </x:c>
      <x:c r="K62" s="35" t="str">
        <x:v>FAIL</x:v>
      </x:c>
      <x:c r="L62" s="35" t="str">
        <x:v>NOT_RUN</x:v>
      </x:c>
      <x:c r="M62" s="35" t="str">
        <x:v>coverage unavailable or execution/compile failed</x:v>
      </x:c>
      <x:c r="N62" s="35" t="str">
        <x:v>Gemini-3.8-flash/Result/Cli_40/result.json</x:v>
      </x:c>
      <x:c r="O62" s="39" t="str">
        <x:f>IF(AND(G62="RECORDED",ISNUMBER(H62)),H62,"")</x:f>
      </x:c>
      <x:c r="P62" s="35" t="str">
        <x:v>NOT_AVAILABLE</x:v>
      </x:c>
      <x:c r="Q62" s="35" t="str">
        <x:v>Gemini-3.8-flash/Result/Cli_40/result.json</x:v>
      </x:c>
    </x:row>
    <x:row r="63">
      <x:c r="A63" s="35" t="str">
        <x:v>gemini</x:v>
      </x:c>
      <x:c r="B63" s="35" t="str">
        <x:v>Cli</x:v>
      </x:c>
      <x:c r="C63" s="35" t="str">
        <x:v>Round1</x:v>
      </x:c>
      <x:c r="D63" s="35" t="str">
        <x:v>Cli_5</x:v>
      </x:c>
      <x:c r="E63" s="35" t="str">
        <x:v>Line</x:v>
      </x:c>
      <x:c r="F63" s="35" t="n">
        <x:v>11</x:v>
      </x:c>
      <x:c r="G63" s="35" t="str">
        <x:v>RECORDED</x:v>
      </x:c>
      <x:c r="H63" s="39" t="n">
        <x:f>IF(ISNUMBER('Data'!E63),'Data'!E63*100,"")</x:f>
        <x:v>0</x:v>
      </x:c>
      <x:c r="I63" s="35" t="str">
        <x:v>PASS</x:v>
      </x:c>
      <x:c r="J63" s="35" t="str">
        <x:v>PASS</x:v>
      </x:c>
      <x:c r="K63" s="35" t="str">
        <x:v>PASS</x:v>
      </x:c>
      <x:c r="L63" s="35" t="str">
        <x:v>FAIL</x:v>
      </x:c>
      <x:c r="M63" s="35" t="str">
        <x:v>numeric coverage for applicable metric</x:v>
      </x:c>
      <x:c r="N63" s="35" t="str">
        <x:v>Gemini-3.8-flash/Result/Cli_5/result.json</x:v>
      </x:c>
      <x:c r="O63" s="39" t="n">
        <x:f>IF(AND(G63="RECORDED",ISNUMBER(H63)),H63,"")</x:f>
        <x:v>0</x:v>
      </x:c>
      <x:c r="P63" s="35" t="str">
        <x:v>INCONCLUSIVE</x:v>
      </x:c>
      <x:c r="Q63" s="35" t="str">
        <x:v>Gemini-3.8-flash/Result/Cli_5/result.json</x:v>
      </x:c>
    </x:row>
    <x:row r="64">
      <x:c r="A64" s="35" t="str">
        <x:v>gemini</x:v>
      </x:c>
      <x:c r="B64" s="35" t="str">
        <x:v>Cli</x:v>
      </x:c>
      <x:c r="C64" s="35" t="str">
        <x:v>Round1</x:v>
      </x:c>
      <x:c r="D64" s="35" t="str">
        <x:v>Cli_7</x:v>
      </x:c>
      <x:c r="E64" s="35" t="str">
        <x:v>Line</x:v>
      </x:c>
      <x:c r="F64" s="35" t="n">
        <x:v>68</x:v>
      </x:c>
      <x:c r="G64" s="35" t="str">
        <x:v>RECORDED</x:v>
      </x:c>
      <x:c r="H64" s="39" t="n">
        <x:f>IF(ISNUMBER('Data'!E64),'Data'!E64*100,"")</x:f>
        <x:v>0</x:v>
      </x:c>
      <x:c r="I64" s="35" t="str">
        <x:v>PASS</x:v>
      </x:c>
      <x:c r="J64" s="35" t="str">
        <x:v>PASS</x:v>
      </x:c>
      <x:c r="K64" s="35" t="str">
        <x:v>PASS</x:v>
      </x:c>
      <x:c r="L64" s="35" t="str">
        <x:v>FAIL</x:v>
      </x:c>
      <x:c r="M64" s="35" t="str">
        <x:v>numeric coverage for applicable metric</x:v>
      </x:c>
      <x:c r="N64" s="35" t="str">
        <x:v>Gemini-3.8-flash/Result/Cli_7/result.json</x:v>
      </x:c>
      <x:c r="O64" s="39" t="n">
        <x:f>IF(AND(G64="RECORDED",ISNUMBER(H64)),H64,"")</x:f>
        <x:v>0</x:v>
      </x:c>
      <x:c r="P64" s="35" t="str">
        <x:v>INCONCLUSIVE</x:v>
      </x:c>
      <x:c r="Q64" s="35" t="str">
        <x:v>Gemini-3.8-flash/Result/Cli_7/result.json</x:v>
      </x:c>
    </x:row>
    <x:row r="65">
      <x:c r="A65" s="35" t="str">
        <x:v>gemini</x:v>
      </x:c>
      <x:c r="B65" s="35" t="str">
        <x:v>Cli</x:v>
      </x:c>
      <x:c r="C65" s="35" t="str">
        <x:v>Round1</x:v>
      </x:c>
      <x:c r="D65" s="35" t="str">
        <x:v>Cli_8</x:v>
      </x:c>
      <x:c r="E65" s="35" t="str">
        <x:v>Line</x:v>
      </x:c>
      <x:c r="F65" s="35" t="n">
        <x:v>192</x:v>
      </x:c>
      <x:c r="G65" s="35" t="str">
        <x:v>RECORDED</x:v>
      </x:c>
      <x:c r="H65" s="39" t="n">
        <x:f>IF(ISNUMBER('Data'!E65),'Data'!E65*100,"")</x:f>
        <x:v>0</x:v>
      </x:c>
      <x:c r="I65" s="35" t="str">
        <x:v>PASS</x:v>
      </x:c>
      <x:c r="J65" s="35" t="str">
        <x:v>PASS</x:v>
      </x:c>
      <x:c r="K65" s="35" t="str">
        <x:v>PASS</x:v>
      </x:c>
      <x:c r="L65" s="35" t="str">
        <x:v>FAIL</x:v>
      </x:c>
      <x:c r="M65" s="35" t="str">
        <x:v>numeric coverage for applicable metric</x:v>
      </x:c>
      <x:c r="N65" s="35" t="str">
        <x:v>Gemini-3.8-flash/Result/Cli_8/result.json</x:v>
      </x:c>
      <x:c r="O65" s="39" t="n">
        <x:f>IF(AND(G65="RECORDED",ISNUMBER(H65)),H65,"")</x:f>
        <x:v>0</x:v>
      </x:c>
      <x:c r="P65" s="35" t="str">
        <x:v>INCONCLUSIVE</x:v>
      </x:c>
      <x:c r="Q65" s="35" t="str">
        <x:v>Gemini-3.8-flash/Result/Cli_8/result.json</x:v>
      </x:c>
    </x:row>
    <x:row r="66">
      <x:c r="A66" s="35" t="str">
        <x:v>gemini</x:v>
      </x:c>
      <x:c r="B66" s="35" t="str">
        <x:v>Cli</x:v>
      </x:c>
      <x:c r="C66" s="35" t="str">
        <x:v>Round1</x:v>
      </x:c>
      <x:c r="D66" s="35" t="str">
        <x:v>Cli_9</x:v>
      </x:c>
      <x:c r="E66" s="35" t="str">
        <x:v>Line</x:v>
      </x:c>
      <x:c r="F66" s="35" t="n">
        <x:v>105</x:v>
      </x:c>
      <x:c r="G66" s="35" t="str">
        <x:v>RECORDED</x:v>
      </x:c>
      <x:c r="H66" s="39" t="n">
        <x:f>IF(ISNUMBER('Data'!E66),'Data'!E66*100,"")</x:f>
        <x:v>0</x:v>
      </x:c>
      <x:c r="I66" s="35" t="str">
        <x:v>PASS</x:v>
      </x:c>
      <x:c r="J66" s="35" t="str">
        <x:v>PASS</x:v>
      </x:c>
      <x:c r="K66" s="35" t="str">
        <x:v>PASS</x:v>
      </x:c>
      <x:c r="L66" s="35" t="str">
        <x:v>FAIL</x:v>
      </x:c>
      <x:c r="M66" s="35" t="str">
        <x:v>numeric coverage for applicable metric</x:v>
      </x:c>
      <x:c r="N66" s="35" t="str">
        <x:v>Gemini-3.8-flash/Result/Cli_9/result.json</x:v>
      </x:c>
      <x:c r="O66" s="39" t="n">
        <x:f>IF(AND(G66="RECORDED",ISNUMBER(H66)),H66,"")</x:f>
        <x:v>0</x:v>
      </x:c>
      <x:c r="P66" s="35" t="str">
        <x:v>INCONCLUSIVE</x:v>
      </x:c>
      <x:c r="Q66" s="35" t="str">
        <x:v>Gemini-3.8-flash/Result/Cli_9/result.json</x:v>
      </x:c>
    </x:row>
    <x:row r="67">
      <x:c r="A67" s="35" t="str">
        <x:v>gemini</x:v>
      </x:c>
      <x:c r="B67" s="35" t="str">
        <x:v>Closure</x:v>
      </x:c>
      <x:c r="C67" s="35" t="str">
        <x:v>Round1</x:v>
      </x:c>
      <x:c r="D67" s="35" t="str">
        <x:v>Closure_1</x:v>
      </x:c>
      <x:c r="E67" s="35" t="str">
        <x:v>Line</x:v>
      </x:c>
      <x:c r="F67" s="35"/>
      <x:c r="G67" s="35" t="str">
        <x:v>A</x:v>
      </x:c>
      <x:c r="H67" s="39" t="str">
        <x:f>IF(ISNUMBER('Data'!E67),'Data'!E67*100,"")</x:f>
      </x:c>
      <x:c r="I67" s="35"/>
      <x:c r="J67" s="35" t="str">
        <x:v>PASS</x:v>
      </x:c>
      <x:c r="K67" s="35" t="str">
        <x:v>FAIL</x:v>
      </x:c>
      <x:c r="L67" s="35" t="str">
        <x:v>NOT_RUN</x:v>
      </x:c>
      <x:c r="M67" s="35" t="str">
        <x:v>coverage unavailable or execution/compile failed</x:v>
      </x:c>
      <x:c r="N67" s="35" t="str">
        <x:v>Gemini-3.8-flash/Result/Closure_1/result.json</x:v>
      </x:c>
      <x:c r="O67" s="39" t="str">
        <x:f>IF(AND(G67="RECORDED",ISNUMBER(H67)),H67,"")</x:f>
      </x:c>
      <x:c r="P67" s="35" t="str">
        <x:v>NOT_AVAILABLE</x:v>
      </x:c>
      <x:c r="Q67" s="35" t="str">
        <x:v>Gemini-3.8-flash/Result/Closure_1/result.json</x:v>
      </x:c>
    </x:row>
    <x:row r="68">
      <x:c r="A68" s="35" t="str">
        <x:v>gemini</x:v>
      </x:c>
      <x:c r="B68" s="35" t="str">
        <x:v>Closure</x:v>
      </x:c>
      <x:c r="C68" s="35" t="str">
        <x:v>Round1</x:v>
      </x:c>
      <x:c r="D68" s="35" t="str">
        <x:v>Closure_10</x:v>
      </x:c>
      <x:c r="E68" s="35" t="str">
        <x:v>Line</x:v>
      </x:c>
      <x:c r="F68" s="35"/>
      <x:c r="G68" s="35" t="str">
        <x:v>A</x:v>
      </x:c>
      <x:c r="H68" s="39" t="str">
        <x:f>IF(ISNUMBER('Data'!E68),'Data'!E68*100,"")</x:f>
      </x:c>
      <x:c r="I68" s="35"/>
      <x:c r="J68" s="35" t="str">
        <x:v>PASS</x:v>
      </x:c>
      <x:c r="K68" s="35" t="str">
        <x:v>FAIL</x:v>
      </x:c>
      <x:c r="L68" s="35" t="str">
        <x:v>NOT_RUN</x:v>
      </x:c>
      <x:c r="M68" s="35" t="str">
        <x:v>coverage unavailable or execution/compile failed</x:v>
      </x:c>
      <x:c r="N68" s="35" t="str">
        <x:v>Gemini-3.8-flash/Result/Closure_10/result.json</x:v>
      </x:c>
      <x:c r="O68" s="39" t="str">
        <x:f>IF(AND(G68="RECORDED",ISNUMBER(H68)),H68,"")</x:f>
      </x:c>
      <x:c r="P68" s="35" t="str">
        <x:v>NOT_AVAILABLE</x:v>
      </x:c>
      <x:c r="Q68" s="35" t="str">
        <x:v>Gemini-3.8-flash/Result/Closure_10/result.json</x:v>
      </x:c>
    </x:row>
    <x:row r="69">
      <x:c r="A69" s="35" t="str">
        <x:v>gemini</x:v>
      </x:c>
      <x:c r="B69" s="35" t="str">
        <x:v>Closure</x:v>
      </x:c>
      <x:c r="C69" s="35" t="str">
        <x:v>Round1</x:v>
      </x:c>
      <x:c r="D69" s="35" t="str">
        <x:v>Closure_100</x:v>
      </x:c>
      <x:c r="E69" s="35" t="str">
        <x:v>Line</x:v>
      </x:c>
      <x:c r="F69" s="35"/>
      <x:c r="G69" s="35" t="str">
        <x:v>A</x:v>
      </x:c>
      <x:c r="H69" s="39" t="str">
        <x:f>IF(ISNUMBER('Data'!E69),'Data'!E69*100,"")</x:f>
      </x:c>
      <x:c r="I69" s="35"/>
      <x:c r="J69" s="35" t="str">
        <x:v>PASS</x:v>
      </x:c>
      <x:c r="K69" s="35" t="str">
        <x:v>FAIL</x:v>
      </x:c>
      <x:c r="L69" s="35" t="str">
        <x:v>NOT_RUN</x:v>
      </x:c>
      <x:c r="M69" s="35" t="str">
        <x:v>coverage unavailable or execution/compile failed</x:v>
      </x:c>
      <x:c r="N69" s="35" t="str">
        <x:v>Gemini-3.8-flash/Result/Closure_100/result.json</x:v>
      </x:c>
      <x:c r="O69" s="39" t="str">
        <x:f>IF(AND(G69="RECORDED",ISNUMBER(H69)),H69,"")</x:f>
      </x:c>
      <x:c r="P69" s="35" t="str">
        <x:v>NOT_AVAILABLE</x:v>
      </x:c>
      <x:c r="Q69" s="35" t="str">
        <x:v>Gemini-3.8-flash/Result/Closure_100/result.json</x:v>
      </x:c>
    </x:row>
    <x:row r="70">
      <x:c r="A70" s="35" t="str">
        <x:v>gemini</x:v>
      </x:c>
      <x:c r="B70" s="35" t="str">
        <x:v>Closure</x:v>
      </x:c>
      <x:c r="C70" s="35" t="str">
        <x:v>Round1</x:v>
      </x:c>
      <x:c r="D70" s="35" t="str">
        <x:v>Closure_101</x:v>
      </x:c>
      <x:c r="E70" s="35" t="str">
        <x:v>Line</x:v>
      </x:c>
      <x:c r="F70" s="35" t="n">
        <x:v>165</x:v>
      </x:c>
      <x:c r="G70" s="35" t="str">
        <x:v>RECORDED</x:v>
      </x:c>
      <x:c r="H70" s="39" t="n">
        <x:f>IF(ISNUMBER('Data'!E70),'Data'!E70*100,"")</x:f>
        <x:v>90.3</x:v>
      </x:c>
      <x:c r="I70" s="35" t="str">
        <x:v>PASS</x:v>
      </x:c>
      <x:c r="J70" s="35" t="str">
        <x:v>PASS</x:v>
      </x:c>
      <x:c r="K70" s="35" t="str">
        <x:v>PASS</x:v>
      </x:c>
      <x:c r="L70" s="35" t="str">
        <x:v>FAIL</x:v>
      </x:c>
      <x:c r="M70" s="35" t="str">
        <x:v>numeric coverage for applicable metric</x:v>
      </x:c>
      <x:c r="N70" s="35" t="str">
        <x:v>Gemini-3.8-flash/Result/Closure_101/result.json</x:v>
      </x:c>
      <x:c r="O70" s="39" t="n">
        <x:f>IF(AND(G70="RECORDED",ISNUMBER(H70)),H70,"")</x:f>
        <x:v>90.3</x:v>
      </x:c>
      <x:c r="P70" s="35" t="str">
        <x:v>INCONCLUSIVE</x:v>
      </x:c>
      <x:c r="Q70" s="35" t="str">
        <x:v>Gemini-3.8-flash/Result/Closure_101/result.json</x:v>
      </x:c>
    </x:row>
    <x:row r="71">
      <x:c r="A71" s="35" t="str">
        <x:v>gemini</x:v>
      </x:c>
      <x:c r="B71" s="35" t="str">
        <x:v>Closure</x:v>
      </x:c>
      <x:c r="C71" s="35" t="str">
        <x:v>Round1</x:v>
      </x:c>
      <x:c r="D71" s="35" t="str">
        <x:v>Closure_102</x:v>
      </x:c>
      <x:c r="E71" s="35" t="str">
        <x:v>Line</x:v>
      </x:c>
      <x:c r="F71" s="35"/>
      <x:c r="G71" s="35" t="str">
        <x:v>A</x:v>
      </x:c>
      <x:c r="H71" s="39" t="str">
        <x:f>IF(ISNUMBER('Data'!E71),'Data'!E71*100,"")</x:f>
      </x:c>
      <x:c r="I71" s="35"/>
      <x:c r="J71" s="35" t="str">
        <x:v>PASS</x:v>
      </x:c>
      <x:c r="K71" s="35" t="str">
        <x:v>FAIL</x:v>
      </x:c>
      <x:c r="L71" s="35" t="str">
        <x:v>NOT_RUN</x:v>
      </x:c>
      <x:c r="M71" s="35" t="str">
        <x:v>coverage unavailable or execution/compile failed</x:v>
      </x:c>
      <x:c r="N71" s="35" t="str">
        <x:v>Gemini-3.8-flash/Result/Closure_102/result.json</x:v>
      </x:c>
      <x:c r="O71" s="39" t="str">
        <x:f>IF(AND(G71="RECORDED",ISNUMBER(H71)),H71,"")</x:f>
      </x:c>
      <x:c r="P71" s="35" t="str">
        <x:v>NOT_AVAILABLE</x:v>
      </x:c>
      <x:c r="Q71" s="35" t="str">
        <x:v>Gemini-3.8-flash/Result/Closure_102/result.json</x:v>
      </x:c>
    </x:row>
    <x:row r="72">
      <x:c r="A72" s="35" t="str">
        <x:v>gemini</x:v>
      </x:c>
      <x:c r="B72" s="35" t="str">
        <x:v>Closure</x:v>
      </x:c>
      <x:c r="C72" s="35" t="str">
        <x:v>Round1</x:v>
      </x:c>
      <x:c r="D72" s="35" t="str">
        <x:v>Closure_103</x:v>
      </x:c>
      <x:c r="E72" s="35" t="str">
        <x:v>Line</x:v>
      </x:c>
      <x:c r="F72" s="35"/>
      <x:c r="G72" s="35" t="str">
        <x:v>A</x:v>
      </x:c>
      <x:c r="H72" s="39" t="str">
        <x:f>IF(ISNUMBER('Data'!E72),'Data'!E72*100,"")</x:f>
      </x:c>
      <x:c r="I72" s="35"/>
      <x:c r="J72" s="35" t="str">
        <x:v>PASS</x:v>
      </x:c>
      <x:c r="K72" s="35" t="str">
        <x:v>FAIL</x:v>
      </x:c>
      <x:c r="L72" s="35" t="str">
        <x:v>NOT_RUN</x:v>
      </x:c>
      <x:c r="M72" s="35" t="str">
        <x:v>coverage unavailable or execution/compile failed</x:v>
      </x:c>
      <x:c r="N72" s="35" t="str">
        <x:v>Gemini-3.8-flash/Result/Closure_103/result.json</x:v>
      </x:c>
      <x:c r="O72" s="39" t="str">
        <x:f>IF(AND(G72="RECORDED",ISNUMBER(H72)),H72,"")</x:f>
      </x:c>
      <x:c r="P72" s="35" t="str">
        <x:v>NOT_AVAILABLE</x:v>
      </x:c>
      <x:c r="Q72" s="35" t="str">
        <x:v>Gemini-3.8-flash/Result/Closure_103/result.json</x:v>
      </x:c>
    </x:row>
    <x:row r="73">
      <x:c r="A73" s="35" t="str">
        <x:v>gemini</x:v>
      </x:c>
      <x:c r="B73" s="35" t="str">
        <x:v>Closure</x:v>
      </x:c>
      <x:c r="C73" s="35" t="str">
        <x:v>Round1</x:v>
      </x:c>
      <x:c r="D73" s="35" t="str">
        <x:v>Closure_104</x:v>
      </x:c>
      <x:c r="E73" s="35" t="str">
        <x:v>Line</x:v>
      </x:c>
      <x:c r="F73" s="35"/>
      <x:c r="G73" s="35" t="str">
        <x:v>A</x:v>
      </x:c>
      <x:c r="H73" s="39" t="str">
        <x:f>IF(ISNUMBER('Data'!E73),'Data'!E73*100,"")</x:f>
      </x:c>
      <x:c r="I73" s="35"/>
      <x:c r="J73" s="35" t="str">
        <x:v>PASS</x:v>
      </x:c>
      <x:c r="K73" s="35" t="str">
        <x:v>FAIL</x:v>
      </x:c>
      <x:c r="L73" s="35" t="str">
        <x:v>NOT_RUN</x:v>
      </x:c>
      <x:c r="M73" s="35" t="str">
        <x:v>coverage unavailable or execution/compile failed</x:v>
      </x:c>
      <x:c r="N73" s="35" t="str">
        <x:v>Gemini-3.8-flash/Result/Closure_104/result.json</x:v>
      </x:c>
      <x:c r="O73" s="39" t="str">
        <x:f>IF(AND(G73="RECORDED",ISNUMBER(H73)),H73,"")</x:f>
      </x:c>
      <x:c r="P73" s="35" t="str">
        <x:v>NOT_AVAILABLE</x:v>
      </x:c>
      <x:c r="Q73" s="35" t="str">
        <x:v>Gemini-3.8-flash/Result/Closure_104/result.json</x:v>
      </x:c>
    </x:row>
    <x:row r="74">
      <x:c r="A74" s="35" t="str">
        <x:v>gemini</x:v>
      </x:c>
      <x:c r="B74" s="35" t="str">
        <x:v>Closure</x:v>
      </x:c>
      <x:c r="C74" s="35" t="str">
        <x:v>Round1</x:v>
      </x:c>
      <x:c r="D74" s="35" t="str">
        <x:v>Closure_105</x:v>
      </x:c>
      <x:c r="E74" s="35" t="str">
        <x:v>Line</x:v>
      </x:c>
      <x:c r="F74" s="35" t="n">
        <x:v>993</x:v>
      </x:c>
      <x:c r="G74" s="35" t="str">
        <x:v>RECORDED</x:v>
      </x:c>
      <x:c r="H74" s="39" t="n">
        <x:f>IF(ISNUMBER('Data'!E74),'Data'!E74*100,"")</x:f>
        <x:v>40.68</x:v>
      </x:c>
      <x:c r="I74" s="35" t="str">
        <x:v>PASS</x:v>
      </x:c>
      <x:c r="J74" s="35" t="str">
        <x:v>PASS</x:v>
      </x:c>
      <x:c r="K74" s="35" t="str">
        <x:v>PASS</x:v>
      </x:c>
      <x:c r="L74" s="35" t="str">
        <x:v>FAIL</x:v>
      </x:c>
      <x:c r="M74" s="35" t="str">
        <x:v>numeric coverage for applicable metric</x:v>
      </x:c>
      <x:c r="N74" s="35" t="str">
        <x:v>Gemini-3.8-flash/Result/Closure_105/result.json</x:v>
      </x:c>
      <x:c r="O74" s="39" t="n">
        <x:f>IF(AND(G74="RECORDED",ISNUMBER(H74)),H74,"")</x:f>
        <x:v>40.68</x:v>
      </x:c>
      <x:c r="P74" s="35" t="str">
        <x:v>INCONCLUSIVE</x:v>
      </x:c>
      <x:c r="Q74" s="35" t="str">
        <x:v>Gemini-3.8-flash/Result/Closure_105/result.json</x:v>
      </x:c>
    </x:row>
    <x:row r="75">
      <x:c r="A75" s="35" t="str">
        <x:v>gemini</x:v>
      </x:c>
      <x:c r="B75" s="35" t="str">
        <x:v>Closure</x:v>
      </x:c>
      <x:c r="C75" s="35" t="str">
        <x:v>Round1</x:v>
      </x:c>
      <x:c r="D75" s="35" t="str">
        <x:v>Closure_106</x:v>
      </x:c>
      <x:c r="E75" s="35" t="str">
        <x:v>Line</x:v>
      </x:c>
      <x:c r="F75" s="35"/>
      <x:c r="G75" s="35" t="str">
        <x:v>A</x:v>
      </x:c>
      <x:c r="H75" s="39" t="str">
        <x:f>IF(ISNUMBER('Data'!E75),'Data'!E75*100,"")</x:f>
      </x:c>
      <x:c r="I75" s="35"/>
      <x:c r="J75" s="35" t="str">
        <x:v>PASS</x:v>
      </x:c>
      <x:c r="K75" s="35" t="str">
        <x:v>FAIL</x:v>
      </x:c>
      <x:c r="L75" s="35" t="str">
        <x:v>NOT_RUN</x:v>
      </x:c>
      <x:c r="M75" s="35" t="str">
        <x:v>coverage unavailable or execution/compile failed</x:v>
      </x:c>
      <x:c r="N75" s="35" t="str">
        <x:v>Gemini-3.8-flash/Result/Closure_106/result.json</x:v>
      </x:c>
      <x:c r="O75" s="39" t="str">
        <x:f>IF(AND(G75="RECORDED",ISNUMBER(H75)),H75,"")</x:f>
      </x:c>
      <x:c r="P75" s="35" t="str">
        <x:v>NOT_AVAILABLE</x:v>
      </x:c>
      <x:c r="Q75" s="35" t="str">
        <x:v>Gemini-3.8-flash/Result/Closure_106/result.json</x:v>
      </x:c>
    </x:row>
    <x:row r="76">
      <x:c r="A76" s="35" t="str">
        <x:v>gemini</x:v>
      </x:c>
      <x:c r="B76" s="35" t="str">
        <x:v>Closure</x:v>
      </x:c>
      <x:c r="C76" s="35" t="str">
        <x:v>Round1</x:v>
      </x:c>
      <x:c r="D76" s="35" t="str">
        <x:v>Closure_107</x:v>
      </x:c>
      <x:c r="E76" s="35" t="str">
        <x:v>Line</x:v>
      </x:c>
      <x:c r="F76" s="35"/>
      <x:c r="G76" s="35" t="str">
        <x:v>A</x:v>
      </x:c>
      <x:c r="H76" s="39" t="str">
        <x:f>IF(ISNUMBER('Data'!E76),'Data'!E76*100,"")</x:f>
      </x:c>
      <x:c r="I76" s="35"/>
      <x:c r="J76" s="35" t="str">
        <x:v>PASS</x:v>
      </x:c>
      <x:c r="K76" s="35" t="str">
        <x:v>FAIL</x:v>
      </x:c>
      <x:c r="L76" s="35" t="str">
        <x:v>NOT_RUN</x:v>
      </x:c>
      <x:c r="M76" s="35" t="str">
        <x:v>coverage unavailable or execution/compile failed</x:v>
      </x:c>
      <x:c r="N76" s="35" t="str">
        <x:v>Gemini-3.8-flash/Result/Closure_107/result.json</x:v>
      </x:c>
      <x:c r="O76" s="39" t="str">
        <x:f>IF(AND(G76="RECORDED",ISNUMBER(H76)),H76,"")</x:f>
      </x:c>
      <x:c r="P76" s="35" t="str">
        <x:v>NOT_AVAILABLE</x:v>
      </x:c>
      <x:c r="Q76" s="35" t="str">
        <x:v>Gemini-3.8-flash/Result/Closure_107/result.json</x:v>
      </x:c>
    </x:row>
    <x:row r="77">
      <x:c r="A77" s="35" t="str">
        <x:v>gemini</x:v>
      </x:c>
      <x:c r="B77" s="35" t="str">
        <x:v>Closure</x:v>
      </x:c>
      <x:c r="C77" s="35" t="str">
        <x:v>Round1</x:v>
      </x:c>
      <x:c r="D77" s="35" t="str">
        <x:v>Closure_108</x:v>
      </x:c>
      <x:c r="E77" s="35" t="str">
        <x:v>Line</x:v>
      </x:c>
      <x:c r="F77" s="35" t="n">
        <x:v>269</x:v>
      </x:c>
      <x:c r="G77" s="35" t="str">
        <x:v>RECORDED</x:v>
      </x:c>
      <x:c r="H77" s="39" t="n">
        <x:f>IF(ISNUMBER('Data'!E77),'Data'!E77*100,"")</x:f>
        <x:v>73.23</x:v>
      </x:c>
      <x:c r="I77" s="35" t="str">
        <x:v>PASS</x:v>
      </x:c>
      <x:c r="J77" s="35" t="str">
        <x:v>PASS</x:v>
      </x:c>
      <x:c r="K77" s="35" t="str">
        <x:v>PASS</x:v>
      </x:c>
      <x:c r="L77" s="35" t="str">
        <x:v>FAIL</x:v>
      </x:c>
      <x:c r="M77" s="35" t="str">
        <x:v>numeric coverage for applicable metric</x:v>
      </x:c>
      <x:c r="N77" s="35" t="str">
        <x:v>Gemini-3.8-flash/Result/Closure_108/result.json</x:v>
      </x:c>
      <x:c r="O77" s="39" t="n">
        <x:f>IF(AND(G77="RECORDED",ISNUMBER(H77)),H77,"")</x:f>
        <x:v>73.23</x:v>
      </x:c>
      <x:c r="P77" s="35" t="str">
        <x:v>INCONCLUSIVE</x:v>
      </x:c>
      <x:c r="Q77" s="35" t="str">
        <x:v>Gemini-3.8-flash/Result/Closure_108/result.json</x:v>
      </x:c>
    </x:row>
    <x:row r="78">
      <x:c r="A78" s="35" t="str">
        <x:v>gemini</x:v>
      </x:c>
      <x:c r="B78" s="35" t="str">
        <x:v>Closure</x:v>
      </x:c>
      <x:c r="C78" s="35" t="str">
        <x:v>Round1</x:v>
      </x:c>
      <x:c r="D78" s="35" t="str">
        <x:v>Closure_109</x:v>
      </x:c>
      <x:c r="E78" s="35" t="str">
        <x:v>Line</x:v>
      </x:c>
      <x:c r="F78" s="35"/>
      <x:c r="G78" s="35" t="str">
        <x:v>A</x:v>
      </x:c>
      <x:c r="H78" s="39" t="str">
        <x:f>IF(ISNUMBER('Data'!E78),'Data'!E78*100,"")</x:f>
      </x:c>
      <x:c r="I78" s="35"/>
      <x:c r="J78" s="35" t="str">
        <x:v>PASS</x:v>
      </x:c>
      <x:c r="K78" s="35" t="str">
        <x:v>FAIL</x:v>
      </x:c>
      <x:c r="L78" s="35" t="str">
        <x:v>NOT_RUN</x:v>
      </x:c>
      <x:c r="M78" s="35" t="str">
        <x:v>coverage unavailable or execution/compile failed</x:v>
      </x:c>
      <x:c r="N78" s="35" t="str">
        <x:v>Gemini-3.8-flash/Result/Closure_109/result.json</x:v>
      </x:c>
      <x:c r="O78" s="39" t="str">
        <x:f>IF(AND(G78="RECORDED",ISNUMBER(H78)),H78,"")</x:f>
      </x:c>
      <x:c r="P78" s="35" t="str">
        <x:v>NOT_AVAILABLE</x:v>
      </x:c>
      <x:c r="Q78" s="35" t="str">
        <x:v>Gemini-3.8-flash/Result/Closure_109/result.json</x:v>
      </x:c>
    </x:row>
    <x:row r="79">
      <x:c r="A79" s="35" t="str">
        <x:v>gemini</x:v>
      </x:c>
      <x:c r="B79" s="35" t="str">
        <x:v>Closure</x:v>
      </x:c>
      <x:c r="C79" s="35" t="str">
        <x:v>Round1</x:v>
      </x:c>
      <x:c r="D79" s="35" t="str">
        <x:v>Closure_11</x:v>
      </x:c>
      <x:c r="E79" s="35" t="str">
        <x:v>Line</x:v>
      </x:c>
      <x:c r="F79" s="35" t="n">
        <x:v>778</x:v>
      </x:c>
      <x:c r="G79" s="35" t="str">
        <x:v>RECORDED</x:v>
      </x:c>
      <x:c r="H79" s="39" t="n">
        <x:f>IF(ISNUMBER('Data'!E79),'Data'!E79*100,"")</x:f>
        <x:v>59.64</x:v>
      </x:c>
      <x:c r="I79" s="35" t="str">
        <x:v>PASS</x:v>
      </x:c>
      <x:c r="J79" s="35" t="str">
        <x:v>PASS</x:v>
      </x:c>
      <x:c r="K79" s="35" t="str">
        <x:v>PASS</x:v>
      </x:c>
      <x:c r="L79" s="35" t="str">
        <x:v>FAIL</x:v>
      </x:c>
      <x:c r="M79" s="35" t="str">
        <x:v>numeric coverage for applicable metric</x:v>
      </x:c>
      <x:c r="N79" s="35" t="str">
        <x:v>Gemini-3.8-flash/Result/Closure_11/result.json</x:v>
      </x:c>
      <x:c r="O79" s="39" t="n">
        <x:f>IF(AND(G79="RECORDED",ISNUMBER(H79)),H79,"")</x:f>
        <x:v>59.64</x:v>
      </x:c>
      <x:c r="P79" s="35" t="str">
        <x:v>INCONCLUSIVE</x:v>
      </x:c>
      <x:c r="Q79" s="35" t="str">
        <x:v>Gemini-3.8-flash/Result/Closure_11/result.json</x:v>
      </x:c>
    </x:row>
    <x:row r="80">
      <x:c r="A80" s="35" t="str">
        <x:v>gemini</x:v>
      </x:c>
      <x:c r="B80" s="35" t="str">
        <x:v>Closure</x:v>
      </x:c>
      <x:c r="C80" s="35" t="str">
        <x:v>Round1</x:v>
      </x:c>
      <x:c r="D80" s="35" t="str">
        <x:v>Closure_110</x:v>
      </x:c>
      <x:c r="E80" s="35" t="str">
        <x:v>Line</x:v>
      </x:c>
      <x:c r="F80" s="35"/>
      <x:c r="G80" s="35" t="str">
        <x:v>A</x:v>
      </x:c>
      <x:c r="H80" s="39" t="str">
        <x:f>IF(ISNUMBER('Data'!E80),'Data'!E80*100,"")</x:f>
      </x:c>
      <x:c r="I80" s="35"/>
      <x:c r="J80" s="35" t="str">
        <x:v>PASS</x:v>
      </x:c>
      <x:c r="K80" s="35" t="str">
        <x:v>FAIL</x:v>
      </x:c>
      <x:c r="L80" s="35" t="str">
        <x:v>NOT_RUN</x:v>
      </x:c>
      <x:c r="M80" s="35" t="str">
        <x:v>coverage unavailable or execution/compile failed</x:v>
      </x:c>
      <x:c r="N80" s="35" t="str">
        <x:v>Gemini-3.8-flash/Result/Closure_110/result.json</x:v>
      </x:c>
      <x:c r="O80" s="39" t="str">
        <x:f>IF(AND(G80="RECORDED",ISNUMBER(H80)),H80,"")</x:f>
      </x:c>
      <x:c r="P80" s="35" t="str">
        <x:v>NOT_AVAILABLE</x:v>
      </x:c>
      <x:c r="Q80" s="35" t="str">
        <x:v>Gemini-3.8-flash/Result/Closure_110/result.json</x:v>
      </x:c>
    </x:row>
    <x:row r="81">
      <x:c r="A81" s="35" t="str">
        <x:v>gemini</x:v>
      </x:c>
      <x:c r="B81" s="35" t="str">
        <x:v>Closure</x:v>
      </x:c>
      <x:c r="C81" s="35" t="str">
        <x:v>Round1</x:v>
      </x:c>
      <x:c r="D81" s="35" t="str">
        <x:v>Closure_111</x:v>
      </x:c>
      <x:c r="E81" s="35" t="str">
        <x:v>Line</x:v>
      </x:c>
      <x:c r="F81" s="35"/>
      <x:c r="G81" s="35" t="str">
        <x:v>A</x:v>
      </x:c>
      <x:c r="H81" s="39" t="str">
        <x:f>IF(ISNUMBER('Data'!E81),'Data'!E81*100,"")</x:f>
      </x:c>
      <x:c r="I81" s="35"/>
      <x:c r="J81" s="35" t="str">
        <x:v>PASS</x:v>
      </x:c>
      <x:c r="K81" s="35" t="str">
        <x:v>FAIL</x:v>
      </x:c>
      <x:c r="L81" s="35" t="str">
        <x:v>NOT_RUN</x:v>
      </x:c>
      <x:c r="M81" s="35" t="str">
        <x:v>coverage unavailable or execution/compile failed</x:v>
      </x:c>
      <x:c r="N81" s="35" t="str">
        <x:v>Gemini-3.8-flash/Result/Closure_111/result.json</x:v>
      </x:c>
      <x:c r="O81" s="39" t="str">
        <x:f>IF(AND(G81="RECORDED",ISNUMBER(H81)),H81,"")</x:f>
      </x:c>
      <x:c r="P81" s="35" t="str">
        <x:v>NOT_AVAILABLE</x:v>
      </x:c>
      <x:c r="Q81" s="35" t="str">
        <x:v>Gemini-3.8-flash/Result/Closure_111/result.json</x:v>
      </x:c>
    </x:row>
    <x:row r="82">
      <x:c r="A82" s="35" t="str">
        <x:v>gemini</x:v>
      </x:c>
      <x:c r="B82" s="35" t="str">
        <x:v>Closure</x:v>
      </x:c>
      <x:c r="C82" s="35" t="str">
        <x:v>Round1</x:v>
      </x:c>
      <x:c r="D82" s="35" t="str">
        <x:v>Closure_112</x:v>
      </x:c>
      <x:c r="E82" s="35" t="str">
        <x:v>Line</x:v>
      </x:c>
      <x:c r="F82" s="35"/>
      <x:c r="G82" s="35" t="str">
        <x:v>A</x:v>
      </x:c>
      <x:c r="H82" s="39" t="str">
        <x:f>IF(ISNUMBER('Data'!E82),'Data'!E82*100,"")</x:f>
      </x:c>
      <x:c r="I82" s="35"/>
      <x:c r="J82" s="35" t="str">
        <x:v>PASS</x:v>
      </x:c>
      <x:c r="K82" s="35" t="str">
        <x:v>FAIL</x:v>
      </x:c>
      <x:c r="L82" s="35" t="str">
        <x:v>NOT_RUN</x:v>
      </x:c>
      <x:c r="M82" s="35" t="str">
        <x:v>coverage unavailable or execution/compile failed</x:v>
      </x:c>
      <x:c r="N82" s="35" t="str">
        <x:v>Gemini-3.8-flash/Result/Closure_112/result.json</x:v>
      </x:c>
      <x:c r="O82" s="39" t="str">
        <x:f>IF(AND(G82="RECORDED",ISNUMBER(H82)),H82,"")</x:f>
      </x:c>
      <x:c r="P82" s="35" t="str">
        <x:v>NOT_AVAILABLE</x:v>
      </x:c>
      <x:c r="Q82" s="35" t="str">
        <x:v>Gemini-3.8-flash/Result/Closure_112/result.json</x:v>
      </x:c>
    </x:row>
    <x:row r="83">
      <x:c r="A83" s="35" t="str">
        <x:v>gemini</x:v>
      </x:c>
      <x:c r="B83" s="35" t="str">
        <x:v>Closure</x:v>
      </x:c>
      <x:c r="C83" s="35" t="str">
        <x:v>Round1</x:v>
      </x:c>
      <x:c r="D83" s="35" t="str">
        <x:v>Closure_113</x:v>
      </x:c>
      <x:c r="E83" s="35" t="str">
        <x:v>Line</x:v>
      </x:c>
      <x:c r="F83" s="35"/>
      <x:c r="G83" s="35" t="str">
        <x:v>A</x:v>
      </x:c>
      <x:c r="H83" s="39" t="str">
        <x:f>IF(ISNUMBER('Data'!E83),'Data'!E83*100,"")</x:f>
      </x:c>
      <x:c r="I83" s="35"/>
      <x:c r="J83" s="35" t="str">
        <x:v>PASS</x:v>
      </x:c>
      <x:c r="K83" s="35" t="str">
        <x:v>FAIL</x:v>
      </x:c>
      <x:c r="L83" s="35" t="str">
        <x:v>NOT_RUN</x:v>
      </x:c>
      <x:c r="M83" s="35" t="str">
        <x:v>coverage unavailable or execution/compile failed</x:v>
      </x:c>
      <x:c r="N83" s="35" t="str">
        <x:v>Gemini-3.8-flash/Result/Closure_113/result.json</x:v>
      </x:c>
      <x:c r="O83" s="39" t="str">
        <x:f>IF(AND(G83="RECORDED",ISNUMBER(H83)),H83,"")</x:f>
      </x:c>
      <x:c r="P83" s="35" t="str">
        <x:v>NOT_AVAILABLE</x:v>
      </x:c>
      <x:c r="Q83" s="35" t="str">
        <x:v>Gemini-3.8-flash/Result/Closure_113/result.json</x:v>
      </x:c>
    </x:row>
    <x:row r="84">
      <x:c r="A84" s="35" t="str">
        <x:v>gemini</x:v>
      </x:c>
      <x:c r="B84" s="35" t="str">
        <x:v>Closure</x:v>
      </x:c>
      <x:c r="C84" s="35" t="str">
        <x:v>Round1</x:v>
      </x:c>
      <x:c r="D84" s="35" t="str">
        <x:v>Closure_114</x:v>
      </x:c>
      <x:c r="E84" s="35" t="str">
        <x:v>Line</x:v>
      </x:c>
      <x:c r="F84" s="35"/>
      <x:c r="G84" s="35" t="str">
        <x:v>A</x:v>
      </x:c>
      <x:c r="H84" s="39" t="str">
        <x:f>IF(ISNUMBER('Data'!E84),'Data'!E84*100,"")</x:f>
      </x:c>
      <x:c r="I84" s="35"/>
      <x:c r="J84" s="35" t="str">
        <x:v>PASS</x:v>
      </x:c>
      <x:c r="K84" s="35" t="str">
        <x:v>FAIL</x:v>
      </x:c>
      <x:c r="L84" s="35" t="str">
        <x:v>NOT_RUN</x:v>
      </x:c>
      <x:c r="M84" s="35" t="str">
        <x:v>coverage unavailable or execution/compile failed</x:v>
      </x:c>
      <x:c r="N84" s="35" t="str">
        <x:v>Gemini-3.8-flash/Result/Closure_114/result.json</x:v>
      </x:c>
      <x:c r="O84" s="39" t="str">
        <x:f>IF(AND(G84="RECORDED",ISNUMBER(H84)),H84,"")</x:f>
      </x:c>
      <x:c r="P84" s="35" t="str">
        <x:v>NOT_AVAILABLE</x:v>
      </x:c>
      <x:c r="Q84" s="35" t="str">
        <x:v>Gemini-3.8-flash/Result/Closure_114/result.json</x:v>
      </x:c>
    </x:row>
    <x:row r="85">
      <x:c r="A85" s="35" t="str">
        <x:v>gemini</x:v>
      </x:c>
      <x:c r="B85" s="35" t="str">
        <x:v>Closure</x:v>
      </x:c>
      <x:c r="C85" s="35" t="str">
        <x:v>Round1</x:v>
      </x:c>
      <x:c r="D85" s="35" t="str">
        <x:v>Closure_115</x:v>
      </x:c>
      <x:c r="E85" s="35" t="str">
        <x:v>Line</x:v>
      </x:c>
      <x:c r="F85" s="35"/>
      <x:c r="G85" s="35" t="str">
        <x:v>A</x:v>
      </x:c>
      <x:c r="H85" s="39" t="str">
        <x:f>IF(ISNUMBER('Data'!E85),'Data'!E85*100,"")</x:f>
      </x:c>
      <x:c r="I85" s="35"/>
      <x:c r="J85" s="35" t="str">
        <x:v>PASS</x:v>
      </x:c>
      <x:c r="K85" s="35" t="str">
        <x:v>FAIL</x:v>
      </x:c>
      <x:c r="L85" s="35" t="str">
        <x:v>NOT_RUN</x:v>
      </x:c>
      <x:c r="M85" s="35" t="str">
        <x:v>coverage unavailable or execution/compile failed</x:v>
      </x:c>
      <x:c r="N85" s="35" t="str">
        <x:v>Gemini-3.8-flash/Result/Closure_115/result.json</x:v>
      </x:c>
      <x:c r="O85" s="39" t="str">
        <x:f>IF(AND(G85="RECORDED",ISNUMBER(H85)),H85,"")</x:f>
      </x:c>
      <x:c r="P85" s="35" t="str">
        <x:v>NOT_AVAILABLE</x:v>
      </x:c>
      <x:c r="Q85" s="35" t="str">
        <x:v>Gemini-3.8-flash/Result/Closure_115/result.json</x:v>
      </x:c>
    </x:row>
    <x:row r="86">
      <x:c r="A86" s="35" t="str">
        <x:v>gemini</x:v>
      </x:c>
      <x:c r="B86" s="35" t="str">
        <x:v>Closure</x:v>
      </x:c>
      <x:c r="C86" s="35" t="str">
        <x:v>Round1</x:v>
      </x:c>
      <x:c r="D86" s="35" t="str">
        <x:v>Closure_116</x:v>
      </x:c>
      <x:c r="E86" s="35" t="str">
        <x:v>Line</x:v>
      </x:c>
      <x:c r="F86" s="35"/>
      <x:c r="G86" s="35" t="str">
        <x:v>A</x:v>
      </x:c>
      <x:c r="H86" s="39" t="str">
        <x:f>IF(ISNUMBER('Data'!E86),'Data'!E86*100,"")</x:f>
      </x:c>
      <x:c r="I86" s="35"/>
      <x:c r="J86" s="35" t="str">
        <x:v>PASS</x:v>
      </x:c>
      <x:c r="K86" s="35" t="str">
        <x:v>FAIL</x:v>
      </x:c>
      <x:c r="L86" s="35" t="str">
        <x:v>NOT_RUN</x:v>
      </x:c>
      <x:c r="M86" s="35" t="str">
        <x:v>coverage unavailable or execution/compile failed</x:v>
      </x:c>
      <x:c r="N86" s="35" t="str">
        <x:v>Gemini-3.8-flash/Result/Closure_116/result.json</x:v>
      </x:c>
      <x:c r="O86" s="39" t="str">
        <x:f>IF(AND(G86="RECORDED",ISNUMBER(H86)),H86,"")</x:f>
      </x:c>
      <x:c r="P86" s="35" t="str">
        <x:v>NOT_AVAILABLE</x:v>
      </x:c>
      <x:c r="Q86" s="35" t="str">
        <x:v>Gemini-3.8-flash/Result/Closure_116/result.json</x:v>
      </x:c>
    </x:row>
    <x:row r="87">
      <x:c r="A87" s="35" t="str">
        <x:v>gemini</x:v>
      </x:c>
      <x:c r="B87" s="35" t="str">
        <x:v>Closure</x:v>
      </x:c>
      <x:c r="C87" s="35" t="str">
        <x:v>Round1</x:v>
      </x:c>
      <x:c r="D87" s="35" t="str">
        <x:v>Closure_117</x:v>
      </x:c>
      <x:c r="E87" s="35" t="str">
        <x:v>Line</x:v>
      </x:c>
      <x:c r="F87" s="35"/>
      <x:c r="G87" s="35" t="str">
        <x:v>A</x:v>
      </x:c>
      <x:c r="H87" s="39" t="str">
        <x:f>IF(ISNUMBER('Data'!E87),'Data'!E87*100,"")</x:f>
      </x:c>
      <x:c r="I87" s="35"/>
      <x:c r="J87" s="35" t="str">
        <x:v>PASS</x:v>
      </x:c>
      <x:c r="K87" s="35" t="str">
        <x:v>FAIL</x:v>
      </x:c>
      <x:c r="L87" s="35" t="str">
        <x:v>NOT_RUN</x:v>
      </x:c>
      <x:c r="M87" s="35" t="str">
        <x:v>coverage unavailable or execution/compile failed</x:v>
      </x:c>
      <x:c r="N87" s="35" t="str">
        <x:v>Gemini-3.8-flash/Result/Closure_117/result.json</x:v>
      </x:c>
      <x:c r="O87" s="39" t="str">
        <x:f>IF(AND(G87="RECORDED",ISNUMBER(H87)),H87,"")</x:f>
      </x:c>
      <x:c r="P87" s="35" t="str">
        <x:v>NOT_AVAILABLE</x:v>
      </x:c>
      <x:c r="Q87" s="35" t="str">
        <x:v>Gemini-3.8-flash/Result/Closure_117/result.json</x:v>
      </x:c>
    </x:row>
    <x:row r="88">
      <x:c r="A88" s="35" t="str">
        <x:v>gemini</x:v>
      </x:c>
      <x:c r="B88" s="35" t="str">
        <x:v>Closure</x:v>
      </x:c>
      <x:c r="C88" s="35" t="str">
        <x:v>Round1</x:v>
      </x:c>
      <x:c r="D88" s="35" t="str">
        <x:v>Closure_118</x:v>
      </x:c>
      <x:c r="E88" s="35" t="str">
        <x:v>Line</x:v>
      </x:c>
      <x:c r="F88" s="35"/>
      <x:c r="G88" s="35" t="str">
        <x:v>A</x:v>
      </x:c>
      <x:c r="H88" s="39" t="str">
        <x:f>IF(ISNUMBER('Data'!E88),'Data'!E88*100,"")</x:f>
      </x:c>
      <x:c r="I88" s="35"/>
      <x:c r="J88" s="35" t="str">
        <x:v>PASS</x:v>
      </x:c>
      <x:c r="K88" s="35" t="str">
        <x:v>FAIL</x:v>
      </x:c>
      <x:c r="L88" s="35" t="str">
        <x:v>NOT_RUN</x:v>
      </x:c>
      <x:c r="M88" s="35" t="str">
        <x:v>coverage unavailable or execution/compile failed</x:v>
      </x:c>
      <x:c r="N88" s="35" t="str">
        <x:v>Gemini-3.8-flash/Result/Closure_118/result.json</x:v>
      </x:c>
      <x:c r="O88" s="39" t="str">
        <x:f>IF(AND(G88="RECORDED",ISNUMBER(H88)),H88,"")</x:f>
      </x:c>
      <x:c r="P88" s="35" t="str">
        <x:v>NOT_AVAILABLE</x:v>
      </x:c>
      <x:c r="Q88" s="35" t="str">
        <x:v>Gemini-3.8-flash/Result/Closure_118/result.json</x:v>
      </x:c>
    </x:row>
    <x:row r="89">
      <x:c r="A89" s="35" t="str">
        <x:v>gemini</x:v>
      </x:c>
      <x:c r="B89" s="35" t="str">
        <x:v>Closure</x:v>
      </x:c>
      <x:c r="C89" s="35" t="str">
        <x:v>Round1</x:v>
      </x:c>
      <x:c r="D89" s="35" t="str">
        <x:v>Closure_119</x:v>
      </x:c>
      <x:c r="E89" s="35" t="str">
        <x:v>Line</x:v>
      </x:c>
      <x:c r="F89" s="35" t="n">
        <x:v>496</x:v>
      </x:c>
      <x:c r="G89" s="35" t="str">
        <x:v>RECORDED</x:v>
      </x:c>
      <x:c r="H89" s="39" t="n">
        <x:f>IF(ISNUMBER('Data'!E89),'Data'!E89*100,"")</x:f>
        <x:v>70.16</x:v>
      </x:c>
      <x:c r="I89" s="35" t="str">
        <x:v>PASS</x:v>
      </x:c>
      <x:c r="J89" s="35" t="str">
        <x:v>PASS</x:v>
      </x:c>
      <x:c r="K89" s="35" t="str">
        <x:v>PASS</x:v>
      </x:c>
      <x:c r="L89" s="35" t="str">
        <x:v>FAIL</x:v>
      </x:c>
      <x:c r="M89" s="35" t="str">
        <x:v>numeric coverage for applicable metric</x:v>
      </x:c>
      <x:c r="N89" s="35" t="str">
        <x:v>Gemini-3.8-flash/Result/Closure_119/result.json</x:v>
      </x:c>
      <x:c r="O89" s="39" t="n">
        <x:f>IF(AND(G89="RECORDED",ISNUMBER(H89)),H89,"")</x:f>
        <x:v>70.16</x:v>
      </x:c>
      <x:c r="P89" s="35" t="str">
        <x:v>INCONCLUSIVE</x:v>
      </x:c>
      <x:c r="Q89" s="35" t="str">
        <x:v>Gemini-3.8-flash/Result/Closure_119/result.json</x:v>
      </x:c>
    </x:row>
    <x:row r="90">
      <x:c r="A90" s="35" t="str">
        <x:v>gemini</x:v>
      </x:c>
      <x:c r="B90" s="35" t="str">
        <x:v>Closure</x:v>
      </x:c>
      <x:c r="C90" s="35" t="str">
        <x:v>Round1</x:v>
      </x:c>
      <x:c r="D90" s="35" t="str">
        <x:v>Closure_12</x:v>
      </x:c>
      <x:c r="E90" s="35" t="str">
        <x:v>Line</x:v>
      </x:c>
      <x:c r="F90" s="35" t="n">
        <x:v>88</x:v>
      </x:c>
      <x:c r="G90" s="35" t="str">
        <x:v>RECORDED</x:v>
      </x:c>
      <x:c r="H90" s="39" t="n">
        <x:f>IF(ISNUMBER('Data'!E90),'Data'!E90*100,"")</x:f>
        <x:v>97.73</x:v>
      </x:c>
      <x:c r="I90" s="35" t="str">
        <x:v>PASS</x:v>
      </x:c>
      <x:c r="J90" s="35" t="str">
        <x:v>PASS</x:v>
      </x:c>
      <x:c r="K90" s="35" t="str">
        <x:v>PASS</x:v>
      </x:c>
      <x:c r="L90" s="35" t="str">
        <x:v>FAIL</x:v>
      </x:c>
      <x:c r="M90" s="35" t="str">
        <x:v>numeric coverage for applicable metric</x:v>
      </x:c>
      <x:c r="N90" s="35" t="str">
        <x:v>Gemini-3.8-flash/Result/Closure_12/result.json</x:v>
      </x:c>
      <x:c r="O90" s="39" t="n">
        <x:f>IF(AND(G90="RECORDED",ISNUMBER(H90)),H90,"")</x:f>
        <x:v>97.73</x:v>
      </x:c>
      <x:c r="P90" s="35" t="str">
        <x:v>INCONCLUSIVE</x:v>
      </x:c>
      <x:c r="Q90" s="35" t="str">
        <x:v>Gemini-3.8-flash/Result/Closure_12/result.json</x:v>
      </x:c>
    </x:row>
    <x:row r="91">
      <x:c r="A91" s="35" t="str">
        <x:v>gemini</x:v>
      </x:c>
      <x:c r="B91" s="35" t="str">
        <x:v>Closure</x:v>
      </x:c>
      <x:c r="C91" s="35" t="str">
        <x:v>Round1</x:v>
      </x:c>
      <x:c r="D91" s="35" t="str">
        <x:v>Closure_120</x:v>
      </x:c>
      <x:c r="E91" s="35" t="str">
        <x:v>Line</x:v>
      </x:c>
      <x:c r="F91" s="35"/>
      <x:c r="G91" s="35" t="str">
        <x:v>A</x:v>
      </x:c>
      <x:c r="H91" s="39" t="str">
        <x:f>IF(ISNUMBER('Data'!E91),'Data'!E91*100,"")</x:f>
      </x:c>
      <x:c r="I91" s="35"/>
      <x:c r="J91" s="35" t="str">
        <x:v>PASS</x:v>
      </x:c>
      <x:c r="K91" s="35" t="str">
        <x:v>FAIL</x:v>
      </x:c>
      <x:c r="L91" s="35" t="str">
        <x:v>NOT_RUN</x:v>
      </x:c>
      <x:c r="M91" s="35" t="str">
        <x:v>coverage unavailable or execution/compile failed</x:v>
      </x:c>
      <x:c r="N91" s="35" t="str">
        <x:v>Gemini-3.8-flash/Result/Closure_120/result.json</x:v>
      </x:c>
      <x:c r="O91" s="39" t="str">
        <x:f>IF(AND(G91="RECORDED",ISNUMBER(H91)),H91,"")</x:f>
      </x:c>
      <x:c r="P91" s="35" t="str">
        <x:v>NOT_AVAILABLE</x:v>
      </x:c>
      <x:c r="Q91" s="35" t="str">
        <x:v>Gemini-3.8-flash/Result/Closure_120/result.json</x:v>
      </x:c>
    </x:row>
    <x:row r="92">
      <x:c r="A92" s="35" t="str">
        <x:v>gemini</x:v>
      </x:c>
      <x:c r="B92" s="35" t="str">
        <x:v>Closure</x:v>
      </x:c>
      <x:c r="C92" s="35" t="str">
        <x:v>Round1</x:v>
      </x:c>
      <x:c r="D92" s="35" t="str">
        <x:v>Closure_121</x:v>
      </x:c>
      <x:c r="E92" s="35" t="str">
        <x:v>Line</x:v>
      </x:c>
      <x:c r="F92" s="35" t="n">
        <x:v>297</x:v>
      </x:c>
      <x:c r="G92" s="35" t="str">
        <x:v>RECORDED</x:v>
      </x:c>
      <x:c r="H92" s="39" t="n">
        <x:f>IF(ISNUMBER('Data'!E92),'Data'!E92*100,"")</x:f>
        <x:v>7.739999999999999</x:v>
      </x:c>
      <x:c r="I92" s="35" t="str">
        <x:v>PASS</x:v>
      </x:c>
      <x:c r="J92" s="35" t="str">
        <x:v>PASS</x:v>
      </x:c>
      <x:c r="K92" s="35" t="str">
        <x:v>PASS</x:v>
      </x:c>
      <x:c r="L92" s="35" t="str">
        <x:v>FAIL</x:v>
      </x:c>
      <x:c r="M92" s="35" t="str">
        <x:v>numeric coverage for applicable metric</x:v>
      </x:c>
      <x:c r="N92" s="35" t="str">
        <x:v>Gemini-3.8-flash/Result/Closure_121/result.json</x:v>
      </x:c>
      <x:c r="O92" s="39" t="n">
        <x:f>IF(AND(G92="RECORDED",ISNUMBER(H92)),H92,"")</x:f>
        <x:v>7.739999999999999</x:v>
      </x:c>
      <x:c r="P92" s="35" t="str">
        <x:v>INCONCLUSIVE</x:v>
      </x:c>
      <x:c r="Q92" s="35" t="str">
        <x:v>Gemini-3.8-flash/Result/Closure_121/result.json</x:v>
      </x:c>
    </x:row>
    <x:row r="93">
      <x:c r="A93" s="35" t="str">
        <x:v>gemini</x:v>
      </x:c>
      <x:c r="B93" s="35" t="str">
        <x:v>Closure</x:v>
      </x:c>
      <x:c r="C93" s="35" t="str">
        <x:v>Round1</x:v>
      </x:c>
      <x:c r="D93" s="35" t="str">
        <x:v>Closure_122</x:v>
      </x:c>
      <x:c r="E93" s="35" t="str">
        <x:v>Line</x:v>
      </x:c>
      <x:c r="F93" s="35"/>
      <x:c r="G93" s="35" t="str">
        <x:v>A</x:v>
      </x:c>
      <x:c r="H93" s="39" t="str">
        <x:f>IF(ISNUMBER('Data'!E93),'Data'!E93*100,"")</x:f>
      </x:c>
      <x:c r="I93" s="35"/>
      <x:c r="J93" s="35" t="str">
        <x:v>PASS</x:v>
      </x:c>
      <x:c r="K93" s="35" t="str">
        <x:v>FAIL</x:v>
      </x:c>
      <x:c r="L93" s="35" t="str">
        <x:v>NOT_RUN</x:v>
      </x:c>
      <x:c r="M93" s="35" t="str">
        <x:v>coverage unavailable or execution/compile failed</x:v>
      </x:c>
      <x:c r="N93" s="35" t="str">
        <x:v>Gemini-3.8-flash/Result/Closure_122/result.json</x:v>
      </x:c>
      <x:c r="O93" s="39" t="str">
        <x:f>IF(AND(G93="RECORDED",ISNUMBER(H93)),H93,"")</x:f>
      </x:c>
      <x:c r="P93" s="35" t="str">
        <x:v>NOT_AVAILABLE</x:v>
      </x:c>
      <x:c r="Q93" s="35" t="str">
        <x:v>Gemini-3.8-flash/Result/Closure_122/result.json</x:v>
      </x:c>
    </x:row>
    <x:row r="94">
      <x:c r="A94" s="35" t="str">
        <x:v>gemini</x:v>
      </x:c>
      <x:c r="B94" s="35" t="str">
        <x:v>Closure</x:v>
      </x:c>
      <x:c r="C94" s="35" t="str">
        <x:v>Round1</x:v>
      </x:c>
      <x:c r="D94" s="35" t="str">
        <x:v>Closure_123</x:v>
      </x:c>
      <x:c r="E94" s="35" t="str">
        <x:v>Line</x:v>
      </x:c>
      <x:c r="F94" s="35"/>
      <x:c r="G94" s="35" t="str">
        <x:v>A</x:v>
      </x:c>
      <x:c r="H94" s="39" t="str">
        <x:f>IF(ISNUMBER('Data'!E94),'Data'!E94*100,"")</x:f>
      </x:c>
      <x:c r="I94" s="35"/>
      <x:c r="J94" s="35" t="str">
        <x:v>PASS</x:v>
      </x:c>
      <x:c r="K94" s="35" t="str">
        <x:v>FAIL</x:v>
      </x:c>
      <x:c r="L94" s="35" t="str">
        <x:v>NOT_RUN</x:v>
      </x:c>
      <x:c r="M94" s="35" t="str">
        <x:v>coverage unavailable or execution/compile failed</x:v>
      </x:c>
      <x:c r="N94" s="35" t="str">
        <x:v>Gemini-3.8-flash/Result/Closure_123/result.json</x:v>
      </x:c>
      <x:c r="O94" s="39" t="str">
        <x:f>IF(AND(G94="RECORDED",ISNUMBER(H94)),H94,"")</x:f>
      </x:c>
      <x:c r="P94" s="35" t="str">
        <x:v>NOT_AVAILABLE</x:v>
      </x:c>
      <x:c r="Q94" s="35" t="str">
        <x:v>Gemini-3.8-flash/Result/Closure_123/result.json</x:v>
      </x:c>
    </x:row>
    <x:row r="95">
      <x:c r="A95" s="35" t="str">
        <x:v>gemini</x:v>
      </x:c>
      <x:c r="B95" s="35" t="str">
        <x:v>Closure</x:v>
      </x:c>
      <x:c r="C95" s="35" t="str">
        <x:v>Round1</x:v>
      </x:c>
      <x:c r="D95" s="35" t="str">
        <x:v>Closure_124</x:v>
      </x:c>
      <x:c r="E95" s="35" t="str">
        <x:v>Line</x:v>
      </x:c>
      <x:c r="F95" s="35"/>
      <x:c r="G95" s="35" t="str">
        <x:v>A</x:v>
      </x:c>
      <x:c r="H95" s="39" t="str">
        <x:f>IF(ISNUMBER('Data'!E95),'Data'!E95*100,"")</x:f>
      </x:c>
      <x:c r="I95" s="35"/>
      <x:c r="J95" s="35" t="str">
        <x:v>PASS</x:v>
      </x:c>
      <x:c r="K95" s="35" t="str">
        <x:v>FAIL</x:v>
      </x:c>
      <x:c r="L95" s="35" t="str">
        <x:v>NOT_RUN</x:v>
      </x:c>
      <x:c r="M95" s="35" t="str">
        <x:v>coverage unavailable or execution/compile failed</x:v>
      </x:c>
      <x:c r="N95" s="35" t="str">
        <x:v>Gemini-3.8-flash/Result/Closure_124/result.json</x:v>
      </x:c>
      <x:c r="O95" s="39" t="str">
        <x:f>IF(AND(G95="RECORDED",ISNUMBER(H95)),H95,"")</x:f>
      </x:c>
      <x:c r="P95" s="35" t="str">
        <x:v>NOT_AVAILABLE</x:v>
      </x:c>
      <x:c r="Q95" s="35" t="str">
        <x:v>Gemini-3.8-flash/Result/Closure_124/result.json</x:v>
      </x:c>
    </x:row>
    <x:row r="96">
      <x:c r="A96" s="35" t="str">
        <x:v>gemini</x:v>
      </x:c>
      <x:c r="B96" s="35" t="str">
        <x:v>Closure</x:v>
      </x:c>
      <x:c r="C96" s="35" t="str">
        <x:v>Round1</x:v>
      </x:c>
      <x:c r="D96" s="35" t="str">
        <x:v>Closure_125</x:v>
      </x:c>
      <x:c r="E96" s="35" t="str">
        <x:v>Line</x:v>
      </x:c>
      <x:c r="F96" s="35"/>
      <x:c r="G96" s="35" t="str">
        <x:v>A</x:v>
      </x:c>
      <x:c r="H96" s="39" t="str">
        <x:f>IF(ISNUMBER('Data'!E96),'Data'!E96*100,"")</x:f>
      </x:c>
      <x:c r="I96" s="35"/>
      <x:c r="J96" s="35" t="str">
        <x:v>PASS</x:v>
      </x:c>
      <x:c r="K96" s="35" t="str">
        <x:v>FAIL</x:v>
      </x:c>
      <x:c r="L96" s="35" t="str">
        <x:v>NOT_RUN</x:v>
      </x:c>
      <x:c r="M96" s="35" t="str">
        <x:v>coverage unavailable or execution/compile failed</x:v>
      </x:c>
      <x:c r="N96" s="35" t="str">
        <x:v>Gemini-3.8-flash/Result/Closure_125/result.json</x:v>
      </x:c>
      <x:c r="O96" s="39" t="str">
        <x:f>IF(AND(G96="RECORDED",ISNUMBER(H96)),H96,"")</x:f>
      </x:c>
      <x:c r="P96" s="35" t="str">
        <x:v>NOT_AVAILABLE</x:v>
      </x:c>
      <x:c r="Q96" s="35" t="str">
        <x:v>Gemini-3.8-flash/Result/Closure_125/result.json</x:v>
      </x:c>
    </x:row>
    <x:row r="97">
      <x:c r="A97" s="35" t="str">
        <x:v>gemini</x:v>
      </x:c>
      <x:c r="B97" s="35" t="str">
        <x:v>Closure</x:v>
      </x:c>
      <x:c r="C97" s="35" t="str">
        <x:v>Round1</x:v>
      </x:c>
      <x:c r="D97" s="35" t="str">
        <x:v>Closure_126</x:v>
      </x:c>
      <x:c r="E97" s="35" t="str">
        <x:v>Line</x:v>
      </x:c>
      <x:c r="F97" s="35"/>
      <x:c r="G97" s="35" t="str">
        <x:v>A</x:v>
      </x:c>
      <x:c r="H97" s="39" t="str">
        <x:f>IF(ISNUMBER('Data'!E97),'Data'!E97*100,"")</x:f>
      </x:c>
      <x:c r="I97" s="35"/>
      <x:c r="J97" s="35" t="str">
        <x:v>PASS</x:v>
      </x:c>
      <x:c r="K97" s="35" t="str">
        <x:v>FAIL</x:v>
      </x:c>
      <x:c r="L97" s="35" t="str">
        <x:v>NOT_RUN</x:v>
      </x:c>
      <x:c r="M97" s="35" t="str">
        <x:v>coverage unavailable or execution/compile failed</x:v>
      </x:c>
      <x:c r="N97" s="35" t="str">
        <x:v>Gemini-3.8-flash/Result/Closure_126/result.json</x:v>
      </x:c>
      <x:c r="O97" s="39" t="str">
        <x:f>IF(AND(G97="RECORDED",ISNUMBER(H97)),H97,"")</x:f>
      </x:c>
      <x:c r="P97" s="35" t="str">
        <x:v>NOT_AVAILABLE</x:v>
      </x:c>
      <x:c r="Q97" s="35" t="str">
        <x:v>Gemini-3.8-flash/Result/Closure_126/result.json</x:v>
      </x:c>
    </x:row>
    <x:row r="98">
      <x:c r="A98" s="35" t="str">
        <x:v>gemini</x:v>
      </x:c>
      <x:c r="B98" s="35" t="str">
        <x:v>Closure</x:v>
      </x:c>
      <x:c r="C98" s="35" t="str">
        <x:v>Round1</x:v>
      </x:c>
      <x:c r="D98" s="35" t="str">
        <x:v>Closure_127</x:v>
      </x:c>
      <x:c r="E98" s="35" t="str">
        <x:v>Line</x:v>
      </x:c>
      <x:c r="F98" s="35"/>
      <x:c r="G98" s="35" t="str">
        <x:v>A</x:v>
      </x:c>
      <x:c r="H98" s="39" t="str">
        <x:f>IF(ISNUMBER('Data'!E98),'Data'!E98*100,"")</x:f>
      </x:c>
      <x:c r="I98" s="35"/>
      <x:c r="J98" s="35" t="str">
        <x:v>PASS</x:v>
      </x:c>
      <x:c r="K98" s="35" t="str">
        <x:v>FAIL</x:v>
      </x:c>
      <x:c r="L98" s="35" t="str">
        <x:v>NOT_RUN</x:v>
      </x:c>
      <x:c r="M98" s="35" t="str">
        <x:v>coverage unavailable or execution/compile failed</x:v>
      </x:c>
      <x:c r="N98" s="35" t="str">
        <x:v>Gemini-3.8-flash/Result/Closure_127/result.json</x:v>
      </x:c>
      <x:c r="O98" s="39" t="str">
        <x:f>IF(AND(G98="RECORDED",ISNUMBER(H98)),H98,"")</x:f>
      </x:c>
      <x:c r="P98" s="35" t="str">
        <x:v>NOT_AVAILABLE</x:v>
      </x:c>
      <x:c r="Q98" s="35" t="str">
        <x:v>Gemini-3.8-flash/Result/Closure_127/result.json</x:v>
      </x:c>
    </x:row>
    <x:row r="99">
      <x:c r="A99" s="35" t="str">
        <x:v>gemini</x:v>
      </x:c>
      <x:c r="B99" s="35" t="str">
        <x:v>Closure</x:v>
      </x:c>
      <x:c r="C99" s="35" t="str">
        <x:v>Round1</x:v>
      </x:c>
      <x:c r="D99" s="35" t="str">
        <x:v>Closure_128</x:v>
      </x:c>
      <x:c r="E99" s="35" t="str">
        <x:v>Line</x:v>
      </x:c>
      <x:c r="F99" s="35"/>
      <x:c r="G99" s="35" t="str">
        <x:v>A</x:v>
      </x:c>
      <x:c r="H99" s="39" t="str">
        <x:f>IF(ISNUMBER('Data'!E99),'Data'!E99*100,"")</x:f>
      </x:c>
      <x:c r="I99" s="35"/>
      <x:c r="J99" s="35" t="str">
        <x:v>PASS</x:v>
      </x:c>
      <x:c r="K99" s="35" t="str">
        <x:v>FAIL</x:v>
      </x:c>
      <x:c r="L99" s="35" t="str">
        <x:v>NOT_RUN</x:v>
      </x:c>
      <x:c r="M99" s="35" t="str">
        <x:v>coverage unavailable or execution/compile failed</x:v>
      </x:c>
      <x:c r="N99" s="35" t="str">
        <x:v>Gemini-3.8-flash/Result/Closure_128/result.json</x:v>
      </x:c>
      <x:c r="O99" s="39" t="str">
        <x:f>IF(AND(G99="RECORDED",ISNUMBER(H99)),H99,"")</x:f>
      </x:c>
      <x:c r="P99" s="35" t="str">
        <x:v>NOT_AVAILABLE</x:v>
      </x:c>
      <x:c r="Q99" s="35" t="str">
        <x:v>Gemini-3.8-flash/Result/Closure_128/result.json</x:v>
      </x:c>
    </x:row>
    <x:row r="100">
      <x:c r="A100" s="35" t="str">
        <x:v>gemini</x:v>
      </x:c>
      <x:c r="B100" s="35" t="str">
        <x:v>Closure</x:v>
      </x:c>
      <x:c r="C100" s="35" t="str">
        <x:v>Round1</x:v>
      </x:c>
      <x:c r="D100" s="35" t="str">
        <x:v>Closure_129</x:v>
      </x:c>
      <x:c r="E100" s="35" t="str">
        <x:v>Line</x:v>
      </x:c>
      <x:c r="F100" s="35"/>
      <x:c r="G100" s="35" t="str">
        <x:v>A</x:v>
      </x:c>
      <x:c r="H100" s="39" t="str">
        <x:f>IF(ISNUMBER('Data'!E100),'Data'!E100*100,"")</x:f>
      </x:c>
      <x:c r="I100" s="35"/>
      <x:c r="J100" s="35" t="str">
        <x:v>PASS</x:v>
      </x:c>
      <x:c r="K100" s="35" t="str">
        <x:v>FAIL</x:v>
      </x:c>
      <x:c r="L100" s="35" t="str">
        <x:v>NOT_RUN</x:v>
      </x:c>
      <x:c r="M100" s="35" t="str">
        <x:v>coverage unavailable or execution/compile failed</x:v>
      </x:c>
      <x:c r="N100" s="35" t="str">
        <x:v>Gemini-3.8-flash/Result/Closure_129/result.json</x:v>
      </x:c>
      <x:c r="O100" s="39" t="str">
        <x:f>IF(AND(G100="RECORDED",ISNUMBER(H100)),H100,"")</x:f>
      </x:c>
      <x:c r="P100" s="35" t="str">
        <x:v>NOT_AVAILABLE</x:v>
      </x:c>
      <x:c r="Q100" s="35" t="str">
        <x:v>Gemini-3.8-flash/Result/Closure_129/result.json</x:v>
      </x:c>
    </x:row>
    <x:row r="101">
      <x:c r="A101" s="35" t="str">
        <x:v>gemini</x:v>
      </x:c>
      <x:c r="B101" s="35" t="str">
        <x:v>Closure</x:v>
      </x:c>
      <x:c r="C101" s="35" t="str">
        <x:v>Round1</x:v>
      </x:c>
      <x:c r="D101" s="35" t="str">
        <x:v>Closure_13</x:v>
      </x:c>
      <x:c r="E101" s="35" t="str">
        <x:v>Line</x:v>
      </x:c>
      <x:c r="F101" s="35"/>
      <x:c r="G101" s="35" t="str">
        <x:v>A</x:v>
      </x:c>
      <x:c r="H101" s="39" t="str">
        <x:f>IF(ISNUMBER('Data'!E101),'Data'!E101*100,"")</x:f>
      </x:c>
      <x:c r="I101" s="35"/>
      <x:c r="J101" s="35" t="str">
        <x:v>PASS</x:v>
      </x:c>
      <x:c r="K101" s="35" t="str">
        <x:v>FAIL</x:v>
      </x:c>
      <x:c r="L101" s="35" t="str">
        <x:v>NOT_RUN</x:v>
      </x:c>
      <x:c r="M101" s="35" t="str">
        <x:v>coverage unavailable or execution/compile failed</x:v>
      </x:c>
      <x:c r="N101" s="35" t="str">
        <x:v>Gemini-3.8-flash/Result/Closure_13/result.json</x:v>
      </x:c>
      <x:c r="O101" s="39" t="str">
        <x:f>IF(AND(G101="RECORDED",ISNUMBER(H101)),H101,"")</x:f>
      </x:c>
      <x:c r="P101" s="35" t="str">
        <x:v>NOT_AVAILABLE</x:v>
      </x:c>
      <x:c r="Q101" s="35" t="str">
        <x:v>Gemini-3.8-flash/Result/Closure_13/result.json</x:v>
      </x:c>
    </x:row>
    <x:row r="102">
      <x:c r="A102" s="35" t="str">
        <x:v>gemini</x:v>
      </x:c>
      <x:c r="B102" s="35" t="str">
        <x:v>Closure</x:v>
      </x:c>
      <x:c r="C102" s="35" t="str">
        <x:v>Round1</x:v>
      </x:c>
      <x:c r="D102" s="35" t="str">
        <x:v>Closure_130</x:v>
      </x:c>
      <x:c r="E102" s="35" t="str">
        <x:v>Line</x:v>
      </x:c>
      <x:c r="F102" s="35"/>
      <x:c r="G102" s="35" t="str">
        <x:v>A</x:v>
      </x:c>
      <x:c r="H102" s="39" t="str">
        <x:f>IF(ISNUMBER('Data'!E102),'Data'!E102*100,"")</x:f>
      </x:c>
      <x:c r="I102" s="35"/>
      <x:c r="J102" s="35" t="str">
        <x:v>PASS</x:v>
      </x:c>
      <x:c r="K102" s="35" t="str">
        <x:v>FAIL</x:v>
      </x:c>
      <x:c r="L102" s="35" t="str">
        <x:v>NOT_RUN</x:v>
      </x:c>
      <x:c r="M102" s="35" t="str">
        <x:v>coverage unavailable or execution/compile failed</x:v>
      </x:c>
      <x:c r="N102" s="35" t="str">
        <x:v>Gemini-3.8-flash/Result/Closure_130/result.json</x:v>
      </x:c>
      <x:c r="O102" s="39" t="str">
        <x:f>IF(AND(G102="RECORDED",ISNUMBER(H102)),H102,"")</x:f>
      </x:c>
      <x:c r="P102" s="35" t="str">
        <x:v>NOT_AVAILABLE</x:v>
      </x:c>
      <x:c r="Q102" s="35" t="str">
        <x:v>Gemini-3.8-flash/Result/Closure_130/result.json</x:v>
      </x:c>
    </x:row>
    <x:row r="103">
      <x:c r="A103" s="35" t="str">
        <x:v>gemini</x:v>
      </x:c>
      <x:c r="B103" s="35" t="str">
        <x:v>Closure</x:v>
      </x:c>
      <x:c r="C103" s="35" t="str">
        <x:v>Round1</x:v>
      </x:c>
      <x:c r="D103" s="35" t="str">
        <x:v>Closure_131</x:v>
      </x:c>
      <x:c r="E103" s="35" t="str">
        <x:v>Line</x:v>
      </x:c>
      <x:c r="F103" s="35" t="n">
        <x:v>113</x:v>
      </x:c>
      <x:c r="G103" s="35" t="str">
        <x:v>RECORDED</x:v>
      </x:c>
      <x:c r="H103" s="39" t="n">
        <x:f>IF(ISNUMBER('Data'!E103),'Data'!E103*100,"")</x:f>
        <x:v>99.12</x:v>
      </x:c>
      <x:c r="I103" s="35" t="str">
        <x:v>PASS</x:v>
      </x:c>
      <x:c r="J103" s="35" t="str">
        <x:v>PASS</x:v>
      </x:c>
      <x:c r="K103" s="35" t="str">
        <x:v>PASS</x:v>
      </x:c>
      <x:c r="L103" s="35" t="str">
        <x:v>FAIL</x:v>
      </x:c>
      <x:c r="M103" s="35" t="str">
        <x:v>numeric coverage for applicable metric</x:v>
      </x:c>
      <x:c r="N103" s="35" t="str">
        <x:v>Gemini-3.8-flash/Result/Closure_131/result.json</x:v>
      </x:c>
      <x:c r="O103" s="39" t="n">
        <x:f>IF(AND(G103="RECORDED",ISNUMBER(H103)),H103,"")</x:f>
        <x:v>99.12</x:v>
      </x:c>
      <x:c r="P103" s="35" t="str">
        <x:v>REVEALING</x:v>
      </x:c>
      <x:c r="Q103" s="35" t="str">
        <x:v>Gemini-3.8-flash/Result/Closure_131/result.json</x:v>
      </x:c>
    </x:row>
    <x:row r="104">
      <x:c r="A104" s="35" t="str">
        <x:v>gemini</x:v>
      </x:c>
      <x:c r="B104" s="35" t="str">
        <x:v>Closure</x:v>
      </x:c>
      <x:c r="C104" s="35" t="str">
        <x:v>Round1</x:v>
      </x:c>
      <x:c r="D104" s="35" t="str">
        <x:v>Closure_132</x:v>
      </x:c>
      <x:c r="E104" s="35" t="str">
        <x:v>Line</x:v>
      </x:c>
      <x:c r="F104" s="35"/>
      <x:c r="G104" s="35" t="str">
        <x:v>A</x:v>
      </x:c>
      <x:c r="H104" s="39" t="str">
        <x:f>IF(ISNUMBER('Data'!E104),'Data'!E104*100,"")</x:f>
      </x:c>
      <x:c r="I104" s="35"/>
      <x:c r="J104" s="35" t="str">
        <x:v>PASS</x:v>
      </x:c>
      <x:c r="K104" s="35" t="str">
        <x:v>FAIL</x:v>
      </x:c>
      <x:c r="L104" s="35" t="str">
        <x:v>NOT_RUN</x:v>
      </x:c>
      <x:c r="M104" s="35" t="str">
        <x:v>coverage unavailable or execution/compile failed</x:v>
      </x:c>
      <x:c r="N104" s="35" t="str">
        <x:v>Gemini-3.8-flash/Result/Closure_132/result.json</x:v>
      </x:c>
      <x:c r="O104" s="39" t="str">
        <x:f>IF(AND(G104="RECORDED",ISNUMBER(H104)),H104,"")</x:f>
      </x:c>
      <x:c r="P104" s="35" t="str">
        <x:v>NOT_AVAILABLE</x:v>
      </x:c>
      <x:c r="Q104" s="35" t="str">
        <x:v>Gemini-3.8-flash/Result/Closure_132/result.json</x:v>
      </x:c>
    </x:row>
    <x:row r="105">
      <x:c r="A105" s="35" t="str">
        <x:v>gemini</x:v>
      </x:c>
      <x:c r="B105" s="35" t="str">
        <x:v>Closure</x:v>
      </x:c>
      <x:c r="C105" s="35" t="str">
        <x:v>Round1</x:v>
      </x:c>
      <x:c r="D105" s="35" t="str">
        <x:v>Closure_133</x:v>
      </x:c>
      <x:c r="E105" s="35" t="str">
        <x:v>Line</x:v>
      </x:c>
      <x:c r="F105" s="35"/>
      <x:c r="G105" s="35" t="str">
        <x:v>A</x:v>
      </x:c>
      <x:c r="H105" s="39" t="str">
        <x:f>IF(ISNUMBER('Data'!E105),'Data'!E105*100,"")</x:f>
      </x:c>
      <x:c r="I105" s="35"/>
      <x:c r="J105" s="35" t="str">
        <x:v>PASS</x:v>
      </x:c>
      <x:c r="K105" s="35" t="str">
        <x:v>FAIL</x:v>
      </x:c>
      <x:c r="L105" s="35" t="str">
        <x:v>NOT_RUN</x:v>
      </x:c>
      <x:c r="M105" s="35" t="str">
        <x:v>coverage unavailable or execution/compile failed</x:v>
      </x:c>
      <x:c r="N105" s="35" t="str">
        <x:v>Gemini-3.8-flash/Result/Closure_133/result.json</x:v>
      </x:c>
      <x:c r="O105" s="39" t="str">
        <x:f>IF(AND(G105="RECORDED",ISNUMBER(H105)),H105,"")</x:f>
      </x:c>
      <x:c r="P105" s="35" t="str">
        <x:v>NOT_AVAILABLE</x:v>
      </x:c>
      <x:c r="Q105" s="35" t="str">
        <x:v>Gemini-3.8-flash/Result/Closure_133/result.json</x:v>
      </x:c>
    </x:row>
    <x:row r="106">
      <x:c r="A106" s="35" t="str">
        <x:v>gemini</x:v>
      </x:c>
      <x:c r="B106" s="35" t="str">
        <x:v>Closure</x:v>
      </x:c>
      <x:c r="C106" s="35" t="str">
        <x:v>Round1</x:v>
      </x:c>
      <x:c r="D106" s="35" t="str">
        <x:v>Closure_134</x:v>
      </x:c>
      <x:c r="E106" s="35" t="str">
        <x:v>Line</x:v>
      </x:c>
      <x:c r="F106" s="35"/>
      <x:c r="G106" s="35" t="str">
        <x:v>A</x:v>
      </x:c>
      <x:c r="H106" s="39" t="str">
        <x:f>IF(ISNUMBER('Data'!E106),'Data'!E106*100,"")</x:f>
      </x:c>
      <x:c r="I106" s="35"/>
      <x:c r="J106" s="35" t="str">
        <x:v>PASS</x:v>
      </x:c>
      <x:c r="K106" s="35" t="str">
        <x:v>FAIL</x:v>
      </x:c>
      <x:c r="L106" s="35" t="str">
        <x:v>NOT_RUN</x:v>
      </x:c>
      <x:c r="M106" s="35" t="str">
        <x:v>coverage unavailable or execution/compile failed</x:v>
      </x:c>
      <x:c r="N106" s="35" t="str">
        <x:v>Gemini-3.8-flash/Result/Closure_134/result.json</x:v>
      </x:c>
      <x:c r="O106" s="39" t="str">
        <x:f>IF(AND(G106="RECORDED",ISNUMBER(H106)),H106,"")</x:f>
      </x:c>
      <x:c r="P106" s="35" t="str">
        <x:v>NOT_AVAILABLE</x:v>
      </x:c>
      <x:c r="Q106" s="35" t="str">
        <x:v>Gemini-3.8-flash/Result/Closure_134/result.json</x:v>
      </x:c>
    </x:row>
    <x:row r="107">
      <x:c r="A107" s="35" t="str">
        <x:v>gemini</x:v>
      </x:c>
      <x:c r="B107" s="35" t="str">
        <x:v>Closure</x:v>
      </x:c>
      <x:c r="C107" s="35" t="str">
        <x:v>Round1</x:v>
      </x:c>
      <x:c r="D107" s="35" t="str">
        <x:v>Closure_135</x:v>
      </x:c>
      <x:c r="E107" s="35" t="str">
        <x:v>Line</x:v>
      </x:c>
      <x:c r="F107" s="35"/>
      <x:c r="G107" s="35" t="str">
        <x:v>A</x:v>
      </x:c>
      <x:c r="H107" s="39" t="str">
        <x:f>IF(ISNUMBER('Data'!E107),'Data'!E107*100,"")</x:f>
      </x:c>
      <x:c r="I107" s="35"/>
      <x:c r="J107" s="35" t="str">
        <x:v>PASS</x:v>
      </x:c>
      <x:c r="K107" s="35" t="str">
        <x:v>FAIL</x:v>
      </x:c>
      <x:c r="L107" s="35" t="str">
        <x:v>NOT_RUN</x:v>
      </x:c>
      <x:c r="M107" s="35" t="str">
        <x:v>coverage unavailable or execution/compile failed</x:v>
      </x:c>
      <x:c r="N107" s="35" t="str">
        <x:v>Gemini-3.8-flash/Result/Closure_135/result.json</x:v>
      </x:c>
      <x:c r="O107" s="39" t="str">
        <x:f>IF(AND(G107="RECORDED",ISNUMBER(H107)),H107,"")</x:f>
      </x:c>
      <x:c r="P107" s="35" t="str">
        <x:v>NOT_AVAILABLE</x:v>
      </x:c>
      <x:c r="Q107" s="35" t="str">
        <x:v>Gemini-3.8-flash/Result/Closure_135/result.json</x:v>
      </x:c>
    </x:row>
    <x:row r="108">
      <x:c r="A108" s="35" t="str">
        <x:v>gemini</x:v>
      </x:c>
      <x:c r="B108" s="35" t="str">
        <x:v>Closure</x:v>
      </x:c>
      <x:c r="C108" s="35" t="str">
        <x:v>Round1</x:v>
      </x:c>
      <x:c r="D108" s="35" t="str">
        <x:v>Closure_136</x:v>
      </x:c>
      <x:c r="E108" s="35" t="str">
        <x:v>Line</x:v>
      </x:c>
      <x:c r="F108" s="35"/>
      <x:c r="G108" s="35" t="str">
        <x:v>A</x:v>
      </x:c>
      <x:c r="H108" s="39" t="str">
        <x:f>IF(ISNUMBER('Data'!E108),'Data'!E108*100,"")</x:f>
      </x:c>
      <x:c r="I108" s="35"/>
      <x:c r="J108" s="35" t="str">
        <x:v>PASS</x:v>
      </x:c>
      <x:c r="K108" s="35" t="str">
        <x:v>FAIL</x:v>
      </x:c>
      <x:c r="L108" s="35" t="str">
        <x:v>NOT_RUN</x:v>
      </x:c>
      <x:c r="M108" s="35" t="str">
        <x:v>coverage unavailable or execution/compile failed</x:v>
      </x:c>
      <x:c r="N108" s="35" t="str">
        <x:v>Gemini-3.8-flash/Result/Closure_136/result.json</x:v>
      </x:c>
      <x:c r="O108" s="39" t="str">
        <x:f>IF(AND(G108="RECORDED",ISNUMBER(H108)),H108,"")</x:f>
      </x:c>
      <x:c r="P108" s="35" t="str">
        <x:v>NOT_AVAILABLE</x:v>
      </x:c>
      <x:c r="Q108" s="35" t="str">
        <x:v>Gemini-3.8-flash/Result/Closure_136/result.json</x:v>
      </x:c>
    </x:row>
    <x:row r="109">
      <x:c r="A109" s="35" t="str">
        <x:v>gemini</x:v>
      </x:c>
      <x:c r="B109" s="35" t="str">
        <x:v>Closure</x:v>
      </x:c>
      <x:c r="C109" s="35" t="str">
        <x:v>Round1</x:v>
      </x:c>
      <x:c r="D109" s="35" t="str">
        <x:v>Closure_137</x:v>
      </x:c>
      <x:c r="E109" s="35" t="str">
        <x:v>Line</x:v>
      </x:c>
      <x:c r="F109" s="35"/>
      <x:c r="G109" s="35" t="str">
        <x:v>A</x:v>
      </x:c>
      <x:c r="H109" s="39" t="str">
        <x:f>IF(ISNUMBER('Data'!E109),'Data'!E109*100,"")</x:f>
      </x:c>
      <x:c r="I109" s="35"/>
      <x:c r="J109" s="35" t="str">
        <x:v>PASS</x:v>
      </x:c>
      <x:c r="K109" s="35" t="str">
        <x:v>FAIL</x:v>
      </x:c>
      <x:c r="L109" s="35" t="str">
        <x:v>NOT_RUN</x:v>
      </x:c>
      <x:c r="M109" s="35" t="str">
        <x:v>coverage unavailable or execution/compile failed</x:v>
      </x:c>
      <x:c r="N109" s="35" t="str">
        <x:v>Gemini-3.8-flash/Result/Closure_137/result.json</x:v>
      </x:c>
      <x:c r="O109" s="39" t="str">
        <x:f>IF(AND(G109="RECORDED",ISNUMBER(H109)),H109,"")</x:f>
      </x:c>
      <x:c r="P109" s="35" t="str">
        <x:v>NOT_AVAILABLE</x:v>
      </x:c>
      <x:c r="Q109" s="35" t="str">
        <x:v>Gemini-3.8-flash/Result/Closure_137/result.json</x:v>
      </x:c>
    </x:row>
    <x:row r="110">
      <x:c r="A110" s="35" t="str">
        <x:v>gemini</x:v>
      </x:c>
      <x:c r="B110" s="35" t="str">
        <x:v>Closure</x:v>
      </x:c>
      <x:c r="C110" s="35" t="str">
        <x:v>Round1</x:v>
      </x:c>
      <x:c r="D110" s="35" t="str">
        <x:v>Closure_138</x:v>
      </x:c>
      <x:c r="E110" s="35" t="str">
        <x:v>Line</x:v>
      </x:c>
      <x:c r="F110" s="35"/>
      <x:c r="G110" s="35" t="str">
        <x:v>A</x:v>
      </x:c>
      <x:c r="H110" s="39" t="str">
        <x:f>IF(ISNUMBER('Data'!E110),'Data'!E110*100,"")</x:f>
      </x:c>
      <x:c r="I110" s="35"/>
      <x:c r="J110" s="35" t="str">
        <x:v>PASS</x:v>
      </x:c>
      <x:c r="K110" s="35" t="str">
        <x:v>FAIL</x:v>
      </x:c>
      <x:c r="L110" s="35" t="str">
        <x:v>NOT_RUN</x:v>
      </x:c>
      <x:c r="M110" s="35" t="str">
        <x:v>coverage unavailable or execution/compile failed</x:v>
      </x:c>
      <x:c r="N110" s="35" t="str">
        <x:v>Gemini-3.8-flash/Result/Closure_138/result.json</x:v>
      </x:c>
      <x:c r="O110" s="39" t="str">
        <x:f>IF(AND(G110="RECORDED",ISNUMBER(H110)),H110,"")</x:f>
      </x:c>
      <x:c r="P110" s="35" t="str">
        <x:v>NOT_AVAILABLE</x:v>
      </x:c>
      <x:c r="Q110" s="35" t="str">
        <x:v>Gemini-3.8-flash/Result/Closure_138/result.json</x:v>
      </x:c>
    </x:row>
    <x:row r="111">
      <x:c r="A111" s="35" t="str">
        <x:v>gemini</x:v>
      </x:c>
      <x:c r="B111" s="35" t="str">
        <x:v>Closure</x:v>
      </x:c>
      <x:c r="C111" s="35" t="str">
        <x:v>Round1</x:v>
      </x:c>
      <x:c r="D111" s="35" t="str">
        <x:v>Closure_139</x:v>
      </x:c>
      <x:c r="E111" s="35" t="str">
        <x:v>Line</x:v>
      </x:c>
      <x:c r="F111" s="35"/>
      <x:c r="G111" s="35" t="str">
        <x:v>A</x:v>
      </x:c>
      <x:c r="H111" s="39" t="str">
        <x:f>IF(ISNUMBER('Data'!E111),'Data'!E111*100,"")</x:f>
      </x:c>
      <x:c r="I111" s="35"/>
      <x:c r="J111" s="35" t="str">
        <x:v>PASS</x:v>
      </x:c>
      <x:c r="K111" s="35" t="str">
        <x:v>FAIL</x:v>
      </x:c>
      <x:c r="L111" s="35" t="str">
        <x:v>NOT_RUN</x:v>
      </x:c>
      <x:c r="M111" s="35" t="str">
        <x:v>coverage unavailable or execution/compile failed</x:v>
      </x:c>
      <x:c r="N111" s="35" t="str">
        <x:v>Gemini-3.8-flash/Result/Closure_139/result.json</x:v>
      </x:c>
      <x:c r="O111" s="39" t="str">
        <x:f>IF(AND(G111="RECORDED",ISNUMBER(H111)),H111,"")</x:f>
      </x:c>
      <x:c r="P111" s="35" t="str">
        <x:v>NOT_AVAILABLE</x:v>
      </x:c>
      <x:c r="Q111" s="35" t="str">
        <x:v>Gemini-3.8-flash/Result/Closure_139/result.json</x:v>
      </x:c>
    </x:row>
    <x:row r="112">
      <x:c r="A112" s="35" t="str">
        <x:v>gemini</x:v>
      </x:c>
      <x:c r="B112" s="35" t="str">
        <x:v>Closure</x:v>
      </x:c>
      <x:c r="C112" s="35" t="str">
        <x:v>Round1</x:v>
      </x:c>
      <x:c r="D112" s="35" t="str">
        <x:v>Closure_14</x:v>
      </x:c>
      <x:c r="E112" s="35" t="str">
        <x:v>Line</x:v>
      </x:c>
      <x:c r="F112" s="35"/>
      <x:c r="G112" s="35" t="str">
        <x:v>A</x:v>
      </x:c>
      <x:c r="H112" s="39" t="str">
        <x:f>IF(ISNUMBER('Data'!E112),'Data'!E112*100,"")</x:f>
      </x:c>
      <x:c r="I112" s="35"/>
      <x:c r="J112" s="35" t="str">
        <x:v>PASS</x:v>
      </x:c>
      <x:c r="K112" s="35" t="str">
        <x:v>FAIL</x:v>
      </x:c>
      <x:c r="L112" s="35" t="str">
        <x:v>NOT_RUN</x:v>
      </x:c>
      <x:c r="M112" s="35" t="str">
        <x:v>coverage unavailable or execution/compile failed</x:v>
      </x:c>
      <x:c r="N112" s="35" t="str">
        <x:v>Gemini-3.8-flash/Result/Closure_14/result.json</x:v>
      </x:c>
      <x:c r="O112" s="39" t="str">
        <x:f>IF(AND(G112="RECORDED",ISNUMBER(H112)),H112,"")</x:f>
      </x:c>
      <x:c r="P112" s="35" t="str">
        <x:v>NOT_AVAILABLE</x:v>
      </x:c>
      <x:c r="Q112" s="35" t="str">
        <x:v>Gemini-3.8-flash/Result/Closure_14/result.json</x:v>
      </x:c>
    </x:row>
    <x:row r="113">
      <x:c r="A113" s="35" t="str">
        <x:v>gemini</x:v>
      </x:c>
      <x:c r="B113" s="35" t="str">
        <x:v>Closure</x:v>
      </x:c>
      <x:c r="C113" s="35" t="str">
        <x:v>Round1</x:v>
      </x:c>
      <x:c r="D113" s="35" t="str">
        <x:v>Closure_140</x:v>
      </x:c>
      <x:c r="E113" s="35" t="str">
        <x:v>Line</x:v>
      </x:c>
      <x:c r="F113" s="35"/>
      <x:c r="G113" s="35" t="str">
        <x:v>A</x:v>
      </x:c>
      <x:c r="H113" s="39" t="str">
        <x:f>IF(ISNUMBER('Data'!E113),'Data'!E113*100,"")</x:f>
      </x:c>
      <x:c r="I113" s="35"/>
      <x:c r="J113" s="35" t="str">
        <x:v>PASS</x:v>
      </x:c>
      <x:c r="K113" s="35" t="str">
        <x:v>FAIL</x:v>
      </x:c>
      <x:c r="L113" s="35" t="str">
        <x:v>NOT_RUN</x:v>
      </x:c>
      <x:c r="M113" s="35" t="str">
        <x:v>coverage unavailable or execution/compile failed</x:v>
      </x:c>
      <x:c r="N113" s="35" t="str">
        <x:v>Gemini-3.8-flash/Result/Closure_140/result.json</x:v>
      </x:c>
      <x:c r="O113" s="39" t="str">
        <x:f>IF(AND(G113="RECORDED",ISNUMBER(H113)),H113,"")</x:f>
      </x:c>
      <x:c r="P113" s="35" t="str">
        <x:v>NOT_AVAILABLE</x:v>
      </x:c>
      <x:c r="Q113" s="35" t="str">
        <x:v>Gemini-3.8-flash/Result/Closure_140/result.json</x:v>
      </x:c>
    </x:row>
    <x:row r="114">
      <x:c r="A114" s="35" t="str">
        <x:v>gemini</x:v>
      </x:c>
      <x:c r="B114" s="35" t="str">
        <x:v>Closure</x:v>
      </x:c>
      <x:c r="C114" s="35" t="str">
        <x:v>Round1</x:v>
      </x:c>
      <x:c r="D114" s="35" t="str">
        <x:v>Closure_141</x:v>
      </x:c>
      <x:c r="E114" s="35" t="str">
        <x:v>Line</x:v>
      </x:c>
      <x:c r="F114" s="35"/>
      <x:c r="G114" s="35" t="str">
        <x:v>A</x:v>
      </x:c>
      <x:c r="H114" s="39" t="str">
        <x:f>IF(ISNUMBER('Data'!E114),'Data'!E114*100,"")</x:f>
      </x:c>
      <x:c r="I114" s="35"/>
      <x:c r="J114" s="35" t="str">
        <x:v>PASS</x:v>
      </x:c>
      <x:c r="K114" s="35" t="str">
        <x:v>FAIL</x:v>
      </x:c>
      <x:c r="L114" s="35" t="str">
        <x:v>NOT_RUN</x:v>
      </x:c>
      <x:c r="M114" s="35" t="str">
        <x:v>coverage unavailable or execution/compile failed</x:v>
      </x:c>
      <x:c r="N114" s="35" t="str">
        <x:v>Gemini-3.8-flash/Result/Closure_141/result.json</x:v>
      </x:c>
      <x:c r="O114" s="39" t="str">
        <x:f>IF(AND(G114="RECORDED",ISNUMBER(H114)),H114,"")</x:f>
      </x:c>
      <x:c r="P114" s="35" t="str">
        <x:v>NOT_AVAILABLE</x:v>
      </x:c>
      <x:c r="Q114" s="35" t="str">
        <x:v>Gemini-3.8-flash/Result/Closure_141/result.json</x:v>
      </x:c>
    </x:row>
    <x:row r="115">
      <x:c r="A115" s="35" t="str">
        <x:v>gemini</x:v>
      </x:c>
      <x:c r="B115" s="35" t="str">
        <x:v>Closure</x:v>
      </x:c>
      <x:c r="C115" s="35" t="str">
        <x:v>Round1</x:v>
      </x:c>
      <x:c r="D115" s="35" t="str">
        <x:v>Closure_142</x:v>
      </x:c>
      <x:c r="E115" s="35" t="str">
        <x:v>Line</x:v>
      </x:c>
      <x:c r="F115" s="35"/>
      <x:c r="G115" s="35" t="str">
        <x:v>A</x:v>
      </x:c>
      <x:c r="H115" s="39" t="str">
        <x:f>IF(ISNUMBER('Data'!E115),'Data'!E115*100,"")</x:f>
      </x:c>
      <x:c r="I115" s="35"/>
      <x:c r="J115" s="35" t="str">
        <x:v>PASS</x:v>
      </x:c>
      <x:c r="K115" s="35" t="str">
        <x:v>FAIL</x:v>
      </x:c>
      <x:c r="L115" s="35" t="str">
        <x:v>NOT_RUN</x:v>
      </x:c>
      <x:c r="M115" s="35" t="str">
        <x:v>coverage unavailable or execution/compile failed</x:v>
      </x:c>
      <x:c r="N115" s="35" t="str">
        <x:v>Gemini-3.8-flash/Result/Closure_142/result.json</x:v>
      </x:c>
      <x:c r="O115" s="39" t="str">
        <x:f>IF(AND(G115="RECORDED",ISNUMBER(H115)),H115,"")</x:f>
      </x:c>
      <x:c r="P115" s="35" t="str">
        <x:v>NOT_AVAILABLE</x:v>
      </x:c>
      <x:c r="Q115" s="35" t="str">
        <x:v>Gemini-3.8-flash/Result/Closure_142/result.json</x:v>
      </x:c>
    </x:row>
    <x:row r="116">
      <x:c r="A116" s="35" t="str">
        <x:v>gemini</x:v>
      </x:c>
      <x:c r="B116" s="35" t="str">
        <x:v>Closure</x:v>
      </x:c>
      <x:c r="C116" s="35" t="str">
        <x:v>Round1</x:v>
      </x:c>
      <x:c r="D116" s="35" t="str">
        <x:v>Closure_143</x:v>
      </x:c>
      <x:c r="E116" s="35" t="str">
        <x:v>Line</x:v>
      </x:c>
      <x:c r="F116" s="35" t="n">
        <x:v>502</x:v>
      </x:c>
      <x:c r="G116" s="35" t="str">
        <x:v>RECORDED</x:v>
      </x:c>
      <x:c r="H116" s="39" t="n">
        <x:f>IF(ISNUMBER('Data'!E116),'Data'!E116*100,"")</x:f>
        <x:v>6.77</x:v>
      </x:c>
      <x:c r="I116" s="35" t="str">
        <x:v>PASS</x:v>
      </x:c>
      <x:c r="J116" s="35" t="str">
        <x:v>PASS</x:v>
      </x:c>
      <x:c r="K116" s="35" t="str">
        <x:v>PASS</x:v>
      </x:c>
      <x:c r="L116" s="35" t="str">
        <x:v>PASS</x:v>
      </x:c>
      <x:c r="M116" s="35" t="str">
        <x:v>numeric coverage for applicable metric</x:v>
      </x:c>
      <x:c r="N116" s="35" t="str">
        <x:v>Gemini-3.8-flash/Result/Closure_143/result.json</x:v>
      </x:c>
      <x:c r="O116" s="39" t="n">
        <x:f>IF(AND(G116="RECORDED",ISNUMBER(H116)),H116,"")</x:f>
        <x:v>6.77</x:v>
      </x:c>
      <x:c r="P116" s="35" t="str">
        <x:v>NOT_REVEALING</x:v>
      </x:c>
      <x:c r="Q116" s="35" t="str">
        <x:v>Gemini-3.8-flash/Result/Closure_143/result.json</x:v>
      </x:c>
    </x:row>
    <x:row r="117">
      <x:c r="A117" s="35" t="str">
        <x:v>gemini</x:v>
      </x:c>
      <x:c r="B117" s="35" t="str">
        <x:v>Closure</x:v>
      </x:c>
      <x:c r="C117" s="35" t="str">
        <x:v>Round1</x:v>
      </x:c>
      <x:c r="D117" s="35" t="str">
        <x:v>Closure_144</x:v>
      </x:c>
      <x:c r="E117" s="35" t="str">
        <x:v>Line</x:v>
      </x:c>
      <x:c r="F117" s="35" t="n">
        <x:v>1221</x:v>
      </x:c>
      <x:c r="G117" s="35" t="str">
        <x:v>RECORDED</x:v>
      </x:c>
      <x:c r="H117" s="39" t="n">
        <x:f>IF(ISNUMBER('Data'!E117),'Data'!E117*100,"")</x:f>
        <x:v>8.35</x:v>
      </x:c>
      <x:c r="I117" s="35" t="str">
        <x:v>PASS</x:v>
      </x:c>
      <x:c r="J117" s="35" t="str">
        <x:v>PASS</x:v>
      </x:c>
      <x:c r="K117" s="35" t="str">
        <x:v>PASS</x:v>
      </x:c>
      <x:c r="L117" s="35" t="str">
        <x:v>FAIL</x:v>
      </x:c>
      <x:c r="M117" s="35" t="str">
        <x:v>numeric coverage for applicable metric</x:v>
      </x:c>
      <x:c r="N117" s="35" t="str">
        <x:v>Gemini-3.8-flash/Result/Closure_144/result.json</x:v>
      </x:c>
      <x:c r="O117" s="39" t="n">
        <x:f>IF(AND(G117="RECORDED",ISNUMBER(H117)),H117,"")</x:f>
        <x:v>8.35</x:v>
      </x:c>
      <x:c r="P117" s="35" t="str">
        <x:v>INCONCLUSIVE</x:v>
      </x:c>
      <x:c r="Q117" s="35" t="str">
        <x:v>Gemini-3.8-flash/Result/Closure_144/result.json</x:v>
      </x:c>
    </x:row>
    <x:row r="118">
      <x:c r="A118" s="35" t="str">
        <x:v>gemini</x:v>
      </x:c>
      <x:c r="B118" s="35" t="str">
        <x:v>Closure</x:v>
      </x:c>
      <x:c r="C118" s="35" t="str">
        <x:v>Round1</x:v>
      </x:c>
      <x:c r="D118" s="35" t="str">
        <x:v>Closure_145</x:v>
      </x:c>
      <x:c r="E118" s="35" t="str">
        <x:v>Line</x:v>
      </x:c>
      <x:c r="F118" s="35"/>
      <x:c r="G118" s="35" t="str">
        <x:v>A</x:v>
      </x:c>
      <x:c r="H118" s="39" t="str">
        <x:f>IF(ISNUMBER('Data'!E118),'Data'!E118*100,"")</x:f>
      </x:c>
      <x:c r="I118" s="35"/>
      <x:c r="J118" s="35" t="str">
        <x:v>PASS</x:v>
      </x:c>
      <x:c r="K118" s="35" t="str">
        <x:v>FAIL</x:v>
      </x:c>
      <x:c r="L118" s="35" t="str">
        <x:v>NOT_RUN</x:v>
      </x:c>
      <x:c r="M118" s="35" t="str">
        <x:v>coverage unavailable or execution/compile failed</x:v>
      </x:c>
      <x:c r="N118" s="35" t="str">
        <x:v>Gemini-3.8-flash/Result/Closure_145/result.json</x:v>
      </x:c>
      <x:c r="O118" s="39" t="str">
        <x:f>IF(AND(G118="RECORDED",ISNUMBER(H118)),H118,"")</x:f>
      </x:c>
      <x:c r="P118" s="35" t="str">
        <x:v>NOT_AVAILABLE</x:v>
      </x:c>
      <x:c r="Q118" s="35" t="str">
        <x:v>Gemini-3.8-flash/Result/Closure_145/result.json</x:v>
      </x:c>
    </x:row>
    <x:row r="119">
      <x:c r="A119" s="35" t="str">
        <x:v>gemini</x:v>
      </x:c>
      <x:c r="B119" s="35" t="str">
        <x:v>Closure</x:v>
      </x:c>
      <x:c r="C119" s="35" t="str">
        <x:v>Round1</x:v>
      </x:c>
      <x:c r="D119" s="35" t="str">
        <x:v>Closure_146</x:v>
      </x:c>
      <x:c r="E119" s="35" t="str">
        <x:v>Line</x:v>
      </x:c>
      <x:c r="F119" s="35"/>
      <x:c r="G119" s="35" t="str">
        <x:v>A</x:v>
      </x:c>
      <x:c r="H119" s="39" t="str">
        <x:f>IF(ISNUMBER('Data'!E119),'Data'!E119*100,"")</x:f>
      </x:c>
      <x:c r="I119" s="35"/>
      <x:c r="J119" s="35" t="str">
        <x:v>PASS</x:v>
      </x:c>
      <x:c r="K119" s="35" t="str">
        <x:v>FAIL</x:v>
      </x:c>
      <x:c r="L119" s="35" t="str">
        <x:v>NOT_RUN</x:v>
      </x:c>
      <x:c r="M119" s="35" t="str">
        <x:v>coverage unavailable or execution/compile failed</x:v>
      </x:c>
      <x:c r="N119" s="35" t="str">
        <x:v>Gemini-3.8-flash/Result/Closure_146/result.json</x:v>
      </x:c>
      <x:c r="O119" s="39" t="str">
        <x:f>IF(AND(G119="RECORDED",ISNUMBER(H119)),H119,"")</x:f>
      </x:c>
      <x:c r="P119" s="35" t="str">
        <x:v>NOT_AVAILABLE</x:v>
      </x:c>
      <x:c r="Q119" s="35" t="str">
        <x:v>Gemini-3.8-flash/Result/Closure_146/result.json</x:v>
      </x:c>
    </x:row>
    <x:row r="120">
      <x:c r="A120" s="35" t="str">
        <x:v>gemini</x:v>
      </x:c>
      <x:c r="B120" s="35" t="str">
        <x:v>Closure</x:v>
      </x:c>
      <x:c r="C120" s="35" t="str">
        <x:v>Round1</x:v>
      </x:c>
      <x:c r="D120" s="35" t="str">
        <x:v>Closure_147</x:v>
      </x:c>
      <x:c r="E120" s="35" t="str">
        <x:v>Line</x:v>
      </x:c>
      <x:c r="F120" s="35"/>
      <x:c r="G120" s="35" t="str">
        <x:v>A</x:v>
      </x:c>
      <x:c r="H120" s="39" t="str">
        <x:f>IF(ISNUMBER('Data'!E120),'Data'!E120*100,"")</x:f>
      </x:c>
      <x:c r="I120" s="35"/>
      <x:c r="J120" s="35" t="str">
        <x:v>PASS</x:v>
      </x:c>
      <x:c r="K120" s="35" t="str">
        <x:v>FAIL</x:v>
      </x:c>
      <x:c r="L120" s="35" t="str">
        <x:v>NOT_RUN</x:v>
      </x:c>
      <x:c r="M120" s="35" t="str">
        <x:v>coverage unavailable or execution/compile failed</x:v>
      </x:c>
      <x:c r="N120" s="35" t="str">
        <x:v>Gemini-3.8-flash/Result/Closure_147/result.json</x:v>
      </x:c>
      <x:c r="O120" s="39" t="str">
        <x:f>IF(AND(G120="RECORDED",ISNUMBER(H120)),H120,"")</x:f>
      </x:c>
      <x:c r="P120" s="35" t="str">
        <x:v>NOT_AVAILABLE</x:v>
      </x:c>
      <x:c r="Q120" s="35" t="str">
        <x:v>Gemini-3.8-flash/Result/Closure_147/result.json</x:v>
      </x:c>
    </x:row>
    <x:row r="121">
      <x:c r="A121" s="35" t="str">
        <x:v>gemini</x:v>
      </x:c>
      <x:c r="B121" s="35" t="str">
        <x:v>Closure</x:v>
      </x:c>
      <x:c r="C121" s="35" t="str">
        <x:v>Round1</x:v>
      </x:c>
      <x:c r="D121" s="35" t="str">
        <x:v>Closure_148</x:v>
      </x:c>
      <x:c r="E121" s="35" t="str">
        <x:v>Line</x:v>
      </x:c>
      <x:c r="F121" s="35"/>
      <x:c r="G121" s="35" t="str">
        <x:v>A</x:v>
      </x:c>
      <x:c r="H121" s="39" t="str">
        <x:f>IF(ISNUMBER('Data'!E121),'Data'!E121*100,"")</x:f>
      </x:c>
      <x:c r="I121" s="35"/>
      <x:c r="J121" s="35" t="str">
        <x:v>PASS</x:v>
      </x:c>
      <x:c r="K121" s="35" t="str">
        <x:v>FAIL</x:v>
      </x:c>
      <x:c r="L121" s="35" t="str">
        <x:v>NOT_RUN</x:v>
      </x:c>
      <x:c r="M121" s="35" t="str">
        <x:v>coverage unavailable or execution/compile failed</x:v>
      </x:c>
      <x:c r="N121" s="35" t="str">
        <x:v>Gemini-3.8-flash/Result/Closure_148/result.json</x:v>
      </x:c>
      <x:c r="O121" s="39" t="str">
        <x:f>IF(AND(G121="RECORDED",ISNUMBER(H121)),H121,"")</x:f>
      </x:c>
      <x:c r="P121" s="35" t="str">
        <x:v>NOT_AVAILABLE</x:v>
      </x:c>
      <x:c r="Q121" s="35" t="str">
        <x:v>Gemini-3.8-flash/Result/Closure_148/result.json</x:v>
      </x:c>
    </x:row>
    <x:row r="122">
      <x:c r="A122" s="35" t="str">
        <x:v>gemini</x:v>
      </x:c>
      <x:c r="B122" s="35" t="str">
        <x:v>Closure</x:v>
      </x:c>
      <x:c r="C122" s="35" t="str">
        <x:v>Round1</x:v>
      </x:c>
      <x:c r="D122" s="35" t="str">
        <x:v>Closure_149</x:v>
      </x:c>
      <x:c r="E122" s="35" t="str">
        <x:v>Line</x:v>
      </x:c>
      <x:c r="F122" s="35"/>
      <x:c r="G122" s="35" t="str">
        <x:v>A</x:v>
      </x:c>
      <x:c r="H122" s="39" t="str">
        <x:f>IF(ISNUMBER('Data'!E122),'Data'!E122*100,"")</x:f>
      </x:c>
      <x:c r="I122" s="35"/>
      <x:c r="J122" s="35" t="str">
        <x:v>PASS</x:v>
      </x:c>
      <x:c r="K122" s="35" t="str">
        <x:v>FAIL</x:v>
      </x:c>
      <x:c r="L122" s="35" t="str">
        <x:v>NOT_RUN</x:v>
      </x:c>
      <x:c r="M122" s="35" t="str">
        <x:v>coverage unavailable or execution/compile failed</x:v>
      </x:c>
      <x:c r="N122" s="35" t="str">
        <x:v>Gemini-3.8-flash/Result/Closure_149/result.json</x:v>
      </x:c>
      <x:c r="O122" s="39" t="str">
        <x:f>IF(AND(G122="RECORDED",ISNUMBER(H122)),H122,"")</x:f>
      </x:c>
      <x:c r="P122" s="35" t="str">
        <x:v>NOT_AVAILABLE</x:v>
      </x:c>
      <x:c r="Q122" s="35" t="str">
        <x:v>Gemini-3.8-flash/Result/Closure_149/result.json</x:v>
      </x:c>
    </x:row>
    <x:row r="123">
      <x:c r="A123" s="35" t="str">
        <x:v>gemini</x:v>
      </x:c>
      <x:c r="B123" s="35" t="str">
        <x:v>Closure</x:v>
      </x:c>
      <x:c r="C123" s="35" t="str">
        <x:v>Round1</x:v>
      </x:c>
      <x:c r="D123" s="35" t="str">
        <x:v>Closure_15</x:v>
      </x:c>
      <x:c r="E123" s="35" t="str">
        <x:v>Line</x:v>
      </x:c>
      <x:c r="F123" s="35"/>
      <x:c r="G123" s="35" t="str">
        <x:v>A</x:v>
      </x:c>
      <x:c r="H123" s="39" t="str">
        <x:f>IF(ISNUMBER('Data'!E123),'Data'!E123*100,"")</x:f>
      </x:c>
      <x:c r="I123" s="35"/>
      <x:c r="J123" s="35" t="str">
        <x:v>PASS</x:v>
      </x:c>
      <x:c r="K123" s="35" t="str">
        <x:v>FAIL</x:v>
      </x:c>
      <x:c r="L123" s="35" t="str">
        <x:v>NOT_RUN</x:v>
      </x:c>
      <x:c r="M123" s="35" t="str">
        <x:v>coverage unavailable or execution/compile failed</x:v>
      </x:c>
      <x:c r="N123" s="35" t="str">
        <x:v>Gemini-3.8-flash/Result/Closure_15/result.json</x:v>
      </x:c>
      <x:c r="O123" s="39" t="str">
        <x:f>IF(AND(G123="RECORDED",ISNUMBER(H123)),H123,"")</x:f>
      </x:c>
      <x:c r="P123" s="35" t="str">
        <x:v>NOT_AVAILABLE</x:v>
      </x:c>
      <x:c r="Q123" s="35" t="str">
        <x:v>Gemini-3.8-flash/Result/Closure_15/result.json</x:v>
      </x:c>
    </x:row>
    <x:row r="124">
      <x:c r="A124" s="35" t="str">
        <x:v>gemini</x:v>
      </x:c>
      <x:c r="B124" s="35" t="str">
        <x:v>Closure</x:v>
      </x:c>
      <x:c r="C124" s="35" t="str">
        <x:v>Round1</x:v>
      </x:c>
      <x:c r="D124" s="35" t="str">
        <x:v>Closure_150</x:v>
      </x:c>
      <x:c r="E124" s="35" t="str">
        <x:v>Line</x:v>
      </x:c>
      <x:c r="F124" s="35"/>
      <x:c r="G124" s="35" t="str">
        <x:v>A</x:v>
      </x:c>
      <x:c r="H124" s="39" t="str">
        <x:f>IF(ISNUMBER('Data'!E124),'Data'!E124*100,"")</x:f>
      </x:c>
      <x:c r="I124" s="35"/>
      <x:c r="J124" s="35" t="str">
        <x:v>PASS</x:v>
      </x:c>
      <x:c r="K124" s="35" t="str">
        <x:v>FAIL</x:v>
      </x:c>
      <x:c r="L124" s="35" t="str">
        <x:v>NOT_RUN</x:v>
      </x:c>
      <x:c r="M124" s="35" t="str">
        <x:v>coverage unavailable or execution/compile failed</x:v>
      </x:c>
      <x:c r="N124" s="35" t="str">
        <x:v>Gemini-3.8-flash/Result/Closure_150/result.json</x:v>
      </x:c>
      <x:c r="O124" s="39" t="str">
        <x:f>IF(AND(G124="RECORDED",ISNUMBER(H124)),H124,"")</x:f>
      </x:c>
      <x:c r="P124" s="35" t="str">
        <x:v>NOT_AVAILABLE</x:v>
      </x:c>
      <x:c r="Q124" s="35" t="str">
        <x:v>Gemini-3.8-flash/Result/Closure_150/result.json</x:v>
      </x:c>
    </x:row>
    <x:row r="125">
      <x:c r="A125" s="35" t="str">
        <x:v>gemini</x:v>
      </x:c>
      <x:c r="B125" s="35" t="str">
        <x:v>Closure</x:v>
      </x:c>
      <x:c r="C125" s="35" t="str">
        <x:v>Round1</x:v>
      </x:c>
      <x:c r="D125" s="35" t="str">
        <x:v>Closure_151</x:v>
      </x:c>
      <x:c r="E125" s="35" t="str">
        <x:v>Line</x:v>
      </x:c>
      <x:c r="F125" s="35"/>
      <x:c r="G125" s="35" t="str">
        <x:v>A</x:v>
      </x:c>
      <x:c r="H125" s="39" t="str">
        <x:f>IF(ISNUMBER('Data'!E125),'Data'!E125*100,"")</x:f>
      </x:c>
      <x:c r="I125" s="35"/>
      <x:c r="J125" s="35" t="str">
        <x:v>PASS</x:v>
      </x:c>
      <x:c r="K125" s="35" t="str">
        <x:v>FAIL</x:v>
      </x:c>
      <x:c r="L125" s="35" t="str">
        <x:v>NOT_RUN</x:v>
      </x:c>
      <x:c r="M125" s="35" t="str">
        <x:v>coverage unavailable or execution/compile failed</x:v>
      </x:c>
      <x:c r="N125" s="35" t="str">
        <x:v>Gemini-3.8-flash/Result/Closure_151/result.json</x:v>
      </x:c>
      <x:c r="O125" s="39" t="str">
        <x:f>IF(AND(G125="RECORDED",ISNUMBER(H125)),H125,"")</x:f>
      </x:c>
      <x:c r="P125" s="35" t="str">
        <x:v>NOT_AVAILABLE</x:v>
      </x:c>
      <x:c r="Q125" s="35" t="str">
        <x:v>Gemini-3.8-flash/Result/Closure_151/result.json</x:v>
      </x:c>
    </x:row>
    <x:row r="126">
      <x:c r="A126" s="35" t="str">
        <x:v>gemini</x:v>
      </x:c>
      <x:c r="B126" s="35" t="str">
        <x:v>Closure</x:v>
      </x:c>
      <x:c r="C126" s="35" t="str">
        <x:v>Round1</x:v>
      </x:c>
      <x:c r="D126" s="35" t="str">
        <x:v>Closure_152</x:v>
      </x:c>
      <x:c r="E126" s="35" t="str">
        <x:v>Line</x:v>
      </x:c>
      <x:c r="F126" s="35"/>
      <x:c r="G126" s="35" t="str">
        <x:v>A</x:v>
      </x:c>
      <x:c r="H126" s="39" t="str">
        <x:f>IF(ISNUMBER('Data'!E126),'Data'!E126*100,"")</x:f>
      </x:c>
      <x:c r="I126" s="35"/>
      <x:c r="J126" s="35" t="str">
        <x:v>PASS</x:v>
      </x:c>
      <x:c r="K126" s="35" t="str">
        <x:v>FAIL</x:v>
      </x:c>
      <x:c r="L126" s="35" t="str">
        <x:v>NOT_RUN</x:v>
      </x:c>
      <x:c r="M126" s="35" t="str">
        <x:v>coverage unavailable or execution/compile failed</x:v>
      </x:c>
      <x:c r="N126" s="35" t="str">
        <x:v>Gemini-3.8-flash/Result/Closure_152/result.json</x:v>
      </x:c>
      <x:c r="O126" s="39" t="str">
        <x:f>IF(AND(G126="RECORDED",ISNUMBER(H126)),H126,"")</x:f>
      </x:c>
      <x:c r="P126" s="35" t="str">
        <x:v>NOT_AVAILABLE</x:v>
      </x:c>
      <x:c r="Q126" s="35" t="str">
        <x:v>Gemini-3.8-flash/Result/Closure_152/result.json</x:v>
      </x:c>
    </x:row>
    <x:row r="127">
      <x:c r="A127" s="35" t="str">
        <x:v>gemini</x:v>
      </x:c>
      <x:c r="B127" s="35" t="str">
        <x:v>Closure</x:v>
      </x:c>
      <x:c r="C127" s="35" t="str">
        <x:v>Round1</x:v>
      </x:c>
      <x:c r="D127" s="35" t="str">
        <x:v>Closure_153</x:v>
      </x:c>
      <x:c r="E127" s="35" t="str">
        <x:v>Line</x:v>
      </x:c>
      <x:c r="F127" s="35"/>
      <x:c r="G127" s="35" t="str">
        <x:v>A</x:v>
      </x:c>
      <x:c r="H127" s="39" t="str">
        <x:f>IF(ISNUMBER('Data'!E127),'Data'!E127*100,"")</x:f>
      </x:c>
      <x:c r="I127" s="35"/>
      <x:c r="J127" s="35" t="str">
        <x:v>PASS</x:v>
      </x:c>
      <x:c r="K127" s="35" t="str">
        <x:v>FAIL</x:v>
      </x:c>
      <x:c r="L127" s="35" t="str">
        <x:v>NOT_RUN</x:v>
      </x:c>
      <x:c r="M127" s="35" t="str">
        <x:v>coverage unavailable or execution/compile failed</x:v>
      </x:c>
      <x:c r="N127" s="35" t="str">
        <x:v>Gemini-3.8-flash/Result/Closure_153/result.json</x:v>
      </x:c>
      <x:c r="O127" s="39" t="str">
        <x:f>IF(AND(G127="RECORDED",ISNUMBER(H127)),H127,"")</x:f>
      </x:c>
      <x:c r="P127" s="35" t="str">
        <x:v>NOT_AVAILABLE</x:v>
      </x:c>
      <x:c r="Q127" s="35" t="str">
        <x:v>Gemini-3.8-flash/Result/Closure_153/result.json</x:v>
      </x:c>
    </x:row>
    <x:row r="128">
      <x:c r="A128" s="35" t="str">
        <x:v>gemini</x:v>
      </x:c>
      <x:c r="B128" s="35" t="str">
        <x:v>Closure</x:v>
      </x:c>
      <x:c r="C128" s="35" t="str">
        <x:v>Round1</x:v>
      </x:c>
      <x:c r="D128" s="35" t="str">
        <x:v>Closure_154</x:v>
      </x:c>
      <x:c r="E128" s="35" t="str">
        <x:v>Line</x:v>
      </x:c>
      <x:c r="F128" s="35"/>
      <x:c r="G128" s="35" t="str">
        <x:v>A</x:v>
      </x:c>
      <x:c r="H128" s="39" t="str">
        <x:f>IF(ISNUMBER('Data'!E128),'Data'!E128*100,"")</x:f>
      </x:c>
      <x:c r="I128" s="35"/>
      <x:c r="J128" s="35" t="str">
        <x:v>PASS</x:v>
      </x:c>
      <x:c r="K128" s="35" t="str">
        <x:v>FAIL</x:v>
      </x:c>
      <x:c r="L128" s="35" t="str">
        <x:v>NOT_RUN</x:v>
      </x:c>
      <x:c r="M128" s="35" t="str">
        <x:v>coverage unavailable or execution/compile failed</x:v>
      </x:c>
      <x:c r="N128" s="35" t="str">
        <x:v>Gemini-3.8-flash/Result/Closure_154/result.json</x:v>
      </x:c>
      <x:c r="O128" s="39" t="str">
        <x:f>IF(AND(G128="RECORDED",ISNUMBER(H128)),H128,"")</x:f>
      </x:c>
      <x:c r="P128" s="35" t="str">
        <x:v>NOT_AVAILABLE</x:v>
      </x:c>
      <x:c r="Q128" s="35" t="str">
        <x:v>Gemini-3.8-flash/Result/Closure_154/result.json</x:v>
      </x:c>
    </x:row>
    <x:row r="129">
      <x:c r="A129" s="35" t="str">
        <x:v>gemini</x:v>
      </x:c>
      <x:c r="B129" s="35" t="str">
        <x:v>Closure</x:v>
      </x:c>
      <x:c r="C129" s="35" t="str">
        <x:v>Round1</x:v>
      </x:c>
      <x:c r="D129" s="35" t="str">
        <x:v>Closure_155</x:v>
      </x:c>
      <x:c r="E129" s="35" t="str">
        <x:v>Line</x:v>
      </x:c>
      <x:c r="F129" s="35"/>
      <x:c r="G129" s="35" t="str">
        <x:v>A</x:v>
      </x:c>
      <x:c r="H129" s="39" t="str">
        <x:f>IF(ISNUMBER('Data'!E129),'Data'!E129*100,"")</x:f>
      </x:c>
      <x:c r="I129" s="35"/>
      <x:c r="J129" s="35" t="str">
        <x:v>PASS</x:v>
      </x:c>
      <x:c r="K129" s="35" t="str">
        <x:v>FAIL</x:v>
      </x:c>
      <x:c r="L129" s="35" t="str">
        <x:v>NOT_RUN</x:v>
      </x:c>
      <x:c r="M129" s="35" t="str">
        <x:v>coverage unavailable or execution/compile failed</x:v>
      </x:c>
      <x:c r="N129" s="35" t="str">
        <x:v>Gemini-3.8-flash/Result/Closure_155/result.json</x:v>
      </x:c>
      <x:c r="O129" s="39" t="str">
        <x:f>IF(AND(G129="RECORDED",ISNUMBER(H129)),H129,"")</x:f>
      </x:c>
      <x:c r="P129" s="35" t="str">
        <x:v>NOT_AVAILABLE</x:v>
      </x:c>
      <x:c r="Q129" s="35" t="str">
        <x:v>Gemini-3.8-flash/Result/Closure_155/result.json</x:v>
      </x:c>
    </x:row>
    <x:row r="130">
      <x:c r="A130" s="35" t="str">
        <x:v>gemini</x:v>
      </x:c>
      <x:c r="B130" s="35" t="str">
        <x:v>Closure</x:v>
      </x:c>
      <x:c r="C130" s="35" t="str">
        <x:v>Round1</x:v>
      </x:c>
      <x:c r="D130" s="35" t="str">
        <x:v>Closure_156</x:v>
      </x:c>
      <x:c r="E130" s="35" t="str">
        <x:v>Line</x:v>
      </x:c>
      <x:c r="F130" s="35"/>
      <x:c r="G130" s="35" t="str">
        <x:v>A</x:v>
      </x:c>
      <x:c r="H130" s="39" t="str">
        <x:f>IF(ISNUMBER('Data'!E130),'Data'!E130*100,"")</x:f>
      </x:c>
      <x:c r="I130" s="35"/>
      <x:c r="J130" s="35" t="str">
        <x:v>PASS</x:v>
      </x:c>
      <x:c r="K130" s="35" t="str">
        <x:v>FAIL</x:v>
      </x:c>
      <x:c r="L130" s="35" t="str">
        <x:v>NOT_RUN</x:v>
      </x:c>
      <x:c r="M130" s="35" t="str">
        <x:v>coverage unavailable or execution/compile failed</x:v>
      </x:c>
      <x:c r="N130" s="35" t="str">
        <x:v>Gemini-3.8-flash/Result/Closure_156/result.json</x:v>
      </x:c>
      <x:c r="O130" s="39" t="str">
        <x:f>IF(AND(G130="RECORDED",ISNUMBER(H130)),H130,"")</x:f>
      </x:c>
      <x:c r="P130" s="35" t="str">
        <x:v>NOT_AVAILABLE</x:v>
      </x:c>
      <x:c r="Q130" s="35" t="str">
        <x:v>Gemini-3.8-flash/Result/Closure_156/result.json</x:v>
      </x:c>
    </x:row>
    <x:row r="131">
      <x:c r="A131" s="35" t="str">
        <x:v>gemini</x:v>
      </x:c>
      <x:c r="B131" s="35" t="str">
        <x:v>Closure</x:v>
      </x:c>
      <x:c r="C131" s="35" t="str">
        <x:v>Round1</x:v>
      </x:c>
      <x:c r="D131" s="35" t="str">
        <x:v>Closure_157</x:v>
      </x:c>
      <x:c r="E131" s="35" t="str">
        <x:v>Line</x:v>
      </x:c>
      <x:c r="F131" s="35"/>
      <x:c r="G131" s="35" t="str">
        <x:v>A</x:v>
      </x:c>
      <x:c r="H131" s="39" t="str">
        <x:f>IF(ISNUMBER('Data'!E131),'Data'!E131*100,"")</x:f>
      </x:c>
      <x:c r="I131" s="35"/>
      <x:c r="J131" s="35" t="str">
        <x:v>PASS</x:v>
      </x:c>
      <x:c r="K131" s="35" t="str">
        <x:v>FAIL</x:v>
      </x:c>
      <x:c r="L131" s="35" t="str">
        <x:v>NOT_RUN</x:v>
      </x:c>
      <x:c r="M131" s="35" t="str">
        <x:v>coverage unavailable or execution/compile failed</x:v>
      </x:c>
      <x:c r="N131" s="35" t="str">
        <x:v>Gemini-3.8-flash/Result/Closure_157/result.json</x:v>
      </x:c>
      <x:c r="O131" s="39" t="str">
        <x:f>IF(AND(G131="RECORDED",ISNUMBER(H131)),H131,"")</x:f>
      </x:c>
      <x:c r="P131" s="35" t="str">
        <x:v>NOT_AVAILABLE</x:v>
      </x:c>
      <x:c r="Q131" s="35" t="str">
        <x:v>Gemini-3.8-flash/Result/Closure_157/result.json</x:v>
      </x:c>
    </x:row>
    <x:row r="132">
      <x:c r="A132" s="35" t="str">
        <x:v>gemini</x:v>
      </x:c>
      <x:c r="B132" s="35" t="str">
        <x:v>Closure</x:v>
      </x:c>
      <x:c r="C132" s="35" t="str">
        <x:v>Round1</x:v>
      </x:c>
      <x:c r="D132" s="35" t="str">
        <x:v>Closure_158</x:v>
      </x:c>
      <x:c r="E132" s="35" t="str">
        <x:v>Line</x:v>
      </x:c>
      <x:c r="F132" s="35"/>
      <x:c r="G132" s="35" t="str">
        <x:v>A</x:v>
      </x:c>
      <x:c r="H132" s="39" t="str">
        <x:f>IF(ISNUMBER('Data'!E132),'Data'!E132*100,"")</x:f>
      </x:c>
      <x:c r="I132" s="35"/>
      <x:c r="J132" s="35" t="str">
        <x:v>PASS</x:v>
      </x:c>
      <x:c r="K132" s="35" t="str">
        <x:v>FAIL</x:v>
      </x:c>
      <x:c r="L132" s="35" t="str">
        <x:v>NOT_RUN</x:v>
      </x:c>
      <x:c r="M132" s="35" t="str">
        <x:v>coverage unavailable or execution/compile failed</x:v>
      </x:c>
      <x:c r="N132" s="35" t="str">
        <x:v>Gemini-3.8-flash/Result/Closure_158/result.json</x:v>
      </x:c>
      <x:c r="O132" s="39" t="str">
        <x:f>IF(AND(G132="RECORDED",ISNUMBER(H132)),H132,"")</x:f>
      </x:c>
      <x:c r="P132" s="35" t="str">
        <x:v>NOT_AVAILABLE</x:v>
      </x:c>
      <x:c r="Q132" s="35" t="str">
        <x:v>Gemini-3.8-flash/Result/Closure_158/result.json</x:v>
      </x:c>
    </x:row>
    <x:row r="133">
      <x:c r="A133" s="35" t="str">
        <x:v>gemini</x:v>
      </x:c>
      <x:c r="B133" s="35" t="str">
        <x:v>Closure</x:v>
      </x:c>
      <x:c r="C133" s="35" t="str">
        <x:v>Round1</x:v>
      </x:c>
      <x:c r="D133" s="35" t="str">
        <x:v>Closure_159</x:v>
      </x:c>
      <x:c r="E133" s="35" t="str">
        <x:v>Line</x:v>
      </x:c>
      <x:c r="F133" s="35"/>
      <x:c r="G133" s="35" t="str">
        <x:v>A</x:v>
      </x:c>
      <x:c r="H133" s="39" t="str">
        <x:f>IF(ISNUMBER('Data'!E133),'Data'!E133*100,"")</x:f>
      </x:c>
      <x:c r="I133" s="35"/>
      <x:c r="J133" s="35" t="str">
        <x:v>PASS</x:v>
      </x:c>
      <x:c r="K133" s="35" t="str">
        <x:v>FAIL</x:v>
      </x:c>
      <x:c r="L133" s="35" t="str">
        <x:v>NOT_RUN</x:v>
      </x:c>
      <x:c r="M133" s="35" t="str">
        <x:v>coverage unavailable or execution/compile failed</x:v>
      </x:c>
      <x:c r="N133" s="35" t="str">
        <x:v>Gemini-3.8-flash/Result/Closure_159/result.json</x:v>
      </x:c>
      <x:c r="O133" s="39" t="str">
        <x:f>IF(AND(G133="RECORDED",ISNUMBER(H133)),H133,"")</x:f>
      </x:c>
      <x:c r="P133" s="35" t="str">
        <x:v>NOT_AVAILABLE</x:v>
      </x:c>
      <x:c r="Q133" s="35" t="str">
        <x:v>Gemini-3.8-flash/Result/Closure_159/result.json</x:v>
      </x:c>
    </x:row>
    <x:row r="134">
      <x:c r="A134" s="35" t="str">
        <x:v>gemini</x:v>
      </x:c>
      <x:c r="B134" s="35" t="str">
        <x:v>Closure</x:v>
      </x:c>
      <x:c r="C134" s="35" t="str">
        <x:v>Round1</x:v>
      </x:c>
      <x:c r="D134" s="35" t="str">
        <x:v>Closure_16</x:v>
      </x:c>
      <x:c r="E134" s="35" t="str">
        <x:v>Line</x:v>
      </x:c>
      <x:c r="F134" s="35"/>
      <x:c r="G134" s="35" t="str">
        <x:v>A</x:v>
      </x:c>
      <x:c r="H134" s="39" t="str">
        <x:f>IF(ISNUMBER('Data'!E134),'Data'!E134*100,"")</x:f>
      </x:c>
      <x:c r="I134" s="35"/>
      <x:c r="J134" s="35" t="str">
        <x:v>PASS</x:v>
      </x:c>
      <x:c r="K134" s="35" t="str">
        <x:v>FAIL</x:v>
      </x:c>
      <x:c r="L134" s="35" t="str">
        <x:v>NOT_RUN</x:v>
      </x:c>
      <x:c r="M134" s="35" t="str">
        <x:v>coverage unavailable or execution/compile failed</x:v>
      </x:c>
      <x:c r="N134" s="35" t="str">
        <x:v>Gemini-3.8-flash/Result/Closure_16/result.json</x:v>
      </x:c>
      <x:c r="O134" s="39" t="str">
        <x:f>IF(AND(G134="RECORDED",ISNUMBER(H134)),H134,"")</x:f>
      </x:c>
      <x:c r="P134" s="35" t="str">
        <x:v>NOT_AVAILABLE</x:v>
      </x:c>
      <x:c r="Q134" s="35" t="str">
        <x:v>Gemini-3.8-flash/Result/Closure_16/result.json</x:v>
      </x:c>
    </x:row>
    <x:row r="135">
      <x:c r="A135" s="35" t="str">
        <x:v>gemini</x:v>
      </x:c>
      <x:c r="B135" s="35" t="str">
        <x:v>Closure</x:v>
      </x:c>
      <x:c r="C135" s="35" t="str">
        <x:v>Round1</x:v>
      </x:c>
      <x:c r="D135" s="35" t="str">
        <x:v>Closure_160</x:v>
      </x:c>
      <x:c r="E135" s="35" t="str">
        <x:v>Line</x:v>
      </x:c>
      <x:c r="F135" s="35"/>
      <x:c r="G135" s="35" t="str">
        <x:v>A</x:v>
      </x:c>
      <x:c r="H135" s="39" t="str">
        <x:f>IF(ISNUMBER('Data'!E135),'Data'!E135*100,"")</x:f>
      </x:c>
      <x:c r="I135" s="35"/>
      <x:c r="J135" s="35" t="str">
        <x:v>PASS</x:v>
      </x:c>
      <x:c r="K135" s="35" t="str">
        <x:v>FAIL</x:v>
      </x:c>
      <x:c r="L135" s="35" t="str">
        <x:v>NOT_RUN</x:v>
      </x:c>
      <x:c r="M135" s="35" t="str">
        <x:v>coverage unavailable or execution/compile failed</x:v>
      </x:c>
      <x:c r="N135" s="35" t="str">
        <x:v>Gemini-3.8-flash/Result/Closure_160/result.json</x:v>
      </x:c>
      <x:c r="O135" s="39" t="str">
        <x:f>IF(AND(G135="RECORDED",ISNUMBER(H135)),H135,"")</x:f>
      </x:c>
      <x:c r="P135" s="35" t="str">
        <x:v>NOT_AVAILABLE</x:v>
      </x:c>
      <x:c r="Q135" s="35" t="str">
        <x:v>Gemini-3.8-flash/Result/Closure_160/result.json</x:v>
      </x:c>
    </x:row>
    <x:row r="136">
      <x:c r="A136" s="35" t="str">
        <x:v>gemini</x:v>
      </x:c>
      <x:c r="B136" s="35" t="str">
        <x:v>Closure</x:v>
      </x:c>
      <x:c r="C136" s="35" t="str">
        <x:v>Round1</x:v>
      </x:c>
      <x:c r="D136" s="35" t="str">
        <x:v>Closure_161</x:v>
      </x:c>
      <x:c r="E136" s="35" t="str">
        <x:v>Line</x:v>
      </x:c>
      <x:c r="F136" s="35" t="n">
        <x:v>636</x:v>
      </x:c>
      <x:c r="G136" s="35" t="str">
        <x:v>RECORDED</x:v>
      </x:c>
      <x:c r="H136" s="39" t="n">
        <x:f>IF(ISNUMBER('Data'!E136),'Data'!E136*100,"")</x:f>
        <x:v>37.42</x:v>
      </x:c>
      <x:c r="I136" s="35" t="str">
        <x:v>PASS</x:v>
      </x:c>
      <x:c r="J136" s="35" t="str">
        <x:v>PASS</x:v>
      </x:c>
      <x:c r="K136" s="35" t="str">
        <x:v>PASS</x:v>
      </x:c>
      <x:c r="L136" s="35" t="str">
        <x:v>FAIL</x:v>
      </x:c>
      <x:c r="M136" s="35" t="str">
        <x:v>numeric coverage for applicable metric</x:v>
      </x:c>
      <x:c r="N136" s="35" t="str">
        <x:v>Gemini-3.8-flash/Result/Closure_161/result.json</x:v>
      </x:c>
      <x:c r="O136" s="39" t="n">
        <x:f>IF(AND(G136="RECORDED",ISNUMBER(H136)),H136,"")</x:f>
        <x:v>37.42</x:v>
      </x:c>
      <x:c r="P136" s="35" t="str">
        <x:v>INCONCLUSIVE</x:v>
      </x:c>
      <x:c r="Q136" s="35" t="str">
        <x:v>Gemini-3.8-flash/Result/Closure_161/result.json</x:v>
      </x:c>
    </x:row>
    <x:row r="137">
      <x:c r="A137" s="35" t="str">
        <x:v>gemini</x:v>
      </x:c>
      <x:c r="B137" s="35" t="str">
        <x:v>Closure</x:v>
      </x:c>
      <x:c r="C137" s="35" t="str">
        <x:v>Round1</x:v>
      </x:c>
      <x:c r="D137" s="35" t="str">
        <x:v>Closure_162</x:v>
      </x:c>
      <x:c r="E137" s="35" t="str">
        <x:v>Line</x:v>
      </x:c>
      <x:c r="F137" s="35"/>
      <x:c r="G137" s="35" t="str">
        <x:v>A</x:v>
      </x:c>
      <x:c r="H137" s="39" t="str">
        <x:f>IF(ISNUMBER('Data'!E137),'Data'!E137*100,"")</x:f>
      </x:c>
      <x:c r="I137" s="35"/>
      <x:c r="J137" s="35" t="str">
        <x:v>PASS</x:v>
      </x:c>
      <x:c r="K137" s="35" t="str">
        <x:v>FAIL</x:v>
      </x:c>
      <x:c r="L137" s="35" t="str">
        <x:v>NOT_RUN</x:v>
      </x:c>
      <x:c r="M137" s="35" t="str">
        <x:v>coverage unavailable or execution/compile failed</x:v>
      </x:c>
      <x:c r="N137" s="35" t="str">
        <x:v>Gemini-3.8-flash/Result/Closure_162/result.json</x:v>
      </x:c>
      <x:c r="O137" s="39" t="str">
        <x:f>IF(AND(G137="RECORDED",ISNUMBER(H137)),H137,"")</x:f>
      </x:c>
      <x:c r="P137" s="35" t="str">
        <x:v>NOT_AVAILABLE</x:v>
      </x:c>
      <x:c r="Q137" s="35" t="str">
        <x:v>Gemini-3.8-flash/Result/Closure_162/result.json</x:v>
      </x:c>
    </x:row>
    <x:row r="138">
      <x:c r="A138" s="35" t="str">
        <x:v>gemini</x:v>
      </x:c>
      <x:c r="B138" s="35" t="str">
        <x:v>Closure</x:v>
      </x:c>
      <x:c r="C138" s="35" t="str">
        <x:v>Round1</x:v>
      </x:c>
      <x:c r="D138" s="35" t="str">
        <x:v>Closure_163</x:v>
      </x:c>
      <x:c r="E138" s="35" t="str">
        <x:v>Line</x:v>
      </x:c>
      <x:c r="F138" s="35"/>
      <x:c r="G138" s="35" t="str">
        <x:v>A</x:v>
      </x:c>
      <x:c r="H138" s="39" t="str">
        <x:f>IF(ISNUMBER('Data'!E138),'Data'!E138*100,"")</x:f>
      </x:c>
      <x:c r="I138" s="35"/>
      <x:c r="J138" s="35" t="str">
        <x:v>PASS</x:v>
      </x:c>
      <x:c r="K138" s="35" t="str">
        <x:v>FAIL</x:v>
      </x:c>
      <x:c r="L138" s="35" t="str">
        <x:v>NOT_RUN</x:v>
      </x:c>
      <x:c r="M138" s="35" t="str">
        <x:v>coverage unavailable or execution/compile failed</x:v>
      </x:c>
      <x:c r="N138" s="35" t="str">
        <x:v>Gemini-3.8-flash/Result/Closure_163/result.json</x:v>
      </x:c>
      <x:c r="O138" s="39" t="str">
        <x:f>IF(AND(G138="RECORDED",ISNUMBER(H138)),H138,"")</x:f>
      </x:c>
      <x:c r="P138" s="35" t="str">
        <x:v>NOT_AVAILABLE</x:v>
      </x:c>
      <x:c r="Q138" s="35" t="str">
        <x:v>Gemini-3.8-flash/Result/Closure_163/result.json</x:v>
      </x:c>
    </x:row>
    <x:row r="139">
      <x:c r="A139" s="35" t="str">
        <x:v>gemini</x:v>
      </x:c>
      <x:c r="B139" s="35" t="str">
        <x:v>Closure</x:v>
      </x:c>
      <x:c r="C139" s="35" t="str">
        <x:v>Round1</x:v>
      </x:c>
      <x:c r="D139" s="35" t="str">
        <x:v>Closure_164</x:v>
      </x:c>
      <x:c r="E139" s="35" t="str">
        <x:v>Line</x:v>
      </x:c>
      <x:c r="F139" s="35"/>
      <x:c r="G139" s="35" t="str">
        <x:v>A</x:v>
      </x:c>
      <x:c r="H139" s="39" t="str">
        <x:f>IF(ISNUMBER('Data'!E139),'Data'!E139*100,"")</x:f>
      </x:c>
      <x:c r="I139" s="35"/>
      <x:c r="J139" s="35" t="str">
        <x:v>PASS</x:v>
      </x:c>
      <x:c r="K139" s="35" t="str">
        <x:v>FAIL</x:v>
      </x:c>
      <x:c r="L139" s="35" t="str">
        <x:v>NOT_RUN</x:v>
      </x:c>
      <x:c r="M139" s="35" t="str">
        <x:v>coverage unavailable or execution/compile failed</x:v>
      </x:c>
      <x:c r="N139" s="35" t="str">
        <x:v>Gemini-3.8-flash/Result/Closure_164/result.json</x:v>
      </x:c>
      <x:c r="O139" s="39" t="str">
        <x:f>IF(AND(G139="RECORDED",ISNUMBER(H139)),H139,"")</x:f>
      </x:c>
      <x:c r="P139" s="35" t="str">
        <x:v>NOT_AVAILABLE</x:v>
      </x:c>
      <x:c r="Q139" s="35" t="str">
        <x:v>Gemini-3.8-flash/Result/Closure_164/result.json</x:v>
      </x:c>
    </x:row>
    <x:row r="140">
      <x:c r="A140" s="35" t="str">
        <x:v>gemini</x:v>
      </x:c>
      <x:c r="B140" s="35" t="str">
        <x:v>Closure</x:v>
      </x:c>
      <x:c r="C140" s="35" t="str">
        <x:v>Round1</x:v>
      </x:c>
      <x:c r="D140" s="35" t="str">
        <x:v>Closure_165</x:v>
      </x:c>
      <x:c r="E140" s="35" t="str">
        <x:v>Line</x:v>
      </x:c>
      <x:c r="F140" s="35" t="n">
        <x:v>830</x:v>
      </x:c>
      <x:c r="G140" s="35" t="str">
        <x:v>RECORDED</x:v>
      </x:c>
      <x:c r="H140" s="39" t="n">
        <x:f>IF(ISNUMBER('Data'!E140),'Data'!E140*100,"")</x:f>
        <x:v>41.57</x:v>
      </x:c>
      <x:c r="I140" s="35" t="str">
        <x:v>PASS</x:v>
      </x:c>
      <x:c r="J140" s="35" t="str">
        <x:v>PASS</x:v>
      </x:c>
      <x:c r="K140" s="35" t="str">
        <x:v>PASS</x:v>
      </x:c>
      <x:c r="L140" s="35" t="str">
        <x:v>PASS</x:v>
      </x:c>
      <x:c r="M140" s="35" t="str">
        <x:v>numeric coverage for applicable metric</x:v>
      </x:c>
      <x:c r="N140" s="35" t="str">
        <x:v>Gemini-3.8-flash/Result/Closure_165/result.json</x:v>
      </x:c>
      <x:c r="O140" s="39" t="n">
        <x:f>IF(AND(G140="RECORDED",ISNUMBER(H140)),H140,"")</x:f>
        <x:v>41.57</x:v>
      </x:c>
      <x:c r="P140" s="35" t="str">
        <x:v>NOT_REVEALING</x:v>
      </x:c>
      <x:c r="Q140" s="35" t="str">
        <x:v>Gemini-3.8-flash/Result/Closure_165/result.json</x:v>
      </x:c>
    </x:row>
    <x:row r="141">
      <x:c r="A141" s="35" t="str">
        <x:v>gemini</x:v>
      </x:c>
      <x:c r="B141" s="35" t="str">
        <x:v>Closure</x:v>
      </x:c>
      <x:c r="C141" s="35" t="str">
        <x:v>Round1</x:v>
      </x:c>
      <x:c r="D141" s="35" t="str">
        <x:v>Closure_166</x:v>
      </x:c>
      <x:c r="E141" s="35" t="str">
        <x:v>Line</x:v>
      </x:c>
      <x:c r="F141" s="35"/>
      <x:c r="G141" s="35" t="str">
        <x:v>A</x:v>
      </x:c>
      <x:c r="H141" s="39" t="str">
        <x:f>IF(ISNUMBER('Data'!E141),'Data'!E141*100,"")</x:f>
      </x:c>
      <x:c r="I141" s="35"/>
      <x:c r="J141" s="35" t="str">
        <x:v>PASS</x:v>
      </x:c>
      <x:c r="K141" s="35" t="str">
        <x:v>FAIL</x:v>
      </x:c>
      <x:c r="L141" s="35" t="str">
        <x:v>NOT_RUN</x:v>
      </x:c>
      <x:c r="M141" s="35" t="str">
        <x:v>coverage unavailable or execution/compile failed</x:v>
      </x:c>
      <x:c r="N141" s="35" t="str">
        <x:v>Gemini-3.8-flash/Result/Closure_166/result.json</x:v>
      </x:c>
      <x:c r="O141" s="39" t="str">
        <x:f>IF(AND(G141="RECORDED",ISNUMBER(H141)),H141,"")</x:f>
      </x:c>
      <x:c r="P141" s="35" t="str">
        <x:v>NOT_AVAILABLE</x:v>
      </x:c>
      <x:c r="Q141" s="35" t="str">
        <x:v>Gemini-3.8-flash/Result/Closure_166/result.json</x:v>
      </x:c>
    </x:row>
    <x:row r="142">
      <x:c r="A142" s="35" t="str">
        <x:v>gemini</x:v>
      </x:c>
      <x:c r="B142" s="35" t="str">
        <x:v>Closure</x:v>
      </x:c>
      <x:c r="C142" s="35" t="str">
        <x:v>Round1</x:v>
      </x:c>
      <x:c r="D142" s="35" t="str">
        <x:v>Closure_167</x:v>
      </x:c>
      <x:c r="E142" s="35" t="str">
        <x:v>Line</x:v>
      </x:c>
      <x:c r="F142" s="35"/>
      <x:c r="G142" s="35" t="str">
        <x:v>A</x:v>
      </x:c>
      <x:c r="H142" s="39" t="str">
        <x:f>IF(ISNUMBER('Data'!E142),'Data'!E142*100,"")</x:f>
      </x:c>
      <x:c r="I142" s="35"/>
      <x:c r="J142" s="35" t="str">
        <x:v>PASS</x:v>
      </x:c>
      <x:c r="K142" s="35" t="str">
        <x:v>FAIL</x:v>
      </x:c>
      <x:c r="L142" s="35" t="str">
        <x:v>NOT_RUN</x:v>
      </x:c>
      <x:c r="M142" s="35" t="str">
        <x:v>coverage unavailable or execution/compile failed</x:v>
      </x:c>
      <x:c r="N142" s="35" t="str">
        <x:v>Gemini-3.8-flash/Result/Closure_167/result.json</x:v>
      </x:c>
      <x:c r="O142" s="39" t="str">
        <x:f>IF(AND(G142="RECORDED",ISNUMBER(H142)),H142,"")</x:f>
      </x:c>
      <x:c r="P142" s="35" t="str">
        <x:v>NOT_AVAILABLE</x:v>
      </x:c>
      <x:c r="Q142" s="35" t="str">
        <x:v>Gemini-3.8-flash/Result/Closure_167/result.json</x:v>
      </x:c>
    </x:row>
    <x:row r="143">
      <x:c r="A143" s="35" t="str">
        <x:v>gemini</x:v>
      </x:c>
      <x:c r="B143" s="35" t="str">
        <x:v>Closure</x:v>
      </x:c>
      <x:c r="C143" s="35" t="str">
        <x:v>Round1</x:v>
      </x:c>
      <x:c r="D143" s="35" t="str">
        <x:v>Closure_168</x:v>
      </x:c>
      <x:c r="E143" s="35" t="str">
        <x:v>Line</x:v>
      </x:c>
      <x:c r="F143" s="35"/>
      <x:c r="G143" s="35" t="str">
        <x:v>A</x:v>
      </x:c>
      <x:c r="H143" s="39" t="str">
        <x:f>IF(ISNUMBER('Data'!E143),'Data'!E143*100,"")</x:f>
      </x:c>
      <x:c r="I143" s="35"/>
      <x:c r="J143" s="35" t="str">
        <x:v>PASS</x:v>
      </x:c>
      <x:c r="K143" s="35" t="str">
        <x:v>FAIL</x:v>
      </x:c>
      <x:c r="L143" s="35" t="str">
        <x:v>NOT_RUN</x:v>
      </x:c>
      <x:c r="M143" s="35" t="str">
        <x:v>coverage unavailable or execution/compile failed</x:v>
      </x:c>
      <x:c r="N143" s="35" t="str">
        <x:v>Gemini-3.8-flash/Result/Closure_168/result.json</x:v>
      </x:c>
      <x:c r="O143" s="39" t="str">
        <x:f>IF(AND(G143="RECORDED",ISNUMBER(H143)),H143,"")</x:f>
      </x:c>
      <x:c r="P143" s="35" t="str">
        <x:v>NOT_AVAILABLE</x:v>
      </x:c>
      <x:c r="Q143" s="35" t="str">
        <x:v>Gemini-3.8-flash/Result/Closure_168/result.json</x:v>
      </x:c>
    </x:row>
    <x:row r="144">
      <x:c r="A144" s="35" t="str">
        <x:v>gemini</x:v>
      </x:c>
      <x:c r="B144" s="35" t="str">
        <x:v>Closure</x:v>
      </x:c>
      <x:c r="C144" s="35" t="str">
        <x:v>Round1</x:v>
      </x:c>
      <x:c r="D144" s="35" t="str">
        <x:v>Closure_169</x:v>
      </x:c>
      <x:c r="E144" s="35" t="str">
        <x:v>Line</x:v>
      </x:c>
      <x:c r="F144" s="35"/>
      <x:c r="G144" s="35" t="str">
        <x:v>A</x:v>
      </x:c>
      <x:c r="H144" s="39" t="str">
        <x:f>IF(ISNUMBER('Data'!E144),'Data'!E144*100,"")</x:f>
      </x:c>
      <x:c r="I144" s="35"/>
      <x:c r="J144" s="35" t="str">
        <x:v>PASS</x:v>
      </x:c>
      <x:c r="K144" s="35" t="str">
        <x:v>FAIL</x:v>
      </x:c>
      <x:c r="L144" s="35" t="str">
        <x:v>NOT_RUN</x:v>
      </x:c>
      <x:c r="M144" s="35" t="str">
        <x:v>coverage unavailable or execution/compile failed</x:v>
      </x:c>
      <x:c r="N144" s="35" t="str">
        <x:v>Gemini-3.8-flash/Result/Closure_169/result.json</x:v>
      </x:c>
      <x:c r="O144" s="39" t="str">
        <x:f>IF(AND(G144="RECORDED",ISNUMBER(H144)),H144,"")</x:f>
      </x:c>
      <x:c r="P144" s="35" t="str">
        <x:v>NOT_AVAILABLE</x:v>
      </x:c>
      <x:c r="Q144" s="35" t="str">
        <x:v>Gemini-3.8-flash/Result/Closure_169/result.json</x:v>
      </x:c>
    </x:row>
    <x:row r="145">
      <x:c r="A145" s="35" t="str">
        <x:v>gemini</x:v>
      </x:c>
      <x:c r="B145" s="35" t="str">
        <x:v>Closure</x:v>
      </x:c>
      <x:c r="C145" s="35" t="str">
        <x:v>Round1</x:v>
      </x:c>
      <x:c r="D145" s="35" t="str">
        <x:v>Closure_17</x:v>
      </x:c>
      <x:c r="E145" s="35" t="str">
        <x:v>Line</x:v>
      </x:c>
      <x:c r="F145" s="35"/>
      <x:c r="G145" s="35" t="str">
        <x:v>A</x:v>
      </x:c>
      <x:c r="H145" s="39" t="str">
        <x:f>IF(ISNUMBER('Data'!E145),'Data'!E145*100,"")</x:f>
      </x:c>
      <x:c r="I145" s="35"/>
      <x:c r="J145" s="35" t="str">
        <x:v>PASS</x:v>
      </x:c>
      <x:c r="K145" s="35" t="str">
        <x:v>FAIL</x:v>
      </x:c>
      <x:c r="L145" s="35" t="str">
        <x:v>NOT_RUN</x:v>
      </x:c>
      <x:c r="M145" s="35" t="str">
        <x:v>coverage unavailable or execution/compile failed</x:v>
      </x:c>
      <x:c r="N145" s="35" t="str">
        <x:v>Gemini-3.8-flash/Result/Closure_17/result.json</x:v>
      </x:c>
      <x:c r="O145" s="39" t="str">
        <x:f>IF(AND(G145="RECORDED",ISNUMBER(H145)),H145,"")</x:f>
      </x:c>
      <x:c r="P145" s="35" t="str">
        <x:v>NOT_AVAILABLE</x:v>
      </x:c>
      <x:c r="Q145" s="35" t="str">
        <x:v>Gemini-3.8-flash/Result/Closure_17/result.json</x:v>
      </x:c>
    </x:row>
    <x:row r="146">
      <x:c r="A146" s="35" t="str">
        <x:v>gemini</x:v>
      </x:c>
      <x:c r="B146" s="35" t="str">
        <x:v>Closure</x:v>
      </x:c>
      <x:c r="C146" s="35" t="str">
        <x:v>Round1</x:v>
      </x:c>
      <x:c r="D146" s="35" t="str">
        <x:v>Closure_170</x:v>
      </x:c>
      <x:c r="E146" s="35" t="str">
        <x:v>Line</x:v>
      </x:c>
      <x:c r="F146" s="35"/>
      <x:c r="G146" s="35" t="str">
        <x:v>A</x:v>
      </x:c>
      <x:c r="H146" s="39" t="str">
        <x:f>IF(ISNUMBER('Data'!E146),'Data'!E146*100,"")</x:f>
      </x:c>
      <x:c r="I146" s="35"/>
      <x:c r="J146" s="35" t="str">
        <x:v>PASS</x:v>
      </x:c>
      <x:c r="K146" s="35" t="str">
        <x:v>FAIL</x:v>
      </x:c>
      <x:c r="L146" s="35" t="str">
        <x:v>NOT_RUN</x:v>
      </x:c>
      <x:c r="M146" s="35" t="str">
        <x:v>coverage unavailable or execution/compile failed</x:v>
      </x:c>
      <x:c r="N146" s="35" t="str">
        <x:v>Gemini-3.8-flash/Result/Closure_170/result.json</x:v>
      </x:c>
      <x:c r="O146" s="39" t="str">
        <x:f>IF(AND(G146="RECORDED",ISNUMBER(H146)),H146,"")</x:f>
      </x:c>
      <x:c r="P146" s="35" t="str">
        <x:v>NOT_AVAILABLE</x:v>
      </x:c>
      <x:c r="Q146" s="35" t="str">
        <x:v>Gemini-3.8-flash/Result/Closure_170/result.json</x:v>
      </x:c>
    </x:row>
    <x:row r="147">
      <x:c r="A147" s="35" t="str">
        <x:v>gemini</x:v>
      </x:c>
      <x:c r="B147" s="35" t="str">
        <x:v>Closure</x:v>
      </x:c>
      <x:c r="C147" s="35" t="str">
        <x:v>Round1</x:v>
      </x:c>
      <x:c r="D147" s="35" t="str">
        <x:v>Closure_171</x:v>
      </x:c>
      <x:c r="E147" s="35" t="str">
        <x:v>Line</x:v>
      </x:c>
      <x:c r="F147" s="35"/>
      <x:c r="G147" s="35" t="str">
        <x:v>A</x:v>
      </x:c>
      <x:c r="H147" s="39" t="str">
        <x:f>IF(ISNUMBER('Data'!E147),'Data'!E147*100,"")</x:f>
      </x:c>
      <x:c r="I147" s="35"/>
      <x:c r="J147" s="35" t="str">
        <x:v>PASS</x:v>
      </x:c>
      <x:c r="K147" s="35" t="str">
        <x:v>FAIL</x:v>
      </x:c>
      <x:c r="L147" s="35" t="str">
        <x:v>NOT_RUN</x:v>
      </x:c>
      <x:c r="M147" s="35" t="str">
        <x:v>coverage unavailable or execution/compile failed</x:v>
      </x:c>
      <x:c r="N147" s="35" t="str">
        <x:v>Gemini-3.8-flash/Result/Closure_171/result.json</x:v>
      </x:c>
      <x:c r="O147" s="39" t="str">
        <x:f>IF(AND(G147="RECORDED",ISNUMBER(H147)),H147,"")</x:f>
      </x:c>
      <x:c r="P147" s="35" t="str">
        <x:v>NOT_AVAILABLE</x:v>
      </x:c>
      <x:c r="Q147" s="35" t="str">
        <x:v>Gemini-3.8-flash/Result/Closure_171/result.json</x:v>
      </x:c>
    </x:row>
    <x:row r="148">
      <x:c r="A148" s="35" t="str">
        <x:v>gemini</x:v>
      </x:c>
      <x:c r="B148" s="35" t="str">
        <x:v>Closure</x:v>
      </x:c>
      <x:c r="C148" s="35" t="str">
        <x:v>Round1</x:v>
      </x:c>
      <x:c r="D148" s="35" t="str">
        <x:v>Closure_172</x:v>
      </x:c>
      <x:c r="E148" s="35" t="str">
        <x:v>Line</x:v>
      </x:c>
      <x:c r="F148" s="35" t="n">
        <x:v>951</x:v>
      </x:c>
      <x:c r="G148" s="35" t="str">
        <x:v>RECORDED</x:v>
      </x:c>
      <x:c r="H148" s="39" t="n">
        <x:f>IF(ISNUMBER('Data'!E148),'Data'!E148*100,"")</x:f>
        <x:v>0</x:v>
      </x:c>
      <x:c r="I148" s="35" t="str">
        <x:v>PASS</x:v>
      </x:c>
      <x:c r="J148" s="35" t="str">
        <x:v>PASS</x:v>
      </x:c>
      <x:c r="K148" s="35" t="str">
        <x:v>PASS</x:v>
      </x:c>
      <x:c r="L148" s="35" t="str">
        <x:v>FAIL</x:v>
      </x:c>
      <x:c r="M148" s="35" t="str">
        <x:v>numeric coverage for applicable metric</x:v>
      </x:c>
      <x:c r="N148" s="35" t="str">
        <x:v>Gemini-3.8-flash/Result/Closure_172/result.json</x:v>
      </x:c>
      <x:c r="O148" s="39" t="n">
        <x:f>IF(AND(G148="RECORDED",ISNUMBER(H148)),H148,"")</x:f>
        <x:v>0</x:v>
      </x:c>
      <x:c r="P148" s="35" t="str">
        <x:v>INCONCLUSIVE</x:v>
      </x:c>
      <x:c r="Q148" s="35" t="str">
        <x:v>Gemini-3.8-flash/Result/Closure_172/result.json</x:v>
      </x:c>
    </x:row>
    <x:row r="149">
      <x:c r="A149" s="35" t="str">
        <x:v>gemini</x:v>
      </x:c>
      <x:c r="B149" s="35" t="str">
        <x:v>Closure</x:v>
      </x:c>
      <x:c r="C149" s="35" t="str">
        <x:v>Round1</x:v>
      </x:c>
      <x:c r="D149" s="35" t="str">
        <x:v>Closure_173</x:v>
      </x:c>
      <x:c r="E149" s="35" t="str">
        <x:v>Line</x:v>
      </x:c>
      <x:c r="F149" s="35"/>
      <x:c r="G149" s="35" t="str">
        <x:v>A</x:v>
      </x:c>
      <x:c r="H149" s="39" t="str">
        <x:f>IF(ISNUMBER('Data'!E149),'Data'!E149*100,"")</x:f>
      </x:c>
      <x:c r="I149" s="35"/>
      <x:c r="J149" s="35" t="str">
        <x:v>PASS</x:v>
      </x:c>
      <x:c r="K149" s="35" t="str">
        <x:v>FAIL</x:v>
      </x:c>
      <x:c r="L149" s="35" t="str">
        <x:v>NOT_RUN</x:v>
      </x:c>
      <x:c r="M149" s="35" t="str">
        <x:v>coverage unavailable or execution/compile failed</x:v>
      </x:c>
      <x:c r="N149" s="35" t="str">
        <x:v>Gemini-3.8-flash/Result/Closure_173/result.json</x:v>
      </x:c>
      <x:c r="O149" s="39" t="str">
        <x:f>IF(AND(G149="RECORDED",ISNUMBER(H149)),H149,"")</x:f>
      </x:c>
      <x:c r="P149" s="35" t="str">
        <x:v>NOT_AVAILABLE</x:v>
      </x:c>
      <x:c r="Q149" s="35" t="str">
        <x:v>Gemini-3.8-flash/Result/Closure_173/result.json</x:v>
      </x:c>
    </x:row>
    <x:row r="150">
      <x:c r="A150" s="35" t="str">
        <x:v>gemini</x:v>
      </x:c>
      <x:c r="B150" s="35" t="str">
        <x:v>Closure</x:v>
      </x:c>
      <x:c r="C150" s="35" t="str">
        <x:v>Round1</x:v>
      </x:c>
      <x:c r="D150" s="35" t="str">
        <x:v>Closure_174</x:v>
      </x:c>
      <x:c r="E150" s="35" t="str">
        <x:v>Line</x:v>
      </x:c>
      <x:c r="F150" s="35" t="n">
        <x:v>1385</x:v>
      </x:c>
      <x:c r="G150" s="35" t="str">
        <x:v>RECORDED</x:v>
      </x:c>
      <x:c r="H150" s="39" t="n">
        <x:f>IF(ISNUMBER('Data'!E150),'Data'!E150*100,"")</x:f>
        <x:v>4.33</x:v>
      </x:c>
      <x:c r="I150" s="35" t="str">
        <x:v>PASS</x:v>
      </x:c>
      <x:c r="J150" s="35" t="str">
        <x:v>PASS</x:v>
      </x:c>
      <x:c r="K150" s="35" t="str">
        <x:v>PASS</x:v>
      </x:c>
      <x:c r="L150" s="35" t="str">
        <x:v>PASS</x:v>
      </x:c>
      <x:c r="M150" s="35" t="str">
        <x:v>numeric coverage for applicable metric</x:v>
      </x:c>
      <x:c r="N150" s="35" t="str">
        <x:v>Gemini-3.8-flash/Result/Closure_174/result.json</x:v>
      </x:c>
      <x:c r="O150" s="39" t="n">
        <x:f>IF(AND(G150="RECORDED",ISNUMBER(H150)),H150,"")</x:f>
        <x:v>4.33</x:v>
      </x:c>
      <x:c r="P150" s="35" t="str">
        <x:v>INCONCLUSIVE</x:v>
      </x:c>
      <x:c r="Q150" s="35" t="str">
        <x:v>Gemini-3.8-flash/Result/Closure_174/result.json</x:v>
      </x:c>
    </x:row>
    <x:row r="151">
      <x:c r="A151" s="35" t="str">
        <x:v>gemini</x:v>
      </x:c>
      <x:c r="B151" s="35" t="str">
        <x:v>Closure</x:v>
      </x:c>
      <x:c r="C151" s="35" t="str">
        <x:v>Round1</x:v>
      </x:c>
      <x:c r="D151" s="35" t="str">
        <x:v>Closure_175</x:v>
      </x:c>
      <x:c r="E151" s="35" t="str">
        <x:v>Line</x:v>
      </x:c>
      <x:c r="F151" s="35"/>
      <x:c r="G151" s="35" t="str">
        <x:v>A</x:v>
      </x:c>
      <x:c r="H151" s="39" t="str">
        <x:f>IF(ISNUMBER('Data'!E151),'Data'!E151*100,"")</x:f>
      </x:c>
      <x:c r="I151" s="35"/>
      <x:c r="J151" s="35" t="str">
        <x:v>PASS</x:v>
      </x:c>
      <x:c r="K151" s="35" t="str">
        <x:v>FAIL</x:v>
      </x:c>
      <x:c r="L151" s="35" t="str">
        <x:v>NOT_RUN</x:v>
      </x:c>
      <x:c r="M151" s="35" t="str">
        <x:v>coverage unavailable or execution/compile failed</x:v>
      </x:c>
      <x:c r="N151" s="35" t="str">
        <x:v>Gemini-3.8-flash/Result/Closure_175/result.json</x:v>
      </x:c>
      <x:c r="O151" s="39" t="str">
        <x:f>IF(AND(G151="RECORDED",ISNUMBER(H151)),H151,"")</x:f>
      </x:c>
      <x:c r="P151" s="35" t="str">
        <x:v>NOT_AVAILABLE</x:v>
      </x:c>
      <x:c r="Q151" s="35" t="str">
        <x:v>Gemini-3.8-flash/Result/Closure_175/result.json</x:v>
      </x:c>
    </x:row>
    <x:row r="152">
      <x:c r="A152" s="35" t="str">
        <x:v>gemini</x:v>
      </x:c>
      <x:c r="B152" s="35" t="str">
        <x:v>Closure</x:v>
      </x:c>
      <x:c r="C152" s="35" t="str">
        <x:v>Round1</x:v>
      </x:c>
      <x:c r="D152" s="35" t="str">
        <x:v>Closure_176</x:v>
      </x:c>
      <x:c r="E152" s="35" t="str">
        <x:v>Line</x:v>
      </x:c>
      <x:c r="F152" s="35"/>
      <x:c r="G152" s="35" t="str">
        <x:v>A</x:v>
      </x:c>
      <x:c r="H152" s="39" t="str">
        <x:f>IF(ISNUMBER('Data'!E152),'Data'!E152*100,"")</x:f>
      </x:c>
      <x:c r="I152" s="35"/>
      <x:c r="J152" s="35" t="str">
        <x:v>PASS</x:v>
      </x:c>
      <x:c r="K152" s="35" t="str">
        <x:v>FAIL</x:v>
      </x:c>
      <x:c r="L152" s="35" t="str">
        <x:v>NOT_RUN</x:v>
      </x:c>
      <x:c r="M152" s="35" t="str">
        <x:v>coverage unavailable or execution/compile failed</x:v>
      </x:c>
      <x:c r="N152" s="35" t="str">
        <x:v>Gemini-3.8-flash/Result/Closure_176/result.json</x:v>
      </x:c>
      <x:c r="O152" s="39" t="str">
        <x:f>IF(AND(G152="RECORDED",ISNUMBER(H152)),H152,"")</x:f>
      </x:c>
      <x:c r="P152" s="35" t="str">
        <x:v>NOT_AVAILABLE</x:v>
      </x:c>
      <x:c r="Q152" s="35" t="str">
        <x:v>Gemini-3.8-flash/Result/Closure_176/result.json</x:v>
      </x:c>
    </x:row>
    <x:row r="153">
      <x:c r="A153" s="35" t="str">
        <x:v>gemini</x:v>
      </x:c>
      <x:c r="B153" s="35" t="str">
        <x:v>Closure</x:v>
      </x:c>
      <x:c r="C153" s="35" t="str">
        <x:v>Round1</x:v>
      </x:c>
      <x:c r="D153" s="35" t="str">
        <x:v>Closure_18</x:v>
      </x:c>
      <x:c r="E153" s="35" t="str">
        <x:v>Line</x:v>
      </x:c>
      <x:c r="F153" s="35"/>
      <x:c r="G153" s="35" t="str">
        <x:v>A</x:v>
      </x:c>
      <x:c r="H153" s="39" t="str">
        <x:f>IF(ISNUMBER('Data'!E153),'Data'!E153*100,"")</x:f>
      </x:c>
      <x:c r="I153" s="35"/>
      <x:c r="J153" s="35" t="str">
        <x:v>PASS</x:v>
      </x:c>
      <x:c r="K153" s="35" t="str">
        <x:v>FAIL</x:v>
      </x:c>
      <x:c r="L153" s="35" t="str">
        <x:v>NOT_RUN</x:v>
      </x:c>
      <x:c r="M153" s="35" t="str">
        <x:v>coverage unavailable or execution/compile failed</x:v>
      </x:c>
      <x:c r="N153" s="35" t="str">
        <x:v>Gemini-3.8-flash/Result/Closure_18/result.json</x:v>
      </x:c>
      <x:c r="O153" s="39" t="str">
        <x:f>IF(AND(G153="RECORDED",ISNUMBER(H153)),H153,"")</x:f>
      </x:c>
      <x:c r="P153" s="35" t="str">
        <x:v>NOT_AVAILABLE</x:v>
      </x:c>
      <x:c r="Q153" s="35" t="str">
        <x:v>Gemini-3.8-flash/Result/Closure_18/result.json</x:v>
      </x:c>
    </x:row>
    <x:row r="154">
      <x:c r="A154" s="35" t="str">
        <x:v>gemini</x:v>
      </x:c>
      <x:c r="B154" s="35" t="str">
        <x:v>Closure</x:v>
      </x:c>
      <x:c r="C154" s="35" t="str">
        <x:v>Round1</x:v>
      </x:c>
      <x:c r="D154" s="35" t="str">
        <x:v>Closure_19</x:v>
      </x:c>
      <x:c r="E154" s="35" t="str">
        <x:v>Line</x:v>
      </x:c>
      <x:c r="F154" s="35"/>
      <x:c r="G154" s="35" t="str">
        <x:v>A</x:v>
      </x:c>
      <x:c r="H154" s="39" t="str">
        <x:f>IF(ISNUMBER('Data'!E154),'Data'!E154*100,"")</x:f>
      </x:c>
      <x:c r="I154" s="35"/>
      <x:c r="J154" s="35" t="str">
        <x:v>PASS</x:v>
      </x:c>
      <x:c r="K154" s="35" t="str">
        <x:v>FAIL</x:v>
      </x:c>
      <x:c r="L154" s="35" t="str">
        <x:v>NOT_RUN</x:v>
      </x:c>
      <x:c r="M154" s="35" t="str">
        <x:v>coverage unavailable or execution/compile failed</x:v>
      </x:c>
      <x:c r="N154" s="35" t="str">
        <x:v>Gemini-3.8-flash/Result/Closure_19/result.json</x:v>
      </x:c>
      <x:c r="O154" s="39" t="str">
        <x:f>IF(AND(G154="RECORDED",ISNUMBER(H154)),H154,"")</x:f>
      </x:c>
      <x:c r="P154" s="35" t="str">
        <x:v>NOT_AVAILABLE</x:v>
      </x:c>
      <x:c r="Q154" s="35" t="str">
        <x:v>Gemini-3.8-flash/Result/Closure_19/result.json</x:v>
      </x:c>
    </x:row>
    <x:row r="155">
      <x:c r="A155" s="35" t="str">
        <x:v>gemini</x:v>
      </x:c>
      <x:c r="B155" s="35" t="str">
        <x:v>Closure</x:v>
      </x:c>
      <x:c r="C155" s="35" t="str">
        <x:v>Round1</x:v>
      </x:c>
      <x:c r="D155" s="35" t="str">
        <x:v>Closure_2</x:v>
      </x:c>
      <x:c r="E155" s="35" t="str">
        <x:v>Line</x:v>
      </x:c>
      <x:c r="F155" s="35"/>
      <x:c r="G155" s="35" t="str">
        <x:v>A</x:v>
      </x:c>
      <x:c r="H155" s="39" t="str">
        <x:f>IF(ISNUMBER('Data'!E155),'Data'!E155*100,"")</x:f>
      </x:c>
      <x:c r="I155" s="35"/>
      <x:c r="J155" s="35" t="str">
        <x:v>PASS</x:v>
      </x:c>
      <x:c r="K155" s="35" t="str">
        <x:v>FAIL</x:v>
      </x:c>
      <x:c r="L155" s="35" t="str">
        <x:v>NOT_RUN</x:v>
      </x:c>
      <x:c r="M155" s="35" t="str">
        <x:v>coverage unavailable or execution/compile failed</x:v>
      </x:c>
      <x:c r="N155" s="35" t="str">
        <x:v>Gemini-3.8-flash/Result/Closure_2/result.json</x:v>
      </x:c>
      <x:c r="O155" s="39" t="str">
        <x:f>IF(AND(G155="RECORDED",ISNUMBER(H155)),H155,"")</x:f>
      </x:c>
      <x:c r="P155" s="35" t="str">
        <x:v>NOT_AVAILABLE</x:v>
      </x:c>
      <x:c r="Q155" s="35" t="str">
        <x:v>Gemini-3.8-flash/Result/Closure_2/result.json</x:v>
      </x:c>
    </x:row>
    <x:row r="156">
      <x:c r="A156" s="35" t="str">
        <x:v>gemini</x:v>
      </x:c>
      <x:c r="B156" s="35" t="str">
        <x:v>Closure</x:v>
      </x:c>
      <x:c r="C156" s="35" t="str">
        <x:v>Round1</x:v>
      </x:c>
      <x:c r="D156" s="35" t="str">
        <x:v>Closure_20</x:v>
      </x:c>
      <x:c r="E156" s="35" t="str">
        <x:v>Line</x:v>
      </x:c>
      <x:c r="F156" s="35" t="n">
        <x:v>754</x:v>
      </x:c>
      <x:c r="G156" s="35" t="str">
        <x:v>RECORDED</x:v>
      </x:c>
      <x:c r="H156" s="39" t="n">
        <x:f>IF(ISNUMBER('Data'!E156),'Data'!E156*100,"")</x:f>
        <x:v>9.81</x:v>
      </x:c>
      <x:c r="I156" s="35" t="str">
        <x:v>PASS</x:v>
      </x:c>
      <x:c r="J156" s="35" t="str">
        <x:v>PASS</x:v>
      </x:c>
      <x:c r="K156" s="35" t="str">
        <x:v>PASS</x:v>
      </x:c>
      <x:c r="L156" s="35" t="str">
        <x:v>FAIL</x:v>
      </x:c>
      <x:c r="M156" s="35" t="str">
        <x:v>numeric coverage for applicable metric</x:v>
      </x:c>
      <x:c r="N156" s="35" t="str">
        <x:v>Gemini-3.8-flash/Result/Closure_20/result.json</x:v>
      </x:c>
      <x:c r="O156" s="39" t="n">
        <x:f>IF(AND(G156="RECORDED",ISNUMBER(H156)),H156,"")</x:f>
        <x:v>9.81</x:v>
      </x:c>
      <x:c r="P156" s="35" t="str">
        <x:v>INCONCLUSIVE</x:v>
      </x:c>
      <x:c r="Q156" s="35" t="str">
        <x:v>Gemini-3.8-flash/Result/Closure_20/result.json</x:v>
      </x:c>
    </x:row>
    <x:row r="157">
      <x:c r="A157" s="35" t="str">
        <x:v>gemini</x:v>
      </x:c>
      <x:c r="B157" s="35" t="str">
        <x:v>Closure</x:v>
      </x:c>
      <x:c r="C157" s="35" t="str">
        <x:v>Round1</x:v>
      </x:c>
      <x:c r="D157" s="35" t="str">
        <x:v>Closure_21</x:v>
      </x:c>
      <x:c r="E157" s="35" t="str">
        <x:v>Line</x:v>
      </x:c>
      <x:c r="F157" s="35"/>
      <x:c r="G157" s="35" t="str">
        <x:v>A</x:v>
      </x:c>
      <x:c r="H157" s="39" t="str">
        <x:f>IF(ISNUMBER('Data'!E157),'Data'!E157*100,"")</x:f>
      </x:c>
      <x:c r="I157" s="35"/>
      <x:c r="J157" s="35" t="str">
        <x:v>PASS</x:v>
      </x:c>
      <x:c r="K157" s="35" t="str">
        <x:v>FAIL</x:v>
      </x:c>
      <x:c r="L157" s="35" t="str">
        <x:v>NOT_RUN</x:v>
      </x:c>
      <x:c r="M157" s="35" t="str">
        <x:v>coverage unavailable or execution/compile failed</x:v>
      </x:c>
      <x:c r="N157" s="35" t="str">
        <x:v>Gemini-3.8-flash/Result/Closure_21/result.json</x:v>
      </x:c>
      <x:c r="O157" s="39" t="str">
        <x:f>IF(AND(G157="RECORDED",ISNUMBER(H157)),H157,"")</x:f>
      </x:c>
      <x:c r="P157" s="35" t="str">
        <x:v>NOT_AVAILABLE</x:v>
      </x:c>
      <x:c r="Q157" s="35" t="str">
        <x:v>Gemini-3.8-flash/Result/Closure_21/result.json</x:v>
      </x:c>
    </x:row>
    <x:row r="158">
      <x:c r="A158" s="35" t="str">
        <x:v>gemini</x:v>
      </x:c>
      <x:c r="B158" s="35" t="str">
        <x:v>Closure</x:v>
      </x:c>
      <x:c r="C158" s="35" t="str">
        <x:v>Round1</x:v>
      </x:c>
      <x:c r="D158" s="35" t="str">
        <x:v>Closure_22</x:v>
      </x:c>
      <x:c r="E158" s="35" t="str">
        <x:v>Line</x:v>
      </x:c>
      <x:c r="F158" s="35"/>
      <x:c r="G158" s="35" t="str">
        <x:v>A</x:v>
      </x:c>
      <x:c r="H158" s="39" t="str">
        <x:f>IF(ISNUMBER('Data'!E158),'Data'!E158*100,"")</x:f>
      </x:c>
      <x:c r="I158" s="35"/>
      <x:c r="J158" s="35" t="str">
        <x:v>PASS</x:v>
      </x:c>
      <x:c r="K158" s="35" t="str">
        <x:v>FAIL</x:v>
      </x:c>
      <x:c r="L158" s="35" t="str">
        <x:v>NOT_RUN</x:v>
      </x:c>
      <x:c r="M158" s="35" t="str">
        <x:v>coverage unavailable or execution/compile failed</x:v>
      </x:c>
      <x:c r="N158" s="35" t="str">
        <x:v>Gemini-3.8-flash/Result/Closure_22/result.json</x:v>
      </x:c>
      <x:c r="O158" s="39" t="str">
        <x:f>IF(AND(G158="RECORDED",ISNUMBER(H158)),H158,"")</x:f>
      </x:c>
      <x:c r="P158" s="35" t="str">
        <x:v>NOT_AVAILABLE</x:v>
      </x:c>
      <x:c r="Q158" s="35" t="str">
        <x:v>Gemini-3.8-flash/Result/Closure_22/result.json</x:v>
      </x:c>
    </x:row>
    <x:row r="159">
      <x:c r="A159" s="35" t="str">
        <x:v>gemini</x:v>
      </x:c>
      <x:c r="B159" s="35" t="str">
        <x:v>Closure</x:v>
      </x:c>
      <x:c r="C159" s="35" t="str">
        <x:v>Round1</x:v>
      </x:c>
      <x:c r="D159" s="35" t="str">
        <x:v>Closure_23</x:v>
      </x:c>
      <x:c r="E159" s="35" t="str">
        <x:v>Line</x:v>
      </x:c>
      <x:c r="F159" s="35"/>
      <x:c r="G159" s="35" t="str">
        <x:v>A</x:v>
      </x:c>
      <x:c r="H159" s="39" t="str">
        <x:f>IF(ISNUMBER('Data'!E159),'Data'!E159*100,"")</x:f>
      </x:c>
      <x:c r="I159" s="35"/>
      <x:c r="J159" s="35" t="str">
        <x:v>PASS</x:v>
      </x:c>
      <x:c r="K159" s="35" t="str">
        <x:v>FAIL</x:v>
      </x:c>
      <x:c r="L159" s="35" t="str">
        <x:v>NOT_RUN</x:v>
      </x:c>
      <x:c r="M159" s="35" t="str">
        <x:v>coverage unavailable or execution/compile failed</x:v>
      </x:c>
      <x:c r="N159" s="35" t="str">
        <x:v>Gemini-3.8-flash/Result/Closure_23/result.json</x:v>
      </x:c>
      <x:c r="O159" s="39" t="str">
        <x:f>IF(AND(G159="RECORDED",ISNUMBER(H159)),H159,"")</x:f>
      </x:c>
      <x:c r="P159" s="35" t="str">
        <x:v>NOT_AVAILABLE</x:v>
      </x:c>
      <x:c r="Q159" s="35" t="str">
        <x:v>Gemini-3.8-flash/Result/Closure_23/result.json</x:v>
      </x:c>
    </x:row>
    <x:row r="160">
      <x:c r="A160" s="35" t="str">
        <x:v>gemini</x:v>
      </x:c>
      <x:c r="B160" s="35" t="str">
        <x:v>Closure</x:v>
      </x:c>
      <x:c r="C160" s="35" t="str">
        <x:v>Round1</x:v>
      </x:c>
      <x:c r="D160" s="35" t="str">
        <x:v>Closure_24</x:v>
      </x:c>
      <x:c r="E160" s="35" t="str">
        <x:v>Line</x:v>
      </x:c>
      <x:c r="F160" s="35"/>
      <x:c r="G160" s="35" t="str">
        <x:v>A</x:v>
      </x:c>
      <x:c r="H160" s="39" t="str">
        <x:f>IF(ISNUMBER('Data'!E160),'Data'!E160*100,"")</x:f>
      </x:c>
      <x:c r="I160" s="35"/>
      <x:c r="J160" s="35" t="str">
        <x:v>PASS</x:v>
      </x:c>
      <x:c r="K160" s="35" t="str">
        <x:v>FAIL</x:v>
      </x:c>
      <x:c r="L160" s="35" t="str">
        <x:v>NOT_RUN</x:v>
      </x:c>
      <x:c r="M160" s="35" t="str">
        <x:v>coverage unavailable or execution/compile failed</x:v>
      </x:c>
      <x:c r="N160" s="35" t="str">
        <x:v>Gemini-3.8-flash/Result/Closure_24/result.json</x:v>
      </x:c>
      <x:c r="O160" s="39" t="str">
        <x:f>IF(AND(G160="RECORDED",ISNUMBER(H160)),H160,"")</x:f>
      </x:c>
      <x:c r="P160" s="35" t="str">
        <x:v>NOT_AVAILABLE</x:v>
      </x:c>
      <x:c r="Q160" s="35" t="str">
        <x:v>Gemini-3.8-flash/Result/Closure_24/result.json</x:v>
      </x:c>
    </x:row>
    <x:row r="161">
      <x:c r="A161" s="35" t="str">
        <x:v>gemini</x:v>
      </x:c>
      <x:c r="B161" s="35" t="str">
        <x:v>Closure</x:v>
      </x:c>
      <x:c r="C161" s="35" t="str">
        <x:v>Round1</x:v>
      </x:c>
      <x:c r="D161" s="35" t="str">
        <x:v>Closure_25</x:v>
      </x:c>
      <x:c r="E161" s="35" t="str">
        <x:v>Line</x:v>
      </x:c>
      <x:c r="F161" s="35"/>
      <x:c r="G161" s="35" t="str">
        <x:v>A</x:v>
      </x:c>
      <x:c r="H161" s="39" t="str">
        <x:f>IF(ISNUMBER('Data'!E161),'Data'!E161*100,"")</x:f>
      </x:c>
      <x:c r="I161" s="35"/>
      <x:c r="J161" s="35" t="str">
        <x:v>PASS</x:v>
      </x:c>
      <x:c r="K161" s="35" t="str">
        <x:v>FAIL</x:v>
      </x:c>
      <x:c r="L161" s="35" t="str">
        <x:v>NOT_RUN</x:v>
      </x:c>
      <x:c r="M161" s="35" t="str">
        <x:v>coverage unavailable or execution/compile failed</x:v>
      </x:c>
      <x:c r="N161" s="35" t="str">
        <x:v>Gemini-3.8-flash/Result/Closure_25/result.json</x:v>
      </x:c>
      <x:c r="O161" s="39" t="str">
        <x:f>IF(AND(G161="RECORDED",ISNUMBER(H161)),H161,"")</x:f>
      </x:c>
      <x:c r="P161" s="35" t="str">
        <x:v>NOT_AVAILABLE</x:v>
      </x:c>
      <x:c r="Q161" s="35" t="str">
        <x:v>Gemini-3.8-flash/Result/Closure_25/result.json</x:v>
      </x:c>
    </x:row>
    <x:row r="162">
      <x:c r="A162" s="35" t="str">
        <x:v>gemini</x:v>
      </x:c>
      <x:c r="B162" s="35" t="str">
        <x:v>Closure</x:v>
      </x:c>
      <x:c r="C162" s="35" t="str">
        <x:v>Round1</x:v>
      </x:c>
      <x:c r="D162" s="35" t="str">
        <x:v>Closure_26</x:v>
      </x:c>
      <x:c r="E162" s="35" t="str">
        <x:v>Line</x:v>
      </x:c>
      <x:c r="F162" s="35"/>
      <x:c r="G162" s="35" t="str">
        <x:v>A</x:v>
      </x:c>
      <x:c r="H162" s="39" t="str">
        <x:f>IF(ISNUMBER('Data'!E162),'Data'!E162*100,"")</x:f>
      </x:c>
      <x:c r="I162" s="35"/>
      <x:c r="J162" s="35" t="str">
        <x:v>PASS</x:v>
      </x:c>
      <x:c r="K162" s="35" t="str">
        <x:v>FAIL</x:v>
      </x:c>
      <x:c r="L162" s="35" t="str">
        <x:v>NOT_RUN</x:v>
      </x:c>
      <x:c r="M162" s="35" t="str">
        <x:v>coverage unavailable or execution/compile failed</x:v>
      </x:c>
      <x:c r="N162" s="35" t="str">
        <x:v>Gemini-3.8-flash/Result/Closure_26/result.json</x:v>
      </x:c>
      <x:c r="O162" s="39" t="str">
        <x:f>IF(AND(G162="RECORDED",ISNUMBER(H162)),H162,"")</x:f>
      </x:c>
      <x:c r="P162" s="35" t="str">
        <x:v>NOT_AVAILABLE</x:v>
      </x:c>
      <x:c r="Q162" s="35" t="str">
        <x:v>Gemini-3.8-flash/Result/Closure_26/result.json</x:v>
      </x:c>
    </x:row>
    <x:row r="163">
      <x:c r="A163" s="35" t="str">
        <x:v>gemini</x:v>
      </x:c>
      <x:c r="B163" s="35" t="str">
        <x:v>Closure</x:v>
      </x:c>
      <x:c r="C163" s="35" t="str">
        <x:v>Round1</x:v>
      </x:c>
      <x:c r="D163" s="35" t="str">
        <x:v>Closure_27</x:v>
      </x:c>
      <x:c r="E163" s="35" t="str">
        <x:v>Line</x:v>
      </x:c>
      <x:c r="F163" s="35"/>
      <x:c r="G163" s="35" t="str">
        <x:v>A</x:v>
      </x:c>
      <x:c r="H163" s="39" t="str">
        <x:f>IF(ISNUMBER('Data'!E163),'Data'!E163*100,"")</x:f>
      </x:c>
      <x:c r="I163" s="35"/>
      <x:c r="J163" s="35" t="str">
        <x:v>PASS</x:v>
      </x:c>
      <x:c r="K163" s="35" t="str">
        <x:v>FAIL</x:v>
      </x:c>
      <x:c r="L163" s="35" t="str">
        <x:v>NOT_RUN</x:v>
      </x:c>
      <x:c r="M163" s="35" t="str">
        <x:v>coverage unavailable or execution/compile failed</x:v>
      </x:c>
      <x:c r="N163" s="35" t="str">
        <x:v>Gemini-3.8-flash/Result/Closure_27/result.json</x:v>
      </x:c>
      <x:c r="O163" s="39" t="str">
        <x:f>IF(AND(G163="RECORDED",ISNUMBER(H163)),H163,"")</x:f>
      </x:c>
      <x:c r="P163" s="35" t="str">
        <x:v>NOT_AVAILABLE</x:v>
      </x:c>
      <x:c r="Q163" s="35" t="str">
        <x:v>Gemini-3.8-flash/Result/Closure_27/result.json</x:v>
      </x:c>
    </x:row>
    <x:row r="164">
      <x:c r="A164" s="35" t="str">
        <x:v>gemini</x:v>
      </x:c>
      <x:c r="B164" s="35" t="str">
        <x:v>Closure</x:v>
      </x:c>
      <x:c r="C164" s="35" t="str">
        <x:v>Round1</x:v>
      </x:c>
      <x:c r="D164" s="35" t="str">
        <x:v>Closure_28</x:v>
      </x:c>
      <x:c r="E164" s="35" t="str">
        <x:v>Line</x:v>
      </x:c>
      <x:c r="F164" s="35" t="n">
        <x:v>26</x:v>
      </x:c>
      <x:c r="G164" s="35" t="str">
        <x:v>RECORDED</x:v>
      </x:c>
      <x:c r="H164" s="39" t="n">
        <x:f>IF(ISNUMBER('Data'!E164),'Data'!E164*100,"")</x:f>
        <x:v>100</x:v>
      </x:c>
      <x:c r="I164" s="35" t="str">
        <x:v>PASS</x:v>
      </x:c>
      <x:c r="J164" s="35" t="str">
        <x:v>PASS</x:v>
      </x:c>
      <x:c r="K164" s="35" t="str">
        <x:v>PASS</x:v>
      </x:c>
      <x:c r="L164" s="35" t="str">
        <x:v>PASS</x:v>
      </x:c>
      <x:c r="M164" s="35" t="str">
        <x:v>numeric coverage for applicable metric</x:v>
      </x:c>
      <x:c r="N164" s="35" t="str">
        <x:v>Gemini-3.8-flash/Result/Closure_28/result.json</x:v>
      </x:c>
      <x:c r="O164" s="39" t="n">
        <x:f>IF(AND(G164="RECORDED",ISNUMBER(H164)),H164,"")</x:f>
        <x:v>100</x:v>
      </x:c>
      <x:c r="P164" s="35" t="str">
        <x:v>NOT_REVEALING</x:v>
      </x:c>
      <x:c r="Q164" s="35" t="str">
        <x:v>Gemini-3.8-flash/Result/Closure_28/result.json</x:v>
      </x:c>
    </x:row>
    <x:row r="165">
      <x:c r="A165" s="35" t="str">
        <x:v>gemini</x:v>
      </x:c>
      <x:c r="B165" s="35" t="str">
        <x:v>Closure</x:v>
      </x:c>
      <x:c r="C165" s="35" t="str">
        <x:v>Round1</x:v>
      </x:c>
      <x:c r="D165" s="35" t="str">
        <x:v>Closure_29</x:v>
      </x:c>
      <x:c r="E165" s="35" t="str">
        <x:v>Line</x:v>
      </x:c>
      <x:c r="F165" s="35"/>
      <x:c r="G165" s="35" t="str">
        <x:v>A</x:v>
      </x:c>
      <x:c r="H165" s="39" t="str">
        <x:f>IF(ISNUMBER('Data'!E165),'Data'!E165*100,"")</x:f>
      </x:c>
      <x:c r="I165" s="35"/>
      <x:c r="J165" s="35" t="str">
        <x:v>PASS</x:v>
      </x:c>
      <x:c r="K165" s="35" t="str">
        <x:v>FAIL</x:v>
      </x:c>
      <x:c r="L165" s="35" t="str">
        <x:v>NOT_RUN</x:v>
      </x:c>
      <x:c r="M165" s="35" t="str">
        <x:v>coverage unavailable or execution/compile failed</x:v>
      </x:c>
      <x:c r="N165" s="35" t="str">
        <x:v>Gemini-3.8-flash/Result/Closure_29/result.json</x:v>
      </x:c>
      <x:c r="O165" s="39" t="str">
        <x:f>IF(AND(G165="RECORDED",ISNUMBER(H165)),H165,"")</x:f>
      </x:c>
      <x:c r="P165" s="35" t="str">
        <x:v>NOT_AVAILABLE</x:v>
      </x:c>
      <x:c r="Q165" s="35" t="str">
        <x:v>Gemini-3.8-flash/Result/Closure_29/result.json</x:v>
      </x:c>
    </x:row>
    <x:row r="166">
      <x:c r="A166" s="35" t="str">
        <x:v>gemini</x:v>
      </x:c>
      <x:c r="B166" s="35" t="str">
        <x:v>Closure</x:v>
      </x:c>
      <x:c r="C166" s="35" t="str">
        <x:v>Round1</x:v>
      </x:c>
      <x:c r="D166" s="35" t="str">
        <x:v>Closure_3</x:v>
      </x:c>
      <x:c r="E166" s="35" t="str">
        <x:v>Line</x:v>
      </x:c>
      <x:c r="F166" s="35"/>
      <x:c r="G166" s="35" t="str">
        <x:v>A</x:v>
      </x:c>
      <x:c r="H166" s="39" t="str">
        <x:f>IF(ISNUMBER('Data'!E166),'Data'!E166*100,"")</x:f>
      </x:c>
      <x:c r="I166" s="35"/>
      <x:c r="J166" s="35" t="str">
        <x:v>PASS</x:v>
      </x:c>
      <x:c r="K166" s="35" t="str">
        <x:v>FAIL</x:v>
      </x:c>
      <x:c r="L166" s="35" t="str">
        <x:v>NOT_RUN</x:v>
      </x:c>
      <x:c r="M166" s="35" t="str">
        <x:v>coverage unavailable or execution/compile failed</x:v>
      </x:c>
      <x:c r="N166" s="35" t="str">
        <x:v>Gemini-3.8-flash/Result/Closure_3/result.json</x:v>
      </x:c>
      <x:c r="O166" s="39" t="str">
        <x:f>IF(AND(G166="RECORDED",ISNUMBER(H166)),H166,"")</x:f>
      </x:c>
      <x:c r="P166" s="35" t="str">
        <x:v>NOT_AVAILABLE</x:v>
      </x:c>
      <x:c r="Q166" s="35" t="str">
        <x:v>Gemini-3.8-flash/Result/Closure_3/result.json</x:v>
      </x:c>
    </x:row>
    <x:row r="167">
      <x:c r="A167" s="35" t="str">
        <x:v>gemini</x:v>
      </x:c>
      <x:c r="B167" s="35" t="str">
        <x:v>Closure</x:v>
      </x:c>
      <x:c r="C167" s="35" t="str">
        <x:v>Round1</x:v>
      </x:c>
      <x:c r="D167" s="35" t="str">
        <x:v>Closure_30</x:v>
      </x:c>
      <x:c r="E167" s="35" t="str">
        <x:v>Line</x:v>
      </x:c>
      <x:c r="F167" s="35"/>
      <x:c r="G167" s="35" t="str">
        <x:v>A</x:v>
      </x:c>
      <x:c r="H167" s="39" t="str">
        <x:f>IF(ISNUMBER('Data'!E167),'Data'!E167*100,"")</x:f>
      </x:c>
      <x:c r="I167" s="35"/>
      <x:c r="J167" s="35" t="str">
        <x:v>PASS</x:v>
      </x:c>
      <x:c r="K167" s="35" t="str">
        <x:v>FAIL</x:v>
      </x:c>
      <x:c r="L167" s="35" t="str">
        <x:v>NOT_RUN</x:v>
      </x:c>
      <x:c r="M167" s="35" t="str">
        <x:v>coverage unavailable or execution/compile failed</x:v>
      </x:c>
      <x:c r="N167" s="35" t="str">
        <x:v>Gemini-3.8-flash/Result/Closure_30/result.json</x:v>
      </x:c>
      <x:c r="O167" s="39" t="str">
        <x:f>IF(AND(G167="RECORDED",ISNUMBER(H167)),H167,"")</x:f>
      </x:c>
      <x:c r="P167" s="35" t="str">
        <x:v>NOT_AVAILABLE</x:v>
      </x:c>
      <x:c r="Q167" s="35" t="str">
        <x:v>Gemini-3.8-flash/Result/Closure_30/result.json</x:v>
      </x:c>
    </x:row>
    <x:row r="168">
      <x:c r="A168" s="35" t="str">
        <x:v>gemini</x:v>
      </x:c>
      <x:c r="B168" s="35" t="str">
        <x:v>Closure</x:v>
      </x:c>
      <x:c r="C168" s="35" t="str">
        <x:v>Round1</x:v>
      </x:c>
      <x:c r="D168" s="35" t="str">
        <x:v>Closure_31</x:v>
      </x:c>
      <x:c r="E168" s="35" t="str">
        <x:v>Line</x:v>
      </x:c>
      <x:c r="F168" s="35"/>
      <x:c r="G168" s="35" t="str">
        <x:v>A</x:v>
      </x:c>
      <x:c r="H168" s="39" t="str">
        <x:f>IF(ISNUMBER('Data'!E168),'Data'!E168*100,"")</x:f>
      </x:c>
      <x:c r="I168" s="35"/>
      <x:c r="J168" s="35" t="str">
        <x:v>PASS</x:v>
      </x:c>
      <x:c r="K168" s="35" t="str">
        <x:v>FAIL</x:v>
      </x:c>
      <x:c r="L168" s="35" t="str">
        <x:v>NOT_RUN</x:v>
      </x:c>
      <x:c r="M168" s="35" t="str">
        <x:v>coverage unavailable or execution/compile failed</x:v>
      </x:c>
      <x:c r="N168" s="35" t="str">
        <x:v>Gemini-3.8-flash/Result/Closure_31/result.json</x:v>
      </x:c>
      <x:c r="O168" s="39" t="str">
        <x:f>IF(AND(G168="RECORDED",ISNUMBER(H168)),H168,"")</x:f>
      </x:c>
      <x:c r="P168" s="35" t="str">
        <x:v>NOT_AVAILABLE</x:v>
      </x:c>
      <x:c r="Q168" s="35" t="str">
        <x:v>Gemini-3.8-flash/Result/Closure_31/result.json</x:v>
      </x:c>
    </x:row>
    <x:row r="169">
      <x:c r="A169" s="35" t="str">
        <x:v>gemini</x:v>
      </x:c>
      <x:c r="B169" s="35" t="str">
        <x:v>Closure</x:v>
      </x:c>
      <x:c r="C169" s="35" t="str">
        <x:v>Round1</x:v>
      </x:c>
      <x:c r="D169" s="35" t="str">
        <x:v>Closure_32</x:v>
      </x:c>
      <x:c r="E169" s="35" t="str">
        <x:v>Line</x:v>
      </x:c>
      <x:c r="F169" s="35"/>
      <x:c r="G169" s="35" t="str">
        <x:v>A</x:v>
      </x:c>
      <x:c r="H169" s="39" t="str">
        <x:f>IF(ISNUMBER('Data'!E169),'Data'!E169*100,"")</x:f>
      </x:c>
      <x:c r="I169" s="35"/>
      <x:c r="J169" s="35" t="str">
        <x:v>PASS</x:v>
      </x:c>
      <x:c r="K169" s="35" t="str">
        <x:v>FAIL</x:v>
      </x:c>
      <x:c r="L169" s="35" t="str">
        <x:v>NOT_RUN</x:v>
      </x:c>
      <x:c r="M169" s="35" t="str">
        <x:v>coverage unavailable or execution/compile failed</x:v>
      </x:c>
      <x:c r="N169" s="35" t="str">
        <x:v>Gemini-3.8-flash/Result/Closure_32/result.json</x:v>
      </x:c>
      <x:c r="O169" s="39" t="str">
        <x:f>IF(AND(G169="RECORDED",ISNUMBER(H169)),H169,"")</x:f>
      </x:c>
      <x:c r="P169" s="35" t="str">
        <x:v>NOT_AVAILABLE</x:v>
      </x:c>
      <x:c r="Q169" s="35" t="str">
        <x:v>Gemini-3.8-flash/Result/Closure_32/result.json</x:v>
      </x:c>
    </x:row>
    <x:row r="170">
      <x:c r="A170" s="35" t="str">
        <x:v>gemini</x:v>
      </x:c>
      <x:c r="B170" s="35" t="str">
        <x:v>Closure</x:v>
      </x:c>
      <x:c r="C170" s="35" t="str">
        <x:v>Round1</x:v>
      </x:c>
      <x:c r="D170" s="35" t="str">
        <x:v>Closure_33</x:v>
      </x:c>
      <x:c r="E170" s="35" t="str">
        <x:v>Line</x:v>
      </x:c>
      <x:c r="F170" s="35"/>
      <x:c r="G170" s="35" t="str">
        <x:v>A</x:v>
      </x:c>
      <x:c r="H170" s="39" t="str">
        <x:f>IF(ISNUMBER('Data'!E170),'Data'!E170*100,"")</x:f>
      </x:c>
      <x:c r="I170" s="35"/>
      <x:c r="J170" s="35" t="str">
        <x:v>PASS</x:v>
      </x:c>
      <x:c r="K170" s="35" t="str">
        <x:v>FAIL</x:v>
      </x:c>
      <x:c r="L170" s="35" t="str">
        <x:v>NOT_RUN</x:v>
      </x:c>
      <x:c r="M170" s="35" t="str">
        <x:v>coverage unavailable or execution/compile failed</x:v>
      </x:c>
      <x:c r="N170" s="35" t="str">
        <x:v>Gemini-3.8-flash/Result/Closure_33/result.json</x:v>
      </x:c>
      <x:c r="O170" s="39" t="str">
        <x:f>IF(AND(G170="RECORDED",ISNUMBER(H170)),H170,"")</x:f>
      </x:c>
      <x:c r="P170" s="35" t="str">
        <x:v>NOT_AVAILABLE</x:v>
      </x:c>
      <x:c r="Q170" s="35" t="str">
        <x:v>Gemini-3.8-flash/Result/Closure_33/result.json</x:v>
      </x:c>
    </x:row>
    <x:row r="171">
      <x:c r="A171" s="35" t="str">
        <x:v>gemini</x:v>
      </x:c>
      <x:c r="B171" s="35" t="str">
        <x:v>Closure</x:v>
      </x:c>
      <x:c r="C171" s="35" t="str">
        <x:v>Round1</x:v>
      </x:c>
      <x:c r="D171" s="35" t="str">
        <x:v>Closure_34</x:v>
      </x:c>
      <x:c r="E171" s="35" t="str">
        <x:v>Line</x:v>
      </x:c>
      <x:c r="F171" s="35"/>
      <x:c r="G171" s="35" t="str">
        <x:v>A</x:v>
      </x:c>
      <x:c r="H171" s="39" t="str">
        <x:f>IF(ISNUMBER('Data'!E171),'Data'!E171*100,"")</x:f>
      </x:c>
      <x:c r="I171" s="35"/>
      <x:c r="J171" s="35" t="str">
        <x:v>PASS</x:v>
      </x:c>
      <x:c r="K171" s="35" t="str">
        <x:v>FAIL</x:v>
      </x:c>
      <x:c r="L171" s="35" t="str">
        <x:v>NOT_RUN</x:v>
      </x:c>
      <x:c r="M171" s="35" t="str">
        <x:v>coverage unavailable or execution/compile failed</x:v>
      </x:c>
      <x:c r="N171" s="35" t="str">
        <x:v>Gemini-3.8-flash/Result/Closure_34/result.json</x:v>
      </x:c>
      <x:c r="O171" s="39" t="str">
        <x:f>IF(AND(G171="RECORDED",ISNUMBER(H171)),H171,"")</x:f>
      </x:c>
      <x:c r="P171" s="35" t="str">
        <x:v>NOT_AVAILABLE</x:v>
      </x:c>
      <x:c r="Q171" s="35" t="str">
        <x:v>Gemini-3.8-flash/Result/Closure_34/result.json</x:v>
      </x:c>
    </x:row>
    <x:row r="172">
      <x:c r="A172" s="35" t="str">
        <x:v>gemini</x:v>
      </x:c>
      <x:c r="B172" s="35" t="str">
        <x:v>Closure</x:v>
      </x:c>
      <x:c r="C172" s="35" t="str">
        <x:v>Round1</x:v>
      </x:c>
      <x:c r="D172" s="35" t="str">
        <x:v>Closure_35</x:v>
      </x:c>
      <x:c r="E172" s="35" t="str">
        <x:v>Line</x:v>
      </x:c>
      <x:c r="F172" s="35"/>
      <x:c r="G172" s="35" t="str">
        <x:v>A</x:v>
      </x:c>
      <x:c r="H172" s="39" t="str">
        <x:f>IF(ISNUMBER('Data'!E172),'Data'!E172*100,"")</x:f>
      </x:c>
      <x:c r="I172" s="35"/>
      <x:c r="J172" s="35" t="str">
        <x:v>PASS</x:v>
      </x:c>
      <x:c r="K172" s="35" t="str">
        <x:v>FAIL</x:v>
      </x:c>
      <x:c r="L172" s="35" t="str">
        <x:v>NOT_RUN</x:v>
      </x:c>
      <x:c r="M172" s="35" t="str">
        <x:v>coverage unavailable or execution/compile failed</x:v>
      </x:c>
      <x:c r="N172" s="35" t="str">
        <x:v>Gemini-3.8-flash/Result/Closure_35/result.json</x:v>
      </x:c>
      <x:c r="O172" s="39" t="str">
        <x:f>IF(AND(G172="RECORDED",ISNUMBER(H172)),H172,"")</x:f>
      </x:c>
      <x:c r="P172" s="35" t="str">
        <x:v>NOT_AVAILABLE</x:v>
      </x:c>
      <x:c r="Q172" s="35" t="str">
        <x:v>Gemini-3.8-flash/Result/Closure_35/result.json</x:v>
      </x:c>
    </x:row>
    <x:row r="173">
      <x:c r="A173" s="35" t="str">
        <x:v>gemini</x:v>
      </x:c>
      <x:c r="B173" s="35" t="str">
        <x:v>Closure</x:v>
      </x:c>
      <x:c r="C173" s="35" t="str">
        <x:v>Round1</x:v>
      </x:c>
      <x:c r="D173" s="35" t="str">
        <x:v>Closure_36</x:v>
      </x:c>
      <x:c r="E173" s="35" t="str">
        <x:v>Line</x:v>
      </x:c>
      <x:c r="F173" s="35"/>
      <x:c r="G173" s="35" t="str">
        <x:v>A</x:v>
      </x:c>
      <x:c r="H173" s="39" t="str">
        <x:f>IF(ISNUMBER('Data'!E173),'Data'!E173*100,"")</x:f>
      </x:c>
      <x:c r="I173" s="35"/>
      <x:c r="J173" s="35" t="str">
        <x:v>PASS</x:v>
      </x:c>
      <x:c r="K173" s="35" t="str">
        <x:v>FAIL</x:v>
      </x:c>
      <x:c r="L173" s="35" t="str">
        <x:v>NOT_RUN</x:v>
      </x:c>
      <x:c r="M173" s="35" t="str">
        <x:v>coverage unavailable or execution/compile failed</x:v>
      </x:c>
      <x:c r="N173" s="35" t="str">
        <x:v>Gemini-3.8-flash/Result/Closure_36/result.json</x:v>
      </x:c>
      <x:c r="O173" s="39" t="str">
        <x:f>IF(AND(G173="RECORDED",ISNUMBER(H173)),H173,"")</x:f>
      </x:c>
      <x:c r="P173" s="35" t="str">
        <x:v>NOT_AVAILABLE</x:v>
      </x:c>
      <x:c r="Q173" s="35" t="str">
        <x:v>Gemini-3.8-flash/Result/Closure_36/result.json</x:v>
      </x:c>
    </x:row>
    <x:row r="174">
      <x:c r="A174" s="35" t="str">
        <x:v>gemini</x:v>
      </x:c>
      <x:c r="B174" s="35" t="str">
        <x:v>Closure</x:v>
      </x:c>
      <x:c r="C174" s="35" t="str">
        <x:v>Round1</x:v>
      </x:c>
      <x:c r="D174" s="35" t="str">
        <x:v>Closure_37</x:v>
      </x:c>
      <x:c r="E174" s="35" t="str">
        <x:v>Line</x:v>
      </x:c>
      <x:c r="F174" s="35"/>
      <x:c r="G174" s="35" t="str">
        <x:v>A</x:v>
      </x:c>
      <x:c r="H174" s="39" t="str">
        <x:f>IF(ISNUMBER('Data'!E174),'Data'!E174*100,"")</x:f>
      </x:c>
      <x:c r="I174" s="35"/>
      <x:c r="J174" s="35" t="str">
        <x:v>PASS</x:v>
      </x:c>
      <x:c r="K174" s="35" t="str">
        <x:v>FAIL</x:v>
      </x:c>
      <x:c r="L174" s="35" t="str">
        <x:v>NOT_RUN</x:v>
      </x:c>
      <x:c r="M174" s="35" t="str">
        <x:v>coverage unavailable or execution/compile failed</x:v>
      </x:c>
      <x:c r="N174" s="35" t="str">
        <x:v>Gemini-3.8-flash/Result/Closure_37/result.json</x:v>
      </x:c>
      <x:c r="O174" s="39" t="str">
        <x:f>IF(AND(G174="RECORDED",ISNUMBER(H174)),H174,"")</x:f>
      </x:c>
      <x:c r="P174" s="35" t="str">
        <x:v>NOT_AVAILABLE</x:v>
      </x:c>
      <x:c r="Q174" s="35" t="str">
        <x:v>Gemini-3.8-flash/Result/Closure_37/result.json</x:v>
      </x:c>
    </x:row>
    <x:row r="175">
      <x:c r="A175" s="35" t="str">
        <x:v>gemini</x:v>
      </x:c>
      <x:c r="B175" s="35" t="str">
        <x:v>Closure</x:v>
      </x:c>
      <x:c r="C175" s="35" t="str">
        <x:v>Round1</x:v>
      </x:c>
      <x:c r="D175" s="35" t="str">
        <x:v>Closure_38</x:v>
      </x:c>
      <x:c r="E175" s="35" t="str">
        <x:v>Line</x:v>
      </x:c>
      <x:c r="F175" s="35" t="n">
        <x:v>112</x:v>
      </x:c>
      <x:c r="G175" s="35" t="str">
        <x:v>RECORDED</x:v>
      </x:c>
      <x:c r="H175" s="39" t="n">
        <x:f>IF(ISNUMBER('Data'!E175),'Data'!E175*100,"")</x:f>
        <x:v>68.75</x:v>
      </x:c>
      <x:c r="I175" s="35" t="str">
        <x:v>PASS</x:v>
      </x:c>
      <x:c r="J175" s="35" t="str">
        <x:v>PASS</x:v>
      </x:c>
      <x:c r="K175" s="35" t="str">
        <x:v>PASS</x:v>
      </x:c>
      <x:c r="L175" s="35" t="str">
        <x:v>FAIL</x:v>
      </x:c>
      <x:c r="M175" s="35" t="str">
        <x:v>numeric coverage for applicable metric</x:v>
      </x:c>
      <x:c r="N175" s="35" t="str">
        <x:v>Gemini-3.8-flash/Result/Closure_38/result.json</x:v>
      </x:c>
      <x:c r="O175" s="39" t="n">
        <x:f>IF(AND(G175="RECORDED",ISNUMBER(H175)),H175,"")</x:f>
        <x:v>68.75</x:v>
      </x:c>
      <x:c r="P175" s="35" t="str">
        <x:v>INCONCLUSIVE</x:v>
      </x:c>
      <x:c r="Q175" s="35" t="str">
        <x:v>Gemini-3.8-flash/Result/Closure_38/result.json</x:v>
      </x:c>
    </x:row>
    <x:row r="176">
      <x:c r="A176" s="35" t="str">
        <x:v>gemini</x:v>
      </x:c>
      <x:c r="B176" s="35" t="str">
        <x:v>Closure</x:v>
      </x:c>
      <x:c r="C176" s="35" t="str">
        <x:v>Round1</x:v>
      </x:c>
      <x:c r="D176" s="35" t="str">
        <x:v>Closure_39</x:v>
      </x:c>
      <x:c r="E176" s="35" t="str">
        <x:v>Line</x:v>
      </x:c>
      <x:c r="F176" s="35"/>
      <x:c r="G176" s="35" t="str">
        <x:v>A</x:v>
      </x:c>
      <x:c r="H176" s="39" t="str">
        <x:f>IF(ISNUMBER('Data'!E176),'Data'!E176*100,"")</x:f>
      </x:c>
      <x:c r="I176" s="35"/>
      <x:c r="J176" s="35" t="str">
        <x:v>PASS</x:v>
      </x:c>
      <x:c r="K176" s="35" t="str">
        <x:v>FAIL</x:v>
      </x:c>
      <x:c r="L176" s="35" t="str">
        <x:v>NOT_RUN</x:v>
      </x:c>
      <x:c r="M176" s="35" t="str">
        <x:v>coverage unavailable or execution/compile failed</x:v>
      </x:c>
      <x:c r="N176" s="35" t="str">
        <x:v>Gemini-3.8-flash/Result/Closure_39/result.json</x:v>
      </x:c>
      <x:c r="O176" s="39" t="str">
        <x:f>IF(AND(G176="RECORDED",ISNUMBER(H176)),H176,"")</x:f>
      </x:c>
      <x:c r="P176" s="35" t="str">
        <x:v>NOT_AVAILABLE</x:v>
      </x:c>
      <x:c r="Q176" s="35" t="str">
        <x:v>Gemini-3.8-flash/Result/Closure_39/result.json</x:v>
      </x:c>
    </x:row>
    <x:row r="177">
      <x:c r="A177" s="35" t="str">
        <x:v>gemini</x:v>
      </x:c>
      <x:c r="B177" s="35" t="str">
        <x:v>Closure</x:v>
      </x:c>
      <x:c r="C177" s="35" t="str">
        <x:v>Round1</x:v>
      </x:c>
      <x:c r="D177" s="35" t="str">
        <x:v>Closure_4</x:v>
      </x:c>
      <x:c r="E177" s="35" t="str">
        <x:v>Line</x:v>
      </x:c>
      <x:c r="F177" s="35"/>
      <x:c r="G177" s="35" t="str">
        <x:v>A</x:v>
      </x:c>
      <x:c r="H177" s="39" t="str">
        <x:f>IF(ISNUMBER('Data'!E177),'Data'!E177*100,"")</x:f>
      </x:c>
      <x:c r="I177" s="35"/>
      <x:c r="J177" s="35" t="str">
        <x:v>PASS</x:v>
      </x:c>
      <x:c r="K177" s="35" t="str">
        <x:v>FAIL</x:v>
      </x:c>
      <x:c r="L177" s="35" t="str">
        <x:v>NOT_RUN</x:v>
      </x:c>
      <x:c r="M177" s="35" t="str">
        <x:v>coverage unavailable or execution/compile failed</x:v>
      </x:c>
      <x:c r="N177" s="35" t="str">
        <x:v>Gemini-3.8-flash/Result/Closure_4/result.json</x:v>
      </x:c>
      <x:c r="O177" s="39" t="str">
        <x:f>IF(AND(G177="RECORDED",ISNUMBER(H177)),H177,"")</x:f>
      </x:c>
      <x:c r="P177" s="35" t="str">
        <x:v>NOT_AVAILABLE</x:v>
      </x:c>
      <x:c r="Q177" s="35" t="str">
        <x:v>Gemini-3.8-flash/Result/Closure_4/result.json</x:v>
      </x:c>
    </x:row>
    <x:row r="178">
      <x:c r="A178" s="35" t="str">
        <x:v>gemini</x:v>
      </x:c>
      <x:c r="B178" s="35" t="str">
        <x:v>Closure</x:v>
      </x:c>
      <x:c r="C178" s="35" t="str">
        <x:v>Round1</x:v>
      </x:c>
      <x:c r="D178" s="35" t="str">
        <x:v>Closure_40</x:v>
      </x:c>
      <x:c r="E178" s="35" t="str">
        <x:v>Line</x:v>
      </x:c>
      <x:c r="F178" s="35"/>
      <x:c r="G178" s="35" t="str">
        <x:v>A</x:v>
      </x:c>
      <x:c r="H178" s="39" t="str">
        <x:f>IF(ISNUMBER('Data'!E178),'Data'!E178*100,"")</x:f>
      </x:c>
      <x:c r="I178" s="35"/>
      <x:c r="J178" s="35" t="str">
        <x:v>PASS</x:v>
      </x:c>
      <x:c r="K178" s="35" t="str">
        <x:v>FAIL</x:v>
      </x:c>
      <x:c r="L178" s="35" t="str">
        <x:v>NOT_RUN</x:v>
      </x:c>
      <x:c r="M178" s="35" t="str">
        <x:v>coverage unavailable or execution/compile failed</x:v>
      </x:c>
      <x:c r="N178" s="35" t="str">
        <x:v>Gemini-3.8-flash/Result/Closure_40/result.json</x:v>
      </x:c>
      <x:c r="O178" s="39" t="str">
        <x:f>IF(AND(G178="RECORDED",ISNUMBER(H178)),H178,"")</x:f>
      </x:c>
      <x:c r="P178" s="35" t="str">
        <x:v>NOT_AVAILABLE</x:v>
      </x:c>
      <x:c r="Q178" s="35" t="str">
        <x:v>Gemini-3.8-flash/Result/Closure_40/result.json</x:v>
      </x:c>
    </x:row>
    <x:row r="179">
      <x:c r="A179" s="35" t="str">
        <x:v>gemini</x:v>
      </x:c>
      <x:c r="B179" s="35" t="str">
        <x:v>Closure</x:v>
      </x:c>
      <x:c r="C179" s="35" t="str">
        <x:v>Round1</x:v>
      </x:c>
      <x:c r="D179" s="35" t="str">
        <x:v>Closure_41</x:v>
      </x:c>
      <x:c r="E179" s="35" t="str">
        <x:v>Line</x:v>
      </x:c>
      <x:c r="F179" s="35"/>
      <x:c r="G179" s="35" t="str">
        <x:v>A</x:v>
      </x:c>
      <x:c r="H179" s="39" t="str">
        <x:f>IF(ISNUMBER('Data'!E179),'Data'!E179*100,"")</x:f>
      </x:c>
      <x:c r="I179" s="35"/>
      <x:c r="J179" s="35" t="str">
        <x:v>PASS</x:v>
      </x:c>
      <x:c r="K179" s="35" t="str">
        <x:v>FAIL</x:v>
      </x:c>
      <x:c r="L179" s="35" t="str">
        <x:v>NOT_RUN</x:v>
      </x:c>
      <x:c r="M179" s="35" t="str">
        <x:v>coverage unavailable or execution/compile failed</x:v>
      </x:c>
      <x:c r="N179" s="35" t="str">
        <x:v>Gemini-3.8-flash/Result/Closure_41/result.json</x:v>
      </x:c>
      <x:c r="O179" s="39" t="str">
        <x:f>IF(AND(G179="RECORDED",ISNUMBER(H179)),H179,"")</x:f>
      </x:c>
      <x:c r="P179" s="35" t="str">
        <x:v>NOT_AVAILABLE</x:v>
      </x:c>
      <x:c r="Q179" s="35" t="str">
        <x:v>Gemini-3.8-flash/Result/Closure_41/result.json</x:v>
      </x:c>
    </x:row>
    <x:row r="180">
      <x:c r="A180" s="35" t="str">
        <x:v>gemini</x:v>
      </x:c>
      <x:c r="B180" s="35" t="str">
        <x:v>Closure</x:v>
      </x:c>
      <x:c r="C180" s="35" t="str">
        <x:v>Round1</x:v>
      </x:c>
      <x:c r="D180" s="35" t="str">
        <x:v>Closure_42</x:v>
      </x:c>
      <x:c r="E180" s="35" t="str">
        <x:v>Line</x:v>
      </x:c>
      <x:c r="F180" s="35"/>
      <x:c r="G180" s="35" t="str">
        <x:v>A</x:v>
      </x:c>
      <x:c r="H180" s="39" t="str">
        <x:f>IF(ISNUMBER('Data'!E180),'Data'!E180*100,"")</x:f>
      </x:c>
      <x:c r="I180" s="35"/>
      <x:c r="J180" s="35" t="str">
        <x:v>PASS</x:v>
      </x:c>
      <x:c r="K180" s="35" t="str">
        <x:v>FAIL</x:v>
      </x:c>
      <x:c r="L180" s="35" t="str">
        <x:v>NOT_RUN</x:v>
      </x:c>
      <x:c r="M180" s="35" t="str">
        <x:v>coverage unavailable or execution/compile failed</x:v>
      </x:c>
      <x:c r="N180" s="35" t="str">
        <x:v>Gemini-3.8-flash/Result/Closure_42/result.json</x:v>
      </x:c>
      <x:c r="O180" s="39" t="str">
        <x:f>IF(AND(G180="RECORDED",ISNUMBER(H180)),H180,"")</x:f>
      </x:c>
      <x:c r="P180" s="35" t="str">
        <x:v>NOT_AVAILABLE</x:v>
      </x:c>
      <x:c r="Q180" s="35" t="str">
        <x:v>Gemini-3.8-flash/Result/Closure_42/result.json</x:v>
      </x:c>
    </x:row>
    <x:row r="181">
      <x:c r="A181" s="35" t="str">
        <x:v>gemini</x:v>
      </x:c>
      <x:c r="B181" s="35" t="str">
        <x:v>Closure</x:v>
      </x:c>
      <x:c r="C181" s="35" t="str">
        <x:v>Round1</x:v>
      </x:c>
      <x:c r="D181" s="35" t="str">
        <x:v>Closure_43</x:v>
      </x:c>
      <x:c r="E181" s="35" t="str">
        <x:v>Line</x:v>
      </x:c>
      <x:c r="F181" s="35"/>
      <x:c r="G181" s="35" t="str">
        <x:v>A</x:v>
      </x:c>
      <x:c r="H181" s="39" t="str">
        <x:f>IF(ISNUMBER('Data'!E181),'Data'!E181*100,"")</x:f>
      </x:c>
      <x:c r="I181" s="35"/>
      <x:c r="J181" s="35" t="str">
        <x:v>PASS</x:v>
      </x:c>
      <x:c r="K181" s="35" t="str">
        <x:v>FAIL</x:v>
      </x:c>
      <x:c r="L181" s="35" t="str">
        <x:v>NOT_RUN</x:v>
      </x:c>
      <x:c r="M181" s="35" t="str">
        <x:v>coverage unavailable or execution/compile failed</x:v>
      </x:c>
      <x:c r="N181" s="35" t="str">
        <x:v>Gemini-3.8-flash/Result/Closure_43/result.json</x:v>
      </x:c>
      <x:c r="O181" s="39" t="str">
        <x:f>IF(AND(G181="RECORDED",ISNUMBER(H181)),H181,"")</x:f>
      </x:c>
      <x:c r="P181" s="35" t="str">
        <x:v>NOT_AVAILABLE</x:v>
      </x:c>
      <x:c r="Q181" s="35" t="str">
        <x:v>Gemini-3.8-flash/Result/Closure_43/result.json</x:v>
      </x:c>
    </x:row>
    <x:row r="182">
      <x:c r="A182" s="35" t="str">
        <x:v>gemini</x:v>
      </x:c>
      <x:c r="B182" s="35" t="str">
        <x:v>Closure</x:v>
      </x:c>
      <x:c r="C182" s="35" t="str">
        <x:v>Round1</x:v>
      </x:c>
      <x:c r="D182" s="35" t="str">
        <x:v>Closure_44</x:v>
      </x:c>
      <x:c r="E182" s="35" t="str">
        <x:v>Line</x:v>
      </x:c>
      <x:c r="F182" s="35" t="n">
        <x:v>109</x:v>
      </x:c>
      <x:c r="G182" s="35" t="str">
        <x:v>RECORDED</x:v>
      </x:c>
      <x:c r="H182" s="39" t="n">
        <x:f>IF(ISNUMBER('Data'!E182),'Data'!E182*100,"")</x:f>
        <x:v>83.49</x:v>
      </x:c>
      <x:c r="I182" s="35" t="str">
        <x:v>PASS</x:v>
      </x:c>
      <x:c r="J182" s="35" t="str">
        <x:v>PASS</x:v>
      </x:c>
      <x:c r="K182" s="35" t="str">
        <x:v>PASS</x:v>
      </x:c>
      <x:c r="L182" s="35" t="str">
        <x:v>FAIL</x:v>
      </x:c>
      <x:c r="M182" s="35" t="str">
        <x:v>numeric coverage for applicable metric</x:v>
      </x:c>
      <x:c r="N182" s="35" t="str">
        <x:v>Gemini-3.8-flash/Result/Closure_44/result.json</x:v>
      </x:c>
      <x:c r="O182" s="39" t="n">
        <x:f>IF(AND(G182="RECORDED",ISNUMBER(H182)),H182,"")</x:f>
        <x:v>83.49</x:v>
      </x:c>
      <x:c r="P182" s="35" t="str">
        <x:v>NOT_AVAILABLE</x:v>
      </x:c>
      <x:c r="Q182" s="35" t="str">
        <x:v>Gemini-3.8-flash/Result/Closure_44/result.json</x:v>
      </x:c>
    </x:row>
    <x:row r="183">
      <x:c r="A183" s="35" t="str">
        <x:v>gemini</x:v>
      </x:c>
      <x:c r="B183" s="35" t="str">
        <x:v>Closure</x:v>
      </x:c>
      <x:c r="C183" s="35" t="str">
        <x:v>Round1</x:v>
      </x:c>
      <x:c r="D183" s="35" t="str">
        <x:v>Closure_45</x:v>
      </x:c>
      <x:c r="E183" s="35" t="str">
        <x:v>Line</x:v>
      </x:c>
      <x:c r="F183" s="35"/>
      <x:c r="G183" s="35" t="str">
        <x:v>A</x:v>
      </x:c>
      <x:c r="H183" s="39" t="str">
        <x:f>IF(ISNUMBER('Data'!E183),'Data'!E183*100,"")</x:f>
      </x:c>
      <x:c r="I183" s="35"/>
      <x:c r="J183" s="35" t="str">
        <x:v>PASS</x:v>
      </x:c>
      <x:c r="K183" s="35" t="str">
        <x:v>FAIL</x:v>
      </x:c>
      <x:c r="L183" s="35" t="str">
        <x:v>NOT_RUN</x:v>
      </x:c>
      <x:c r="M183" s="35" t="str">
        <x:v>coverage unavailable or execution/compile failed</x:v>
      </x:c>
      <x:c r="N183" s="35" t="str">
        <x:v>Gemini-3.8-flash/Result/Closure_45/result.json</x:v>
      </x:c>
      <x:c r="O183" s="39" t="str">
        <x:f>IF(AND(G183="RECORDED",ISNUMBER(H183)),H183,"")</x:f>
      </x:c>
      <x:c r="P183" s="35" t="str">
        <x:v>NOT_AVAILABLE</x:v>
      </x:c>
      <x:c r="Q183" s="35" t="str">
        <x:v>Gemini-3.8-flash/Result/Closure_45/result.json</x:v>
      </x:c>
    </x:row>
    <x:row r="184">
      <x:c r="A184" s="35" t="str">
        <x:v>gemini</x:v>
      </x:c>
      <x:c r="B184" s="35" t="str">
        <x:v>Closure</x:v>
      </x:c>
      <x:c r="C184" s="35" t="str">
        <x:v>Round1</x:v>
      </x:c>
      <x:c r="D184" s="35" t="str">
        <x:v>Closure_46</x:v>
      </x:c>
      <x:c r="E184" s="35" t="str">
        <x:v>Line</x:v>
      </x:c>
      <x:c r="F184" s="35"/>
      <x:c r="G184" s="35" t="str">
        <x:v>A</x:v>
      </x:c>
      <x:c r="H184" s="39" t="str">
        <x:f>IF(ISNUMBER('Data'!E184),'Data'!E184*100,"")</x:f>
      </x:c>
      <x:c r="I184" s="35"/>
      <x:c r="J184" s="35" t="str">
        <x:v>PASS</x:v>
      </x:c>
      <x:c r="K184" s="35" t="str">
        <x:v>FAIL</x:v>
      </x:c>
      <x:c r="L184" s="35" t="str">
        <x:v>NOT_RUN</x:v>
      </x:c>
      <x:c r="M184" s="35" t="str">
        <x:v>coverage unavailable or execution/compile failed</x:v>
      </x:c>
      <x:c r="N184" s="35" t="str">
        <x:v>Gemini-3.8-flash/Result/Closure_46/result.json</x:v>
      </x:c>
      <x:c r="O184" s="39" t="str">
        <x:f>IF(AND(G184="RECORDED",ISNUMBER(H184)),H184,"")</x:f>
      </x:c>
      <x:c r="P184" s="35" t="str">
        <x:v>NOT_AVAILABLE</x:v>
      </x:c>
      <x:c r="Q184" s="35" t="str">
        <x:v>Gemini-3.8-flash/Result/Closure_46/result.json</x:v>
      </x:c>
    </x:row>
    <x:row r="185">
      <x:c r="A185" s="35" t="str">
        <x:v>gemini</x:v>
      </x:c>
      <x:c r="B185" s="35" t="str">
        <x:v>Closure</x:v>
      </x:c>
      <x:c r="C185" s="35" t="str">
        <x:v>Round1</x:v>
      </x:c>
      <x:c r="D185" s="35" t="str">
        <x:v>Closure_47</x:v>
      </x:c>
      <x:c r="E185" s="35" t="str">
        <x:v>Line</x:v>
      </x:c>
      <x:c r="F185" s="35"/>
      <x:c r="G185" s="35" t="str">
        <x:v>A</x:v>
      </x:c>
      <x:c r="H185" s="39" t="str">
        <x:f>IF(ISNUMBER('Data'!E185),'Data'!E185*100,"")</x:f>
      </x:c>
      <x:c r="I185" s="35"/>
      <x:c r="J185" s="35" t="str">
        <x:v>PASS</x:v>
      </x:c>
      <x:c r="K185" s="35" t="str">
        <x:v>FAIL</x:v>
      </x:c>
      <x:c r="L185" s="35" t="str">
        <x:v>NOT_RUN</x:v>
      </x:c>
      <x:c r="M185" s="35" t="str">
        <x:v>coverage unavailable or execution/compile failed</x:v>
      </x:c>
      <x:c r="N185" s="35" t="str">
        <x:v>Gemini-3.8-flash/Result/Closure_47/result.json</x:v>
      </x:c>
      <x:c r="O185" s="39" t="str">
        <x:f>IF(AND(G185="RECORDED",ISNUMBER(H185)),H185,"")</x:f>
      </x:c>
      <x:c r="P185" s="35" t="str">
        <x:v>NOT_AVAILABLE</x:v>
      </x:c>
      <x:c r="Q185" s="35" t="str">
        <x:v>Gemini-3.8-flash/Result/Closure_47/result.json</x:v>
      </x:c>
    </x:row>
    <x:row r="186">
      <x:c r="A186" s="35" t="str">
        <x:v>gemini</x:v>
      </x:c>
      <x:c r="B186" s="35" t="str">
        <x:v>Closure</x:v>
      </x:c>
      <x:c r="C186" s="35" t="str">
        <x:v>Round1</x:v>
      </x:c>
      <x:c r="D186" s="35" t="str">
        <x:v>Closure_48</x:v>
      </x:c>
      <x:c r="E186" s="35" t="str">
        <x:v>Line</x:v>
      </x:c>
      <x:c r="F186" s="35"/>
      <x:c r="G186" s="35" t="str">
        <x:v>A</x:v>
      </x:c>
      <x:c r="H186" s="39" t="str">
        <x:f>IF(ISNUMBER('Data'!E186),'Data'!E186*100,"")</x:f>
      </x:c>
      <x:c r="I186" s="35"/>
      <x:c r="J186" s="35"/>
      <x:c r="K186" s="35"/>
      <x:c r="L186" s="35" t="str">
        <x:v>NOT_RUN</x:v>
      </x:c>
      <x:c r="M186" s="35" t="str">
        <x:v>coverage unavailable or execution/compile failed</x:v>
      </x:c>
      <x:c r="N186" s="35" t="str">
        <x:v>Gemini-3.8-flash/Result/Closure_48/result.json</x:v>
      </x:c>
      <x:c r="O186" s="39" t="str">
        <x:f>IF(AND(G186="RECORDED",ISNUMBER(H186)),H186,"")</x:f>
      </x:c>
      <x:c r="P186" s="35" t="str">
        <x:v>NOT_AVAILABLE</x:v>
      </x:c>
      <x:c r="Q186" s="35" t="str">
        <x:v>Gemini-3.8-flash/Result/Closure_48/result.json</x:v>
      </x:c>
    </x:row>
    <x:row r="187">
      <x:c r="A187" s="35" t="str">
        <x:v>gemini</x:v>
      </x:c>
      <x:c r="B187" s="35" t="str">
        <x:v>Closure</x:v>
      </x:c>
      <x:c r="C187" s="35" t="str">
        <x:v>Round1</x:v>
      </x:c>
      <x:c r="D187" s="35" t="str">
        <x:v>Closure_49</x:v>
      </x:c>
      <x:c r="E187" s="35" t="str">
        <x:v>Line</x:v>
      </x:c>
      <x:c r="F187" s="35"/>
      <x:c r="G187" s="35" t="str">
        <x:v>A</x:v>
      </x:c>
      <x:c r="H187" s="39" t="str">
        <x:f>IF(ISNUMBER('Data'!E187),'Data'!E187*100,"")</x:f>
      </x:c>
      <x:c r="I187" s="35"/>
      <x:c r="J187" s="35"/>
      <x:c r="K187" s="35"/>
      <x:c r="L187" s="35" t="str">
        <x:v>NOT_RUN</x:v>
      </x:c>
      <x:c r="M187" s="35" t="str">
        <x:v>coverage unavailable or execution/compile failed</x:v>
      </x:c>
      <x:c r="N187" s="35" t="str">
        <x:v>Gemini-3.8-flash/Result/Closure_49/result.json</x:v>
      </x:c>
      <x:c r="O187" s="39" t="str">
        <x:f>IF(AND(G187="RECORDED",ISNUMBER(H187)),H187,"")</x:f>
      </x:c>
      <x:c r="P187" s="35" t="str">
        <x:v>NOT_AVAILABLE</x:v>
      </x:c>
      <x:c r="Q187" s="35" t="str">
        <x:v>Gemini-3.8-flash/Result/Closure_49/result.json</x:v>
      </x:c>
    </x:row>
    <x:row r="188">
      <x:c r="A188" s="35" t="str">
        <x:v>gemini</x:v>
      </x:c>
      <x:c r="B188" s="35" t="str">
        <x:v>Closure</x:v>
      </x:c>
      <x:c r="C188" s="35" t="str">
        <x:v>Round1</x:v>
      </x:c>
      <x:c r="D188" s="35" t="str">
        <x:v>Closure_5</x:v>
      </x:c>
      <x:c r="E188" s="35" t="str">
        <x:v>Line</x:v>
      </x:c>
      <x:c r="F188" s="35"/>
      <x:c r="G188" s="35" t="str">
        <x:v>A</x:v>
      </x:c>
      <x:c r="H188" s="39" t="str">
        <x:f>IF(ISNUMBER('Data'!E188),'Data'!E188*100,"")</x:f>
      </x:c>
      <x:c r="I188" s="35"/>
      <x:c r="J188" s="35" t="str">
        <x:v>PASS</x:v>
      </x:c>
      <x:c r="K188" s="35" t="str">
        <x:v>FAIL</x:v>
      </x:c>
      <x:c r="L188" s="35" t="str">
        <x:v>NOT_RUN</x:v>
      </x:c>
      <x:c r="M188" s="35" t="str">
        <x:v>coverage unavailable or execution/compile failed</x:v>
      </x:c>
      <x:c r="N188" s="35" t="str">
        <x:v>Gemini-3.8-flash/Result/Closure_5/result.json</x:v>
      </x:c>
      <x:c r="O188" s="39" t="str">
        <x:f>IF(AND(G188="RECORDED",ISNUMBER(H188)),H188,"")</x:f>
      </x:c>
      <x:c r="P188" s="35" t="str">
        <x:v>NOT_AVAILABLE</x:v>
      </x:c>
      <x:c r="Q188" s="35" t="str">
        <x:v>Gemini-3.8-flash/Result/Closure_5/result.json</x:v>
      </x:c>
    </x:row>
    <x:row r="189">
      <x:c r="A189" s="35" t="str">
        <x:v>gemini</x:v>
      </x:c>
      <x:c r="B189" s="35" t="str">
        <x:v>Closure</x:v>
      </x:c>
      <x:c r="C189" s="35" t="str">
        <x:v>Round1</x:v>
      </x:c>
      <x:c r="D189" s="35" t="str">
        <x:v>Closure_50</x:v>
      </x:c>
      <x:c r="E189" s="35" t="str">
        <x:v>Line</x:v>
      </x:c>
      <x:c r="F189" s="35"/>
      <x:c r="G189" s="35" t="str">
        <x:v>A</x:v>
      </x:c>
      <x:c r="H189" s="39" t="str">
        <x:f>IF(ISNUMBER('Data'!E189),'Data'!E189*100,"")</x:f>
      </x:c>
      <x:c r="I189" s="35"/>
      <x:c r="J189" s="35"/>
      <x:c r="K189" s="35"/>
      <x:c r="L189" s="35" t="str">
        <x:v>NOT_RUN</x:v>
      </x:c>
      <x:c r="M189" s="35" t="str">
        <x:v>coverage unavailable or execution/compile failed</x:v>
      </x:c>
      <x:c r="N189" s="35" t="str">
        <x:v>Gemini-3.8-flash/Result/Closure_50/result.json</x:v>
      </x:c>
      <x:c r="O189" s="39" t="str">
        <x:f>IF(AND(G189="RECORDED",ISNUMBER(H189)),H189,"")</x:f>
      </x:c>
      <x:c r="P189" s="35" t="str">
        <x:v>NOT_AVAILABLE</x:v>
      </x:c>
      <x:c r="Q189" s="35" t="str">
        <x:v>Gemini-3.8-flash/Result/Closure_50/result.json</x:v>
      </x:c>
    </x:row>
    <x:row r="190">
      <x:c r="A190" s="35" t="str">
        <x:v>gemini</x:v>
      </x:c>
      <x:c r="B190" s="35" t="str">
        <x:v>Closure</x:v>
      </x:c>
      <x:c r="C190" s="35" t="str">
        <x:v>Round1</x:v>
      </x:c>
      <x:c r="D190" s="35" t="str">
        <x:v>Closure_51</x:v>
      </x:c>
      <x:c r="E190" s="35" t="str">
        <x:v>Line</x:v>
      </x:c>
      <x:c r="F190" s="35"/>
      <x:c r="G190" s="35" t="str">
        <x:v>A</x:v>
      </x:c>
      <x:c r="H190" s="39" t="str">
        <x:f>IF(ISNUMBER('Data'!E190),'Data'!E190*100,"")</x:f>
      </x:c>
      <x:c r="I190" s="35"/>
      <x:c r="J190" s="35"/>
      <x:c r="K190" s="35"/>
      <x:c r="L190" s="35" t="str">
        <x:v>NOT_RUN</x:v>
      </x:c>
      <x:c r="M190" s="35" t="str">
        <x:v>coverage unavailable or execution/compile failed</x:v>
      </x:c>
      <x:c r="N190" s="35" t="str">
        <x:v>Gemini-3.8-flash/Result/Closure_51/result.json</x:v>
      </x:c>
      <x:c r="O190" s="39" t="str">
        <x:f>IF(AND(G190="RECORDED",ISNUMBER(H190)),H190,"")</x:f>
      </x:c>
      <x:c r="P190" s="35" t="str">
        <x:v>NOT_AVAILABLE</x:v>
      </x:c>
      <x:c r="Q190" s="35" t="str">
        <x:v>Gemini-3.8-flash/Result/Closure_51/result.json</x:v>
      </x:c>
    </x:row>
    <x:row r="191">
      <x:c r="A191" s="35" t="str">
        <x:v>gemini</x:v>
      </x:c>
      <x:c r="B191" s="35" t="str">
        <x:v>Closure</x:v>
      </x:c>
      <x:c r="C191" s="35" t="str">
        <x:v>Round1</x:v>
      </x:c>
      <x:c r="D191" s="35" t="str">
        <x:v>Closure_52</x:v>
      </x:c>
      <x:c r="E191" s="35" t="str">
        <x:v>Line</x:v>
      </x:c>
      <x:c r="F191" s="35"/>
      <x:c r="G191" s="35" t="str">
        <x:v>A</x:v>
      </x:c>
      <x:c r="H191" s="39" t="str">
        <x:f>IF(ISNUMBER('Data'!E191),'Data'!E191*100,"")</x:f>
      </x:c>
      <x:c r="I191" s="35"/>
      <x:c r="J191" s="35"/>
      <x:c r="K191" s="35"/>
      <x:c r="L191" s="35" t="str">
        <x:v>NOT_RUN</x:v>
      </x:c>
      <x:c r="M191" s="35" t="str">
        <x:v>coverage unavailable or execution/compile failed</x:v>
      </x:c>
      <x:c r="N191" s="35" t="str">
        <x:v>Gemini-3.8-flash/Result/Closure_52/result.json</x:v>
      </x:c>
      <x:c r="O191" s="39" t="str">
        <x:f>IF(AND(G191="RECORDED",ISNUMBER(H191)),H191,"")</x:f>
      </x:c>
      <x:c r="P191" s="35" t="str">
        <x:v>NOT_AVAILABLE</x:v>
      </x:c>
      <x:c r="Q191" s="35" t="str">
        <x:v>Gemini-3.8-flash/Result/Closure_52/result.json</x:v>
      </x:c>
    </x:row>
    <x:row r="192">
      <x:c r="A192" s="35" t="str">
        <x:v>gemini</x:v>
      </x:c>
      <x:c r="B192" s="35" t="str">
        <x:v>Closure</x:v>
      </x:c>
      <x:c r="C192" s="35" t="str">
        <x:v>Round1</x:v>
      </x:c>
      <x:c r="D192" s="35" t="str">
        <x:v>Closure_53</x:v>
      </x:c>
      <x:c r="E192" s="35" t="str">
        <x:v>Line</x:v>
      </x:c>
      <x:c r="F192" s="35"/>
      <x:c r="G192" s="35" t="str">
        <x:v>A</x:v>
      </x:c>
      <x:c r="H192" s="39" t="str">
        <x:f>IF(ISNUMBER('Data'!E192),'Data'!E192*100,"")</x:f>
      </x:c>
      <x:c r="I192" s="35"/>
      <x:c r="J192" s="35"/>
      <x:c r="K192" s="35"/>
      <x:c r="L192" s="35" t="str">
        <x:v>NOT_RUN</x:v>
      </x:c>
      <x:c r="M192" s="35" t="str">
        <x:v>coverage unavailable or execution/compile failed</x:v>
      </x:c>
      <x:c r="N192" s="35" t="str">
        <x:v>Gemini-3.8-flash/Result/Closure_53/result.json</x:v>
      </x:c>
      <x:c r="O192" s="39" t="str">
        <x:f>IF(AND(G192="RECORDED",ISNUMBER(H192)),H192,"")</x:f>
      </x:c>
      <x:c r="P192" s="35" t="str">
        <x:v>NOT_AVAILABLE</x:v>
      </x:c>
      <x:c r="Q192" s="35" t="str">
        <x:v>Gemini-3.8-flash/Result/Closure_53/result.json</x:v>
      </x:c>
    </x:row>
    <x:row r="193">
      <x:c r="A193" s="35" t="str">
        <x:v>gemini</x:v>
      </x:c>
      <x:c r="B193" s="35" t="str">
        <x:v>Closure</x:v>
      </x:c>
      <x:c r="C193" s="35" t="str">
        <x:v>Round1</x:v>
      </x:c>
      <x:c r="D193" s="35" t="str">
        <x:v>Closure_54</x:v>
      </x:c>
      <x:c r="E193" s="35" t="str">
        <x:v>Line</x:v>
      </x:c>
      <x:c r="F193" s="35"/>
      <x:c r="G193" s="35" t="str">
        <x:v>A</x:v>
      </x:c>
      <x:c r="H193" s="39" t="str">
        <x:f>IF(ISNUMBER('Data'!E193),'Data'!E193*100,"")</x:f>
      </x:c>
      <x:c r="I193" s="35"/>
      <x:c r="J193" s="35"/>
      <x:c r="K193" s="35"/>
      <x:c r="L193" s="35" t="str">
        <x:v>NOT_RUN</x:v>
      </x:c>
      <x:c r="M193" s="35" t="str">
        <x:v>coverage unavailable or execution/compile failed</x:v>
      </x:c>
      <x:c r="N193" s="35" t="str">
        <x:v>Gemini-3.8-flash/Result/Closure_54/result.json</x:v>
      </x:c>
      <x:c r="O193" s="39" t="str">
        <x:f>IF(AND(G193="RECORDED",ISNUMBER(H193)),H193,"")</x:f>
      </x:c>
      <x:c r="P193" s="35" t="str">
        <x:v>NOT_AVAILABLE</x:v>
      </x:c>
      <x:c r="Q193" s="35" t="str">
        <x:v>Gemini-3.8-flash/Result/Closure_54/result.json</x:v>
      </x:c>
    </x:row>
    <x:row r="194">
      <x:c r="A194" s="35" t="str">
        <x:v>gemini</x:v>
      </x:c>
      <x:c r="B194" s="35" t="str">
        <x:v>Closure</x:v>
      </x:c>
      <x:c r="C194" s="35" t="str">
        <x:v>Round1</x:v>
      </x:c>
      <x:c r="D194" s="35" t="str">
        <x:v>Closure_55</x:v>
      </x:c>
      <x:c r="E194" s="35" t="str">
        <x:v>Line</x:v>
      </x:c>
      <x:c r="F194" s="35"/>
      <x:c r="G194" s="35" t="str">
        <x:v>A</x:v>
      </x:c>
      <x:c r="H194" s="39" t="str">
        <x:f>IF(ISNUMBER('Data'!E194),'Data'!E194*100,"")</x:f>
      </x:c>
      <x:c r="I194" s="35"/>
      <x:c r="J194" s="35"/>
      <x:c r="K194" s="35"/>
      <x:c r="L194" s="35" t="str">
        <x:v>NOT_RUN</x:v>
      </x:c>
      <x:c r="M194" s="35" t="str">
        <x:v>coverage unavailable or execution/compile failed</x:v>
      </x:c>
      <x:c r="N194" s="35" t="str">
        <x:v>Gemini-3.8-flash/Result/Closure_55/result.json</x:v>
      </x:c>
      <x:c r="O194" s="39" t="str">
        <x:f>IF(AND(G194="RECORDED",ISNUMBER(H194)),H194,"")</x:f>
      </x:c>
      <x:c r="P194" s="35" t="str">
        <x:v>NOT_AVAILABLE</x:v>
      </x:c>
      <x:c r="Q194" s="35" t="str">
        <x:v>Gemini-3.8-flash/Result/Closure_55/result.json</x:v>
      </x:c>
    </x:row>
    <x:row r="195">
      <x:c r="A195" s="35" t="str">
        <x:v>gemini</x:v>
      </x:c>
      <x:c r="B195" s="35" t="str">
        <x:v>Closure</x:v>
      </x:c>
      <x:c r="C195" s="35" t="str">
        <x:v>Round1</x:v>
      </x:c>
      <x:c r="D195" s="35" t="str">
        <x:v>Closure_56</x:v>
      </x:c>
      <x:c r="E195" s="35" t="str">
        <x:v>Line</x:v>
      </x:c>
      <x:c r="F195" s="35"/>
      <x:c r="G195" s="35" t="str">
        <x:v>A</x:v>
      </x:c>
      <x:c r="H195" s="39" t="str">
        <x:f>IF(ISNUMBER('Data'!E195),'Data'!E195*100,"")</x:f>
      </x:c>
      <x:c r="I195" s="35"/>
      <x:c r="J195" s="35" t="str">
        <x:v>PASS</x:v>
      </x:c>
      <x:c r="K195" s="35" t="str">
        <x:v>FAIL</x:v>
      </x:c>
      <x:c r="L195" s="35" t="str">
        <x:v>NOT_RUN</x:v>
      </x:c>
      <x:c r="M195" s="35" t="str">
        <x:v>coverage unavailable or execution/compile failed</x:v>
      </x:c>
      <x:c r="N195" s="35" t="str">
        <x:v>Gemini-3.8-flash/Result/Closure_56/result.json</x:v>
      </x:c>
      <x:c r="O195" s="39" t="str">
        <x:f>IF(AND(G195="RECORDED",ISNUMBER(H195)),H195,"")</x:f>
      </x:c>
      <x:c r="P195" s="35" t="str">
        <x:v>NOT_AVAILABLE</x:v>
      </x:c>
      <x:c r="Q195" s="35" t="str">
        <x:v>Gemini-3.8-flash/Result/Closure_56/result.json</x:v>
      </x:c>
    </x:row>
    <x:row r="196">
      <x:c r="A196" s="35" t="str">
        <x:v>gemini</x:v>
      </x:c>
      <x:c r="B196" s="35" t="str">
        <x:v>Closure</x:v>
      </x:c>
      <x:c r="C196" s="35" t="str">
        <x:v>Round1</x:v>
      </x:c>
      <x:c r="D196" s="35" t="str">
        <x:v>Closure_57</x:v>
      </x:c>
      <x:c r="E196" s="35" t="str">
        <x:v>Line</x:v>
      </x:c>
      <x:c r="F196" s="35"/>
      <x:c r="G196" s="35" t="str">
        <x:v>A</x:v>
      </x:c>
      <x:c r="H196" s="39" t="str">
        <x:f>IF(ISNUMBER('Data'!E196),'Data'!E196*100,"")</x:f>
      </x:c>
      <x:c r="I196" s="35"/>
      <x:c r="J196" s="35" t="str">
        <x:v>PASS</x:v>
      </x:c>
      <x:c r="K196" s="35" t="str">
        <x:v>FAIL</x:v>
      </x:c>
      <x:c r="L196" s="35" t="str">
        <x:v>NOT_RUN</x:v>
      </x:c>
      <x:c r="M196" s="35" t="str">
        <x:v>coverage unavailable or execution/compile failed</x:v>
      </x:c>
      <x:c r="N196" s="35" t="str">
        <x:v>Gemini-3.8-flash/Result/Closure_57/result.json</x:v>
      </x:c>
      <x:c r="O196" s="39" t="str">
        <x:f>IF(AND(G196="RECORDED",ISNUMBER(H196)),H196,"")</x:f>
      </x:c>
      <x:c r="P196" s="35" t="str">
        <x:v>NOT_AVAILABLE</x:v>
      </x:c>
      <x:c r="Q196" s="35" t="str">
        <x:v>Gemini-3.8-flash/Result/Closure_57/result.json</x:v>
      </x:c>
    </x:row>
    <x:row r="197">
      <x:c r="A197" s="35" t="str">
        <x:v>gemini</x:v>
      </x:c>
      <x:c r="B197" s="35" t="str">
        <x:v>Closure</x:v>
      </x:c>
      <x:c r="C197" s="35" t="str">
        <x:v>Round1</x:v>
      </x:c>
      <x:c r="D197" s="35" t="str">
        <x:v>Closure_58</x:v>
      </x:c>
      <x:c r="E197" s="35" t="str">
        <x:v>Line</x:v>
      </x:c>
      <x:c r="F197" s="35"/>
      <x:c r="G197" s="35" t="str">
        <x:v>A</x:v>
      </x:c>
      <x:c r="H197" s="39" t="str">
        <x:f>IF(ISNUMBER('Data'!E197),'Data'!E197*100,"")</x:f>
      </x:c>
      <x:c r="I197" s="35"/>
      <x:c r="J197" s="35" t="str">
        <x:v>PASS</x:v>
      </x:c>
      <x:c r="K197" s="35" t="str">
        <x:v>FAIL</x:v>
      </x:c>
      <x:c r="L197" s="35" t="str">
        <x:v>NOT_RUN</x:v>
      </x:c>
      <x:c r="M197" s="35" t="str">
        <x:v>coverage unavailable or execution/compile failed</x:v>
      </x:c>
      <x:c r="N197" s="35" t="str">
        <x:v>Gemini-3.8-flash/Result/Closure_58/result.json</x:v>
      </x:c>
      <x:c r="O197" s="39" t="str">
        <x:f>IF(AND(G197="RECORDED",ISNUMBER(H197)),H197,"")</x:f>
      </x:c>
      <x:c r="P197" s="35" t="str">
        <x:v>NOT_AVAILABLE</x:v>
      </x:c>
      <x:c r="Q197" s="35" t="str">
        <x:v>Gemini-3.8-flash/Result/Closure_58/result.json</x:v>
      </x:c>
    </x:row>
    <x:row r="198">
      <x:c r="A198" s="35" t="str">
        <x:v>gemini</x:v>
      </x:c>
      <x:c r="B198" s="35" t="str">
        <x:v>Closure</x:v>
      </x:c>
      <x:c r="C198" s="35" t="str">
        <x:v>Round1</x:v>
      </x:c>
      <x:c r="D198" s="35" t="str">
        <x:v>Closure_59</x:v>
      </x:c>
      <x:c r="E198" s="35" t="str">
        <x:v>Line</x:v>
      </x:c>
      <x:c r="F198" s="35"/>
      <x:c r="G198" s="35" t="str">
        <x:v>A</x:v>
      </x:c>
      <x:c r="H198" s="39" t="str">
        <x:f>IF(ISNUMBER('Data'!E198),'Data'!E198*100,"")</x:f>
      </x:c>
      <x:c r="I198" s="35"/>
      <x:c r="J198" s="35" t="str">
        <x:v>PASS</x:v>
      </x:c>
      <x:c r="K198" s="35" t="str">
        <x:v>FAIL</x:v>
      </x:c>
      <x:c r="L198" s="35" t="str">
        <x:v>NOT_RUN</x:v>
      </x:c>
      <x:c r="M198" s="35" t="str">
        <x:v>coverage unavailable or execution/compile failed</x:v>
      </x:c>
      <x:c r="N198" s="35" t="str">
        <x:v>Gemini-3.8-flash/Result/Closure_59/result.json</x:v>
      </x:c>
      <x:c r="O198" s="39" t="str">
        <x:f>IF(AND(G198="RECORDED",ISNUMBER(H198)),H198,"")</x:f>
      </x:c>
      <x:c r="P198" s="35" t="str">
        <x:v>NOT_AVAILABLE</x:v>
      </x:c>
      <x:c r="Q198" s="35" t="str">
        <x:v>Gemini-3.8-flash/Result/Closure_59/result.json</x:v>
      </x:c>
    </x:row>
    <x:row r="199">
      <x:c r="A199" s="35" t="str">
        <x:v>gemini</x:v>
      </x:c>
      <x:c r="B199" s="35" t="str">
        <x:v>Closure</x:v>
      </x:c>
      <x:c r="C199" s="35" t="str">
        <x:v>Round1</x:v>
      </x:c>
      <x:c r="D199" s="35" t="str">
        <x:v>Closure_6</x:v>
      </x:c>
      <x:c r="E199" s="35" t="str">
        <x:v>Line</x:v>
      </x:c>
      <x:c r="F199" s="35"/>
      <x:c r="G199" s="35" t="str">
        <x:v>A</x:v>
      </x:c>
      <x:c r="H199" s="39" t="str">
        <x:f>IF(ISNUMBER('Data'!E199),'Data'!E199*100,"")</x:f>
      </x:c>
      <x:c r="I199" s="35"/>
      <x:c r="J199" s="35" t="str">
        <x:v>PASS</x:v>
      </x:c>
      <x:c r="K199" s="35" t="str">
        <x:v>FAIL</x:v>
      </x:c>
      <x:c r="L199" s="35" t="str">
        <x:v>NOT_RUN</x:v>
      </x:c>
      <x:c r="M199" s="35" t="str">
        <x:v>coverage unavailable or execution/compile failed</x:v>
      </x:c>
      <x:c r="N199" s="35" t="str">
        <x:v>Gemini-3.8-flash/Result/Closure_6/result.json</x:v>
      </x:c>
      <x:c r="O199" s="39" t="str">
        <x:f>IF(AND(G199="RECORDED",ISNUMBER(H199)),H199,"")</x:f>
      </x:c>
      <x:c r="P199" s="35" t="str">
        <x:v>NOT_AVAILABLE</x:v>
      </x:c>
      <x:c r="Q199" s="35" t="str">
        <x:v>Gemini-3.8-flash/Result/Closure_6/result.json</x:v>
      </x:c>
    </x:row>
    <x:row r="200">
      <x:c r="A200" s="35" t="str">
        <x:v>gemini</x:v>
      </x:c>
      <x:c r="B200" s="35" t="str">
        <x:v>Closure</x:v>
      </x:c>
      <x:c r="C200" s="35" t="str">
        <x:v>Round1</x:v>
      </x:c>
      <x:c r="D200" s="35" t="str">
        <x:v>Closure_60</x:v>
      </x:c>
      <x:c r="E200" s="35" t="str">
        <x:v>Line</x:v>
      </x:c>
      <x:c r="F200" s="35"/>
      <x:c r="G200" s="35" t="str">
        <x:v>A</x:v>
      </x:c>
      <x:c r="H200" s="39" t="str">
        <x:f>IF(ISNUMBER('Data'!E200),'Data'!E200*100,"")</x:f>
      </x:c>
      <x:c r="I200" s="35"/>
      <x:c r="J200" s="35" t="str">
        <x:v>PASS</x:v>
      </x:c>
      <x:c r="K200" s="35" t="str">
        <x:v>FAIL</x:v>
      </x:c>
      <x:c r="L200" s="35" t="str">
        <x:v>NOT_RUN</x:v>
      </x:c>
      <x:c r="M200" s="35" t="str">
        <x:v>coverage unavailable or execution/compile failed</x:v>
      </x:c>
      <x:c r="N200" s="35" t="str">
        <x:v>Gemini-3.8-flash/Result/Closure_60/result.json</x:v>
      </x:c>
      <x:c r="O200" s="39" t="str">
        <x:f>IF(AND(G200="RECORDED",ISNUMBER(H200)),H200,"")</x:f>
      </x:c>
      <x:c r="P200" s="35" t="str">
        <x:v>NOT_AVAILABLE</x:v>
      </x:c>
      <x:c r="Q200" s="35" t="str">
        <x:v>Gemini-3.8-flash/Result/Closure_60/result.json</x:v>
      </x:c>
    </x:row>
    <x:row r="201">
      <x:c r="A201" s="35" t="str">
        <x:v>gemini</x:v>
      </x:c>
      <x:c r="B201" s="35" t="str">
        <x:v>Closure</x:v>
      </x:c>
      <x:c r="C201" s="35" t="str">
        <x:v>Round1</x:v>
      </x:c>
      <x:c r="D201" s="35" t="str">
        <x:v>Closure_61</x:v>
      </x:c>
      <x:c r="E201" s="35" t="str">
        <x:v>Line</x:v>
      </x:c>
      <x:c r="F201" s="35"/>
      <x:c r="G201" s="35" t="str">
        <x:v>A</x:v>
      </x:c>
      <x:c r="H201" s="39" t="str">
        <x:f>IF(ISNUMBER('Data'!E201),'Data'!E201*100,"")</x:f>
      </x:c>
      <x:c r="I201" s="35"/>
      <x:c r="J201" s="35" t="str">
        <x:v>PASS</x:v>
      </x:c>
      <x:c r="K201" s="35" t="str">
        <x:v>FAIL</x:v>
      </x:c>
      <x:c r="L201" s="35" t="str">
        <x:v>NOT_RUN</x:v>
      </x:c>
      <x:c r="M201" s="35" t="str">
        <x:v>coverage unavailable or execution/compile failed</x:v>
      </x:c>
      <x:c r="N201" s="35" t="str">
        <x:v>Gemini-3.8-flash/Result/Closure_61/result.json</x:v>
      </x:c>
      <x:c r="O201" s="39" t="str">
        <x:f>IF(AND(G201="RECORDED",ISNUMBER(H201)),H201,"")</x:f>
      </x:c>
      <x:c r="P201" s="35" t="str">
        <x:v>NOT_AVAILABLE</x:v>
      </x:c>
      <x:c r="Q201" s="35" t="str">
        <x:v>Gemini-3.8-flash/Result/Closure_61/result.json</x:v>
      </x:c>
    </x:row>
    <x:row r="202">
      <x:c r="A202" s="35" t="str">
        <x:v>gemini</x:v>
      </x:c>
      <x:c r="B202" s="35" t="str">
        <x:v>Closure</x:v>
      </x:c>
      <x:c r="C202" s="35" t="str">
        <x:v>Round1</x:v>
      </x:c>
      <x:c r="D202" s="35" t="str">
        <x:v>Closure_62</x:v>
      </x:c>
      <x:c r="E202" s="35" t="str">
        <x:v>Line</x:v>
      </x:c>
      <x:c r="F202" s="35" t="n">
        <x:v>74</x:v>
      </x:c>
      <x:c r="G202" s="35" t="str">
        <x:v>RECORDED</x:v>
      </x:c>
      <x:c r="H202" s="39" t="n">
        <x:f>IF(ISNUMBER('Data'!E202),'Data'!E202*100,"")</x:f>
        <x:v>100</x:v>
      </x:c>
      <x:c r="I202" s="35" t="str">
        <x:v>PASS</x:v>
      </x:c>
      <x:c r="J202" s="35" t="str">
        <x:v>PASS</x:v>
      </x:c>
      <x:c r="K202" s="35" t="str">
        <x:v>PASS</x:v>
      </x:c>
      <x:c r="L202" s="35" t="str">
        <x:v>FAIL</x:v>
      </x:c>
      <x:c r="M202" s="35" t="str">
        <x:v>numeric coverage for applicable metric</x:v>
      </x:c>
      <x:c r="N202" s="35" t="str">
        <x:v>Gemini-3.8-flash/Result/Closure_62/result.json</x:v>
      </x:c>
      <x:c r="O202" s="39" t="n">
        <x:f>IF(AND(G202="RECORDED",ISNUMBER(H202)),H202,"")</x:f>
        <x:v>100</x:v>
      </x:c>
      <x:c r="P202" s="35" t="str">
        <x:v>INCONCLUSIVE</x:v>
      </x:c>
      <x:c r="Q202" s="35" t="str">
        <x:v>Gemini-3.8-flash/Result/Closure_62/result.json</x:v>
      </x:c>
    </x:row>
    <x:row r="203">
      <x:c r="A203" s="35" t="str">
        <x:v>gemini</x:v>
      </x:c>
      <x:c r="B203" s="35" t="str">
        <x:v>Closure</x:v>
      </x:c>
      <x:c r="C203" s="35" t="str">
        <x:v>Round1</x:v>
      </x:c>
      <x:c r="D203" s="35" t="str">
        <x:v>Closure_64</x:v>
      </x:c>
      <x:c r="E203" s="35" t="str">
        <x:v>Line</x:v>
      </x:c>
      <x:c r="F203" s="35"/>
      <x:c r="G203" s="35" t="str">
        <x:v>A</x:v>
      </x:c>
      <x:c r="H203" s="39" t="str">
        <x:f>IF(ISNUMBER('Data'!E203),'Data'!E203*100,"")</x:f>
      </x:c>
      <x:c r="I203" s="35"/>
      <x:c r="J203" s="35" t="str">
        <x:v>PASS</x:v>
      </x:c>
      <x:c r="K203" s="35" t="str">
        <x:v>FAIL</x:v>
      </x:c>
      <x:c r="L203" s="35" t="str">
        <x:v>NOT_RUN</x:v>
      </x:c>
      <x:c r="M203" s="35" t="str">
        <x:v>coverage unavailable or execution/compile failed</x:v>
      </x:c>
      <x:c r="N203" s="35" t="str">
        <x:v>Gemini-3.8-flash/Result/Closure_64/result.json</x:v>
      </x:c>
      <x:c r="O203" s="39" t="str">
        <x:f>IF(AND(G203="RECORDED",ISNUMBER(H203)),H203,"")</x:f>
      </x:c>
      <x:c r="P203" s="35" t="str">
        <x:v>NOT_AVAILABLE</x:v>
      </x:c>
      <x:c r="Q203" s="35" t="str">
        <x:v>Gemini-3.8-flash/Result/Closure_64/result.json</x:v>
      </x:c>
    </x:row>
    <x:row r="204">
      <x:c r="A204" s="35" t="str">
        <x:v>gemini</x:v>
      </x:c>
      <x:c r="B204" s="35" t="str">
        <x:v>Closure</x:v>
      </x:c>
      <x:c r="C204" s="35" t="str">
        <x:v>Round1</x:v>
      </x:c>
      <x:c r="D204" s="35" t="str">
        <x:v>Closure_65</x:v>
      </x:c>
      <x:c r="E204" s="35" t="str">
        <x:v>Line</x:v>
      </x:c>
      <x:c r="F204" s="35"/>
      <x:c r="G204" s="35" t="str">
        <x:v>A</x:v>
      </x:c>
      <x:c r="H204" s="39" t="str">
        <x:f>IF(ISNUMBER('Data'!E204),'Data'!E204*100,"")</x:f>
      </x:c>
      <x:c r="I204" s="35"/>
      <x:c r="J204" s="35" t="str">
        <x:v>PASS</x:v>
      </x:c>
      <x:c r="K204" s="35" t="str">
        <x:v>FAIL</x:v>
      </x:c>
      <x:c r="L204" s="35" t="str">
        <x:v>NOT_RUN</x:v>
      </x:c>
      <x:c r="M204" s="35" t="str">
        <x:v>coverage unavailable or execution/compile failed</x:v>
      </x:c>
      <x:c r="N204" s="35" t="str">
        <x:v>Gemini-3.8-flash/Result/Closure_65/result.json</x:v>
      </x:c>
      <x:c r="O204" s="39" t="str">
        <x:f>IF(AND(G204="RECORDED",ISNUMBER(H204)),H204,"")</x:f>
      </x:c>
      <x:c r="P204" s="35" t="str">
        <x:v>NOT_AVAILABLE</x:v>
      </x:c>
      <x:c r="Q204" s="35" t="str">
        <x:v>Gemini-3.8-flash/Result/Closure_65/result.json</x:v>
      </x:c>
    </x:row>
    <x:row r="205">
      <x:c r="A205" s="35" t="str">
        <x:v>gemini</x:v>
      </x:c>
      <x:c r="B205" s="35" t="str">
        <x:v>Closure</x:v>
      </x:c>
      <x:c r="C205" s="35" t="str">
        <x:v>Round1</x:v>
      </x:c>
      <x:c r="D205" s="35" t="str">
        <x:v>Closure_66</x:v>
      </x:c>
      <x:c r="E205" s="35" t="str">
        <x:v>Line</x:v>
      </x:c>
      <x:c r="F205" s="35"/>
      <x:c r="G205" s="35" t="str">
        <x:v>A</x:v>
      </x:c>
      <x:c r="H205" s="39" t="str">
        <x:f>IF(ISNUMBER('Data'!E205),'Data'!E205*100,"")</x:f>
      </x:c>
      <x:c r="I205" s="35"/>
      <x:c r="J205" s="35" t="str">
        <x:v>PASS</x:v>
      </x:c>
      <x:c r="K205" s="35" t="str">
        <x:v>FAIL</x:v>
      </x:c>
      <x:c r="L205" s="35" t="str">
        <x:v>NOT_RUN</x:v>
      </x:c>
      <x:c r="M205" s="35" t="str">
        <x:v>coverage unavailable or execution/compile failed</x:v>
      </x:c>
      <x:c r="N205" s="35" t="str">
        <x:v>Gemini-3.8-flash/Result/Closure_66/result.json</x:v>
      </x:c>
      <x:c r="O205" s="39" t="str">
        <x:f>IF(AND(G205="RECORDED",ISNUMBER(H205)),H205,"")</x:f>
      </x:c>
      <x:c r="P205" s="35" t="str">
        <x:v>NOT_AVAILABLE</x:v>
      </x:c>
      <x:c r="Q205" s="35" t="str">
        <x:v>Gemini-3.8-flash/Result/Closure_66/result.json</x:v>
      </x:c>
    </x:row>
    <x:row r="206">
      <x:c r="A206" s="35" t="str">
        <x:v>gemini</x:v>
      </x:c>
      <x:c r="B206" s="35" t="str">
        <x:v>Closure</x:v>
      </x:c>
      <x:c r="C206" s="35" t="str">
        <x:v>Round1</x:v>
      </x:c>
      <x:c r="D206" s="35" t="str">
        <x:v>Closure_67</x:v>
      </x:c>
      <x:c r="E206" s="35" t="str">
        <x:v>Line</x:v>
      </x:c>
      <x:c r="F206" s="35"/>
      <x:c r="G206" s="35" t="str">
        <x:v>A</x:v>
      </x:c>
      <x:c r="H206" s="39" t="str">
        <x:f>IF(ISNUMBER('Data'!E206),'Data'!E206*100,"")</x:f>
      </x:c>
      <x:c r="I206" s="35"/>
      <x:c r="J206" s="35" t="str">
        <x:v>PASS</x:v>
      </x:c>
      <x:c r="K206" s="35" t="str">
        <x:v>FAIL</x:v>
      </x:c>
      <x:c r="L206" s="35" t="str">
        <x:v>NOT_RUN</x:v>
      </x:c>
      <x:c r="M206" s="35" t="str">
        <x:v>coverage unavailable or execution/compile failed</x:v>
      </x:c>
      <x:c r="N206" s="35" t="str">
        <x:v>Gemini-3.8-flash/Result/Closure_67/result.json</x:v>
      </x:c>
      <x:c r="O206" s="39" t="str">
        <x:f>IF(AND(G206="RECORDED",ISNUMBER(H206)),H206,"")</x:f>
      </x:c>
      <x:c r="P206" s="35" t="str">
        <x:v>NOT_AVAILABLE</x:v>
      </x:c>
      <x:c r="Q206" s="35" t="str">
        <x:v>Gemini-3.8-flash/Result/Closure_67/result.json</x:v>
      </x:c>
    </x:row>
    <x:row r="207">
      <x:c r="A207" s="35" t="str">
        <x:v>gemini</x:v>
      </x:c>
      <x:c r="B207" s="35" t="str">
        <x:v>Closure</x:v>
      </x:c>
      <x:c r="C207" s="35" t="str">
        <x:v>Round1</x:v>
      </x:c>
      <x:c r="D207" s="35" t="str">
        <x:v>Closure_68</x:v>
      </x:c>
      <x:c r="E207" s="35" t="str">
        <x:v>Line</x:v>
      </x:c>
      <x:c r="F207" s="35"/>
      <x:c r="G207" s="35" t="str">
        <x:v>A</x:v>
      </x:c>
      <x:c r="H207" s="39" t="str">
        <x:f>IF(ISNUMBER('Data'!E207),'Data'!E207*100,"")</x:f>
      </x:c>
      <x:c r="I207" s="35"/>
      <x:c r="J207" s="35" t="str">
        <x:v>PASS</x:v>
      </x:c>
      <x:c r="K207" s="35" t="str">
        <x:v>FAIL</x:v>
      </x:c>
      <x:c r="L207" s="35" t="str">
        <x:v>NOT_RUN</x:v>
      </x:c>
      <x:c r="M207" s="35" t="str">
        <x:v>coverage unavailable or execution/compile failed</x:v>
      </x:c>
      <x:c r="N207" s="35" t="str">
        <x:v>Gemini-3.8-flash/Result/Closure_68/result.json</x:v>
      </x:c>
      <x:c r="O207" s="39" t="str">
        <x:f>IF(AND(G207="RECORDED",ISNUMBER(H207)),H207,"")</x:f>
      </x:c>
      <x:c r="P207" s="35" t="str">
        <x:v>NOT_AVAILABLE</x:v>
      </x:c>
      <x:c r="Q207" s="35" t="str">
        <x:v>Gemini-3.8-flash/Result/Closure_68/result.json</x:v>
      </x:c>
    </x:row>
    <x:row r="208">
      <x:c r="A208" s="35" t="str">
        <x:v>gemini</x:v>
      </x:c>
      <x:c r="B208" s="35" t="str">
        <x:v>Closure</x:v>
      </x:c>
      <x:c r="C208" s="35" t="str">
        <x:v>Round1</x:v>
      </x:c>
      <x:c r="D208" s="35" t="str">
        <x:v>Closure_69</x:v>
      </x:c>
      <x:c r="E208" s="35" t="str">
        <x:v>Line</x:v>
      </x:c>
      <x:c r="F208" s="35"/>
      <x:c r="G208" s="35" t="str">
        <x:v>A</x:v>
      </x:c>
      <x:c r="H208" s="39" t="str">
        <x:f>IF(ISNUMBER('Data'!E208),'Data'!E208*100,"")</x:f>
      </x:c>
      <x:c r="I208" s="35"/>
      <x:c r="J208" s="35" t="str">
        <x:v>PASS</x:v>
      </x:c>
      <x:c r="K208" s="35" t="str">
        <x:v>FAIL</x:v>
      </x:c>
      <x:c r="L208" s="35" t="str">
        <x:v>NOT_RUN</x:v>
      </x:c>
      <x:c r="M208" s="35" t="str">
        <x:v>coverage unavailable or execution/compile failed</x:v>
      </x:c>
      <x:c r="N208" s="35" t="str">
        <x:v>Gemini-3.8-flash/Result/Closure_69/result.json</x:v>
      </x:c>
      <x:c r="O208" s="39" t="str">
        <x:f>IF(AND(G208="RECORDED",ISNUMBER(H208)),H208,"")</x:f>
      </x:c>
      <x:c r="P208" s="35" t="str">
        <x:v>NOT_AVAILABLE</x:v>
      </x:c>
      <x:c r="Q208" s="35" t="str">
        <x:v>Gemini-3.8-flash/Result/Closure_69/result.json</x:v>
      </x:c>
    </x:row>
    <x:row r="209">
      <x:c r="A209" s="35" t="str">
        <x:v>gemini</x:v>
      </x:c>
      <x:c r="B209" s="35" t="str">
        <x:v>Closure</x:v>
      </x:c>
      <x:c r="C209" s="35" t="str">
        <x:v>Round1</x:v>
      </x:c>
      <x:c r="D209" s="35" t="str">
        <x:v>Closure_7</x:v>
      </x:c>
      <x:c r="E209" s="35" t="str">
        <x:v>Line</x:v>
      </x:c>
      <x:c r="F209" s="35"/>
      <x:c r="G209" s="35" t="str">
        <x:v>A</x:v>
      </x:c>
      <x:c r="H209" s="39" t="str">
        <x:f>IF(ISNUMBER('Data'!E209),'Data'!E209*100,"")</x:f>
      </x:c>
      <x:c r="I209" s="35"/>
      <x:c r="J209" s="35" t="str">
        <x:v>PASS</x:v>
      </x:c>
      <x:c r="K209" s="35" t="str">
        <x:v>FAIL</x:v>
      </x:c>
      <x:c r="L209" s="35" t="str">
        <x:v>NOT_RUN</x:v>
      </x:c>
      <x:c r="M209" s="35" t="str">
        <x:v>coverage unavailable or execution/compile failed</x:v>
      </x:c>
      <x:c r="N209" s="35" t="str">
        <x:v>Gemini-3.8-flash/Result/Closure_7/result.json</x:v>
      </x:c>
      <x:c r="O209" s="39" t="str">
        <x:f>IF(AND(G209="RECORDED",ISNUMBER(H209)),H209,"")</x:f>
      </x:c>
      <x:c r="P209" s="35" t="str">
        <x:v>NOT_AVAILABLE</x:v>
      </x:c>
      <x:c r="Q209" s="35" t="str">
        <x:v>Gemini-3.8-flash/Result/Closure_7/result.json</x:v>
      </x:c>
    </x:row>
    <x:row r="210">
      <x:c r="A210" s="35" t="str">
        <x:v>gemini</x:v>
      </x:c>
      <x:c r="B210" s="35" t="str">
        <x:v>Closure</x:v>
      </x:c>
      <x:c r="C210" s="35" t="str">
        <x:v>Round1</x:v>
      </x:c>
      <x:c r="D210" s="35" t="str">
        <x:v>Closure_70</x:v>
      </x:c>
      <x:c r="E210" s="35" t="str">
        <x:v>Line</x:v>
      </x:c>
      <x:c r="F210" s="35"/>
      <x:c r="G210" s="35" t="str">
        <x:v>A</x:v>
      </x:c>
      <x:c r="H210" s="39" t="str">
        <x:f>IF(ISNUMBER('Data'!E210),'Data'!E210*100,"")</x:f>
      </x:c>
      <x:c r="I210" s="35"/>
      <x:c r="J210" s="35" t="str">
        <x:v>PASS</x:v>
      </x:c>
      <x:c r="K210" s="35" t="str">
        <x:v>FAIL</x:v>
      </x:c>
      <x:c r="L210" s="35" t="str">
        <x:v>NOT_RUN</x:v>
      </x:c>
      <x:c r="M210" s="35" t="str">
        <x:v>coverage unavailable or execution/compile failed</x:v>
      </x:c>
      <x:c r="N210" s="35" t="str">
        <x:v>Gemini-3.8-flash/Result/Closure_70/result.json</x:v>
      </x:c>
      <x:c r="O210" s="39" t="str">
        <x:f>IF(AND(G210="RECORDED",ISNUMBER(H210)),H210,"")</x:f>
      </x:c>
      <x:c r="P210" s="35" t="str">
        <x:v>NOT_AVAILABLE</x:v>
      </x:c>
      <x:c r="Q210" s="35" t="str">
        <x:v>Gemini-3.8-flash/Result/Closure_70/result.json</x:v>
      </x:c>
    </x:row>
    <x:row r="211">
      <x:c r="A211" s="35" t="str">
        <x:v>gemini</x:v>
      </x:c>
      <x:c r="B211" s="35" t="str">
        <x:v>Closure</x:v>
      </x:c>
      <x:c r="C211" s="35" t="str">
        <x:v>Round1</x:v>
      </x:c>
      <x:c r="D211" s="35" t="str">
        <x:v>Closure_71</x:v>
      </x:c>
      <x:c r="E211" s="35" t="str">
        <x:v>Line</x:v>
      </x:c>
      <x:c r="F211" s="35"/>
      <x:c r="G211" s="35" t="str">
        <x:v>A</x:v>
      </x:c>
      <x:c r="H211" s="39" t="str">
        <x:f>IF(ISNUMBER('Data'!E211),'Data'!E211*100,"")</x:f>
      </x:c>
      <x:c r="I211" s="35"/>
      <x:c r="J211" s="35" t="str">
        <x:v>PASS</x:v>
      </x:c>
      <x:c r="K211" s="35" t="str">
        <x:v>FAIL</x:v>
      </x:c>
      <x:c r="L211" s="35" t="str">
        <x:v>NOT_RUN</x:v>
      </x:c>
      <x:c r="M211" s="35" t="str">
        <x:v>coverage unavailable or execution/compile failed</x:v>
      </x:c>
      <x:c r="N211" s="35" t="str">
        <x:v>Gemini-3.8-flash/Result/Closure_71/result.json</x:v>
      </x:c>
      <x:c r="O211" s="39" t="str">
        <x:f>IF(AND(G211="RECORDED",ISNUMBER(H211)),H211,"")</x:f>
      </x:c>
      <x:c r="P211" s="35" t="str">
        <x:v>NOT_AVAILABLE</x:v>
      </x:c>
      <x:c r="Q211" s="35" t="str">
        <x:v>Gemini-3.8-flash/Result/Closure_71/result.json</x:v>
      </x:c>
    </x:row>
    <x:row r="212">
      <x:c r="A212" s="35" t="str">
        <x:v>gemini</x:v>
      </x:c>
      <x:c r="B212" s="35" t="str">
        <x:v>Closure</x:v>
      </x:c>
      <x:c r="C212" s="35" t="str">
        <x:v>Round1</x:v>
      </x:c>
      <x:c r="D212" s="35" t="str">
        <x:v>Closure_72</x:v>
      </x:c>
      <x:c r="E212" s="35" t="str">
        <x:v>Line</x:v>
      </x:c>
      <x:c r="F212" s="35"/>
      <x:c r="G212" s="35" t="str">
        <x:v>A</x:v>
      </x:c>
      <x:c r="H212" s="39" t="str">
        <x:f>IF(ISNUMBER('Data'!E212),'Data'!E212*100,"")</x:f>
      </x:c>
      <x:c r="I212" s="35"/>
      <x:c r="J212" s="35" t="str">
        <x:v>PASS</x:v>
      </x:c>
      <x:c r="K212" s="35" t="str">
        <x:v>FAIL</x:v>
      </x:c>
      <x:c r="L212" s="35" t="str">
        <x:v>NOT_RUN</x:v>
      </x:c>
      <x:c r="M212" s="35" t="str">
        <x:v>coverage unavailable or execution/compile failed</x:v>
      </x:c>
      <x:c r="N212" s="35" t="str">
        <x:v>Gemini-3.8-flash/Result/Closure_72/result.json</x:v>
      </x:c>
      <x:c r="O212" s="39" t="str">
        <x:f>IF(AND(G212="RECORDED",ISNUMBER(H212)),H212,"")</x:f>
      </x:c>
      <x:c r="P212" s="35" t="str">
        <x:v>NOT_AVAILABLE</x:v>
      </x:c>
      <x:c r="Q212" s="35" t="str">
        <x:v>Gemini-3.8-flash/Result/Closure_72/result.json</x:v>
      </x:c>
    </x:row>
    <x:row r="213">
      <x:c r="A213" s="35" t="str">
        <x:v>gemini</x:v>
      </x:c>
      <x:c r="B213" s="35" t="str">
        <x:v>Closure</x:v>
      </x:c>
      <x:c r="C213" s="35" t="str">
        <x:v>Round1</x:v>
      </x:c>
      <x:c r="D213" s="35" t="str">
        <x:v>Closure_73</x:v>
      </x:c>
      <x:c r="E213" s="35" t="str">
        <x:v>Line</x:v>
      </x:c>
      <x:c r="F213" s="35"/>
      <x:c r="G213" s="35" t="str">
        <x:v>A</x:v>
      </x:c>
      <x:c r="H213" s="39" t="str">
        <x:f>IF(ISNUMBER('Data'!E213),'Data'!E213*100,"")</x:f>
      </x:c>
      <x:c r="I213" s="35"/>
      <x:c r="J213" s="35" t="str">
        <x:v>PASS</x:v>
      </x:c>
      <x:c r="K213" s="35" t="str">
        <x:v>FAIL</x:v>
      </x:c>
      <x:c r="L213" s="35" t="str">
        <x:v>NOT_RUN</x:v>
      </x:c>
      <x:c r="M213" s="35" t="str">
        <x:v>coverage unavailable or execution/compile failed</x:v>
      </x:c>
      <x:c r="N213" s="35" t="str">
        <x:v>Gemini-3.8-flash/Result/Closure_73/result.json</x:v>
      </x:c>
      <x:c r="O213" s="39" t="str">
        <x:f>IF(AND(G213="RECORDED",ISNUMBER(H213)),H213,"")</x:f>
      </x:c>
      <x:c r="P213" s="35" t="str">
        <x:v>NOT_AVAILABLE</x:v>
      </x:c>
      <x:c r="Q213" s="35" t="str">
        <x:v>Gemini-3.8-flash/Result/Closure_73/result.json</x:v>
      </x:c>
    </x:row>
    <x:row r="214">
      <x:c r="A214" s="35" t="str">
        <x:v>gemini</x:v>
      </x:c>
      <x:c r="B214" s="35" t="str">
        <x:v>Closure</x:v>
      </x:c>
      <x:c r="C214" s="35" t="str">
        <x:v>Round1</x:v>
      </x:c>
      <x:c r="D214" s="35" t="str">
        <x:v>Closure_74</x:v>
      </x:c>
      <x:c r="E214" s="35" t="str">
        <x:v>Line</x:v>
      </x:c>
      <x:c r="F214" s="35"/>
      <x:c r="G214" s="35" t="str">
        <x:v>A</x:v>
      </x:c>
      <x:c r="H214" s="39" t="str">
        <x:f>IF(ISNUMBER('Data'!E214),'Data'!E214*100,"")</x:f>
      </x:c>
      <x:c r="I214" s="35"/>
      <x:c r="J214" s="35" t="str">
        <x:v>PASS</x:v>
      </x:c>
      <x:c r="K214" s="35" t="str">
        <x:v>FAIL</x:v>
      </x:c>
      <x:c r="L214" s="35" t="str">
        <x:v>NOT_RUN</x:v>
      </x:c>
      <x:c r="M214" s="35" t="str">
        <x:v>coverage unavailable or execution/compile failed</x:v>
      </x:c>
      <x:c r="N214" s="35" t="str">
        <x:v>Gemini-3.8-flash/Result/Closure_74/result.json</x:v>
      </x:c>
      <x:c r="O214" s="39" t="str">
        <x:f>IF(AND(G214="RECORDED",ISNUMBER(H214)),H214,"")</x:f>
      </x:c>
      <x:c r="P214" s="35" t="str">
        <x:v>NOT_AVAILABLE</x:v>
      </x:c>
      <x:c r="Q214" s="35" t="str">
        <x:v>Gemini-3.8-flash/Result/Closure_74/result.json</x:v>
      </x:c>
    </x:row>
    <x:row r="215">
      <x:c r="A215" s="35" t="str">
        <x:v>gemini</x:v>
      </x:c>
      <x:c r="B215" s="35" t="str">
        <x:v>Closure</x:v>
      </x:c>
      <x:c r="C215" s="35" t="str">
        <x:v>Round1</x:v>
      </x:c>
      <x:c r="D215" s="35" t="str">
        <x:v>Closure_75</x:v>
      </x:c>
      <x:c r="E215" s="35" t="str">
        <x:v>Line</x:v>
      </x:c>
      <x:c r="F215" s="35"/>
      <x:c r="G215" s="35" t="str">
        <x:v>A</x:v>
      </x:c>
      <x:c r="H215" s="39" t="str">
        <x:f>IF(ISNUMBER('Data'!E215),'Data'!E215*100,"")</x:f>
      </x:c>
      <x:c r="I215" s="35"/>
      <x:c r="J215" s="35" t="str">
        <x:v>PASS</x:v>
      </x:c>
      <x:c r="K215" s="35" t="str">
        <x:v>FAIL</x:v>
      </x:c>
      <x:c r="L215" s="35" t="str">
        <x:v>NOT_RUN</x:v>
      </x:c>
      <x:c r="M215" s="35" t="str">
        <x:v>coverage unavailable or execution/compile failed</x:v>
      </x:c>
      <x:c r="N215" s="35" t="str">
        <x:v>Gemini-3.8-flash/Result/Closure_75/result.json</x:v>
      </x:c>
      <x:c r="O215" s="39" t="str">
        <x:f>IF(AND(G215="RECORDED",ISNUMBER(H215)),H215,"")</x:f>
      </x:c>
      <x:c r="P215" s="35" t="str">
        <x:v>NOT_AVAILABLE</x:v>
      </x:c>
      <x:c r="Q215" s="35" t="str">
        <x:v>Gemini-3.8-flash/Result/Closure_75/result.json</x:v>
      </x:c>
    </x:row>
    <x:row r="216">
      <x:c r="A216" s="35" t="str">
        <x:v>gemini</x:v>
      </x:c>
      <x:c r="B216" s="35" t="str">
        <x:v>Closure</x:v>
      </x:c>
      <x:c r="C216" s="35" t="str">
        <x:v>Round1</x:v>
      </x:c>
      <x:c r="D216" s="35" t="str">
        <x:v>Closure_76</x:v>
      </x:c>
      <x:c r="E216" s="35" t="str">
        <x:v>Line</x:v>
      </x:c>
      <x:c r="F216" s="35"/>
      <x:c r="G216" s="35" t="str">
        <x:v>A</x:v>
      </x:c>
      <x:c r="H216" s="39" t="str">
        <x:f>IF(ISNUMBER('Data'!E216),'Data'!E216*100,"")</x:f>
      </x:c>
      <x:c r="I216" s="35"/>
      <x:c r="J216" s="35" t="str">
        <x:v>PASS</x:v>
      </x:c>
      <x:c r="K216" s="35" t="str">
        <x:v>FAIL</x:v>
      </x:c>
      <x:c r="L216" s="35" t="str">
        <x:v>NOT_RUN</x:v>
      </x:c>
      <x:c r="M216" s="35" t="str">
        <x:v>coverage unavailable or execution/compile failed</x:v>
      </x:c>
      <x:c r="N216" s="35" t="str">
        <x:v>Gemini-3.8-flash/Result/Closure_76/result.json</x:v>
      </x:c>
      <x:c r="O216" s="39" t="str">
        <x:f>IF(AND(G216="RECORDED",ISNUMBER(H216)),H216,"")</x:f>
      </x:c>
      <x:c r="P216" s="35" t="str">
        <x:v>NOT_AVAILABLE</x:v>
      </x:c>
      <x:c r="Q216" s="35" t="str">
        <x:v>Gemini-3.8-flash/Result/Closure_76/result.json</x:v>
      </x:c>
    </x:row>
    <x:row r="217">
      <x:c r="A217" s="35" t="str">
        <x:v>gemini</x:v>
      </x:c>
      <x:c r="B217" s="35" t="str">
        <x:v>Closure</x:v>
      </x:c>
      <x:c r="C217" s="35" t="str">
        <x:v>Round1</x:v>
      </x:c>
      <x:c r="D217" s="35" t="str">
        <x:v>Closure_77</x:v>
      </x:c>
      <x:c r="E217" s="35" t="str">
        <x:v>Line</x:v>
      </x:c>
      <x:c r="F217" s="35"/>
      <x:c r="G217" s="35" t="str">
        <x:v>A</x:v>
      </x:c>
      <x:c r="H217" s="39" t="str">
        <x:f>IF(ISNUMBER('Data'!E217),'Data'!E217*100,"")</x:f>
      </x:c>
      <x:c r="I217" s="35"/>
      <x:c r="J217" s="35" t="str">
        <x:v>PASS</x:v>
      </x:c>
      <x:c r="K217" s="35" t="str">
        <x:v>FAIL</x:v>
      </x:c>
      <x:c r="L217" s="35" t="str">
        <x:v>NOT_RUN</x:v>
      </x:c>
      <x:c r="M217" s="35" t="str">
        <x:v>coverage unavailable or execution/compile failed</x:v>
      </x:c>
      <x:c r="N217" s="35" t="str">
        <x:v>Gemini-3.8-flash/Result/Closure_77/result.json</x:v>
      </x:c>
      <x:c r="O217" s="39" t="str">
        <x:f>IF(AND(G217="RECORDED",ISNUMBER(H217)),H217,"")</x:f>
      </x:c>
      <x:c r="P217" s="35" t="str">
        <x:v>NOT_AVAILABLE</x:v>
      </x:c>
      <x:c r="Q217" s="35" t="str">
        <x:v>Gemini-3.8-flash/Result/Closure_77/result.json</x:v>
      </x:c>
    </x:row>
    <x:row r="218">
      <x:c r="A218" s="35" t="str">
        <x:v>gemini</x:v>
      </x:c>
      <x:c r="B218" s="35" t="str">
        <x:v>Closure</x:v>
      </x:c>
      <x:c r="C218" s="35" t="str">
        <x:v>Round1</x:v>
      </x:c>
      <x:c r="D218" s="35" t="str">
        <x:v>Closure_78</x:v>
      </x:c>
      <x:c r="E218" s="35" t="str">
        <x:v>Line</x:v>
      </x:c>
      <x:c r="F218" s="35"/>
      <x:c r="G218" s="35" t="str">
        <x:v>A</x:v>
      </x:c>
      <x:c r="H218" s="39" t="str">
        <x:f>IF(ISNUMBER('Data'!E218),'Data'!E218*100,"")</x:f>
      </x:c>
      <x:c r="I218" s="35"/>
      <x:c r="J218" s="35" t="str">
        <x:v>PASS</x:v>
      </x:c>
      <x:c r="K218" s="35" t="str">
        <x:v>FAIL</x:v>
      </x:c>
      <x:c r="L218" s="35" t="str">
        <x:v>NOT_RUN</x:v>
      </x:c>
      <x:c r="M218" s="35" t="str">
        <x:v>coverage unavailable or execution/compile failed</x:v>
      </x:c>
      <x:c r="N218" s="35" t="str">
        <x:v>Gemini-3.8-flash/Result/Closure_78/result.json</x:v>
      </x:c>
      <x:c r="O218" s="39" t="str">
        <x:f>IF(AND(G218="RECORDED",ISNUMBER(H218)),H218,"")</x:f>
      </x:c>
      <x:c r="P218" s="35" t="str">
        <x:v>NOT_AVAILABLE</x:v>
      </x:c>
      <x:c r="Q218" s="35" t="str">
        <x:v>Gemini-3.8-flash/Result/Closure_78/result.json</x:v>
      </x:c>
    </x:row>
    <x:row r="219">
      <x:c r="A219" s="35" t="str">
        <x:v>gemini</x:v>
      </x:c>
      <x:c r="B219" s="35" t="str">
        <x:v>Closure</x:v>
      </x:c>
      <x:c r="C219" s="35" t="str">
        <x:v>Round1</x:v>
      </x:c>
      <x:c r="D219" s="35" t="str">
        <x:v>Closure_79</x:v>
      </x:c>
      <x:c r="E219" s="35" t="str">
        <x:v>Line</x:v>
      </x:c>
      <x:c r="F219" s="35"/>
      <x:c r="G219" s="35" t="str">
        <x:v>A</x:v>
      </x:c>
      <x:c r="H219" s="39" t="str">
        <x:f>IF(ISNUMBER('Data'!E219),'Data'!E219*100,"")</x:f>
      </x:c>
      <x:c r="I219" s="35"/>
      <x:c r="J219" s="35" t="str">
        <x:v>PASS</x:v>
      </x:c>
      <x:c r="K219" s="35" t="str">
        <x:v>FAIL</x:v>
      </x:c>
      <x:c r="L219" s="35" t="str">
        <x:v>NOT_RUN</x:v>
      </x:c>
      <x:c r="M219" s="35" t="str">
        <x:v>coverage unavailable or execution/compile failed</x:v>
      </x:c>
      <x:c r="N219" s="35" t="str">
        <x:v>Gemini-3.8-flash/Result/Closure_79/result.json</x:v>
      </x:c>
      <x:c r="O219" s="39" t="str">
        <x:f>IF(AND(G219="RECORDED",ISNUMBER(H219)),H219,"")</x:f>
      </x:c>
      <x:c r="P219" s="35" t="str">
        <x:v>NOT_AVAILABLE</x:v>
      </x:c>
      <x:c r="Q219" s="35" t="str">
        <x:v>Gemini-3.8-flash/Result/Closure_79/result.json</x:v>
      </x:c>
    </x:row>
    <x:row r="220">
      <x:c r="A220" s="35" t="str">
        <x:v>gemini</x:v>
      </x:c>
      <x:c r="B220" s="35" t="str">
        <x:v>Closure</x:v>
      </x:c>
      <x:c r="C220" s="35" t="str">
        <x:v>Round1</x:v>
      </x:c>
      <x:c r="D220" s="35" t="str">
        <x:v>Closure_8</x:v>
      </x:c>
      <x:c r="E220" s="35" t="str">
        <x:v>Line</x:v>
      </x:c>
      <x:c r="F220" s="35" t="n">
        <x:v>84</x:v>
      </x:c>
      <x:c r="G220" s="35" t="str">
        <x:v>RECORDED</x:v>
      </x:c>
      <x:c r="H220" s="39" t="n">
        <x:f>IF(ISNUMBER('Data'!E220),'Data'!E220*100,"")</x:f>
        <x:v>84.52</x:v>
      </x:c>
      <x:c r="I220" s="35" t="str">
        <x:v>PASS</x:v>
      </x:c>
      <x:c r="J220" s="35" t="str">
        <x:v>PASS</x:v>
      </x:c>
      <x:c r="K220" s="35" t="str">
        <x:v>PASS</x:v>
      </x:c>
      <x:c r="L220" s="35" t="str">
        <x:v>FAIL</x:v>
      </x:c>
      <x:c r="M220" s="35" t="str">
        <x:v>numeric coverage for applicable metric</x:v>
      </x:c>
      <x:c r="N220" s="35" t="str">
        <x:v>Gemini-3.8-flash/Result/Closure_8/result.json</x:v>
      </x:c>
      <x:c r="O220" s="39" t="n">
        <x:f>IF(AND(G220="RECORDED",ISNUMBER(H220)),H220,"")</x:f>
        <x:v>84.52</x:v>
      </x:c>
      <x:c r="P220" s="35" t="str">
        <x:v>INCONCLUSIVE</x:v>
      </x:c>
      <x:c r="Q220" s="35" t="str">
        <x:v>Gemini-3.8-flash/Result/Closure_8/result.json</x:v>
      </x:c>
    </x:row>
    <x:row r="221">
      <x:c r="A221" s="35" t="str">
        <x:v>gemini</x:v>
      </x:c>
      <x:c r="B221" s="35" t="str">
        <x:v>Closure</x:v>
      </x:c>
      <x:c r="C221" s="35" t="str">
        <x:v>Round1</x:v>
      </x:c>
      <x:c r="D221" s="35" t="str">
        <x:v>Closure_80</x:v>
      </x:c>
      <x:c r="E221" s="35" t="str">
        <x:v>Line</x:v>
      </x:c>
      <x:c r="F221" s="35"/>
      <x:c r="G221" s="35" t="str">
        <x:v>A</x:v>
      </x:c>
      <x:c r="H221" s="39" t="str">
        <x:f>IF(ISNUMBER('Data'!E221),'Data'!E221*100,"")</x:f>
      </x:c>
      <x:c r="I221" s="35"/>
      <x:c r="J221" s="35" t="str">
        <x:v>PASS</x:v>
      </x:c>
      <x:c r="K221" s="35" t="str">
        <x:v>FAIL</x:v>
      </x:c>
      <x:c r="L221" s="35" t="str">
        <x:v>NOT_RUN</x:v>
      </x:c>
      <x:c r="M221" s="35" t="str">
        <x:v>coverage unavailable or execution/compile failed</x:v>
      </x:c>
      <x:c r="N221" s="35" t="str">
        <x:v>Gemini-3.8-flash/Result/Closure_80/result.json</x:v>
      </x:c>
      <x:c r="O221" s="39" t="str">
        <x:f>IF(AND(G221="RECORDED",ISNUMBER(H221)),H221,"")</x:f>
      </x:c>
      <x:c r="P221" s="35" t="str">
        <x:v>NOT_AVAILABLE</x:v>
      </x:c>
      <x:c r="Q221" s="35" t="str">
        <x:v>Gemini-3.8-flash/Result/Closure_80/result.json</x:v>
      </x:c>
    </x:row>
    <x:row r="222">
      <x:c r="A222" s="35" t="str">
        <x:v>gemini</x:v>
      </x:c>
      <x:c r="B222" s="35" t="str">
        <x:v>Closure</x:v>
      </x:c>
      <x:c r="C222" s="35" t="str">
        <x:v>Round1</x:v>
      </x:c>
      <x:c r="D222" s="35" t="str">
        <x:v>Closure_81</x:v>
      </x:c>
      <x:c r="E222" s="35" t="str">
        <x:v>Line</x:v>
      </x:c>
      <x:c r="F222" s="35"/>
      <x:c r="G222" s="35" t="str">
        <x:v>A</x:v>
      </x:c>
      <x:c r="H222" s="39" t="str">
        <x:f>IF(ISNUMBER('Data'!E222),'Data'!E222*100,"")</x:f>
      </x:c>
      <x:c r="I222" s="35"/>
      <x:c r="J222" s="35" t="str">
        <x:v>PASS</x:v>
      </x:c>
      <x:c r="K222" s="35" t="str">
        <x:v>FAIL</x:v>
      </x:c>
      <x:c r="L222" s="35" t="str">
        <x:v>NOT_RUN</x:v>
      </x:c>
      <x:c r="M222" s="35" t="str">
        <x:v>coverage unavailable or execution/compile failed</x:v>
      </x:c>
      <x:c r="N222" s="35" t="str">
        <x:v>Gemini-3.8-flash/Result/Closure_81/result.json</x:v>
      </x:c>
      <x:c r="O222" s="39" t="str">
        <x:f>IF(AND(G222="RECORDED",ISNUMBER(H222)),H222,"")</x:f>
      </x:c>
      <x:c r="P222" s="35" t="str">
        <x:v>NOT_AVAILABLE</x:v>
      </x:c>
      <x:c r="Q222" s="35" t="str">
        <x:v>Gemini-3.8-flash/Result/Closure_81/result.json</x:v>
      </x:c>
    </x:row>
    <x:row r="223">
      <x:c r="A223" s="35" t="str">
        <x:v>gemini</x:v>
      </x:c>
      <x:c r="B223" s="35" t="str">
        <x:v>Closure</x:v>
      </x:c>
      <x:c r="C223" s="35" t="str">
        <x:v>Round1</x:v>
      </x:c>
      <x:c r="D223" s="35" t="str">
        <x:v>Closure_82</x:v>
      </x:c>
      <x:c r="E223" s="35" t="str">
        <x:v>Line</x:v>
      </x:c>
      <x:c r="F223" s="35"/>
      <x:c r="G223" s="35" t="str">
        <x:v>A</x:v>
      </x:c>
      <x:c r="H223" s="39" t="str">
        <x:f>IF(ISNUMBER('Data'!E223),'Data'!E223*100,"")</x:f>
      </x:c>
      <x:c r="I223" s="35"/>
      <x:c r="J223" s="35" t="str">
        <x:v>PASS</x:v>
      </x:c>
      <x:c r="K223" s="35" t="str">
        <x:v>FAIL</x:v>
      </x:c>
      <x:c r="L223" s="35" t="str">
        <x:v>NOT_RUN</x:v>
      </x:c>
      <x:c r="M223" s="35" t="str">
        <x:v>coverage unavailable or execution/compile failed</x:v>
      </x:c>
      <x:c r="N223" s="35" t="str">
        <x:v>Gemini-3.8-flash/Result/Closure_82/result.json</x:v>
      </x:c>
      <x:c r="O223" s="39" t="str">
        <x:f>IF(AND(G223="RECORDED",ISNUMBER(H223)),H223,"")</x:f>
      </x:c>
      <x:c r="P223" s="35" t="str">
        <x:v>NOT_AVAILABLE</x:v>
      </x:c>
      <x:c r="Q223" s="35" t="str">
        <x:v>Gemini-3.8-flash/Result/Closure_82/result.json</x:v>
      </x:c>
    </x:row>
    <x:row r="224">
      <x:c r="A224" s="35" t="str">
        <x:v>gemini</x:v>
      </x:c>
      <x:c r="B224" s="35" t="str">
        <x:v>Closure</x:v>
      </x:c>
      <x:c r="C224" s="35" t="str">
        <x:v>Round1</x:v>
      </x:c>
      <x:c r="D224" s="35" t="str">
        <x:v>Closure_83</x:v>
      </x:c>
      <x:c r="E224" s="35" t="str">
        <x:v>Line</x:v>
      </x:c>
      <x:c r="F224" s="35"/>
      <x:c r="G224" s="35" t="str">
        <x:v>A</x:v>
      </x:c>
      <x:c r="H224" s="39" t="str">
        <x:f>IF(ISNUMBER('Data'!E224),'Data'!E224*100,"")</x:f>
      </x:c>
      <x:c r="I224" s="35"/>
      <x:c r="J224" s="35" t="str">
        <x:v>PASS</x:v>
      </x:c>
      <x:c r="K224" s="35" t="str">
        <x:v>FAIL</x:v>
      </x:c>
      <x:c r="L224" s="35" t="str">
        <x:v>NOT_RUN</x:v>
      </x:c>
      <x:c r="M224" s="35" t="str">
        <x:v>coverage unavailable or execution/compile failed</x:v>
      </x:c>
      <x:c r="N224" s="35" t="str">
        <x:v>Gemini-3.8-flash/Result/Closure_83/result.json</x:v>
      </x:c>
      <x:c r="O224" s="39" t="str">
        <x:f>IF(AND(G224="RECORDED",ISNUMBER(H224)),H224,"")</x:f>
      </x:c>
      <x:c r="P224" s="35" t="str">
        <x:v>NOT_AVAILABLE</x:v>
      </x:c>
      <x:c r="Q224" s="35" t="str">
        <x:v>Gemini-3.8-flash/Result/Closure_83/result.json</x:v>
      </x:c>
    </x:row>
    <x:row r="225">
      <x:c r="A225" s="35" t="str">
        <x:v>gemini</x:v>
      </x:c>
      <x:c r="B225" s="35" t="str">
        <x:v>Closure</x:v>
      </x:c>
      <x:c r="C225" s="35" t="str">
        <x:v>Round1</x:v>
      </x:c>
      <x:c r="D225" s="35" t="str">
        <x:v>Closure_84</x:v>
      </x:c>
      <x:c r="E225" s="35" t="str">
        <x:v>Line</x:v>
      </x:c>
      <x:c r="F225" s="35"/>
      <x:c r="G225" s="35" t="str">
        <x:v>A</x:v>
      </x:c>
      <x:c r="H225" s="39" t="str">
        <x:f>IF(ISNUMBER('Data'!E225),'Data'!E225*100,"")</x:f>
      </x:c>
      <x:c r="I225" s="35"/>
      <x:c r="J225" s="35" t="str">
        <x:v>PASS</x:v>
      </x:c>
      <x:c r="K225" s="35" t="str">
        <x:v>FAIL</x:v>
      </x:c>
      <x:c r="L225" s="35" t="str">
        <x:v>NOT_RUN</x:v>
      </x:c>
      <x:c r="M225" s="35" t="str">
        <x:v>coverage unavailable or execution/compile failed</x:v>
      </x:c>
      <x:c r="N225" s="35" t="str">
        <x:v>Gemini-3.8-flash/Result/Closure_84/result.json</x:v>
      </x:c>
      <x:c r="O225" s="39" t="str">
        <x:f>IF(AND(G225="RECORDED",ISNUMBER(H225)),H225,"")</x:f>
      </x:c>
      <x:c r="P225" s="35" t="str">
        <x:v>NOT_AVAILABLE</x:v>
      </x:c>
      <x:c r="Q225" s="35" t="str">
        <x:v>Gemini-3.8-flash/Result/Closure_84/result.json</x:v>
      </x:c>
    </x:row>
    <x:row r="226">
      <x:c r="A226" s="35" t="str">
        <x:v>gemini</x:v>
      </x:c>
      <x:c r="B226" s="35" t="str">
        <x:v>Closure</x:v>
      </x:c>
      <x:c r="C226" s="35" t="str">
        <x:v>Round1</x:v>
      </x:c>
      <x:c r="D226" s="35" t="str">
        <x:v>Closure_85</x:v>
      </x:c>
      <x:c r="E226" s="35" t="str">
        <x:v>Line</x:v>
      </x:c>
      <x:c r="F226" s="35"/>
      <x:c r="G226" s="35" t="str">
        <x:v>A</x:v>
      </x:c>
      <x:c r="H226" s="39" t="str">
        <x:f>IF(ISNUMBER('Data'!E226),'Data'!E226*100,"")</x:f>
      </x:c>
      <x:c r="I226" s="35"/>
      <x:c r="J226" s="35" t="str">
        <x:v>PASS</x:v>
      </x:c>
      <x:c r="K226" s="35" t="str">
        <x:v>FAIL</x:v>
      </x:c>
      <x:c r="L226" s="35" t="str">
        <x:v>NOT_RUN</x:v>
      </x:c>
      <x:c r="M226" s="35" t="str">
        <x:v>coverage unavailable or execution/compile failed</x:v>
      </x:c>
      <x:c r="N226" s="35" t="str">
        <x:v>Gemini-3.8-flash/Result/Closure_85/result.json</x:v>
      </x:c>
      <x:c r="O226" s="39" t="str">
        <x:f>IF(AND(G226="RECORDED",ISNUMBER(H226)),H226,"")</x:f>
      </x:c>
      <x:c r="P226" s="35" t="str">
        <x:v>NOT_AVAILABLE</x:v>
      </x:c>
      <x:c r="Q226" s="35" t="str">
        <x:v>Gemini-3.8-flash/Result/Closure_85/result.json</x:v>
      </x:c>
    </x:row>
    <x:row r="227">
      <x:c r="A227" s="35" t="str">
        <x:v>gemini</x:v>
      </x:c>
      <x:c r="B227" s="35" t="str">
        <x:v>Closure</x:v>
      </x:c>
      <x:c r="C227" s="35" t="str">
        <x:v>Round1</x:v>
      </x:c>
      <x:c r="D227" s="35" t="str">
        <x:v>Closure_86</x:v>
      </x:c>
      <x:c r="E227" s="35" t="str">
        <x:v>Line</x:v>
      </x:c>
      <x:c r="F227" s="35"/>
      <x:c r="G227" s="35" t="str">
        <x:v>A</x:v>
      </x:c>
      <x:c r="H227" s="39" t="str">
        <x:f>IF(ISNUMBER('Data'!E227),'Data'!E227*100,"")</x:f>
      </x:c>
      <x:c r="I227" s="35"/>
      <x:c r="J227" s="35" t="str">
        <x:v>PASS</x:v>
      </x:c>
      <x:c r="K227" s="35" t="str">
        <x:v>FAIL</x:v>
      </x:c>
      <x:c r="L227" s="35" t="str">
        <x:v>NOT_RUN</x:v>
      </x:c>
      <x:c r="M227" s="35" t="str">
        <x:v>coverage unavailable or execution/compile failed</x:v>
      </x:c>
      <x:c r="N227" s="35" t="str">
        <x:v>Gemini-3.8-flash/Result/Closure_86/result.json</x:v>
      </x:c>
      <x:c r="O227" s="39" t="str">
        <x:f>IF(AND(G227="RECORDED",ISNUMBER(H227)),H227,"")</x:f>
      </x:c>
      <x:c r="P227" s="35" t="str">
        <x:v>NOT_AVAILABLE</x:v>
      </x:c>
      <x:c r="Q227" s="35" t="str">
        <x:v>Gemini-3.8-flash/Result/Closure_86/result.json</x:v>
      </x:c>
    </x:row>
    <x:row r="228">
      <x:c r="A228" s="35" t="str">
        <x:v>gemini</x:v>
      </x:c>
      <x:c r="B228" s="35" t="str">
        <x:v>Closure</x:v>
      </x:c>
      <x:c r="C228" s="35" t="str">
        <x:v>Round1</x:v>
      </x:c>
      <x:c r="D228" s="35" t="str">
        <x:v>Closure_87</x:v>
      </x:c>
      <x:c r="E228" s="35" t="str">
        <x:v>Line</x:v>
      </x:c>
      <x:c r="F228" s="35"/>
      <x:c r="G228" s="35" t="str">
        <x:v>A</x:v>
      </x:c>
      <x:c r="H228" s="39" t="str">
        <x:f>IF(ISNUMBER('Data'!E228),'Data'!E228*100,"")</x:f>
      </x:c>
      <x:c r="I228" s="35"/>
      <x:c r="J228" s="35" t="str">
        <x:v>PASS</x:v>
      </x:c>
      <x:c r="K228" s="35" t="str">
        <x:v>FAIL</x:v>
      </x:c>
      <x:c r="L228" s="35" t="str">
        <x:v>NOT_RUN</x:v>
      </x:c>
      <x:c r="M228" s="35" t="str">
        <x:v>coverage unavailable or execution/compile failed</x:v>
      </x:c>
      <x:c r="N228" s="35" t="str">
        <x:v>Gemini-3.8-flash/Result/Closure_87/result.json</x:v>
      </x:c>
      <x:c r="O228" s="39" t="str">
        <x:f>IF(AND(G228="RECORDED",ISNUMBER(H228)),H228,"")</x:f>
      </x:c>
      <x:c r="P228" s="35" t="str">
        <x:v>NOT_AVAILABLE</x:v>
      </x:c>
      <x:c r="Q228" s="35" t="str">
        <x:v>Gemini-3.8-flash/Result/Closure_87/result.json</x:v>
      </x:c>
    </x:row>
    <x:row r="229">
      <x:c r="A229" s="35" t="str">
        <x:v>gemini</x:v>
      </x:c>
      <x:c r="B229" s="35" t="str">
        <x:v>Closure</x:v>
      </x:c>
      <x:c r="C229" s="35" t="str">
        <x:v>Round1</x:v>
      </x:c>
      <x:c r="D229" s="35" t="str">
        <x:v>Closure_88</x:v>
      </x:c>
      <x:c r="E229" s="35" t="str">
        <x:v>Line</x:v>
      </x:c>
      <x:c r="F229" s="35"/>
      <x:c r="G229" s="35" t="str">
        <x:v>A</x:v>
      </x:c>
      <x:c r="H229" s="39" t="str">
        <x:f>IF(ISNUMBER('Data'!E229),'Data'!E229*100,"")</x:f>
      </x:c>
      <x:c r="I229" s="35"/>
      <x:c r="J229" s="35" t="str">
        <x:v>PASS</x:v>
      </x:c>
      <x:c r="K229" s="35" t="str">
        <x:v>FAIL</x:v>
      </x:c>
      <x:c r="L229" s="35" t="str">
        <x:v>NOT_RUN</x:v>
      </x:c>
      <x:c r="M229" s="35" t="str">
        <x:v>coverage unavailable or execution/compile failed</x:v>
      </x:c>
      <x:c r="N229" s="35" t="str">
        <x:v>Gemini-3.8-flash/Result/Closure_88/result.json</x:v>
      </x:c>
      <x:c r="O229" s="39" t="str">
        <x:f>IF(AND(G229="RECORDED",ISNUMBER(H229)),H229,"")</x:f>
      </x:c>
      <x:c r="P229" s="35" t="str">
        <x:v>NOT_AVAILABLE</x:v>
      </x:c>
      <x:c r="Q229" s="35" t="str">
        <x:v>Gemini-3.8-flash/Result/Closure_88/result.json</x:v>
      </x:c>
    </x:row>
    <x:row r="230">
      <x:c r="A230" s="35" t="str">
        <x:v>gemini</x:v>
      </x:c>
      <x:c r="B230" s="35" t="str">
        <x:v>Closure</x:v>
      </x:c>
      <x:c r="C230" s="35" t="str">
        <x:v>Round1</x:v>
      </x:c>
      <x:c r="D230" s="35" t="str">
        <x:v>Closure_89</x:v>
      </x:c>
      <x:c r="E230" s="35" t="str">
        <x:v>Line</x:v>
      </x:c>
      <x:c r="F230" s="35"/>
      <x:c r="G230" s="35" t="str">
        <x:v>A</x:v>
      </x:c>
      <x:c r="H230" s="39" t="str">
        <x:f>IF(ISNUMBER('Data'!E230),'Data'!E230*100,"")</x:f>
      </x:c>
      <x:c r="I230" s="35"/>
      <x:c r="J230" s="35" t="str">
        <x:v>PASS</x:v>
      </x:c>
      <x:c r="K230" s="35" t="str">
        <x:v>FAIL</x:v>
      </x:c>
      <x:c r="L230" s="35" t="str">
        <x:v>NOT_RUN</x:v>
      </x:c>
      <x:c r="M230" s="35" t="str">
        <x:v>coverage unavailable or execution/compile failed</x:v>
      </x:c>
      <x:c r="N230" s="35" t="str">
        <x:v>Gemini-3.8-flash/Result/Closure_89/result.json</x:v>
      </x:c>
      <x:c r="O230" s="39" t="str">
        <x:f>IF(AND(G230="RECORDED",ISNUMBER(H230)),H230,"")</x:f>
      </x:c>
      <x:c r="P230" s="35" t="str">
        <x:v>NOT_AVAILABLE</x:v>
      </x:c>
      <x:c r="Q230" s="35" t="str">
        <x:v>Gemini-3.8-flash/Result/Closure_89/result.json</x:v>
      </x:c>
    </x:row>
    <x:row r="231">
      <x:c r="A231" s="35" t="str">
        <x:v>gemini</x:v>
      </x:c>
      <x:c r="B231" s="35" t="str">
        <x:v>Closure</x:v>
      </x:c>
      <x:c r="C231" s="35" t="str">
        <x:v>Round1</x:v>
      </x:c>
      <x:c r="D231" s="35" t="str">
        <x:v>Closure_9</x:v>
      </x:c>
      <x:c r="E231" s="35" t="str">
        <x:v>Line</x:v>
      </x:c>
      <x:c r="F231" s="35"/>
      <x:c r="G231" s="35" t="str">
        <x:v>A</x:v>
      </x:c>
      <x:c r="H231" s="39" t="str">
        <x:f>IF(ISNUMBER('Data'!E231),'Data'!E231*100,"")</x:f>
      </x:c>
      <x:c r="I231" s="35"/>
      <x:c r="J231" s="35" t="str">
        <x:v>PASS</x:v>
      </x:c>
      <x:c r="K231" s="35" t="str">
        <x:v>FAIL</x:v>
      </x:c>
      <x:c r="L231" s="35" t="str">
        <x:v>NOT_RUN</x:v>
      </x:c>
      <x:c r="M231" s="35" t="str">
        <x:v>coverage unavailable or execution/compile failed</x:v>
      </x:c>
      <x:c r="N231" s="35" t="str">
        <x:v>Gemini-3.8-flash/Result/Closure_9/result.json</x:v>
      </x:c>
      <x:c r="O231" s="39" t="str">
        <x:f>IF(AND(G231="RECORDED",ISNUMBER(H231)),H231,"")</x:f>
      </x:c>
      <x:c r="P231" s="35" t="str">
        <x:v>NOT_AVAILABLE</x:v>
      </x:c>
      <x:c r="Q231" s="35" t="str">
        <x:v>Gemini-3.8-flash/Result/Closure_9/result.json</x:v>
      </x:c>
    </x:row>
    <x:row r="232">
      <x:c r="A232" s="35" t="str">
        <x:v>gemini</x:v>
      </x:c>
      <x:c r="B232" s="35" t="str">
        <x:v>Closure</x:v>
      </x:c>
      <x:c r="C232" s="35" t="str">
        <x:v>Round1</x:v>
      </x:c>
      <x:c r="D232" s="35" t="str">
        <x:v>Closure_90</x:v>
      </x:c>
      <x:c r="E232" s="35" t="str">
        <x:v>Line</x:v>
      </x:c>
      <x:c r="F232" s="35"/>
      <x:c r="G232" s="35" t="str">
        <x:v>A</x:v>
      </x:c>
      <x:c r="H232" s="39" t="str">
        <x:f>IF(ISNUMBER('Data'!E232),'Data'!E232*100,"")</x:f>
      </x:c>
      <x:c r="I232" s="35"/>
      <x:c r="J232" s="35" t="str">
        <x:v>PASS</x:v>
      </x:c>
      <x:c r="K232" s="35" t="str">
        <x:v>FAIL</x:v>
      </x:c>
      <x:c r="L232" s="35" t="str">
        <x:v>NOT_RUN</x:v>
      </x:c>
      <x:c r="M232" s="35" t="str">
        <x:v>coverage unavailable or execution/compile failed</x:v>
      </x:c>
      <x:c r="N232" s="35" t="str">
        <x:v>Gemini-3.8-flash/Result/Closure_90/result.json</x:v>
      </x:c>
      <x:c r="O232" s="39" t="str">
        <x:f>IF(AND(G232="RECORDED",ISNUMBER(H232)),H232,"")</x:f>
      </x:c>
      <x:c r="P232" s="35" t="str">
        <x:v>NOT_AVAILABLE</x:v>
      </x:c>
      <x:c r="Q232" s="35" t="str">
        <x:v>Gemini-3.8-flash/Result/Closure_90/result.json</x:v>
      </x:c>
    </x:row>
    <x:row r="233">
      <x:c r="A233" s="35" t="str">
        <x:v>gemini</x:v>
      </x:c>
      <x:c r="B233" s="35" t="str">
        <x:v>Closure</x:v>
      </x:c>
      <x:c r="C233" s="35" t="str">
        <x:v>Round1</x:v>
      </x:c>
      <x:c r="D233" s="35" t="str">
        <x:v>Closure_91</x:v>
      </x:c>
      <x:c r="E233" s="35" t="str">
        <x:v>Line</x:v>
      </x:c>
      <x:c r="F233" s="35"/>
      <x:c r="G233" s="35" t="str">
        <x:v>A</x:v>
      </x:c>
      <x:c r="H233" s="39" t="str">
        <x:f>IF(ISNUMBER('Data'!E233),'Data'!E233*100,"")</x:f>
      </x:c>
      <x:c r="I233" s="35"/>
      <x:c r="J233" s="35" t="str">
        <x:v>PASS</x:v>
      </x:c>
      <x:c r="K233" s="35" t="str">
        <x:v>FAIL</x:v>
      </x:c>
      <x:c r="L233" s="35" t="str">
        <x:v>NOT_RUN</x:v>
      </x:c>
      <x:c r="M233" s="35" t="str">
        <x:v>coverage unavailable or execution/compile failed</x:v>
      </x:c>
      <x:c r="N233" s="35" t="str">
        <x:v>Gemini-3.8-flash/Result/Closure_91/result.json</x:v>
      </x:c>
      <x:c r="O233" s="39" t="str">
        <x:f>IF(AND(G233="RECORDED",ISNUMBER(H233)),H233,"")</x:f>
      </x:c>
      <x:c r="P233" s="35" t="str">
        <x:v>NOT_AVAILABLE</x:v>
      </x:c>
      <x:c r="Q233" s="35" t="str">
        <x:v>Gemini-3.8-flash/Result/Closure_91/result.json</x:v>
      </x:c>
    </x:row>
    <x:row r="234">
      <x:c r="A234" s="35" t="str">
        <x:v>gemini</x:v>
      </x:c>
      <x:c r="B234" s="35" t="str">
        <x:v>Closure</x:v>
      </x:c>
      <x:c r="C234" s="35" t="str">
        <x:v>Round1</x:v>
      </x:c>
      <x:c r="D234" s="35" t="str">
        <x:v>Closure_92</x:v>
      </x:c>
      <x:c r="E234" s="35" t="str">
        <x:v>Line</x:v>
      </x:c>
      <x:c r="F234" s="35"/>
      <x:c r="G234" s="35" t="str">
        <x:v>A</x:v>
      </x:c>
      <x:c r="H234" s="39" t="str">
        <x:f>IF(ISNUMBER('Data'!E234),'Data'!E234*100,"")</x:f>
      </x:c>
      <x:c r="I234" s="35"/>
      <x:c r="J234" s="35" t="str">
        <x:v>PASS</x:v>
      </x:c>
      <x:c r="K234" s="35" t="str">
        <x:v>FAIL</x:v>
      </x:c>
      <x:c r="L234" s="35" t="str">
        <x:v>NOT_RUN</x:v>
      </x:c>
      <x:c r="M234" s="35" t="str">
        <x:v>coverage unavailable or execution/compile failed</x:v>
      </x:c>
      <x:c r="N234" s="35" t="str">
        <x:v>Gemini-3.8-flash/Result/Closure_92/result.json</x:v>
      </x:c>
      <x:c r="O234" s="39" t="str">
        <x:f>IF(AND(G234="RECORDED",ISNUMBER(H234)),H234,"")</x:f>
      </x:c>
      <x:c r="P234" s="35" t="str">
        <x:v>NOT_AVAILABLE</x:v>
      </x:c>
      <x:c r="Q234" s="35" t="str">
        <x:v>Gemini-3.8-flash/Result/Closure_92/result.json</x:v>
      </x:c>
    </x:row>
    <x:row r="235">
      <x:c r="A235" s="35" t="str">
        <x:v>gemini</x:v>
      </x:c>
      <x:c r="B235" s="35" t="str">
        <x:v>Closure</x:v>
      </x:c>
      <x:c r="C235" s="35" t="str">
        <x:v>Round1</x:v>
      </x:c>
      <x:c r="D235" s="35" t="str">
        <x:v>Closure_94</x:v>
      </x:c>
      <x:c r="E235" s="35" t="str">
        <x:v>Line</x:v>
      </x:c>
      <x:c r="F235" s="35"/>
      <x:c r="G235" s="35" t="str">
        <x:v>A</x:v>
      </x:c>
      <x:c r="H235" s="39" t="str">
        <x:f>IF(ISNUMBER('Data'!E235),'Data'!E235*100,"")</x:f>
      </x:c>
      <x:c r="I235" s="35"/>
      <x:c r="J235" s="35" t="str">
        <x:v>PASS</x:v>
      </x:c>
      <x:c r="K235" s="35" t="str">
        <x:v>FAIL</x:v>
      </x:c>
      <x:c r="L235" s="35" t="str">
        <x:v>NOT_RUN</x:v>
      </x:c>
      <x:c r="M235" s="35" t="str">
        <x:v>coverage unavailable or execution/compile failed</x:v>
      </x:c>
      <x:c r="N235" s="35" t="str">
        <x:v>Gemini-3.8-flash/Result/Closure_94/result.json</x:v>
      </x:c>
      <x:c r="O235" s="39" t="str">
        <x:f>IF(AND(G235="RECORDED",ISNUMBER(H235)),H235,"")</x:f>
      </x:c>
      <x:c r="P235" s="35" t="str">
        <x:v>NOT_AVAILABLE</x:v>
      </x:c>
      <x:c r="Q235" s="35" t="str">
        <x:v>Gemini-3.8-flash/Result/Closure_94/result.json</x:v>
      </x:c>
    </x:row>
    <x:row r="236">
      <x:c r="A236" s="35" t="str">
        <x:v>gemini</x:v>
      </x:c>
      <x:c r="B236" s="35" t="str">
        <x:v>Closure</x:v>
      </x:c>
      <x:c r="C236" s="35" t="str">
        <x:v>Round1</x:v>
      </x:c>
      <x:c r="D236" s="35" t="str">
        <x:v>Closure_95</x:v>
      </x:c>
      <x:c r="E236" s="35" t="str">
        <x:v>Line</x:v>
      </x:c>
      <x:c r="F236" s="35"/>
      <x:c r="G236" s="35" t="str">
        <x:v>A</x:v>
      </x:c>
      <x:c r="H236" s="39" t="str">
        <x:f>IF(ISNUMBER('Data'!E236),'Data'!E236*100,"")</x:f>
      </x:c>
      <x:c r="I236" s="35"/>
      <x:c r="J236" s="35" t="str">
        <x:v>PASS</x:v>
      </x:c>
      <x:c r="K236" s="35" t="str">
        <x:v>FAIL</x:v>
      </x:c>
      <x:c r="L236" s="35" t="str">
        <x:v>NOT_RUN</x:v>
      </x:c>
      <x:c r="M236" s="35" t="str">
        <x:v>coverage unavailable or execution/compile failed</x:v>
      </x:c>
      <x:c r="N236" s="35" t="str">
        <x:v>Gemini-3.8-flash/Result/Closure_95/result.json</x:v>
      </x:c>
      <x:c r="O236" s="39" t="str">
        <x:f>IF(AND(G236="RECORDED",ISNUMBER(H236)),H236,"")</x:f>
      </x:c>
      <x:c r="P236" s="35" t="str">
        <x:v>NOT_AVAILABLE</x:v>
      </x:c>
      <x:c r="Q236" s="35" t="str">
        <x:v>Gemini-3.8-flash/Result/Closure_95/result.json</x:v>
      </x:c>
    </x:row>
    <x:row r="237">
      <x:c r="A237" s="35" t="str">
        <x:v>gemini</x:v>
      </x:c>
      <x:c r="B237" s="35" t="str">
        <x:v>Closure</x:v>
      </x:c>
      <x:c r="C237" s="35" t="str">
        <x:v>Round1</x:v>
      </x:c>
      <x:c r="D237" s="35" t="str">
        <x:v>Closure_96</x:v>
      </x:c>
      <x:c r="E237" s="35" t="str">
        <x:v>Line</x:v>
      </x:c>
      <x:c r="F237" s="35"/>
      <x:c r="G237" s="35" t="str">
        <x:v>A</x:v>
      </x:c>
      <x:c r="H237" s="39" t="str">
        <x:f>IF(ISNUMBER('Data'!E237),'Data'!E237*100,"")</x:f>
      </x:c>
      <x:c r="I237" s="35"/>
      <x:c r="J237" s="35" t="str">
        <x:v>PASS</x:v>
      </x:c>
      <x:c r="K237" s="35" t="str">
        <x:v>FAIL</x:v>
      </x:c>
      <x:c r="L237" s="35" t="str">
        <x:v>NOT_RUN</x:v>
      </x:c>
      <x:c r="M237" s="35" t="str">
        <x:v>coverage unavailable or execution/compile failed</x:v>
      </x:c>
      <x:c r="N237" s="35" t="str">
        <x:v>Gemini-3.8-flash/Result/Closure_96/result.json</x:v>
      </x:c>
      <x:c r="O237" s="39" t="str">
        <x:f>IF(AND(G237="RECORDED",ISNUMBER(H237)),H237,"")</x:f>
      </x:c>
      <x:c r="P237" s="35" t="str">
        <x:v>NOT_AVAILABLE</x:v>
      </x:c>
      <x:c r="Q237" s="35" t="str">
        <x:v>Gemini-3.8-flash/Result/Closure_96/result.json</x:v>
      </x:c>
    </x:row>
    <x:row r="238">
      <x:c r="A238" s="35" t="str">
        <x:v>gemini</x:v>
      </x:c>
      <x:c r="B238" s="35" t="str">
        <x:v>Closure</x:v>
      </x:c>
      <x:c r="C238" s="35" t="str">
        <x:v>Round1</x:v>
      </x:c>
      <x:c r="D238" s="35" t="str">
        <x:v>Closure_97</x:v>
      </x:c>
      <x:c r="E238" s="35" t="str">
        <x:v>Line</x:v>
      </x:c>
      <x:c r="F238" s="35"/>
      <x:c r="G238" s="35" t="str">
        <x:v>A</x:v>
      </x:c>
      <x:c r="H238" s="39" t="str">
        <x:f>IF(ISNUMBER('Data'!E238),'Data'!E238*100,"")</x:f>
      </x:c>
      <x:c r="I238" s="35"/>
      <x:c r="J238" s="35" t="str">
        <x:v>PASS</x:v>
      </x:c>
      <x:c r="K238" s="35" t="str">
        <x:v>FAIL</x:v>
      </x:c>
      <x:c r="L238" s="35" t="str">
        <x:v>NOT_RUN</x:v>
      </x:c>
      <x:c r="M238" s="35" t="str">
        <x:v>coverage unavailable or execution/compile failed</x:v>
      </x:c>
      <x:c r="N238" s="35" t="str">
        <x:v>Gemini-3.8-flash/Result/Closure_97/result.json</x:v>
      </x:c>
      <x:c r="O238" s="39" t="str">
        <x:f>IF(AND(G238="RECORDED",ISNUMBER(H238)),H238,"")</x:f>
      </x:c>
      <x:c r="P238" s="35" t="str">
        <x:v>NOT_AVAILABLE</x:v>
      </x:c>
      <x:c r="Q238" s="35" t="str">
        <x:v>Gemini-3.8-flash/Result/Closure_97/result.json</x:v>
      </x:c>
    </x:row>
    <x:row r="239">
      <x:c r="A239" s="35" t="str">
        <x:v>gemini</x:v>
      </x:c>
      <x:c r="B239" s="35" t="str">
        <x:v>Closure</x:v>
      </x:c>
      <x:c r="C239" s="35" t="str">
        <x:v>Round1</x:v>
      </x:c>
      <x:c r="D239" s="35" t="str">
        <x:v>Closure_98</x:v>
      </x:c>
      <x:c r="E239" s="35" t="str">
        <x:v>Line</x:v>
      </x:c>
      <x:c r="F239" s="35"/>
      <x:c r="G239" s="35" t="str">
        <x:v>A</x:v>
      </x:c>
      <x:c r="H239" s="39" t="str">
        <x:f>IF(ISNUMBER('Data'!E239),'Data'!E239*100,"")</x:f>
      </x:c>
      <x:c r="I239" s="35"/>
      <x:c r="J239" s="35" t="str">
        <x:v>PASS</x:v>
      </x:c>
      <x:c r="K239" s="35" t="str">
        <x:v>FAIL</x:v>
      </x:c>
      <x:c r="L239" s="35" t="str">
        <x:v>NOT_RUN</x:v>
      </x:c>
      <x:c r="M239" s="35" t="str">
        <x:v>coverage unavailable or execution/compile failed</x:v>
      </x:c>
      <x:c r="N239" s="35" t="str">
        <x:v>Gemini-3.8-flash/Result/Closure_98/result.json</x:v>
      </x:c>
      <x:c r="O239" s="39" t="str">
        <x:f>IF(AND(G239="RECORDED",ISNUMBER(H239)),H239,"")</x:f>
      </x:c>
      <x:c r="P239" s="35" t="str">
        <x:v>NOT_AVAILABLE</x:v>
      </x:c>
      <x:c r="Q239" s="35" t="str">
        <x:v>Gemini-3.8-flash/Result/Closure_98/result.json</x:v>
      </x:c>
    </x:row>
    <x:row r="240">
      <x:c r="A240" s="35" t="str">
        <x:v>gemini</x:v>
      </x:c>
      <x:c r="B240" s="35" t="str">
        <x:v>Closure</x:v>
      </x:c>
      <x:c r="C240" s="35" t="str">
        <x:v>Round1</x:v>
      </x:c>
      <x:c r="D240" s="35" t="str">
        <x:v>Closure_99</x:v>
      </x:c>
      <x:c r="E240" s="35" t="str">
        <x:v>Line</x:v>
      </x:c>
      <x:c r="F240" s="35"/>
      <x:c r="G240" s="35" t="str">
        <x:v>A</x:v>
      </x:c>
      <x:c r="H240" s="39" t="str">
        <x:f>IF(ISNUMBER('Data'!E240),'Data'!E240*100,"")</x:f>
      </x:c>
      <x:c r="I240" s="35"/>
      <x:c r="J240" s="35" t="str">
        <x:v>PASS</x:v>
      </x:c>
      <x:c r="K240" s="35" t="str">
        <x:v>FAIL</x:v>
      </x:c>
      <x:c r="L240" s="35" t="str">
        <x:v>NOT_RUN</x:v>
      </x:c>
      <x:c r="M240" s="35" t="str">
        <x:v>coverage unavailable or execution/compile failed</x:v>
      </x:c>
      <x:c r="N240" s="35" t="str">
        <x:v>Gemini-3.8-flash/Result/Closure_99/result.json</x:v>
      </x:c>
      <x:c r="O240" s="39" t="str">
        <x:f>IF(AND(G240="RECORDED",ISNUMBER(H240)),H240,"")</x:f>
      </x:c>
      <x:c r="P240" s="35" t="str">
        <x:v>NOT_AVAILABLE</x:v>
      </x:c>
      <x:c r="Q240" s="35" t="str">
        <x:v>Gemini-3.8-flash/Result/Closure_99/result.json</x:v>
      </x:c>
    </x:row>
    <x:row r="241">
      <x:c r="A241" s="35" t="str">
        <x:v>gemini</x:v>
      </x:c>
      <x:c r="B241" s="35" t="str">
        <x:v>Codec</x:v>
      </x:c>
      <x:c r="C241" s="35" t="str">
        <x:v>Round1</x:v>
      </x:c>
      <x:c r="D241" s="35" t="str">
        <x:v>Codec_1</x:v>
      </x:c>
      <x:c r="E241" s="35" t="str">
        <x:v>Line</x:v>
      </x:c>
      <x:c r="F241" s="35" t="n">
        <x:v>256</x:v>
      </x:c>
      <x:c r="G241" s="35" t="str">
        <x:v>RECORDED</x:v>
      </x:c>
      <x:c r="H241" s="39" t="n">
        <x:f>IF(ISNUMBER('Data'!E241),'Data'!E241*100,"")</x:f>
        <x:v>73.05</x:v>
      </x:c>
      <x:c r="I241" s="35" t="str">
        <x:v>PASS</x:v>
      </x:c>
      <x:c r="J241" s="35" t="str">
        <x:v>PASS</x:v>
      </x:c>
      <x:c r="K241" s="35" t="str">
        <x:v>PASS</x:v>
      </x:c>
      <x:c r="L241" s="35" t="str">
        <x:v>FAIL</x:v>
      </x:c>
      <x:c r="M241" s="35" t="str">
        <x:v>numeric coverage for applicable metric</x:v>
      </x:c>
      <x:c r="N241" s="35" t="str">
        <x:v>Gemini-3.8-flash/Result/Codec_1/result.json</x:v>
      </x:c>
      <x:c r="O241" s="39" t="n">
        <x:f>IF(AND(G241="RECORDED",ISNUMBER(H241)),H241,"")</x:f>
        <x:v>73.05</x:v>
      </x:c>
      <x:c r="P241" s="35" t="str">
        <x:v>INCONCLUSIVE</x:v>
      </x:c>
      <x:c r="Q241" s="35" t="str">
        <x:v>Gemini-3.8-flash/Result/Codec_1/result.json</x:v>
      </x:c>
    </x:row>
    <x:row r="242">
      <x:c r="A242" s="35" t="str">
        <x:v>gemini</x:v>
      </x:c>
      <x:c r="B242" s="35" t="str">
        <x:v>Codec</x:v>
      </x:c>
      <x:c r="C242" s="35" t="str">
        <x:v>Round1</x:v>
      </x:c>
      <x:c r="D242" s="35" t="str">
        <x:v>Codec_10</x:v>
      </x:c>
      <x:c r="E242" s="35" t="str">
        <x:v>Line</x:v>
      </x:c>
      <x:c r="F242" s="35" t="n">
        <x:v>69</x:v>
      </x:c>
      <x:c r="G242" s="35" t="str">
        <x:v>RECORDED</x:v>
      </x:c>
      <x:c r="H242" s="39" t="n">
        <x:f>IF(ISNUMBER('Data'!E242),'Data'!E242*100,"")</x:f>
        <x:v>100</x:v>
      </x:c>
      <x:c r="I242" s="35" t="str">
        <x:v>PASS</x:v>
      </x:c>
      <x:c r="J242" s="35" t="str">
        <x:v>PASS</x:v>
      </x:c>
      <x:c r="K242" s="35" t="str">
        <x:v>PASS</x:v>
      </x:c>
      <x:c r="L242" s="35" t="str">
        <x:v>FAIL</x:v>
      </x:c>
      <x:c r="M242" s="35" t="str">
        <x:v>numeric coverage for applicable metric</x:v>
      </x:c>
      <x:c r="N242" s="35" t="str">
        <x:v>Gemini-3.8-flash/Result/Codec_10/result.json</x:v>
      </x:c>
      <x:c r="O242" s="39" t="n">
        <x:f>IF(AND(G242="RECORDED",ISNUMBER(H242)),H242,"")</x:f>
        <x:v>100</x:v>
      </x:c>
      <x:c r="P242" s="35" t="str">
        <x:v>INCONCLUSIVE</x:v>
      </x:c>
      <x:c r="Q242" s="35" t="str">
        <x:v>Gemini-3.8-flash/Result/Codec_10/result.json</x:v>
      </x:c>
    </x:row>
    <x:row r="243">
      <x:c r="A243" s="35" t="str">
        <x:v>gemini</x:v>
      </x:c>
      <x:c r="B243" s="35" t="str">
        <x:v>Codec</x:v>
      </x:c>
      <x:c r="C243" s="35" t="str">
        <x:v>Round1</x:v>
      </x:c>
      <x:c r="D243" s="35" t="str">
        <x:v>Codec_11</x:v>
      </x:c>
      <x:c r="E243" s="35" t="str">
        <x:v>Line</x:v>
      </x:c>
      <x:c r="F243" s="35" t="n">
        <x:v>81</x:v>
      </x:c>
      <x:c r="G243" s="35" t="str">
        <x:v>RECORDED</x:v>
      </x:c>
      <x:c r="H243" s="39" t="n">
        <x:f>IF(ISNUMBER('Data'!E243),'Data'!E243*100,"")</x:f>
        <x:v>79.01</x:v>
      </x:c>
      <x:c r="I243" s="35" t="str">
        <x:v>PASS</x:v>
      </x:c>
      <x:c r="J243" s="35" t="str">
        <x:v>PASS</x:v>
      </x:c>
      <x:c r="K243" s="35" t="str">
        <x:v>PASS</x:v>
      </x:c>
      <x:c r="L243" s="35" t="str">
        <x:v>PASS</x:v>
      </x:c>
      <x:c r="M243" s="35" t="str">
        <x:v>numeric coverage for applicable metric</x:v>
      </x:c>
      <x:c r="N243" s="35" t="str">
        <x:v>Gemini-3.8-flash/Result/Codec_11/result.json</x:v>
      </x:c>
      <x:c r="O243" s="39" t="n">
        <x:f>IF(AND(G243="RECORDED",ISNUMBER(H243)),H243,"")</x:f>
        <x:v>79.01</x:v>
      </x:c>
      <x:c r="P243" s="35" t="str">
        <x:v>INCONCLUSIVE</x:v>
      </x:c>
      <x:c r="Q243" s="35" t="str">
        <x:v>Gemini-3.8-flash/Result/Codec_11/result.json</x:v>
      </x:c>
    </x:row>
    <x:row r="244">
      <x:c r="A244" s="35" t="str">
        <x:v>gemini</x:v>
      </x:c>
      <x:c r="B244" s="35" t="str">
        <x:v>Codec</x:v>
      </x:c>
      <x:c r="C244" s="35" t="str">
        <x:v>Round1</x:v>
      </x:c>
      <x:c r="D244" s="35" t="str">
        <x:v>Codec_12</x:v>
      </x:c>
      <x:c r="E244" s="35" t="str">
        <x:v>Line</x:v>
      </x:c>
      <x:c r="F244" s="35" t="n">
        <x:v>31</x:v>
      </x:c>
      <x:c r="G244" s="35" t="str">
        <x:v>RECORDED</x:v>
      </x:c>
      <x:c r="H244" s="39" t="n">
        <x:f>IF(ISNUMBER('Data'!E244),'Data'!E244*100,"")</x:f>
        <x:v>96.77</x:v>
      </x:c>
      <x:c r="I244" s="35" t="str">
        <x:v>PASS</x:v>
      </x:c>
      <x:c r="J244" s="35" t="str">
        <x:v>PASS</x:v>
      </x:c>
      <x:c r="K244" s="35" t="str">
        <x:v>PASS</x:v>
      </x:c>
      <x:c r="L244" s="35" t="str">
        <x:v>PASS</x:v>
      </x:c>
      <x:c r="M244" s="35" t="str">
        <x:v>numeric coverage for applicable metric</x:v>
      </x:c>
      <x:c r="N244" s="35" t="str">
        <x:v>Gemini-3.8-flash/Result/Codec_12/result.json</x:v>
      </x:c>
      <x:c r="O244" s="39" t="n">
        <x:f>IF(AND(G244="RECORDED",ISNUMBER(H244)),H244,"")</x:f>
        <x:v>96.77</x:v>
      </x:c>
      <x:c r="P244" s="35" t="str">
        <x:v>NOT_REVEALING</x:v>
      </x:c>
      <x:c r="Q244" s="35" t="str">
        <x:v>Gemini-3.8-flash/Result/Codec_12/result.json</x:v>
      </x:c>
    </x:row>
    <x:row r="245">
      <x:c r="A245" s="35" t="str">
        <x:v>gemini</x:v>
      </x:c>
      <x:c r="B245" s="35" t="str">
        <x:v>Codec</x:v>
      </x:c>
      <x:c r="C245" s="35" t="str">
        <x:v>Round1</x:v>
      </x:c>
      <x:c r="D245" s="35" t="str">
        <x:v>Codec_13</x:v>
      </x:c>
      <x:c r="E245" s="35" t="str">
        <x:v>Line</x:v>
      </x:c>
      <x:c r="F245" s="35" t="n">
        <x:v>481</x:v>
      </x:c>
      <x:c r="G245" s="35" t="str">
        <x:v>RECORDED</x:v>
      </x:c>
      <x:c r="H245" s="39" t="n">
        <x:f>IF(ISNUMBER('Data'!E245),'Data'!E245*100,"")</x:f>
        <x:v>88.98</x:v>
      </x:c>
      <x:c r="I245" s="35" t="str">
        <x:v>PASS</x:v>
      </x:c>
      <x:c r="J245" s="35" t="str">
        <x:v>PASS</x:v>
      </x:c>
      <x:c r="K245" s="35" t="str">
        <x:v>PASS</x:v>
      </x:c>
      <x:c r="L245" s="35" t="str">
        <x:v>FAIL</x:v>
      </x:c>
      <x:c r="M245" s="35" t="str">
        <x:v>numeric coverage for applicable metric</x:v>
      </x:c>
      <x:c r="N245" s="35" t="str">
        <x:v>Gemini-3.8-flash/Result/Codec_13/result.json</x:v>
      </x:c>
      <x:c r="O245" s="39" t="n">
        <x:f>IF(AND(G245="RECORDED",ISNUMBER(H245)),H245,"")</x:f>
        <x:v>88.98</x:v>
      </x:c>
      <x:c r="P245" s="35" t="str">
        <x:v>INCONCLUSIVE</x:v>
      </x:c>
      <x:c r="Q245" s="35" t="str">
        <x:v>Gemini-3.8-flash/Result/Codec_13/result.json</x:v>
      </x:c>
    </x:row>
    <x:row r="246">
      <x:c r="A246" s="35" t="str">
        <x:v>gemini</x:v>
      </x:c>
      <x:c r="B246" s="35" t="str">
        <x:v>Codec</x:v>
      </x:c>
      <x:c r="C246" s="35" t="str">
        <x:v>Round1</x:v>
      </x:c>
      <x:c r="D246" s="35" t="str">
        <x:v>Codec_14</x:v>
      </x:c>
      <x:c r="E246" s="35" t="str">
        <x:v>Line</x:v>
      </x:c>
      <x:c r="F246" s="35" t="n">
        <x:v>481</x:v>
      </x:c>
      <x:c r="G246" s="35" t="str">
        <x:v>RECORDED</x:v>
      </x:c>
      <x:c r="H246" s="39" t="n">
        <x:f>IF(ISNUMBER('Data'!E246),'Data'!E246*100,"")</x:f>
        <x:v>78.59</x:v>
      </x:c>
      <x:c r="I246" s="35" t="str">
        <x:v>PASS</x:v>
      </x:c>
      <x:c r="J246" s="35" t="str">
        <x:v>PASS</x:v>
      </x:c>
      <x:c r="K246" s="35" t="str">
        <x:v>PASS</x:v>
      </x:c>
      <x:c r="L246" s="35" t="str">
        <x:v>FAIL</x:v>
      </x:c>
      <x:c r="M246" s="35" t="str">
        <x:v>numeric coverage for applicable metric</x:v>
      </x:c>
      <x:c r="N246" s="35" t="str">
        <x:v>Gemini-3.8-flash/Result/Codec_14/result.json</x:v>
      </x:c>
      <x:c r="O246" s="39" t="n">
        <x:f>IF(AND(G246="RECORDED",ISNUMBER(H246)),H246,"")</x:f>
        <x:v>78.59</x:v>
      </x:c>
      <x:c r="P246" s="35" t="str">
        <x:v>INCONCLUSIVE</x:v>
      </x:c>
      <x:c r="Q246" s="35" t="str">
        <x:v>Gemini-3.8-flash/Result/Codec_14/result.json</x:v>
      </x:c>
    </x:row>
    <x:row r="247">
      <x:c r="A247" s="35" t="str">
        <x:v>gemini</x:v>
      </x:c>
      <x:c r="B247" s="35" t="str">
        <x:v>Codec</x:v>
      </x:c>
      <x:c r="C247" s="35" t="str">
        <x:v>Round1</x:v>
      </x:c>
      <x:c r="D247" s="35" t="str">
        <x:v>Codec_15</x:v>
      </x:c>
      <x:c r="E247" s="35" t="str">
        <x:v>Line</x:v>
      </x:c>
      <x:c r="F247" s="35"/>
      <x:c r="G247" s="35" t="str">
        <x:v>A</x:v>
      </x:c>
      <x:c r="H247" s="39" t="str">
        <x:f>IF(ISNUMBER('Data'!E247),'Data'!E247*100,"")</x:f>
      </x:c>
      <x:c r="I247" s="35"/>
      <x:c r="J247" s="35" t="str">
        <x:v>PASS</x:v>
      </x:c>
      <x:c r="K247" s="35" t="str">
        <x:v>FAIL</x:v>
      </x:c>
      <x:c r="L247" s="35" t="str">
        <x:v>NOT_RUN</x:v>
      </x:c>
      <x:c r="M247" s="35" t="str">
        <x:v>coverage unavailable or execution/compile failed</x:v>
      </x:c>
      <x:c r="N247" s="35" t="str">
        <x:v>Gemini-3.8-flash/Result/Codec_15/result.json</x:v>
      </x:c>
      <x:c r="O247" s="39" t="str">
        <x:f>IF(AND(G247="RECORDED",ISNUMBER(H247)),H247,"")</x:f>
      </x:c>
      <x:c r="P247" s="35" t="str">
        <x:v>NOT_AVAILABLE</x:v>
      </x:c>
      <x:c r="Q247" s="35" t="str">
        <x:v>Gemini-3.8-flash/Result/Codec_15/result.json</x:v>
      </x:c>
    </x:row>
    <x:row r="248">
      <x:c r="A248" s="35" t="str">
        <x:v>gemini</x:v>
      </x:c>
      <x:c r="B248" s="35" t="str">
        <x:v>Codec</x:v>
      </x:c>
      <x:c r="C248" s="35" t="str">
        <x:v>Round1</x:v>
      </x:c>
      <x:c r="D248" s="35" t="str">
        <x:v>Codec_16</x:v>
      </x:c>
      <x:c r="E248" s="35" t="str">
        <x:v>Line</x:v>
      </x:c>
      <x:c r="F248" s="35" t="n">
        <x:v>166</x:v>
      </x:c>
      <x:c r="G248" s="35" t="str">
        <x:v>RECORDED</x:v>
      </x:c>
      <x:c r="H248" s="39" t="n">
        <x:f>IF(ISNUMBER('Data'!E248),'Data'!E248*100,"")</x:f>
        <x:v>70.48</x:v>
      </x:c>
      <x:c r="I248" s="35" t="str">
        <x:v>PASS</x:v>
      </x:c>
      <x:c r="J248" s="35" t="str">
        <x:v>PASS</x:v>
      </x:c>
      <x:c r="K248" s="35" t="str">
        <x:v>PASS</x:v>
      </x:c>
      <x:c r="L248" s="35" t="str">
        <x:v>PASS</x:v>
      </x:c>
      <x:c r="M248" s="35" t="str">
        <x:v>numeric coverage for applicable metric</x:v>
      </x:c>
      <x:c r="N248" s="35" t="str">
        <x:v>Gemini-3.8-flash/Result/Codec_16/result.json</x:v>
      </x:c>
      <x:c r="O248" s="39" t="n">
        <x:f>IF(AND(G248="RECORDED",ISNUMBER(H248)),H248,"")</x:f>
        <x:v>70.48</x:v>
      </x:c>
      <x:c r="P248" s="35" t="str">
        <x:v>NOT_REVEALING</x:v>
      </x:c>
      <x:c r="Q248" s="35" t="str">
        <x:v>Gemini-3.8-flash/Result/Codec_16/result.json</x:v>
      </x:c>
    </x:row>
    <x:row r="249">
      <x:c r="A249" s="35" t="str">
        <x:v>gemini</x:v>
      </x:c>
      <x:c r="B249" s="35" t="str">
        <x:v>Codec</x:v>
      </x:c>
      <x:c r="C249" s="35" t="str">
        <x:v>Round1</x:v>
      </x:c>
      <x:c r="D249" s="35" t="str">
        <x:v>Codec_17</x:v>
      </x:c>
      <x:c r="E249" s="35" t="str">
        <x:v>Line</x:v>
      </x:c>
      <x:c r="F249" s="35" t="n">
        <x:v>39</x:v>
      </x:c>
      <x:c r="G249" s="35" t="str">
        <x:v>RECORDED</x:v>
      </x:c>
      <x:c r="H249" s="39" t="n">
        <x:f>IF(ISNUMBER('Data'!E249),'Data'!E249*100,"")</x:f>
        <x:v>69.23</x:v>
      </x:c>
      <x:c r="I249" s="35" t="str">
        <x:v>PASS</x:v>
      </x:c>
      <x:c r="J249" s="35" t="str">
        <x:v>PASS</x:v>
      </x:c>
      <x:c r="K249" s="35" t="str">
        <x:v>PASS</x:v>
      </x:c>
      <x:c r="L249" s="35" t="str">
        <x:v>PASS</x:v>
      </x:c>
      <x:c r="M249" s="35" t="str">
        <x:v>numeric coverage for applicable metric</x:v>
      </x:c>
      <x:c r="N249" s="35" t="str">
        <x:v>Gemini-3.8-flash/Result/Codec_17/result.json</x:v>
      </x:c>
      <x:c r="O249" s="39" t="n">
        <x:f>IF(AND(G249="RECORDED",ISNUMBER(H249)),H249,"")</x:f>
        <x:v>69.23</x:v>
      </x:c>
      <x:c r="P249" s="35" t="str">
        <x:v>NOT_REVEALING</x:v>
      </x:c>
      <x:c r="Q249" s="35" t="str">
        <x:v>Gemini-3.8-flash/Result/Codec_17/result.json</x:v>
      </x:c>
    </x:row>
    <x:row r="250">
      <x:c r="A250" s="35" t="str">
        <x:v>gemini</x:v>
      </x:c>
      <x:c r="B250" s="35" t="str">
        <x:v>Codec</x:v>
      </x:c>
      <x:c r="C250" s="35" t="str">
        <x:v>Round1</x:v>
      </x:c>
      <x:c r="D250" s="35" t="str">
        <x:v>Codec_18</x:v>
      </x:c>
      <x:c r="E250" s="35" t="str">
        <x:v>Line</x:v>
      </x:c>
      <x:c r="F250" s="35" t="n">
        <x:v>39</x:v>
      </x:c>
      <x:c r="G250" s="35" t="str">
        <x:v>RECORDED</x:v>
      </x:c>
      <x:c r="H250" s="39" t="n">
        <x:f>IF(ISNUMBER('Data'!E250),'Data'!E250*100,"")</x:f>
        <x:v>69.23</x:v>
      </x:c>
      <x:c r="I250" s="35" t="str">
        <x:v>PASS</x:v>
      </x:c>
      <x:c r="J250" s="35" t="str">
        <x:v>PASS</x:v>
      </x:c>
      <x:c r="K250" s="35" t="str">
        <x:v>PASS</x:v>
      </x:c>
      <x:c r="L250" s="35" t="str">
        <x:v>PASS</x:v>
      </x:c>
      <x:c r="M250" s="35" t="str">
        <x:v>numeric coverage for applicable metric</x:v>
      </x:c>
      <x:c r="N250" s="35" t="str">
        <x:v>Gemini-3.8-flash/Result/Codec_18/result.json</x:v>
      </x:c>
      <x:c r="O250" s="39" t="n">
        <x:f>IF(AND(G250="RECORDED",ISNUMBER(H250)),H250,"")</x:f>
        <x:v>69.23</x:v>
      </x:c>
      <x:c r="P250" s="35" t="str">
        <x:v>NOT_REVEALING</x:v>
      </x:c>
      <x:c r="Q250" s="35" t="str">
        <x:v>Gemini-3.8-flash/Result/Codec_18/result.json</x:v>
      </x:c>
    </x:row>
    <x:row r="251">
      <x:c r="A251" s="35" t="str">
        <x:v>gemini</x:v>
      </x:c>
      <x:c r="B251" s="35" t="str">
        <x:v>Codec</x:v>
      </x:c>
      <x:c r="C251" s="35" t="str">
        <x:v>Round1</x:v>
      </x:c>
      <x:c r="D251" s="35" t="str">
        <x:v>Codec_2</x:v>
      </x:c>
      <x:c r="E251" s="35" t="str">
        <x:v>Line</x:v>
      </x:c>
      <x:c r="F251" s="35"/>
      <x:c r="G251" s="35" t="str">
        <x:v>A</x:v>
      </x:c>
      <x:c r="H251" s="39" t="str">
        <x:f>IF(ISNUMBER('Data'!E251),'Data'!E251*100,"")</x:f>
      </x:c>
      <x:c r="I251" s="35"/>
      <x:c r="J251" s="35" t="str">
        <x:v>PASS</x:v>
      </x:c>
      <x:c r="K251" s="35" t="str">
        <x:v>FAIL</x:v>
      </x:c>
      <x:c r="L251" s="35" t="str">
        <x:v>NOT_RUN</x:v>
      </x:c>
      <x:c r="M251" s="35" t="str">
        <x:v>coverage unavailable or execution/compile failed</x:v>
      </x:c>
      <x:c r="N251" s="35" t="str">
        <x:v>Gemini-3.8-flash/Result/Codec_2/result.json</x:v>
      </x:c>
      <x:c r="O251" s="39" t="str">
        <x:f>IF(AND(G251="RECORDED",ISNUMBER(H251)),H251,"")</x:f>
      </x:c>
      <x:c r="P251" s="35" t="str">
        <x:v>NOT_AVAILABLE</x:v>
      </x:c>
      <x:c r="Q251" s="35" t="str">
        <x:v>Gemini-3.8-flash/Result/Codec_2/result.json</x:v>
      </x:c>
    </x:row>
    <x:row r="252">
      <x:c r="A252" s="35" t="str">
        <x:v>gemini</x:v>
      </x:c>
      <x:c r="B252" s="35" t="str">
        <x:v>Codec</x:v>
      </x:c>
      <x:c r="C252" s="35" t="str">
        <x:v>Round1</x:v>
      </x:c>
      <x:c r="D252" s="35" t="str">
        <x:v>Codec_3</x:v>
      </x:c>
      <x:c r="E252" s="35" t="str">
        <x:v>Line</x:v>
      </x:c>
      <x:c r="F252" s="35" t="n">
        <x:v>453</x:v>
      </x:c>
      <x:c r="G252" s="35" t="str">
        <x:v>RECORDED</x:v>
      </x:c>
      <x:c r="H252" s="39" t="n">
        <x:f>IF(ISNUMBER('Data'!E252),'Data'!E252*100,"")</x:f>
        <x:v>90.51</x:v>
      </x:c>
      <x:c r="I252" s="35" t="str">
        <x:v>PASS</x:v>
      </x:c>
      <x:c r="J252" s="35" t="str">
        <x:v>PASS</x:v>
      </x:c>
      <x:c r="K252" s="35" t="str">
        <x:v>PASS</x:v>
      </x:c>
      <x:c r="L252" s="35" t="str">
        <x:v>FAIL</x:v>
      </x:c>
      <x:c r="M252" s="35" t="str">
        <x:v>numeric coverage for applicable metric</x:v>
      </x:c>
      <x:c r="N252" s="35" t="str">
        <x:v>Gemini-3.8-flash/Result/Codec_3/result.json</x:v>
      </x:c>
      <x:c r="O252" s="39" t="n">
        <x:f>IF(AND(G252="RECORDED",ISNUMBER(H252)),H252,"")</x:f>
        <x:v>90.51</x:v>
      </x:c>
      <x:c r="P252" s="35" t="str">
        <x:v>INCONCLUSIVE</x:v>
      </x:c>
      <x:c r="Q252" s="35" t="str">
        <x:v>Gemini-3.8-flash/Result/Codec_3/result.json</x:v>
      </x:c>
    </x:row>
    <x:row r="253">
      <x:c r="A253" s="35" t="str">
        <x:v>gemini</x:v>
      </x:c>
      <x:c r="B253" s="35" t="str">
        <x:v>Codec</x:v>
      </x:c>
      <x:c r="C253" s="35" t="str">
        <x:v>Round1</x:v>
      </x:c>
      <x:c r="D253" s="35" t="str">
        <x:v>Codec_4</x:v>
      </x:c>
      <x:c r="E253" s="35" t="str">
        <x:v>Line</x:v>
      </x:c>
      <x:c r="F253" s="35"/>
      <x:c r="G253" s="35" t="str">
        <x:v>A</x:v>
      </x:c>
      <x:c r="H253" s="39" t="str">
        <x:f>IF(ISNUMBER('Data'!E253),'Data'!E253*100,"")</x:f>
      </x:c>
      <x:c r="I253" s="35"/>
      <x:c r="J253" s="35" t="str">
        <x:v>PASS</x:v>
      </x:c>
      <x:c r="K253" s="35" t="str">
        <x:v>FAIL</x:v>
      </x:c>
      <x:c r="L253" s="35" t="str">
        <x:v>NOT_RUN</x:v>
      </x:c>
      <x:c r="M253" s="35" t="str">
        <x:v>coverage unavailable or execution/compile failed</x:v>
      </x:c>
      <x:c r="N253" s="35" t="str">
        <x:v>Gemini-3.8-flash/Result/Codec_4/result.json</x:v>
      </x:c>
      <x:c r="O253" s="39" t="str">
        <x:f>IF(AND(G253="RECORDED",ISNUMBER(H253)),H253,"")</x:f>
      </x:c>
      <x:c r="P253" s="35" t="str">
        <x:v>NOT_AVAILABLE</x:v>
      </x:c>
      <x:c r="Q253" s="35" t="str">
        <x:v>Gemini-3.8-flash/Result/Codec_4/result.json</x:v>
      </x:c>
    </x:row>
    <x:row r="254">
      <x:c r="A254" s="35" t="str">
        <x:v>gemini</x:v>
      </x:c>
      <x:c r="B254" s="35" t="str">
        <x:v>Codec</x:v>
      </x:c>
      <x:c r="C254" s="35" t="str">
        <x:v>Round1</x:v>
      </x:c>
      <x:c r="D254" s="35" t="str">
        <x:v>Codec_5</x:v>
      </x:c>
      <x:c r="E254" s="35" t="str">
        <x:v>Line</x:v>
      </x:c>
      <x:c r="F254" s="35"/>
      <x:c r="G254" s="35" t="str">
        <x:v>A</x:v>
      </x:c>
      <x:c r="H254" s="39" t="str">
        <x:f>IF(ISNUMBER('Data'!E254),'Data'!E254*100,"")</x:f>
      </x:c>
      <x:c r="I254" s="35"/>
      <x:c r="J254" s="35" t="str">
        <x:v>PASS</x:v>
      </x:c>
      <x:c r="K254" s="35" t="str">
        <x:v>FAIL</x:v>
      </x:c>
      <x:c r="L254" s="35" t="str">
        <x:v>NOT_RUN</x:v>
      </x:c>
      <x:c r="M254" s="35" t="str">
        <x:v>coverage unavailable or execution/compile failed</x:v>
      </x:c>
      <x:c r="N254" s="35" t="str">
        <x:v>Gemini-3.8-flash/Result/Codec_5/result.json</x:v>
      </x:c>
      <x:c r="O254" s="39" t="str">
        <x:f>IF(AND(G254="RECORDED",ISNUMBER(H254)),H254,"")</x:f>
      </x:c>
      <x:c r="P254" s="35" t="str">
        <x:v>NOT_AVAILABLE</x:v>
      </x:c>
      <x:c r="Q254" s="35" t="str">
        <x:v>Gemini-3.8-flash/Result/Codec_5/result.json</x:v>
      </x:c>
    </x:row>
    <x:row r="255">
      <x:c r="A255" s="35" t="str">
        <x:v>gemini</x:v>
      </x:c>
      <x:c r="B255" s="35" t="str">
        <x:v>Codec</x:v>
      </x:c>
      <x:c r="C255" s="35" t="str">
        <x:v>Round1</x:v>
      </x:c>
      <x:c r="D255" s="35" t="str">
        <x:v>Codec_6</x:v>
      </x:c>
      <x:c r="E255" s="35" t="str">
        <x:v>Line</x:v>
      </x:c>
      <x:c r="F255" s="35" t="n">
        <x:v>35</x:v>
      </x:c>
      <x:c r="G255" s="35" t="str">
        <x:v>RECORDED</x:v>
      </x:c>
      <x:c r="H255" s="39" t="n">
        <x:f>IF(ISNUMBER('Data'!E255),'Data'!E255*100,"")</x:f>
        <x:v>80</x:v>
      </x:c>
      <x:c r="I255" s="35" t="str">
        <x:v>PASS</x:v>
      </x:c>
      <x:c r="J255" s="35" t="str">
        <x:v>PASS</x:v>
      </x:c>
      <x:c r="K255" s="35" t="str">
        <x:v>PASS</x:v>
      </x:c>
      <x:c r="L255" s="35" t="str">
        <x:v>PASS</x:v>
      </x:c>
      <x:c r="M255" s="35" t="str">
        <x:v>numeric coverage for applicable metric</x:v>
      </x:c>
      <x:c r="N255" s="35" t="str">
        <x:v>Gemini-3.8-flash/Result/Codec_6/result.json</x:v>
      </x:c>
      <x:c r="O255" s="39" t="n">
        <x:f>IF(AND(G255="RECORDED",ISNUMBER(H255)),H255,"")</x:f>
        <x:v>80</x:v>
      </x:c>
      <x:c r="P255" s="35" t="str">
        <x:v>NOT_REVEALING</x:v>
      </x:c>
      <x:c r="Q255" s="35" t="str">
        <x:v>Gemini-3.8-flash/Result/Codec_6/result.json</x:v>
      </x:c>
    </x:row>
    <x:row r="256">
      <x:c r="A256" s="35" t="str">
        <x:v>gemini</x:v>
      </x:c>
      <x:c r="B256" s="35" t="str">
        <x:v>Codec</x:v>
      </x:c>
      <x:c r="C256" s="35" t="str">
        <x:v>Round1</x:v>
      </x:c>
      <x:c r="D256" s="35" t="str">
        <x:v>Codec_7</x:v>
      </x:c>
      <x:c r="E256" s="35" t="str">
        <x:v>Line</x:v>
      </x:c>
      <x:c r="F256" s="35"/>
      <x:c r="G256" s="35" t="str">
        <x:v>A</x:v>
      </x:c>
      <x:c r="H256" s="39" t="str">
        <x:f>IF(ISNUMBER('Data'!E256),'Data'!E256*100,"")</x:f>
      </x:c>
      <x:c r="I256" s="35"/>
      <x:c r="J256" s="35" t="str">
        <x:v>PASS</x:v>
      </x:c>
      <x:c r="K256" s="35" t="str">
        <x:v>FAIL</x:v>
      </x:c>
      <x:c r="L256" s="35" t="str">
        <x:v>NOT_RUN</x:v>
      </x:c>
      <x:c r="M256" s="35" t="str">
        <x:v>coverage unavailable or execution/compile failed</x:v>
      </x:c>
      <x:c r="N256" s="35" t="str">
        <x:v>Gemini-3.8-flash/Result/Codec_7/result.json</x:v>
      </x:c>
      <x:c r="O256" s="39" t="str">
        <x:f>IF(AND(G256="RECORDED",ISNUMBER(H256)),H256,"")</x:f>
      </x:c>
      <x:c r="P256" s="35" t="str">
        <x:v>NOT_AVAILABLE</x:v>
      </x:c>
      <x:c r="Q256" s="35" t="str">
        <x:v>Gemini-3.8-flash/Result/Codec_7/result.json</x:v>
      </x:c>
    </x:row>
    <x:row r="257">
      <x:c r="A257" s="35" t="str">
        <x:v>gemini</x:v>
      </x:c>
      <x:c r="B257" s="35" t="str">
        <x:v>Codec</x:v>
      </x:c>
      <x:c r="C257" s="35" t="str">
        <x:v>Round1</x:v>
      </x:c>
      <x:c r="D257" s="35" t="str">
        <x:v>Codec_8</x:v>
      </x:c>
      <x:c r="E257" s="35" t="str">
        <x:v>Line</x:v>
      </x:c>
      <x:c r="F257" s="35"/>
      <x:c r="G257" s="35" t="str">
        <x:v>A</x:v>
      </x:c>
      <x:c r="H257" s="39" t="str">
        <x:f>IF(ISNUMBER('Data'!E257),'Data'!E257*100,"")</x:f>
      </x:c>
      <x:c r="I257" s="35"/>
      <x:c r="J257" s="35" t="str">
        <x:v>PASS</x:v>
      </x:c>
      <x:c r="K257" s="35" t="str">
        <x:v>FAIL</x:v>
      </x:c>
      <x:c r="L257" s="35" t="str">
        <x:v>NOT_RUN</x:v>
      </x:c>
      <x:c r="M257" s="35" t="str">
        <x:v>coverage unavailable or execution/compile failed</x:v>
      </x:c>
      <x:c r="N257" s="35" t="str">
        <x:v>Gemini-3.8-flash/Result/Codec_8/result.json</x:v>
      </x:c>
      <x:c r="O257" s="39" t="str">
        <x:f>IF(AND(G257="RECORDED",ISNUMBER(H257)),H257,"")</x:f>
      </x:c>
      <x:c r="P257" s="35" t="str">
        <x:v>NOT_AVAILABLE</x:v>
      </x:c>
      <x:c r="Q257" s="35" t="str">
        <x:v>Gemini-3.8-flash/Result/Codec_8/result.json</x:v>
      </x:c>
    </x:row>
    <x:row r="258">
      <x:c r="A258" s="35" t="str">
        <x:v>gemini</x:v>
      </x:c>
      <x:c r="B258" s="35" t="str">
        <x:v>Codec</x:v>
      </x:c>
      <x:c r="C258" s="35" t="str">
        <x:v>Round1</x:v>
      </x:c>
      <x:c r="D258" s="35" t="str">
        <x:v>Codec_9</x:v>
      </x:c>
      <x:c r="E258" s="35" t="str">
        <x:v>Line</x:v>
      </x:c>
      <x:c r="F258" s="35"/>
      <x:c r="G258" s="35" t="str">
        <x:v>A</x:v>
      </x:c>
      <x:c r="H258" s="39" t="str">
        <x:f>IF(ISNUMBER('Data'!E258),'Data'!E258*100,"")</x:f>
      </x:c>
      <x:c r="I258" s="35"/>
      <x:c r="J258" s="35" t="str">
        <x:v>PASS</x:v>
      </x:c>
      <x:c r="K258" s="35" t="str">
        <x:v>FAIL</x:v>
      </x:c>
      <x:c r="L258" s="35" t="str">
        <x:v>NOT_RUN</x:v>
      </x:c>
      <x:c r="M258" s="35" t="str">
        <x:v>coverage unavailable or execution/compile failed</x:v>
      </x:c>
      <x:c r="N258" s="35" t="str">
        <x:v>Gemini-3.8-flash/Result/Codec_9/result.json</x:v>
      </x:c>
      <x:c r="O258" s="39" t="str">
        <x:f>IF(AND(G258="RECORDED",ISNUMBER(H258)),H258,"")</x:f>
      </x:c>
      <x:c r="P258" s="35" t="str">
        <x:v>NOT_AVAILABLE</x:v>
      </x:c>
      <x:c r="Q258" s="35" t="str">
        <x:v>Gemini-3.8-flash/Result/Codec_9/result.json</x:v>
      </x:c>
    </x:row>
    <x:row r="259">
      <x:c r="A259" s="35" t="str">
        <x:v>gemini</x:v>
      </x:c>
      <x:c r="B259" s="35" t="str">
        <x:v>Collections</x:v>
      </x:c>
      <x:c r="C259" s="35" t="str">
        <x:v>Round1</x:v>
      </x:c>
      <x:c r="D259" s="35" t="str">
        <x:v>Collections_1</x:v>
      </x:c>
      <x:c r="E259" s="35" t="str">
        <x:v>Line</x:v>
      </x:c>
      <x:c r="F259" s="35" t="n">
        <x:v>491</x:v>
      </x:c>
      <x:c r="G259" s="35" t="str">
        <x:v>RECORDED</x:v>
      </x:c>
      <x:c r="H259" s="39" t="n">
        <x:f>IF(ISNUMBER('Data'!E259),'Data'!E259*100,"")</x:f>
        <x:v>29.74</x:v>
      </x:c>
      <x:c r="I259" s="35" t="str">
        <x:v>PASS</x:v>
      </x:c>
      <x:c r="J259" s="35" t="str">
        <x:v>PASS</x:v>
      </x:c>
      <x:c r="K259" s="35" t="str">
        <x:v>PASS</x:v>
      </x:c>
      <x:c r="L259" s="35" t="str">
        <x:v>FAIL</x:v>
      </x:c>
      <x:c r="M259" s="35" t="str">
        <x:v>numeric coverage for applicable metric</x:v>
      </x:c>
      <x:c r="N259" s="35" t="str">
        <x:v>Gemini-3.8-flash/Result/Collections_1/result.json</x:v>
      </x:c>
      <x:c r="O259" s="39" t="n">
        <x:f>IF(AND(G259="RECORDED",ISNUMBER(H259)),H259,"")</x:f>
        <x:v>29.74</x:v>
      </x:c>
      <x:c r="P259" s="35" t="str">
        <x:v>INCONCLUSIVE</x:v>
      </x:c>
      <x:c r="Q259" s="35" t="str">
        <x:v>Gemini-3.8-flash/Result/Collections_1/result.json</x:v>
      </x:c>
    </x:row>
    <x:row r="260">
      <x:c r="A260" s="35" t="str">
        <x:v>gemini</x:v>
      </x:c>
      <x:c r="B260" s="35" t="str">
        <x:v>Collections</x:v>
      </x:c>
      <x:c r="C260" s="35" t="str">
        <x:v>Round1</x:v>
      </x:c>
      <x:c r="D260" s="35" t="str">
        <x:v>Collections_10</x:v>
      </x:c>
      <x:c r="E260" s="35" t="str">
        <x:v>Line</x:v>
      </x:c>
      <x:c r="F260" s="35" t="n">
        <x:v>119</x:v>
      </x:c>
      <x:c r="G260" s="35" t="str">
        <x:v>RECORDED</x:v>
      </x:c>
      <x:c r="H260" s="39" t="n">
        <x:f>IF(ISNUMBER('Data'!E260),'Data'!E260*100,"")</x:f>
        <x:v>52.94</x:v>
      </x:c>
      <x:c r="I260" s="35" t="str">
        <x:v>PASS</x:v>
      </x:c>
      <x:c r="J260" s="35" t="str">
        <x:v>PASS</x:v>
      </x:c>
      <x:c r="K260" s="35" t="str">
        <x:v>PASS</x:v>
      </x:c>
      <x:c r="L260" s="35" t="str">
        <x:v>FAIL</x:v>
      </x:c>
      <x:c r="M260" s="35" t="str">
        <x:v>numeric coverage for applicable metric</x:v>
      </x:c>
      <x:c r="N260" s="35" t="str">
        <x:v>Gemini-3.8-flash/Result/Collections_10/result.json</x:v>
      </x:c>
      <x:c r="O260" s="39" t="n">
        <x:f>IF(AND(G260="RECORDED",ISNUMBER(H260)),H260,"")</x:f>
        <x:v>52.94</x:v>
      </x:c>
      <x:c r="P260" s="35" t="str">
        <x:v>INCONCLUSIVE</x:v>
      </x:c>
      <x:c r="Q260" s="35" t="str">
        <x:v>Gemini-3.8-flash/Result/Collections_10/result.json</x:v>
      </x:c>
    </x:row>
    <x:row r="261">
      <x:c r="A261" s="35" t="str">
        <x:v>gemini</x:v>
      </x:c>
      <x:c r="B261" s="35" t="str">
        <x:v>Collections</x:v>
      </x:c>
      <x:c r="C261" s="35" t="str">
        <x:v>Round1</x:v>
      </x:c>
      <x:c r="D261" s="35" t="str">
        <x:v>Collections_11</x:v>
      </x:c>
      <x:c r="E261" s="35" t="str">
        <x:v>Line</x:v>
      </x:c>
      <x:c r="F261" s="35" t="n">
        <x:v>35</x:v>
      </x:c>
      <x:c r="G261" s="35" t="str">
        <x:v>RECORDED</x:v>
      </x:c>
      <x:c r="H261" s="39" t="n">
        <x:f>IF(ISNUMBER('Data'!E261),'Data'!E261*100,"")</x:f>
        <x:v>91.43</x:v>
      </x:c>
      <x:c r="I261" s="35" t="str">
        <x:v>PASS</x:v>
      </x:c>
      <x:c r="J261" s="35" t="str">
        <x:v>PASS</x:v>
      </x:c>
      <x:c r="K261" s="35" t="str">
        <x:v>PASS</x:v>
      </x:c>
      <x:c r="L261" s="35" t="str">
        <x:v>PASS</x:v>
      </x:c>
      <x:c r="M261" s="35" t="str">
        <x:v>numeric coverage for applicable metric</x:v>
      </x:c>
      <x:c r="N261" s="35" t="str">
        <x:v>Gemini-3.8-flash/Result/Collections_11/result.json</x:v>
      </x:c>
      <x:c r="O261" s="39" t="n">
        <x:f>IF(AND(G261="RECORDED",ISNUMBER(H261)),H261,"")</x:f>
        <x:v>91.43</x:v>
      </x:c>
      <x:c r="P261" s="35" t="str">
        <x:v>NOT_REVEALING</x:v>
      </x:c>
      <x:c r="Q261" s="35" t="str">
        <x:v>Gemini-3.8-flash/Result/Collections_11/result.json</x:v>
      </x:c>
    </x:row>
    <x:row r="262">
      <x:c r="A262" s="35" t="str">
        <x:v>gemini</x:v>
      </x:c>
      <x:c r="B262" s="35" t="str">
        <x:v>Collections</x:v>
      </x:c>
      <x:c r="C262" s="35" t="str">
        <x:v>Round1</x:v>
      </x:c>
      <x:c r="D262" s="35" t="str">
        <x:v>Collections_12</x:v>
      </x:c>
      <x:c r="E262" s="35" t="str">
        <x:v>Line</x:v>
      </x:c>
      <x:c r="F262" s="35" t="n">
        <x:v>489</x:v>
      </x:c>
      <x:c r="G262" s="35" t="str">
        <x:v>RECORDED</x:v>
      </x:c>
      <x:c r="H262" s="39" t="n">
        <x:f>IF(ISNUMBER('Data'!E262),'Data'!E262*100,"")</x:f>
        <x:v>38.24</x:v>
      </x:c>
      <x:c r="I262" s="35" t="str">
        <x:v>PASS</x:v>
      </x:c>
      <x:c r="J262" s="35" t="str">
        <x:v>PASS</x:v>
      </x:c>
      <x:c r="K262" s="35" t="str">
        <x:v>PASS</x:v>
      </x:c>
      <x:c r="L262" s="35" t="str">
        <x:v>PASS</x:v>
      </x:c>
      <x:c r="M262" s="35" t="str">
        <x:v>numeric coverage for applicable metric</x:v>
      </x:c>
      <x:c r="N262" s="35" t="str">
        <x:v>Gemini-3.8-flash/Result/Collections_12/result.json</x:v>
      </x:c>
      <x:c r="O262" s="39" t="n">
        <x:f>IF(AND(G262="RECORDED",ISNUMBER(H262)),H262,"")</x:f>
        <x:v>38.24</x:v>
      </x:c>
      <x:c r="P262" s="35" t="str">
        <x:v>NOT_REVEALING</x:v>
      </x:c>
      <x:c r="Q262" s="35" t="str">
        <x:v>Gemini-3.8-flash/Result/Collections_12/result.json</x:v>
      </x:c>
    </x:row>
    <x:row r="263">
      <x:c r="A263" s="35" t="str">
        <x:v>gemini</x:v>
      </x:c>
      <x:c r="B263" s="35" t="str">
        <x:v>Collections</x:v>
      </x:c>
      <x:c r="C263" s="35" t="str">
        <x:v>Round1</x:v>
      </x:c>
      <x:c r="D263" s="35" t="str">
        <x:v>Collections_13</x:v>
      </x:c>
      <x:c r="E263" s="35" t="str">
        <x:v>Line</x:v>
      </x:c>
      <x:c r="F263" s="35" t="n">
        <x:v>490</x:v>
      </x:c>
      <x:c r="G263" s="35" t="str">
        <x:v>RECORDED</x:v>
      </x:c>
      <x:c r="H263" s="39" t="n">
        <x:f>IF(ISNUMBER('Data'!E263),'Data'!E263*100,"")</x:f>
        <x:v>38.37</x:v>
      </x:c>
      <x:c r="I263" s="35" t="str">
        <x:v>PASS</x:v>
      </x:c>
      <x:c r="J263" s="35" t="str">
        <x:v>PASS</x:v>
      </x:c>
      <x:c r="K263" s="35" t="str">
        <x:v>PASS</x:v>
      </x:c>
      <x:c r="L263" s="35" t="str">
        <x:v>PASS</x:v>
      </x:c>
      <x:c r="M263" s="35" t="str">
        <x:v>numeric coverage for applicable metric</x:v>
      </x:c>
      <x:c r="N263" s="35" t="str">
        <x:v>Gemini-3.8-flash/Result/Collections_13/result.json</x:v>
      </x:c>
      <x:c r="O263" s="39" t="n">
        <x:f>IF(AND(G263="RECORDED",ISNUMBER(H263)),H263,"")</x:f>
        <x:v>38.37</x:v>
      </x:c>
      <x:c r="P263" s="35" t="str">
        <x:v>NOT_REVEALING</x:v>
      </x:c>
      <x:c r="Q263" s="35" t="str">
        <x:v>Gemini-3.8-flash/Result/Collections_13/result.json</x:v>
      </x:c>
    </x:row>
    <x:row r="264">
      <x:c r="A264" s="35" t="str">
        <x:v>gemini</x:v>
      </x:c>
      <x:c r="B264" s="35" t="str">
        <x:v>Collections</x:v>
      </x:c>
      <x:c r="C264" s="35" t="str">
        <x:v>Round1</x:v>
      </x:c>
      <x:c r="D264" s="35" t="str">
        <x:v>Collections_14</x:v>
      </x:c>
      <x:c r="E264" s="35" t="str">
        <x:v>Line</x:v>
      </x:c>
      <x:c r="F264" s="35" t="n">
        <x:v>18</x:v>
      </x:c>
      <x:c r="G264" s="35" t="str">
        <x:v>RECORDED</x:v>
      </x:c>
      <x:c r="H264" s="39" t="n">
        <x:f>IF(ISNUMBER('Data'!E264),'Data'!E264*100,"")</x:f>
        <x:v>100</x:v>
      </x:c>
      <x:c r="I264" s="35" t="str">
        <x:v>PASS</x:v>
      </x:c>
      <x:c r="J264" s="35" t="str">
        <x:v>PASS</x:v>
      </x:c>
      <x:c r="K264" s="35" t="str">
        <x:v>PASS</x:v>
      </x:c>
      <x:c r="L264" s="35" t="str">
        <x:v>FAIL</x:v>
      </x:c>
      <x:c r="M264" s="35" t="str">
        <x:v>numeric coverage for applicable metric</x:v>
      </x:c>
      <x:c r="N264" s="35" t="str">
        <x:v>Gemini-3.8-flash/Result/Collections_14/result.json</x:v>
      </x:c>
      <x:c r="O264" s="39" t="n">
        <x:f>IF(AND(G264="RECORDED",ISNUMBER(H264)),H264,"")</x:f>
        <x:v>100</x:v>
      </x:c>
      <x:c r="P264" s="35" t="str">
        <x:v>INCONCLUSIVE</x:v>
      </x:c>
      <x:c r="Q264" s="35" t="str">
        <x:v>Gemini-3.8-flash/Result/Collections_14/result.json</x:v>
      </x:c>
    </x:row>
    <x:row r="265">
      <x:c r="A265" s="35" t="str">
        <x:v>gemini</x:v>
      </x:c>
      <x:c r="B265" s="35" t="str">
        <x:v>Collections</x:v>
      </x:c>
      <x:c r="C265" s="35" t="str">
        <x:v>Round1</x:v>
      </x:c>
      <x:c r="D265" s="35" t="str">
        <x:v>Collections_15</x:v>
      </x:c>
      <x:c r="E265" s="35" t="str">
        <x:v>Line</x:v>
      </x:c>
      <x:c r="F265" s="35" t="n">
        <x:v>86</x:v>
      </x:c>
      <x:c r="G265" s="35" t="str">
        <x:v>RECORDED</x:v>
      </x:c>
      <x:c r="H265" s="39" t="n">
        <x:f>IF(ISNUMBER('Data'!E265),'Data'!E265*100,"")</x:f>
        <x:v>100</x:v>
      </x:c>
      <x:c r="I265" s="35" t="str">
        <x:v>PASS</x:v>
      </x:c>
      <x:c r="J265" s="35" t="str">
        <x:v>PASS</x:v>
      </x:c>
      <x:c r="K265" s="35" t="str">
        <x:v>PASS</x:v>
      </x:c>
      <x:c r="L265" s="35" t="str">
        <x:v>FAIL</x:v>
      </x:c>
      <x:c r="M265" s="35" t="str">
        <x:v>numeric coverage for applicable metric</x:v>
      </x:c>
      <x:c r="N265" s="35" t="str">
        <x:v>Gemini-3.8-flash/Result/Collections_15/result.json</x:v>
      </x:c>
      <x:c r="O265" s="39" t="n">
        <x:f>IF(AND(G265="RECORDED",ISNUMBER(H265)),H265,"")</x:f>
        <x:v>100</x:v>
      </x:c>
      <x:c r="P265" s="35" t="str">
        <x:v>REVEALING</x:v>
      </x:c>
      <x:c r="Q265" s="35" t="str">
        <x:v>Gemini-3.8-flash/Result/Collections_15/result.json</x:v>
      </x:c>
    </x:row>
    <x:row r="266">
      <x:c r="A266" s="35" t="str">
        <x:v>gemini</x:v>
      </x:c>
      <x:c r="B266" s="35" t="str">
        <x:v>Collections</x:v>
      </x:c>
      <x:c r="C266" s="35" t="str">
        <x:v>Round1</x:v>
      </x:c>
      <x:c r="D266" s="35" t="str">
        <x:v>Collections_16</x:v>
      </x:c>
      <x:c r="E266" s="35" t="str">
        <x:v>Line</x:v>
      </x:c>
      <x:c r="F266" s="35" t="n">
        <x:v>86</x:v>
      </x:c>
      <x:c r="G266" s="35" t="str">
        <x:v>RECORDED</x:v>
      </x:c>
      <x:c r="H266" s="39" t="n">
        <x:f>IF(ISNUMBER('Data'!E266),'Data'!E266*100,"")</x:f>
        <x:v>100</x:v>
      </x:c>
      <x:c r="I266" s="35" t="str">
        <x:v>PASS</x:v>
      </x:c>
      <x:c r="J266" s="35" t="str">
        <x:v>PASS</x:v>
      </x:c>
      <x:c r="K266" s="35" t="str">
        <x:v>PASS</x:v>
      </x:c>
      <x:c r="L266" s="35" t="str">
        <x:v>PASS</x:v>
      </x:c>
      <x:c r="M266" s="35" t="str">
        <x:v>numeric coverage for applicable metric</x:v>
      </x:c>
      <x:c r="N266" s="35" t="str">
        <x:v>Gemini-3.8-flash/Result/Collections_16/result.json</x:v>
      </x:c>
      <x:c r="O266" s="39" t="n">
        <x:f>IF(AND(G266="RECORDED",ISNUMBER(H266)),H266,"")</x:f>
        <x:v>100</x:v>
      </x:c>
      <x:c r="P266" s="35" t="str">
        <x:v>INCONCLUSIVE</x:v>
      </x:c>
      <x:c r="Q266" s="35" t="str">
        <x:v>Gemini-3.8-flash/Result/Collections_16/result.json</x:v>
      </x:c>
    </x:row>
    <x:row r="267">
      <x:c r="A267" s="35" t="str">
        <x:v>gemini</x:v>
      </x:c>
      <x:c r="B267" s="35" t="str">
        <x:v>Collections</x:v>
      </x:c>
      <x:c r="C267" s="35" t="str">
        <x:v>Round1</x:v>
      </x:c>
      <x:c r="D267" s="35" t="str">
        <x:v>Collections_17</x:v>
      </x:c>
      <x:c r="E267" s="35" t="str">
        <x:v>Line</x:v>
      </x:c>
      <x:c r="F267" s="35" t="n">
        <x:v>14</x:v>
      </x:c>
      <x:c r="G267" s="35" t="str">
        <x:v>RECORDED</x:v>
      </x:c>
      <x:c r="H267" s="39" t="n">
        <x:f>IF(ISNUMBER('Data'!E267),'Data'!E267*100,"")</x:f>
        <x:v>100</x:v>
      </x:c>
      <x:c r="I267" s="35" t="str">
        <x:v>PASS</x:v>
      </x:c>
      <x:c r="J267" s="35" t="str">
        <x:v>PASS</x:v>
      </x:c>
      <x:c r="K267" s="35" t="str">
        <x:v>PASS</x:v>
      </x:c>
      <x:c r="L267" s="35" t="str">
        <x:v>FAIL</x:v>
      </x:c>
      <x:c r="M267" s="35" t="str">
        <x:v>numeric coverage for applicable metric</x:v>
      </x:c>
      <x:c r="N267" s="35" t="str">
        <x:v>Gemini-3.8-flash/Result/Collections_17/result.json</x:v>
      </x:c>
      <x:c r="O267" s="39" t="n">
        <x:f>IF(AND(G267="RECORDED",ISNUMBER(H267)),H267,"")</x:f>
        <x:v>100</x:v>
      </x:c>
      <x:c r="P267" s="35" t="str">
        <x:v>INCONCLUSIVE</x:v>
      </x:c>
      <x:c r="Q267" s="35" t="str">
        <x:v>Gemini-3.8-flash/Result/Collections_17/result.json</x:v>
      </x:c>
    </x:row>
    <x:row r="268">
      <x:c r="A268" s="35" t="str">
        <x:v>gemini</x:v>
      </x:c>
      <x:c r="B268" s="35" t="str">
        <x:v>Collections</x:v>
      </x:c>
      <x:c r="C268" s="35" t="str">
        <x:v>Round1</x:v>
      </x:c>
      <x:c r="D268" s="35" t="str">
        <x:v>Collections_18</x:v>
      </x:c>
      <x:c r="E268" s="35" t="str">
        <x:v>Line</x:v>
      </x:c>
      <x:c r="F268" s="35" t="n">
        <x:v>93</x:v>
      </x:c>
      <x:c r="G268" s="35" t="str">
        <x:v>RECORDED</x:v>
      </x:c>
      <x:c r="H268" s="39" t="n">
        <x:f>IF(ISNUMBER('Data'!E268),'Data'!E268*100,"")</x:f>
        <x:v>98.92</x:v>
      </x:c>
      <x:c r="I268" s="35" t="str">
        <x:v>PASS</x:v>
      </x:c>
      <x:c r="J268" s="35" t="str">
        <x:v>PASS</x:v>
      </x:c>
      <x:c r="K268" s="35" t="str">
        <x:v>PASS</x:v>
      </x:c>
      <x:c r="L268" s="35" t="str">
        <x:v>FAIL</x:v>
      </x:c>
      <x:c r="M268" s="35" t="str">
        <x:v>numeric coverage for applicable metric</x:v>
      </x:c>
      <x:c r="N268" s="35" t="str">
        <x:v>Gemini-3.8-flash/Result/Collections_18/result.json</x:v>
      </x:c>
      <x:c r="O268" s="39" t="n">
        <x:f>IF(AND(G268="RECORDED",ISNUMBER(H268)),H268,"")</x:f>
        <x:v>98.92</x:v>
      </x:c>
      <x:c r="P268" s="35" t="str">
        <x:v>INCONCLUSIVE</x:v>
      </x:c>
      <x:c r="Q268" s="35" t="str">
        <x:v>Gemini-3.8-flash/Result/Collections_18/result.json</x:v>
      </x:c>
    </x:row>
    <x:row r="269">
      <x:c r="A269" s="35" t="str">
        <x:v>gemini</x:v>
      </x:c>
      <x:c r="B269" s="35" t="str">
        <x:v>Collections</x:v>
      </x:c>
      <x:c r="C269" s="35" t="str">
        <x:v>Round1</x:v>
      </x:c>
      <x:c r="D269" s="35" t="str">
        <x:v>Collections_19</x:v>
      </x:c>
      <x:c r="E269" s="35" t="str">
        <x:v>Line</x:v>
      </x:c>
      <x:c r="F269" s="35" t="n">
        <x:v>109</x:v>
      </x:c>
      <x:c r="G269" s="35" t="str">
        <x:v>RECORDED</x:v>
      </x:c>
      <x:c r="H269" s="39" t="n">
        <x:f>IF(ISNUMBER('Data'!E269),'Data'!E269*100,"")</x:f>
        <x:v>100</x:v>
      </x:c>
      <x:c r="I269" s="35" t="str">
        <x:v>PASS</x:v>
      </x:c>
      <x:c r="J269" s="35" t="str">
        <x:v>PASS</x:v>
      </x:c>
      <x:c r="K269" s="35" t="str">
        <x:v>PASS</x:v>
      </x:c>
      <x:c r="L269" s="35" t="str">
        <x:v>PASS</x:v>
      </x:c>
      <x:c r="M269" s="35" t="str">
        <x:v>numeric coverage for applicable metric</x:v>
      </x:c>
      <x:c r="N269" s="35" t="str">
        <x:v>Gemini-3.8-flash/Result/Collections_19/result.json</x:v>
      </x:c>
      <x:c r="O269" s="39" t="n">
        <x:f>IF(AND(G269="RECORDED",ISNUMBER(H269)),H269,"")</x:f>
        <x:v>100</x:v>
      </x:c>
      <x:c r="P269" s="35" t="str">
        <x:v>NOT_REVEALING</x:v>
      </x:c>
      <x:c r="Q269" s="35" t="str">
        <x:v>Gemini-3.8-flash/Result/Collections_19/result.json</x:v>
      </x:c>
    </x:row>
    <x:row r="270">
      <x:c r="A270" s="35" t="str">
        <x:v>gemini</x:v>
      </x:c>
      <x:c r="B270" s="35" t="str">
        <x:v>Collections</x:v>
      </x:c>
      <x:c r="C270" s="35" t="str">
        <x:v>Round1</x:v>
      </x:c>
      <x:c r="D270" s="35" t="str">
        <x:v>Collections_2</x:v>
      </x:c>
      <x:c r="E270" s="35" t="str">
        <x:v>Line</x:v>
      </x:c>
      <x:c r="F270" s="35" t="n">
        <x:v>465</x:v>
      </x:c>
      <x:c r="G270" s="35" t="str">
        <x:v>RECORDED</x:v>
      </x:c>
      <x:c r="H270" s="39" t="n">
        <x:f>IF(ISNUMBER('Data'!E270),'Data'!E270*100,"")</x:f>
        <x:v>39.78</x:v>
      </x:c>
      <x:c r="I270" s="35" t="str">
        <x:v>PASS</x:v>
      </x:c>
      <x:c r="J270" s="35" t="str">
        <x:v>PASS</x:v>
      </x:c>
      <x:c r="K270" s="35" t="str">
        <x:v>PASS</x:v>
      </x:c>
      <x:c r="L270" s="35" t="str">
        <x:v>PASS</x:v>
      </x:c>
      <x:c r="M270" s="35" t="str">
        <x:v>numeric coverage for applicable metric</x:v>
      </x:c>
      <x:c r="N270" s="35" t="str">
        <x:v>Gemini-3.8-flash/Result/Collections_2/result.json</x:v>
      </x:c>
      <x:c r="O270" s="39" t="n">
        <x:f>IF(AND(G270="RECORDED",ISNUMBER(H270)),H270,"")</x:f>
        <x:v>39.78</x:v>
      </x:c>
      <x:c r="P270" s="35" t="str">
        <x:v>NOT_REVEALING</x:v>
      </x:c>
      <x:c r="Q270" s="35" t="str">
        <x:v>Gemini-3.8-flash/Result/Collections_2/result.json</x:v>
      </x:c>
    </x:row>
    <x:row r="271">
      <x:c r="A271" s="35" t="str">
        <x:v>gemini</x:v>
      </x:c>
      <x:c r="B271" s="35" t="str">
        <x:v>Collections</x:v>
      </x:c>
      <x:c r="C271" s="35" t="str">
        <x:v>Round1</x:v>
      </x:c>
      <x:c r="D271" s="35" t="str">
        <x:v>Collections_20</x:v>
      </x:c>
      <x:c r="E271" s="35" t="str">
        <x:v>Line</x:v>
      </x:c>
      <x:c r="F271" s="35" t="n">
        <x:v>293</x:v>
      </x:c>
      <x:c r="G271" s="35" t="str">
        <x:v>RECORDED</x:v>
      </x:c>
      <x:c r="H271" s="39" t="n">
        <x:f>IF(ISNUMBER('Data'!E271),'Data'!E271*100,"")</x:f>
        <x:v>91.81</x:v>
      </x:c>
      <x:c r="I271" s="35" t="str">
        <x:v>PASS</x:v>
      </x:c>
      <x:c r="J271" s="35" t="str">
        <x:v>PASS</x:v>
      </x:c>
      <x:c r="K271" s="35" t="str">
        <x:v>PASS</x:v>
      </x:c>
      <x:c r="L271" s="35" t="str">
        <x:v>FAIL</x:v>
      </x:c>
      <x:c r="M271" s="35" t="str">
        <x:v>numeric coverage for applicable metric</x:v>
      </x:c>
      <x:c r="N271" s="35" t="str">
        <x:v>Gemini-3.8-flash/Result/Collections_20/result.json</x:v>
      </x:c>
      <x:c r="O271" s="39" t="n">
        <x:f>IF(AND(G271="RECORDED",ISNUMBER(H271)),H271,"")</x:f>
        <x:v>91.81</x:v>
      </x:c>
      <x:c r="P271" s="35" t="str">
        <x:v>INCONCLUSIVE</x:v>
      </x:c>
      <x:c r="Q271" s="35" t="str">
        <x:v>Gemini-3.8-flash/Result/Collections_20/result.json</x:v>
      </x:c>
    </x:row>
    <x:row r="272">
      <x:c r="A272" s="35" t="str">
        <x:v>gemini</x:v>
      </x:c>
      <x:c r="B272" s="35" t="str">
        <x:v>Collections</x:v>
      </x:c>
      <x:c r="C272" s="35" t="str">
        <x:v>Round1</x:v>
      </x:c>
      <x:c r="D272" s="35" t="str">
        <x:v>Collections_21</x:v>
      </x:c>
      <x:c r="E272" s="35" t="str">
        <x:v>Line</x:v>
      </x:c>
      <x:c r="F272" s="35" t="n">
        <x:v>109</x:v>
      </x:c>
      <x:c r="G272" s="35" t="str">
        <x:v>RECORDED</x:v>
      </x:c>
      <x:c r="H272" s="39" t="n">
        <x:f>IF(ISNUMBER('Data'!E272),'Data'!E272*100,"")</x:f>
        <x:v>100</x:v>
      </x:c>
      <x:c r="I272" s="35" t="str">
        <x:v>PASS</x:v>
      </x:c>
      <x:c r="J272" s="35" t="str">
        <x:v>PASS</x:v>
      </x:c>
      <x:c r="K272" s="35" t="str">
        <x:v>PASS</x:v>
      </x:c>
      <x:c r="L272" s="35" t="str">
        <x:v>FAIL</x:v>
      </x:c>
      <x:c r="M272" s="35" t="str">
        <x:v>numeric coverage for applicable metric</x:v>
      </x:c>
      <x:c r="N272" s="35" t="str">
        <x:v>Gemini-3.8-flash/Result/Collections_21/result.json</x:v>
      </x:c>
      <x:c r="O272" s="39" t="n">
        <x:f>IF(AND(G272="RECORDED",ISNUMBER(H272)),H272,"")</x:f>
        <x:v>100</x:v>
      </x:c>
      <x:c r="P272" s="35" t="str">
        <x:v>INCONCLUSIVE</x:v>
      </x:c>
      <x:c r="Q272" s="35" t="str">
        <x:v>Gemini-3.8-flash/Result/Collections_21/result.json</x:v>
      </x:c>
    </x:row>
    <x:row r="273">
      <x:c r="A273" s="35" t="str">
        <x:v>gemini</x:v>
      </x:c>
      <x:c r="B273" s="35" t="str">
        <x:v>Collections</x:v>
      </x:c>
      <x:c r="C273" s="35" t="str">
        <x:v>Round1</x:v>
      </x:c>
      <x:c r="D273" s="35" t="str">
        <x:v>Collections_22</x:v>
      </x:c>
      <x:c r="E273" s="35" t="str">
        <x:v>Line</x:v>
      </x:c>
      <x:c r="F273" s="35"/>
      <x:c r="G273" s="35" t="str">
        <x:v>A</x:v>
      </x:c>
      <x:c r="H273" s="39" t="str">
        <x:f>IF(ISNUMBER('Data'!E273),'Data'!E273*100,"")</x:f>
      </x:c>
      <x:c r="I273" s="35"/>
      <x:c r="J273" s="35" t="str">
        <x:v>PASS</x:v>
      </x:c>
      <x:c r="K273" s="35" t="str">
        <x:v>FAIL</x:v>
      </x:c>
      <x:c r="L273" s="35" t="str">
        <x:v>NOT_RUN</x:v>
      </x:c>
      <x:c r="M273" s="35" t="str">
        <x:v>coverage unavailable or execution/compile failed</x:v>
      </x:c>
      <x:c r="N273" s="35" t="str">
        <x:v>Gemini-3.8-flash/Result/Collections_22/result.json</x:v>
      </x:c>
      <x:c r="O273" s="39" t="str">
        <x:f>IF(AND(G273="RECORDED",ISNUMBER(H273)),H273,"")</x:f>
      </x:c>
      <x:c r="P273" s="35" t="str">
        <x:v>NOT_AVAILABLE</x:v>
      </x:c>
      <x:c r="Q273" s="35" t="str">
        <x:v>Gemini-3.8-flash/Result/Collections_22/result.json</x:v>
      </x:c>
    </x:row>
    <x:row r="274">
      <x:c r="A274" s="35" t="str">
        <x:v>gemini</x:v>
      </x:c>
      <x:c r="B274" s="35" t="str">
        <x:v>Collections</x:v>
      </x:c>
      <x:c r="C274" s="35" t="str">
        <x:v>Round1</x:v>
      </x:c>
      <x:c r="D274" s="35" t="str">
        <x:v>Collections_23</x:v>
      </x:c>
      <x:c r="E274" s="35" t="str">
        <x:v>Line</x:v>
      </x:c>
      <x:c r="F274" s="35" t="n">
        <x:v>34</x:v>
      </x:c>
      <x:c r="G274" s="35" t="str">
        <x:v>RECORDED</x:v>
      </x:c>
      <x:c r="H274" s="39" t="n">
        <x:f>IF(ISNUMBER('Data'!E274),'Data'!E274*100,"")</x:f>
        <x:v>97.06</x:v>
      </x:c>
      <x:c r="I274" s="35" t="str">
        <x:v>PASS</x:v>
      </x:c>
      <x:c r="J274" s="35" t="str">
        <x:v>PASS</x:v>
      </x:c>
      <x:c r="K274" s="35" t="str">
        <x:v>PASS</x:v>
      </x:c>
      <x:c r="L274" s="35" t="str">
        <x:v>FAIL</x:v>
      </x:c>
      <x:c r="M274" s="35" t="str">
        <x:v>numeric coverage for applicable metric</x:v>
      </x:c>
      <x:c r="N274" s="35" t="str">
        <x:v>Gemini-3.8-flash/Result/Collections_23/result.json</x:v>
      </x:c>
      <x:c r="O274" s="39" t="n">
        <x:f>IF(AND(G274="RECORDED",ISNUMBER(H274)),H274,"")</x:f>
        <x:v>97.06</x:v>
      </x:c>
      <x:c r="P274" s="35" t="str">
        <x:v>INCONCLUSIVE</x:v>
      </x:c>
      <x:c r="Q274" s="35" t="str">
        <x:v>Gemini-3.8-flash/Result/Collections_23/result.json</x:v>
      </x:c>
    </x:row>
    <x:row r="275">
      <x:c r="A275" s="35" t="str">
        <x:v>gemini</x:v>
      </x:c>
      <x:c r="B275" s="35" t="str">
        <x:v>Collections</x:v>
      </x:c>
      <x:c r="C275" s="35" t="str">
        <x:v>Round1</x:v>
      </x:c>
      <x:c r="D275" s="35" t="str">
        <x:v>Collections_24</x:v>
      </x:c>
      <x:c r="E275" s="35" t="str">
        <x:v>Line</x:v>
      </x:c>
      <x:c r="F275" s="35" t="n">
        <x:v>26</x:v>
      </x:c>
      <x:c r="G275" s="35" t="str">
        <x:v>RECORDED</x:v>
      </x:c>
      <x:c r="H275" s="39" t="n">
        <x:f>IF(ISNUMBER('Data'!E275),'Data'!E275*100,"")</x:f>
        <x:v>100</x:v>
      </x:c>
      <x:c r="I275" s="35" t="str">
        <x:v>PASS</x:v>
      </x:c>
      <x:c r="J275" s="35" t="str">
        <x:v>PASS</x:v>
      </x:c>
      <x:c r="K275" s="35" t="str">
        <x:v>PASS</x:v>
      </x:c>
      <x:c r="L275" s="35" t="str">
        <x:v>PASS</x:v>
      </x:c>
      <x:c r="M275" s="35" t="str">
        <x:v>numeric coverage for applicable metric</x:v>
      </x:c>
      <x:c r="N275" s="35" t="str">
        <x:v>Gemini-3.8-flash/Result/Collections_24/result.json</x:v>
      </x:c>
      <x:c r="O275" s="39" t="n">
        <x:f>IF(AND(G275="RECORDED",ISNUMBER(H275)),H275,"")</x:f>
        <x:v>100</x:v>
      </x:c>
      <x:c r="P275" s="35" t="str">
        <x:v>NOT_REVEALING</x:v>
      </x:c>
      <x:c r="Q275" s="35" t="str">
        <x:v>Gemini-3.8-flash/Result/Collections_24/result.json</x:v>
      </x:c>
    </x:row>
    <x:row r="276">
      <x:c r="A276" s="35" t="str">
        <x:v>gemini</x:v>
      </x:c>
      <x:c r="B276" s="35" t="str">
        <x:v>Collections</x:v>
      </x:c>
      <x:c r="C276" s="35" t="str">
        <x:v>Round1</x:v>
      </x:c>
      <x:c r="D276" s="35" t="str">
        <x:v>Collections_25</x:v>
      </x:c>
      <x:c r="E276" s="35" t="str">
        <x:v>Line</x:v>
      </x:c>
      <x:c r="F276" s="35"/>
      <x:c r="G276" s="35" t="str">
        <x:v>A</x:v>
      </x:c>
      <x:c r="H276" s="39" t="str">
        <x:f>IF(ISNUMBER('Data'!E276),'Data'!E276*100,"")</x:f>
      </x:c>
      <x:c r="I276" s="35"/>
      <x:c r="J276" s="35" t="str">
        <x:v>PASS</x:v>
      </x:c>
      <x:c r="K276" s="35" t="str">
        <x:v>FAIL</x:v>
      </x:c>
      <x:c r="L276" s="35" t="str">
        <x:v>NOT_RUN</x:v>
      </x:c>
      <x:c r="M276" s="35" t="str">
        <x:v>coverage unavailable or execution/compile failed</x:v>
      </x:c>
      <x:c r="N276" s="35" t="str">
        <x:v>Gemini-3.8-flash/Result/Collections_25/result.json</x:v>
      </x:c>
      <x:c r="O276" s="39" t="str">
        <x:f>IF(AND(G276="RECORDED",ISNUMBER(H276)),H276,"")</x:f>
      </x:c>
      <x:c r="P276" s="35" t="str">
        <x:v>NOT_AVAILABLE</x:v>
      </x:c>
      <x:c r="Q276" s="35" t="str">
        <x:v>Gemini-3.8-flash/Result/Collections_25/result.json</x:v>
      </x:c>
    </x:row>
    <x:row r="277">
      <x:c r="A277" s="35" t="str">
        <x:v>gemini</x:v>
      </x:c>
      <x:c r="B277" s="35" t="str">
        <x:v>Collections</x:v>
      </x:c>
      <x:c r="C277" s="35" t="str">
        <x:v>Round1</x:v>
      </x:c>
      <x:c r="D277" s="35" t="str">
        <x:v>Collections_26</x:v>
      </x:c>
      <x:c r="E277" s="35" t="str">
        <x:v>Line</x:v>
      </x:c>
      <x:c r="F277" s="35" t="n">
        <x:v>37</x:v>
      </x:c>
      <x:c r="G277" s="35" t="str">
        <x:v>RECORDED</x:v>
      </x:c>
      <x:c r="H277" s="39" t="n">
        <x:f>IF(ISNUMBER('Data'!E277),'Data'!E277*100,"")</x:f>
        <x:v>86.49</x:v>
      </x:c>
      <x:c r="I277" s="35" t="str">
        <x:v>PASS</x:v>
      </x:c>
      <x:c r="J277" s="35" t="str">
        <x:v>PASS</x:v>
      </x:c>
      <x:c r="K277" s="35" t="str">
        <x:v>PASS</x:v>
      </x:c>
      <x:c r="L277" s="35" t="str">
        <x:v>FAIL</x:v>
      </x:c>
      <x:c r="M277" s="35" t="str">
        <x:v>numeric coverage for applicable metric</x:v>
      </x:c>
      <x:c r="N277" s="35" t="str">
        <x:v>Gemini-3.8-flash/Result/Collections_26/result.json</x:v>
      </x:c>
      <x:c r="O277" s="39" t="n">
        <x:f>IF(AND(G277="RECORDED",ISNUMBER(H277)),H277,"")</x:f>
        <x:v>86.49</x:v>
      </x:c>
      <x:c r="P277" s="35" t="str">
        <x:v>INCONCLUSIVE</x:v>
      </x:c>
      <x:c r="Q277" s="35" t="str">
        <x:v>Gemini-3.8-flash/Result/Collections_26/result.json</x:v>
      </x:c>
    </x:row>
    <x:row r="278">
      <x:c r="A278" s="35" t="str">
        <x:v>gemini</x:v>
      </x:c>
      <x:c r="B278" s="35" t="str">
        <x:v>Collections</x:v>
      </x:c>
      <x:c r="C278" s="35" t="str">
        <x:v>Round1</x:v>
      </x:c>
      <x:c r="D278" s="35" t="str">
        <x:v>Collections_27</x:v>
      </x:c>
      <x:c r="E278" s="35" t="str">
        <x:v>Line</x:v>
      </x:c>
      <x:c r="F278" s="35" t="n">
        <x:v>127</x:v>
      </x:c>
      <x:c r="G278" s="35" t="str">
        <x:v>RECORDED</x:v>
      </x:c>
      <x:c r="H278" s="39" t="n">
        <x:f>IF(ISNUMBER('Data'!E278),'Data'!E278*100,"")</x:f>
        <x:v>53.54</x:v>
      </x:c>
      <x:c r="I278" s="35" t="str">
        <x:v>PASS</x:v>
      </x:c>
      <x:c r="J278" s="35" t="str">
        <x:v>PASS</x:v>
      </x:c>
      <x:c r="K278" s="35" t="str">
        <x:v>PASS</x:v>
      </x:c>
      <x:c r="L278" s="35" t="str">
        <x:v>PASS</x:v>
      </x:c>
      <x:c r="M278" s="35" t="str">
        <x:v>numeric coverage for applicable metric</x:v>
      </x:c>
      <x:c r="N278" s="35" t="str">
        <x:v>Gemini-3.8-flash/Result/Collections_27/result.json</x:v>
      </x:c>
      <x:c r="O278" s="39" t="n">
        <x:f>IF(AND(G278="RECORDED",ISNUMBER(H278)),H278,"")</x:f>
        <x:v>53.54</x:v>
      </x:c>
      <x:c r="P278" s="35" t="str">
        <x:v>NOT_REVEALING</x:v>
      </x:c>
      <x:c r="Q278" s="35" t="str">
        <x:v>Gemini-3.8-flash/Result/Collections_27/result.json</x:v>
      </x:c>
    </x:row>
    <x:row r="279">
      <x:c r="A279" s="35" t="str">
        <x:v>gemini</x:v>
      </x:c>
      <x:c r="B279" s="35" t="str">
        <x:v>Collections</x:v>
      </x:c>
      <x:c r="C279" s="35" t="str">
        <x:v>Round1</x:v>
      </x:c>
      <x:c r="D279" s="35" t="str">
        <x:v>Collections_28</x:v>
      </x:c>
      <x:c r="E279" s="35" t="str">
        <x:v>Line</x:v>
      </x:c>
      <x:c r="F279" s="35"/>
      <x:c r="G279" s="35" t="str">
        <x:v>A</x:v>
      </x:c>
      <x:c r="H279" s="39" t="str">
        <x:f>IF(ISNUMBER('Data'!E279),'Data'!E279*100,"")</x:f>
      </x:c>
      <x:c r="I279" s="35"/>
      <x:c r="J279" s="35" t="str">
        <x:v>PASS</x:v>
      </x:c>
      <x:c r="K279" s="35" t="str">
        <x:v>FAIL</x:v>
      </x:c>
      <x:c r="L279" s="35" t="str">
        <x:v>NOT_RUN</x:v>
      </x:c>
      <x:c r="M279" s="35" t="str">
        <x:v>coverage unavailable or execution/compile failed</x:v>
      </x:c>
      <x:c r="N279" s="35" t="str">
        <x:v>Gemini-3.8-flash/Result/Collections_28/result.json</x:v>
      </x:c>
      <x:c r="O279" s="39" t="str">
        <x:f>IF(AND(G279="RECORDED",ISNUMBER(H279)),H279,"")</x:f>
      </x:c>
      <x:c r="P279" s="35" t="str">
        <x:v>NOT_AVAILABLE</x:v>
      </x:c>
      <x:c r="Q279" s="35" t="str">
        <x:v>Gemini-3.8-flash/Result/Collections_28/result.json</x:v>
      </x:c>
    </x:row>
    <x:row r="280">
      <x:c r="A280" s="35" t="str">
        <x:v>gemini</x:v>
      </x:c>
      <x:c r="B280" s="35" t="str">
        <x:v>Collections</x:v>
      </x:c>
      <x:c r="C280" s="35" t="str">
        <x:v>Round1</x:v>
      </x:c>
      <x:c r="D280" s="35" t="str">
        <x:v>Collections_3</x:v>
      </x:c>
      <x:c r="E280" s="35" t="str">
        <x:v>Line</x:v>
      </x:c>
      <x:c r="F280" s="35" t="n">
        <x:v>329</x:v>
      </x:c>
      <x:c r="G280" s="35" t="str">
        <x:v>RECORDED</x:v>
      </x:c>
      <x:c r="H280" s="39" t="n">
        <x:f>IF(ISNUMBER('Data'!E280),'Data'!E280*100,"")</x:f>
        <x:v>27.36</x:v>
      </x:c>
      <x:c r="I280" s="35" t="str">
        <x:v>PASS</x:v>
      </x:c>
      <x:c r="J280" s="35" t="str">
        <x:v>PASS</x:v>
      </x:c>
      <x:c r="K280" s="35" t="str">
        <x:v>PASS</x:v>
      </x:c>
      <x:c r="L280" s="35" t="str">
        <x:v>PASS</x:v>
      </x:c>
      <x:c r="M280" s="35" t="str">
        <x:v>numeric coverage for applicable metric</x:v>
      </x:c>
      <x:c r="N280" s="35" t="str">
        <x:v>Gemini-3.8-flash/Result/Collections_3/result.json</x:v>
      </x:c>
      <x:c r="O280" s="39" t="n">
        <x:f>IF(AND(G280="RECORDED",ISNUMBER(H280)),H280,"")</x:f>
        <x:v>27.36</x:v>
      </x:c>
      <x:c r="P280" s="35" t="str">
        <x:v>NOT_REVEALING</x:v>
      </x:c>
      <x:c r="Q280" s="35" t="str">
        <x:v>Gemini-3.8-flash/Result/Collections_3/result.json</x:v>
      </x:c>
    </x:row>
    <x:row r="281">
      <x:c r="A281" s="35" t="str">
        <x:v>gemini</x:v>
      </x:c>
      <x:c r="B281" s="35" t="str">
        <x:v>Collections</x:v>
      </x:c>
      <x:c r="C281" s="35" t="str">
        <x:v>Round1</x:v>
      </x:c>
      <x:c r="D281" s="35" t="str">
        <x:v>Collections_4</x:v>
      </x:c>
      <x:c r="E281" s="35" t="str">
        <x:v>Line</x:v>
      </x:c>
      <x:c r="F281" s="35" t="n">
        <x:v>111</x:v>
      </x:c>
      <x:c r="G281" s="35" t="str">
        <x:v>RECORDED</x:v>
      </x:c>
      <x:c r="H281" s="39" t="n">
        <x:f>IF(ISNUMBER('Data'!E281),'Data'!E281*100,"")</x:f>
        <x:v>55.86</x:v>
      </x:c>
      <x:c r="I281" s="35" t="str">
        <x:v>PASS</x:v>
      </x:c>
      <x:c r="J281" s="35" t="str">
        <x:v>PASS</x:v>
      </x:c>
      <x:c r="K281" s="35" t="str">
        <x:v>PASS</x:v>
      </x:c>
      <x:c r="L281" s="35" t="str">
        <x:v>FAIL</x:v>
      </x:c>
      <x:c r="M281" s="35" t="str">
        <x:v>numeric coverage for applicable metric</x:v>
      </x:c>
      <x:c r="N281" s="35" t="str">
        <x:v>Gemini-3.8-flash/Result/Collections_4/result.json</x:v>
      </x:c>
      <x:c r="O281" s="39" t="n">
        <x:f>IF(AND(G281="RECORDED",ISNUMBER(H281)),H281,"")</x:f>
        <x:v>55.86</x:v>
      </x:c>
      <x:c r="P281" s="35" t="str">
        <x:v>INCONCLUSIVE</x:v>
      </x:c>
      <x:c r="Q281" s="35" t="str">
        <x:v>Gemini-3.8-flash/Result/Collections_4/result.json</x:v>
      </x:c>
    </x:row>
    <x:row r="282">
      <x:c r="A282" s="35" t="str">
        <x:v>gemini</x:v>
      </x:c>
      <x:c r="B282" s="35" t="str">
        <x:v>Collections</x:v>
      </x:c>
      <x:c r="C282" s="35" t="str">
        <x:v>Round1</x:v>
      </x:c>
      <x:c r="D282" s="35" t="str">
        <x:v>Collections_5</x:v>
      </x:c>
      <x:c r="E282" s="35" t="str">
        <x:v>Line</x:v>
      </x:c>
      <x:c r="F282" s="35" t="n">
        <x:v>82</x:v>
      </x:c>
      <x:c r="G282" s="35" t="str">
        <x:v>RECORDED</x:v>
      </x:c>
      <x:c r="H282" s="39" t="n">
        <x:f>IF(ISNUMBER('Data'!E282),'Data'!E282*100,"")</x:f>
        <x:v>37.8</x:v>
      </x:c>
      <x:c r="I282" s="35" t="str">
        <x:v>PASS</x:v>
      </x:c>
      <x:c r="J282" s="35" t="str">
        <x:v>PASS</x:v>
      </x:c>
      <x:c r="K282" s="35" t="str">
        <x:v>PASS</x:v>
      </x:c>
      <x:c r="L282" s="35" t="str">
        <x:v>PASS</x:v>
      </x:c>
      <x:c r="M282" s="35" t="str">
        <x:v>numeric coverage for applicable metric</x:v>
      </x:c>
      <x:c r="N282" s="35" t="str">
        <x:v>Gemini-3.8-flash/Result/Collections_5/result.json</x:v>
      </x:c>
      <x:c r="O282" s="39" t="n">
        <x:f>IF(AND(G282="RECORDED",ISNUMBER(H282)),H282,"")</x:f>
        <x:v>37.8</x:v>
      </x:c>
      <x:c r="P282" s="35" t="str">
        <x:v>NOT_REVEALING</x:v>
      </x:c>
      <x:c r="Q282" s="35" t="str">
        <x:v>Gemini-3.8-flash/Result/Collections_5/result.json</x:v>
      </x:c>
    </x:row>
    <x:row r="283">
      <x:c r="A283" s="35" t="str">
        <x:v>gemini</x:v>
      </x:c>
      <x:c r="B283" s="35" t="str">
        <x:v>Collections</x:v>
      </x:c>
      <x:c r="C283" s="35" t="str">
        <x:v>Round1</x:v>
      </x:c>
      <x:c r="D283" s="35" t="str">
        <x:v>Collections_6</x:v>
      </x:c>
      <x:c r="E283" s="35" t="str">
        <x:v>Line</x:v>
      </x:c>
      <x:c r="F283" s="35" t="n">
        <x:v>495</x:v>
      </x:c>
      <x:c r="G283" s="35" t="str">
        <x:v>RECORDED</x:v>
      </x:c>
      <x:c r="H283" s="39" t="n">
        <x:f>IF(ISNUMBER('Data'!E283),'Data'!E283*100,"")</x:f>
        <x:v>29.49</x:v>
      </x:c>
      <x:c r="I283" s="35" t="str">
        <x:v>PASS</x:v>
      </x:c>
      <x:c r="J283" s="35" t="str">
        <x:v>PASS</x:v>
      </x:c>
      <x:c r="K283" s="35" t="str">
        <x:v>PASS</x:v>
      </x:c>
      <x:c r="L283" s="35" t="str">
        <x:v>FAIL</x:v>
      </x:c>
      <x:c r="M283" s="35" t="str">
        <x:v>numeric coverage for applicable metric</x:v>
      </x:c>
      <x:c r="N283" s="35" t="str">
        <x:v>Gemini-3.8-flash/Result/Collections_6/result.json</x:v>
      </x:c>
      <x:c r="O283" s="39" t="n">
        <x:f>IF(AND(G283="RECORDED",ISNUMBER(H283)),H283,"")</x:f>
        <x:v>29.49</x:v>
      </x:c>
      <x:c r="P283" s="35" t="str">
        <x:v>REVEALING</x:v>
      </x:c>
      <x:c r="Q283" s="35" t="str">
        <x:v>Gemini-3.8-flash/Result/Collections_6/result.json</x:v>
      </x:c>
    </x:row>
    <x:row r="284">
      <x:c r="A284" s="35" t="str">
        <x:v>gemini</x:v>
      </x:c>
      <x:c r="B284" s="35" t="str">
        <x:v>Collections</x:v>
      </x:c>
      <x:c r="C284" s="35" t="str">
        <x:v>Round1</x:v>
      </x:c>
      <x:c r="D284" s="35" t="str">
        <x:v>Collections_7</x:v>
      </x:c>
      <x:c r="E284" s="35" t="str">
        <x:v>Line</x:v>
      </x:c>
      <x:c r="F284" s="35" t="n">
        <x:v>483</x:v>
      </x:c>
      <x:c r="G284" s="35" t="str">
        <x:v>RECORDED</x:v>
      </x:c>
      <x:c r="H284" s="39" t="n">
        <x:f>IF(ISNUMBER('Data'!E284),'Data'!E284*100,"")</x:f>
        <x:v>38.92</x:v>
      </x:c>
      <x:c r="I284" s="35" t="str">
        <x:v>PASS</x:v>
      </x:c>
      <x:c r="J284" s="35" t="str">
        <x:v>PASS</x:v>
      </x:c>
      <x:c r="K284" s="35" t="str">
        <x:v>PASS</x:v>
      </x:c>
      <x:c r="L284" s="35" t="str">
        <x:v>PASS</x:v>
      </x:c>
      <x:c r="M284" s="35" t="str">
        <x:v>numeric coverage for applicable metric</x:v>
      </x:c>
      <x:c r="N284" s="35" t="str">
        <x:v>Gemini-3.8-flash/Result/Collections_7/result.json</x:v>
      </x:c>
      <x:c r="O284" s="39" t="n">
        <x:f>IF(AND(G284="RECORDED",ISNUMBER(H284)),H284,"")</x:f>
        <x:v>38.92</x:v>
      </x:c>
      <x:c r="P284" s="35" t="str">
        <x:v>NOT_REVEALING</x:v>
      </x:c>
      <x:c r="Q284" s="35" t="str">
        <x:v>Gemini-3.8-flash/Result/Collections_7/result.json</x:v>
      </x:c>
    </x:row>
    <x:row r="285">
      <x:c r="A285" s="35" t="str">
        <x:v>gemini</x:v>
      </x:c>
      <x:c r="B285" s="35" t="str">
        <x:v>Collections</x:v>
      </x:c>
      <x:c r="C285" s="35" t="str">
        <x:v>Round1</x:v>
      </x:c>
      <x:c r="D285" s="35" t="str">
        <x:v>Collections_8</x:v>
      </x:c>
      <x:c r="E285" s="35" t="str">
        <x:v>Line</x:v>
      </x:c>
      <x:c r="F285" s="35" t="n">
        <x:v>88</x:v>
      </x:c>
      <x:c r="G285" s="35" t="str">
        <x:v>RECORDED</x:v>
      </x:c>
      <x:c r="H285" s="39" t="n">
        <x:f>IF(ISNUMBER('Data'!E285),'Data'!E285*100,"")</x:f>
        <x:v>54.55</x:v>
      </x:c>
      <x:c r="I285" s="35" t="str">
        <x:v>PASS</x:v>
      </x:c>
      <x:c r="J285" s="35" t="str">
        <x:v>PASS</x:v>
      </x:c>
      <x:c r="K285" s="35" t="str">
        <x:v>PASS</x:v>
      </x:c>
      <x:c r="L285" s="35" t="str">
        <x:v>PASS</x:v>
      </x:c>
      <x:c r="M285" s="35" t="str">
        <x:v>numeric coverage for applicable metric</x:v>
      </x:c>
      <x:c r="N285" s="35" t="str">
        <x:v>Gemini-3.8-flash/Result/Collections_8/result.json</x:v>
      </x:c>
      <x:c r="O285" s="39" t="n">
        <x:f>IF(AND(G285="RECORDED",ISNUMBER(H285)),H285,"")</x:f>
        <x:v>54.55</x:v>
      </x:c>
      <x:c r="P285" s="35" t="str">
        <x:v>NOT_REVEALING</x:v>
      </x:c>
      <x:c r="Q285" s="35" t="str">
        <x:v>Gemini-3.8-flash/Result/Collections_8/result.json</x:v>
      </x:c>
    </x:row>
    <x:row r="286">
      <x:c r="A286" s="35" t="str">
        <x:v>gemini</x:v>
      </x:c>
      <x:c r="B286" s="35" t="str">
        <x:v>Collections</x:v>
      </x:c>
      <x:c r="C286" s="35" t="str">
        <x:v>Round1</x:v>
      </x:c>
      <x:c r="D286" s="35" t="str">
        <x:v>Collections_9</x:v>
      </x:c>
      <x:c r="E286" s="35" t="str">
        <x:v>Line</x:v>
      </x:c>
      <x:c r="F286" s="35" t="n">
        <x:v>491</x:v>
      </x:c>
      <x:c r="G286" s="35" t="str">
        <x:v>RECORDED</x:v>
      </x:c>
      <x:c r="H286" s="39" t="n">
        <x:f>IF(ISNUMBER('Data'!E286),'Data'!E286*100,"")</x:f>
        <x:v>38.29</x:v>
      </x:c>
      <x:c r="I286" s="35" t="str">
        <x:v>PASS</x:v>
      </x:c>
      <x:c r="J286" s="35" t="str">
        <x:v>PASS</x:v>
      </x:c>
      <x:c r="K286" s="35" t="str">
        <x:v>PASS</x:v>
      </x:c>
      <x:c r="L286" s="35" t="str">
        <x:v>PASS</x:v>
      </x:c>
      <x:c r="M286" s="35" t="str">
        <x:v>numeric coverage for applicable metric</x:v>
      </x:c>
      <x:c r="N286" s="35" t="str">
        <x:v>Gemini-3.8-flash/Result/Collections_9/result.json</x:v>
      </x:c>
      <x:c r="O286" s="39" t="n">
        <x:f>IF(AND(G286="RECORDED",ISNUMBER(H286)),H286,"")</x:f>
        <x:v>38.29</x:v>
      </x:c>
      <x:c r="P286" s="35" t="str">
        <x:v>NOT_REVEALING</x:v>
      </x:c>
      <x:c r="Q286" s="35" t="str">
        <x:v>Gemini-3.8-flash/Result/Collections_9/result.json</x:v>
      </x:c>
    </x:row>
    <x:row r="287">
      <x:c r="A287" s="35" t="str">
        <x:v>gemini</x:v>
      </x:c>
      <x:c r="B287" s="35" t="str">
        <x:v>Compress</x:v>
      </x:c>
      <x:c r="C287" s="35" t="str">
        <x:v>Round1</x:v>
      </x:c>
      <x:c r="D287" s="35" t="str">
        <x:v>Compress_1</x:v>
      </x:c>
      <x:c r="E287" s="35" t="str">
        <x:v>Line</x:v>
      </x:c>
      <x:c r="F287" s="35"/>
      <x:c r="G287" s="35" t="str">
        <x:v>A</x:v>
      </x:c>
      <x:c r="H287" s="39" t="str">
        <x:f>IF(ISNUMBER('Data'!E287),'Data'!E287*100,"")</x:f>
      </x:c>
      <x:c r="I287" s="35"/>
      <x:c r="J287" s="35" t="str">
        <x:v>PASS</x:v>
      </x:c>
      <x:c r="K287" s="35" t="str">
        <x:v>FAIL</x:v>
      </x:c>
      <x:c r="L287" s="35" t="str">
        <x:v>NOT_RUN</x:v>
      </x:c>
      <x:c r="M287" s="35" t="str">
        <x:v>coverage unavailable or execution/compile failed</x:v>
      </x:c>
      <x:c r="N287" s="35" t="str">
        <x:v>Gemini-3.8-flash/Result/Compress_1/result.json</x:v>
      </x:c>
      <x:c r="O287" s="39" t="str">
        <x:f>IF(AND(G287="RECORDED",ISNUMBER(H287)),H287,"")</x:f>
      </x:c>
      <x:c r="P287" s="35" t="str">
        <x:v>NOT_AVAILABLE</x:v>
      </x:c>
      <x:c r="Q287" s="35" t="str">
        <x:v>Gemini-3.8-flash/Result/Compress_1/result.json</x:v>
      </x:c>
    </x:row>
    <x:row r="288">
      <x:c r="A288" s="35" t="str">
        <x:v>gemini</x:v>
      </x:c>
      <x:c r="B288" s="35" t="str">
        <x:v>Compress</x:v>
      </x:c>
      <x:c r="C288" s="35" t="str">
        <x:v>Round1</x:v>
      </x:c>
      <x:c r="D288" s="35" t="str">
        <x:v>Compress_10</x:v>
      </x:c>
      <x:c r="E288" s="35" t="str">
        <x:v>Line</x:v>
      </x:c>
      <x:c r="F288" s="35" t="n">
        <x:v>304</x:v>
      </x:c>
      <x:c r="G288" s="35" t="str">
        <x:v>RECORDED</x:v>
      </x:c>
      <x:c r="H288" s="39" t="n">
        <x:f>IF(ISNUMBER('Data'!E288),'Data'!E288*100,"")</x:f>
        <x:v>92.11</x:v>
      </x:c>
      <x:c r="I288" s="35" t="str">
        <x:v>PASS</x:v>
      </x:c>
      <x:c r="J288" s="35" t="str">
        <x:v>PASS</x:v>
      </x:c>
      <x:c r="K288" s="35" t="str">
        <x:v>PASS</x:v>
      </x:c>
      <x:c r="L288" s="35" t="str">
        <x:v>FAIL</x:v>
      </x:c>
      <x:c r="M288" s="35" t="str">
        <x:v>numeric coverage for applicable metric</x:v>
      </x:c>
      <x:c r="N288" s="35" t="str">
        <x:v>Gemini-3.8-flash/Result/Compress_10/result.json</x:v>
      </x:c>
      <x:c r="O288" s="39" t="n">
        <x:f>IF(AND(G288="RECORDED",ISNUMBER(H288)),H288,"")</x:f>
        <x:v>92.11</x:v>
      </x:c>
      <x:c r="P288" s="35" t="str">
        <x:v>INCONCLUSIVE</x:v>
      </x:c>
      <x:c r="Q288" s="35" t="str">
        <x:v>Gemini-3.8-flash/Result/Compress_10/result.json</x:v>
      </x:c>
    </x:row>
    <x:row r="289">
      <x:c r="A289" s="35" t="str">
        <x:v>gemini</x:v>
      </x:c>
      <x:c r="B289" s="35" t="str">
        <x:v>Compress</x:v>
      </x:c>
      <x:c r="C289" s="35" t="str">
        <x:v>Round1</x:v>
      </x:c>
      <x:c r="D289" s="35" t="str">
        <x:v>Compress_11</x:v>
      </x:c>
      <x:c r="E289" s="35" t="str">
        <x:v>Line</x:v>
      </x:c>
      <x:c r="F289" s="35"/>
      <x:c r="G289" s="35" t="str">
        <x:v>A</x:v>
      </x:c>
      <x:c r="H289" s="39" t="str">
        <x:f>IF(ISNUMBER('Data'!E289),'Data'!E289*100,"")</x:f>
      </x:c>
      <x:c r="I289" s="35"/>
      <x:c r="J289" s="35" t="str">
        <x:v>PASS</x:v>
      </x:c>
      <x:c r="K289" s="35" t="str">
        <x:v>FAIL</x:v>
      </x:c>
      <x:c r="L289" s="35" t="str">
        <x:v>NOT_RUN</x:v>
      </x:c>
      <x:c r="M289" s="35" t="str">
        <x:v>coverage unavailable or execution/compile failed</x:v>
      </x:c>
      <x:c r="N289" s="35" t="str">
        <x:v>Gemini-3.8-flash/Result/Compress_11/result.json</x:v>
      </x:c>
      <x:c r="O289" s="39" t="str">
        <x:f>IF(AND(G289="RECORDED",ISNUMBER(H289)),H289,"")</x:f>
      </x:c>
      <x:c r="P289" s="35" t="str">
        <x:v>NOT_AVAILABLE</x:v>
      </x:c>
      <x:c r="Q289" s="35" t="str">
        <x:v>Gemini-3.8-flash/Result/Compress_11/result.json</x:v>
      </x:c>
    </x:row>
    <x:row r="290">
      <x:c r="A290" s="35" t="str">
        <x:v>gemini</x:v>
      </x:c>
      <x:c r="B290" s="35" t="str">
        <x:v>Compress</x:v>
      </x:c>
      <x:c r="C290" s="35" t="str">
        <x:v>Round1</x:v>
      </x:c>
      <x:c r="D290" s="35" t="str">
        <x:v>Compress_12</x:v>
      </x:c>
      <x:c r="E290" s="35" t="str">
        <x:v>Line</x:v>
      </x:c>
      <x:c r="F290" s="35" t="n">
        <x:v>195</x:v>
      </x:c>
      <x:c r="G290" s="35" t="str">
        <x:v>RECORDED</x:v>
      </x:c>
      <x:c r="H290" s="39" t="n">
        <x:f>IF(ISNUMBER('Data'!E290),'Data'!E290*100,"")</x:f>
        <x:v>83.08</x:v>
      </x:c>
      <x:c r="I290" s="35" t="str">
        <x:v>PASS</x:v>
      </x:c>
      <x:c r="J290" s="35" t="str">
        <x:v>PASS</x:v>
      </x:c>
      <x:c r="K290" s="35" t="str">
        <x:v>PASS</x:v>
      </x:c>
      <x:c r="L290" s="35" t="str">
        <x:v>FAIL</x:v>
      </x:c>
      <x:c r="M290" s="35" t="str">
        <x:v>numeric coverage for applicable metric</x:v>
      </x:c>
      <x:c r="N290" s="35" t="str">
        <x:v>Gemini-3.8-flash/Result/Compress_12/result.json</x:v>
      </x:c>
      <x:c r="O290" s="39" t="n">
        <x:f>IF(AND(G290="RECORDED",ISNUMBER(H290)),H290,"")</x:f>
        <x:v>83.08</x:v>
      </x:c>
      <x:c r="P290" s="35" t="str">
        <x:v>INCONCLUSIVE</x:v>
      </x:c>
      <x:c r="Q290" s="35" t="str">
        <x:v>Gemini-3.8-flash/Result/Compress_12/result.json</x:v>
      </x:c>
    </x:row>
    <x:row r="291">
      <x:c r="A291" s="35" t="str">
        <x:v>gemini</x:v>
      </x:c>
      <x:c r="B291" s="35" t="str">
        <x:v>Compress</x:v>
      </x:c>
      <x:c r="C291" s="35" t="str">
        <x:v>Round1</x:v>
      </x:c>
      <x:c r="D291" s="35" t="str">
        <x:v>Compress_13</x:v>
      </x:c>
      <x:c r="E291" s="35" t="str">
        <x:v>Line</x:v>
      </x:c>
      <x:c r="F291" s="35"/>
      <x:c r="G291" s="35" t="str">
        <x:v>A</x:v>
      </x:c>
      <x:c r="H291" s="39" t="str">
        <x:f>IF(ISNUMBER('Data'!E291),'Data'!E291*100,"")</x:f>
      </x:c>
      <x:c r="I291" s="35"/>
      <x:c r="J291" s="35" t="str">
        <x:v>PASS</x:v>
      </x:c>
      <x:c r="K291" s="35" t="str">
        <x:v>FAIL</x:v>
      </x:c>
      <x:c r="L291" s="35" t="str">
        <x:v>NOT_RUN</x:v>
      </x:c>
      <x:c r="M291" s="35" t="str">
        <x:v>coverage unavailable or execution/compile failed</x:v>
      </x:c>
      <x:c r="N291" s="35" t="str">
        <x:v>Gemini-3.8-flash/Result/Compress_13/result.json</x:v>
      </x:c>
      <x:c r="O291" s="39" t="str">
        <x:f>IF(AND(G291="RECORDED",ISNUMBER(H291)),H291,"")</x:f>
      </x:c>
      <x:c r="P291" s="35" t="str">
        <x:v>NOT_AVAILABLE</x:v>
      </x:c>
      <x:c r="Q291" s="35" t="str">
        <x:v>Gemini-3.8-flash/Result/Compress_13/result.json</x:v>
      </x:c>
    </x:row>
    <x:row r="292">
      <x:c r="A292" s="35" t="str">
        <x:v>gemini</x:v>
      </x:c>
      <x:c r="B292" s="35" t="str">
        <x:v>Compress</x:v>
      </x:c>
      <x:c r="C292" s="35" t="str">
        <x:v>Round1</x:v>
      </x:c>
      <x:c r="D292" s="35" t="str">
        <x:v>Compress_14</x:v>
      </x:c>
      <x:c r="E292" s="35" t="str">
        <x:v>Line</x:v>
      </x:c>
      <x:c r="F292" s="35" t="n">
        <x:v>101</x:v>
      </x:c>
      <x:c r="G292" s="35" t="str">
        <x:v>RECORDED</x:v>
      </x:c>
      <x:c r="H292" s="39" t="n">
        <x:f>IF(ISNUMBER('Data'!E292),'Data'!E292*100,"")</x:f>
        <x:v>99.01</x:v>
      </x:c>
      <x:c r="I292" s="35" t="str">
        <x:v>PASS</x:v>
      </x:c>
      <x:c r="J292" s="35" t="str">
        <x:v>PASS</x:v>
      </x:c>
      <x:c r="K292" s="35" t="str">
        <x:v>PASS</x:v>
      </x:c>
      <x:c r="L292" s="35" t="str">
        <x:v>PASS</x:v>
      </x:c>
      <x:c r="M292" s="35" t="str">
        <x:v>numeric coverage for applicable metric</x:v>
      </x:c>
      <x:c r="N292" s="35" t="str">
        <x:v>Gemini-3.8-flash/Result/Compress_14/result.json</x:v>
      </x:c>
      <x:c r="O292" s="39" t="n">
        <x:f>IF(AND(G292="RECORDED",ISNUMBER(H292)),H292,"")</x:f>
        <x:v>99.01</x:v>
      </x:c>
      <x:c r="P292" s="35" t="str">
        <x:v>NOT_REVEALING</x:v>
      </x:c>
      <x:c r="Q292" s="35" t="str">
        <x:v>Gemini-3.8-flash/Result/Compress_14/result.json</x:v>
      </x:c>
    </x:row>
    <x:row r="293">
      <x:c r="A293" s="35" t="str">
        <x:v>gemini</x:v>
      </x:c>
      <x:c r="B293" s="35" t="str">
        <x:v>Compress</x:v>
      </x:c>
      <x:c r="C293" s="35" t="str">
        <x:v>Round1</x:v>
      </x:c>
      <x:c r="D293" s="35" t="str">
        <x:v>Compress_15</x:v>
      </x:c>
      <x:c r="E293" s="35" t="str">
        <x:v>Line</x:v>
      </x:c>
      <x:c r="F293" s="35" t="n">
        <x:v>203</x:v>
      </x:c>
      <x:c r="G293" s="35" t="str">
        <x:v>RECORDED</x:v>
      </x:c>
      <x:c r="H293" s="39" t="n">
        <x:f>IF(ISNUMBER('Data'!E293),'Data'!E293*100,"")</x:f>
        <x:v>90.15</x:v>
      </x:c>
      <x:c r="I293" s="35" t="str">
        <x:v>PASS</x:v>
      </x:c>
      <x:c r="J293" s="35" t="str">
        <x:v>PASS</x:v>
      </x:c>
      <x:c r="K293" s="35" t="str">
        <x:v>PASS</x:v>
      </x:c>
      <x:c r="L293" s="35" t="str">
        <x:v>FAIL</x:v>
      </x:c>
      <x:c r="M293" s="35" t="str">
        <x:v>numeric coverage for applicable metric</x:v>
      </x:c>
      <x:c r="N293" s="35" t="str">
        <x:v>Gemini-3.8-flash/Result/Compress_15/result.json</x:v>
      </x:c>
      <x:c r="O293" s="39" t="n">
        <x:f>IF(AND(G293="RECORDED",ISNUMBER(H293)),H293,"")</x:f>
        <x:v>90.15</x:v>
      </x:c>
      <x:c r="P293" s="35" t="str">
        <x:v>INCONCLUSIVE</x:v>
      </x:c>
      <x:c r="Q293" s="35" t="str">
        <x:v>Gemini-3.8-flash/Result/Compress_15/result.json</x:v>
      </x:c>
    </x:row>
    <x:row r="294">
      <x:c r="A294" s="35" t="str">
        <x:v>gemini</x:v>
      </x:c>
      <x:c r="B294" s="35" t="str">
        <x:v>Compress</x:v>
      </x:c>
      <x:c r="C294" s="35" t="str">
        <x:v>Round1</x:v>
      </x:c>
      <x:c r="D294" s="35" t="str">
        <x:v>Compress_16</x:v>
      </x:c>
      <x:c r="E294" s="35" t="str">
        <x:v>Line</x:v>
      </x:c>
      <x:c r="F294" s="35"/>
      <x:c r="G294" s="35" t="str">
        <x:v>A</x:v>
      </x:c>
      <x:c r="H294" s="39" t="str">
        <x:f>IF(ISNUMBER('Data'!E294),'Data'!E294*100,"")</x:f>
      </x:c>
      <x:c r="I294" s="35"/>
      <x:c r="J294" s="35" t="str">
        <x:v>PASS</x:v>
      </x:c>
      <x:c r="K294" s="35" t="str">
        <x:v>FAIL</x:v>
      </x:c>
      <x:c r="L294" s="35" t="str">
        <x:v>NOT_RUN</x:v>
      </x:c>
      <x:c r="M294" s="35" t="str">
        <x:v>No saved Java source containing a JUnit test method</x:v>
      </x:c>
      <x:c r="N294" s="35" t="str">
        <x:v>Gemini-3.8-flash/Result/Compress_16/result.json</x:v>
      </x:c>
      <x:c r="O294" s="39" t="str">
        <x:f>IF(AND(G294="RECORDED",ISNUMBER(H294)),H294,"")</x:f>
      </x:c>
      <x:c r="P294" s="35" t="str">
        <x:v>FAIL</x:v>
      </x:c>
      <x:c r="Q294" s="35" t="str">
        <x:v>Gemini-3.8-flash/Result/Compress_16/result.json</x:v>
      </x:c>
    </x:row>
    <x:row r="295">
      <x:c r="A295" s="35" t="str">
        <x:v>gemini</x:v>
      </x:c>
      <x:c r="B295" s="35" t="str">
        <x:v>Compress</x:v>
      </x:c>
      <x:c r="C295" s="35" t="str">
        <x:v>Round1</x:v>
      </x:c>
      <x:c r="D295" s="35" t="str">
        <x:v>Compress_17</x:v>
      </x:c>
      <x:c r="E295" s="35" t="str">
        <x:v>Line</x:v>
      </x:c>
      <x:c r="F295" s="35"/>
      <x:c r="G295" s="35" t="str">
        <x:v>A</x:v>
      </x:c>
      <x:c r="H295" s="39" t="str">
        <x:f>IF(ISNUMBER('Data'!E295),'Data'!E295*100,"")</x:f>
      </x:c>
      <x:c r="I295" s="35"/>
      <x:c r="J295" s="35" t="str">
        <x:v>PASS</x:v>
      </x:c>
      <x:c r="K295" s="35" t="str">
        <x:v>FAIL</x:v>
      </x:c>
      <x:c r="L295" s="35" t="str">
        <x:v>NOT_RUN</x:v>
      </x:c>
      <x:c r="M295" s="35" t="str">
        <x:v>coverage unavailable or execution/compile failed</x:v>
      </x:c>
      <x:c r="N295" s="35" t="str">
        <x:v>Gemini-3.8-flash/Result/Compress_17/result.json</x:v>
      </x:c>
      <x:c r="O295" s="39" t="str">
        <x:f>IF(AND(G295="RECORDED",ISNUMBER(H295)),H295,"")</x:f>
      </x:c>
      <x:c r="P295" s="35" t="str">
        <x:v>NOT_AVAILABLE</x:v>
      </x:c>
      <x:c r="Q295" s="35" t="str">
        <x:v>Gemini-3.8-flash/Result/Compress_17/result.json</x:v>
      </x:c>
    </x:row>
    <x:row r="296">
      <x:c r="A296" s="35" t="str">
        <x:v>gemini</x:v>
      </x:c>
      <x:c r="B296" s="35" t="str">
        <x:v>Compress</x:v>
      </x:c>
      <x:c r="C296" s="35" t="str">
        <x:v>Round1</x:v>
      </x:c>
      <x:c r="D296" s="35" t="str">
        <x:v>Compress_18</x:v>
      </x:c>
      <x:c r="E296" s="35" t="str">
        <x:v>Line</x:v>
      </x:c>
      <x:c r="F296" s="35"/>
      <x:c r="G296" s="35" t="str">
        <x:v>A</x:v>
      </x:c>
      <x:c r="H296" s="39" t="str">
        <x:f>IF(ISNUMBER('Data'!E296),'Data'!E296*100,"")</x:f>
      </x:c>
      <x:c r="I296" s="35"/>
      <x:c r="J296" s="35" t="str">
        <x:v>PASS</x:v>
      </x:c>
      <x:c r="K296" s="35" t="str">
        <x:v>FAIL</x:v>
      </x:c>
      <x:c r="L296" s="35" t="str">
        <x:v>NOT_RUN</x:v>
      </x:c>
      <x:c r="M296" s="35" t="str">
        <x:v>coverage unavailable or execution/compile failed</x:v>
      </x:c>
      <x:c r="N296" s="35" t="str">
        <x:v>Gemini-3.8-flash/Result/Compress_18/result.json</x:v>
      </x:c>
      <x:c r="O296" s="39" t="str">
        <x:f>IF(AND(G296="RECORDED",ISNUMBER(H296)),H296,"")</x:f>
      </x:c>
      <x:c r="P296" s="35" t="str">
        <x:v>NOT_AVAILABLE</x:v>
      </x:c>
      <x:c r="Q296" s="35" t="str">
        <x:v>Gemini-3.8-flash/Result/Compress_18/result.json</x:v>
      </x:c>
    </x:row>
    <x:row r="297">
      <x:c r="A297" s="35" t="str">
        <x:v>gemini</x:v>
      </x:c>
      <x:c r="B297" s="35" t="str">
        <x:v>Compress</x:v>
      </x:c>
      <x:c r="C297" s="35" t="str">
        <x:v>Round1</x:v>
      </x:c>
      <x:c r="D297" s="35" t="str">
        <x:v>Compress_19</x:v>
      </x:c>
      <x:c r="E297" s="35" t="str">
        <x:v>Line</x:v>
      </x:c>
      <x:c r="F297" s="35" t="n">
        <x:v>105</x:v>
      </x:c>
      <x:c r="G297" s="35" t="str">
        <x:v>RECORDED</x:v>
      </x:c>
      <x:c r="H297" s="39" t="n">
        <x:f>IF(ISNUMBER('Data'!E297),'Data'!E297*100,"")</x:f>
        <x:v>100</x:v>
      </x:c>
      <x:c r="I297" s="35" t="str">
        <x:v>PASS</x:v>
      </x:c>
      <x:c r="J297" s="35" t="str">
        <x:v>PASS</x:v>
      </x:c>
      <x:c r="K297" s="35" t="str">
        <x:v>PASS</x:v>
      </x:c>
      <x:c r="L297" s="35" t="str">
        <x:v>PASS</x:v>
      </x:c>
      <x:c r="M297" s="35" t="str">
        <x:v>numeric coverage for applicable metric</x:v>
      </x:c>
      <x:c r="N297" s="35" t="str">
        <x:v>Gemini-3.8-flash/Result/Compress_19/result.json</x:v>
      </x:c>
      <x:c r="O297" s="39" t="n">
        <x:f>IF(AND(G297="RECORDED",ISNUMBER(H297)),H297,"")</x:f>
        <x:v>100</x:v>
      </x:c>
      <x:c r="P297" s="35" t="str">
        <x:v>NOT_REVEALING</x:v>
      </x:c>
      <x:c r="Q297" s="35" t="str">
        <x:v>Gemini-3.8-flash/Result/Compress_19/result.json</x:v>
      </x:c>
    </x:row>
    <x:row r="298">
      <x:c r="A298" s="35" t="str">
        <x:v>gemini</x:v>
      </x:c>
      <x:c r="B298" s="35" t="str">
        <x:v>Compress</x:v>
      </x:c>
      <x:c r="C298" s="35" t="str">
        <x:v>Round1</x:v>
      </x:c>
      <x:c r="D298" s="35" t="str">
        <x:v>Compress_2</x:v>
      </x:c>
      <x:c r="E298" s="35" t="str">
        <x:v>Line</x:v>
      </x:c>
      <x:c r="F298" s="35" t="n">
        <x:v>73</x:v>
      </x:c>
      <x:c r="G298" s="35" t="str">
        <x:v>RECORDED</x:v>
      </x:c>
      <x:c r="H298" s="39" t="n">
        <x:f>IF(ISNUMBER('Data'!E298),'Data'!E298*100,"")</x:f>
        <x:v>100</x:v>
      </x:c>
      <x:c r="I298" s="35" t="str">
        <x:v>PASS</x:v>
      </x:c>
      <x:c r="J298" s="35" t="str">
        <x:v>PASS</x:v>
      </x:c>
      <x:c r="K298" s="35" t="str">
        <x:v>PASS</x:v>
      </x:c>
      <x:c r="L298" s="35" t="str">
        <x:v>PASS</x:v>
      </x:c>
      <x:c r="M298" s="35" t="str">
        <x:v>numeric coverage for applicable metric</x:v>
      </x:c>
      <x:c r="N298" s="35" t="str">
        <x:v>Gemini-3.8-flash/Result/Compress_2/result.json</x:v>
      </x:c>
      <x:c r="O298" s="39" t="n">
        <x:f>IF(AND(G298="RECORDED",ISNUMBER(H298)),H298,"")</x:f>
        <x:v>100</x:v>
      </x:c>
      <x:c r="P298" s="35" t="str">
        <x:v>NOT_REVEALING</x:v>
      </x:c>
      <x:c r="Q298" s="35" t="str">
        <x:v>Gemini-3.8-flash/Result/Compress_2/result.json</x:v>
      </x:c>
    </x:row>
    <x:row r="299">
      <x:c r="A299" s="35" t="str">
        <x:v>gemini</x:v>
      </x:c>
      <x:c r="B299" s="35" t="str">
        <x:v>Compress</x:v>
      </x:c>
      <x:c r="C299" s="35" t="str">
        <x:v>Round1</x:v>
      </x:c>
      <x:c r="D299" s="35" t="str">
        <x:v>Compress_20</x:v>
      </x:c>
      <x:c r="E299" s="35" t="str">
        <x:v>Line</x:v>
      </x:c>
      <x:c r="F299" s="35" t="n">
        <x:v>214</x:v>
      </x:c>
      <x:c r="G299" s="35" t="str">
        <x:v>RECORDED</x:v>
      </x:c>
      <x:c r="H299" s="39" t="n">
        <x:f>IF(ISNUMBER('Data'!E299),'Data'!E299*100,"")</x:f>
        <x:v>97.2</x:v>
      </x:c>
      <x:c r="I299" s="35" t="str">
        <x:v>PASS</x:v>
      </x:c>
      <x:c r="J299" s="35" t="str">
        <x:v>PASS</x:v>
      </x:c>
      <x:c r="K299" s="35" t="str">
        <x:v>PASS</x:v>
      </x:c>
      <x:c r="L299" s="35" t="str">
        <x:v>FAIL</x:v>
      </x:c>
      <x:c r="M299" s="35" t="str">
        <x:v>numeric coverage for applicable metric</x:v>
      </x:c>
      <x:c r="N299" s="35" t="str">
        <x:v>Gemini-3.8-flash/Result/Compress_20/result.json</x:v>
      </x:c>
      <x:c r="O299" s="39" t="n">
        <x:f>IF(AND(G299="RECORDED",ISNUMBER(H299)),H299,"")</x:f>
        <x:v>97.2</x:v>
      </x:c>
      <x:c r="P299" s="35" t="str">
        <x:v>INCONCLUSIVE</x:v>
      </x:c>
      <x:c r="Q299" s="35" t="str">
        <x:v>Gemini-3.8-flash/Result/Compress_20/result.json</x:v>
      </x:c>
    </x:row>
    <x:row r="300">
      <x:c r="A300" s="35" t="str">
        <x:v>gemini</x:v>
      </x:c>
      <x:c r="B300" s="35" t="str">
        <x:v>Compress</x:v>
      </x:c>
      <x:c r="C300" s="35" t="str">
        <x:v>Round1</x:v>
      </x:c>
      <x:c r="D300" s="35" t="str">
        <x:v>Compress_21</x:v>
      </x:c>
      <x:c r="E300" s="35" t="str">
        <x:v>Line</x:v>
      </x:c>
      <x:c r="F300" s="35" t="n">
        <x:v>390</x:v>
      </x:c>
      <x:c r="G300" s="35" t="str">
        <x:v>RECORDED</x:v>
      </x:c>
      <x:c r="H300" s="39" t="n">
        <x:f>IF(ISNUMBER('Data'!E300),'Data'!E300*100,"")</x:f>
        <x:v>93.33</x:v>
      </x:c>
      <x:c r="I300" s="35" t="str">
        <x:v>PASS</x:v>
      </x:c>
      <x:c r="J300" s="35" t="str">
        <x:v>PASS</x:v>
      </x:c>
      <x:c r="K300" s="35" t="str">
        <x:v>PASS</x:v>
      </x:c>
      <x:c r="L300" s="35" t="str">
        <x:v>PASS</x:v>
      </x:c>
      <x:c r="M300" s="35" t="str">
        <x:v>numeric coverage for applicable metric</x:v>
      </x:c>
      <x:c r="N300" s="35" t="str">
        <x:v>Gemini-3.8-flash/Result/Compress_21/result.json</x:v>
      </x:c>
      <x:c r="O300" s="39" t="n">
        <x:f>IF(AND(G300="RECORDED",ISNUMBER(H300)),H300,"")</x:f>
        <x:v>93.33</x:v>
      </x:c>
      <x:c r="P300" s="35" t="str">
        <x:v>NOT_REVEALING</x:v>
      </x:c>
      <x:c r="Q300" s="35" t="str">
        <x:v>Gemini-3.8-flash/Result/Compress_21/result.json</x:v>
      </x:c>
    </x:row>
    <x:row r="301">
      <x:c r="A301" s="35" t="str">
        <x:v>gemini</x:v>
      </x:c>
      <x:c r="B301" s="35" t="str">
        <x:v>Compress</x:v>
      </x:c>
      <x:c r="C301" s="35" t="str">
        <x:v>Round1</x:v>
      </x:c>
      <x:c r="D301" s="35" t="str">
        <x:v>Compress_22</x:v>
      </x:c>
      <x:c r="E301" s="35" t="str">
        <x:v>Line</x:v>
      </x:c>
      <x:c r="F301" s="35" t="n">
        <x:v>502</x:v>
      </x:c>
      <x:c r="G301" s="35" t="str">
        <x:v>RECORDED</x:v>
      </x:c>
      <x:c r="H301" s="39" t="n">
        <x:f>IF(ISNUMBER('Data'!E301),'Data'!E301*100,"")</x:f>
        <x:v>20.52</x:v>
      </x:c>
      <x:c r="I301" s="35" t="str">
        <x:v>PASS</x:v>
      </x:c>
      <x:c r="J301" s="35" t="str">
        <x:v>PASS</x:v>
      </x:c>
      <x:c r="K301" s="35" t="str">
        <x:v>PASS</x:v>
      </x:c>
      <x:c r="L301" s="35" t="str">
        <x:v>PASS</x:v>
      </x:c>
      <x:c r="M301" s="35" t="str">
        <x:v>numeric coverage for applicable metric</x:v>
      </x:c>
      <x:c r="N301" s="35" t="str">
        <x:v>Gemini-3.8-flash/Result/Compress_22/result.json</x:v>
      </x:c>
      <x:c r="O301" s="39" t="n">
        <x:f>IF(AND(G301="RECORDED",ISNUMBER(H301)),H301,"")</x:f>
        <x:v>20.52</x:v>
      </x:c>
      <x:c r="P301" s="35" t="str">
        <x:v>NOT_REVEALING</x:v>
      </x:c>
      <x:c r="Q301" s="35" t="str">
        <x:v>Gemini-3.8-flash/Result/Compress_22/result.json</x:v>
      </x:c>
    </x:row>
    <x:row r="302">
      <x:c r="A302" s="35" t="str">
        <x:v>gemini</x:v>
      </x:c>
      <x:c r="B302" s="35" t="str">
        <x:v>Compress</x:v>
      </x:c>
      <x:c r="C302" s="35" t="str">
        <x:v>Round1</x:v>
      </x:c>
      <x:c r="D302" s="35" t="str">
        <x:v>Compress_23</x:v>
      </x:c>
      <x:c r="E302" s="35" t="str">
        <x:v>Line</x:v>
      </x:c>
      <x:c r="F302" s="35" t="n">
        <x:v>103</x:v>
      </x:c>
      <x:c r="G302" s="35" t="str">
        <x:v>RECORDED</x:v>
      </x:c>
      <x:c r="H302" s="39" t="n">
        <x:f>IF(ISNUMBER('Data'!E302),'Data'!E302*100,"")</x:f>
        <x:v>91.26</x:v>
      </x:c>
      <x:c r="I302" s="35" t="str">
        <x:v>PASS</x:v>
      </x:c>
      <x:c r="J302" s="35" t="str">
        <x:v>PASS</x:v>
      </x:c>
      <x:c r="K302" s="35" t="str">
        <x:v>PASS</x:v>
      </x:c>
      <x:c r="L302" s="35" t="str">
        <x:v>FAIL</x:v>
      </x:c>
      <x:c r="M302" s="35" t="str">
        <x:v>numeric coverage for applicable metric</x:v>
      </x:c>
      <x:c r="N302" s="35" t="str">
        <x:v>Gemini-3.8-flash/Result/Compress_23/result.json</x:v>
      </x:c>
      <x:c r="O302" s="39" t="n">
        <x:f>IF(AND(G302="RECORDED",ISNUMBER(H302)),H302,"")</x:f>
        <x:v>91.26</x:v>
      </x:c>
      <x:c r="P302" s="35" t="str">
        <x:v>INCONCLUSIVE</x:v>
      </x:c>
      <x:c r="Q302" s="35" t="str">
        <x:v>Gemini-3.8-flash/Result/Compress_23/result.json</x:v>
      </x:c>
    </x:row>
    <x:row r="303">
      <x:c r="A303" s="35" t="str">
        <x:v>gemini</x:v>
      </x:c>
      <x:c r="B303" s="35" t="str">
        <x:v>Compress</x:v>
      </x:c>
      <x:c r="C303" s="35" t="str">
        <x:v>Round1</x:v>
      </x:c>
      <x:c r="D303" s="35" t="str">
        <x:v>Compress_24</x:v>
      </x:c>
      <x:c r="E303" s="35" t="str">
        <x:v>Line</x:v>
      </x:c>
      <x:c r="F303" s="35"/>
      <x:c r="G303" s="35" t="str">
        <x:v>A</x:v>
      </x:c>
      <x:c r="H303" s="39" t="str">
        <x:f>IF(ISNUMBER('Data'!E303),'Data'!E303*100,"")</x:f>
      </x:c>
      <x:c r="I303" s="35"/>
      <x:c r="J303" s="35" t="str">
        <x:v>PASS</x:v>
      </x:c>
      <x:c r="K303" s="35" t="str">
        <x:v>FAIL</x:v>
      </x:c>
      <x:c r="L303" s="35" t="str">
        <x:v>NOT_RUN</x:v>
      </x:c>
      <x:c r="M303" s="35" t="str">
        <x:v>coverage unavailable or execution/compile failed</x:v>
      </x:c>
      <x:c r="N303" s="35" t="str">
        <x:v>Gemini-3.8-flash/Result/Compress_24/result.json</x:v>
      </x:c>
      <x:c r="O303" s="39" t="str">
        <x:f>IF(AND(G303="RECORDED",ISNUMBER(H303)),H303,"")</x:f>
      </x:c>
      <x:c r="P303" s="35" t="str">
        <x:v>NOT_AVAILABLE</x:v>
      </x:c>
      <x:c r="Q303" s="35" t="str">
        <x:v>Gemini-3.8-flash/Result/Compress_24/result.json</x:v>
      </x:c>
    </x:row>
    <x:row r="304">
      <x:c r="A304" s="35" t="str">
        <x:v>gemini</x:v>
      </x:c>
      <x:c r="B304" s="35" t="str">
        <x:v>Compress</x:v>
      </x:c>
      <x:c r="C304" s="35" t="str">
        <x:v>Round1</x:v>
      </x:c>
      <x:c r="D304" s="35" t="str">
        <x:v>Compress_25</x:v>
      </x:c>
      <x:c r="E304" s="35" t="str">
        <x:v>Line</x:v>
      </x:c>
      <x:c r="F304" s="35" t="n">
        <x:v>401</x:v>
      </x:c>
      <x:c r="G304" s="35" t="str">
        <x:v>RECORDED</x:v>
      </x:c>
      <x:c r="H304" s="39" t="n">
        <x:f>IF(ISNUMBER('Data'!E304),'Data'!E304*100,"")</x:f>
        <x:v>65.34</x:v>
      </x:c>
      <x:c r="I304" s="35" t="str">
        <x:v>PASS</x:v>
      </x:c>
      <x:c r="J304" s="35" t="str">
        <x:v>PASS</x:v>
      </x:c>
      <x:c r="K304" s="35" t="str">
        <x:v>PASS</x:v>
      </x:c>
      <x:c r="L304" s="35" t="str">
        <x:v>FAIL</x:v>
      </x:c>
      <x:c r="M304" s="35" t="str">
        <x:v>numeric coverage for applicable metric</x:v>
      </x:c>
      <x:c r="N304" s="35" t="str">
        <x:v>Gemini-3.8-flash/Result/Compress_25/result.json</x:v>
      </x:c>
      <x:c r="O304" s="39" t="n">
        <x:f>IF(AND(G304="RECORDED",ISNUMBER(H304)),H304,"")</x:f>
        <x:v>65.34</x:v>
      </x:c>
      <x:c r="P304" s="35" t="str">
        <x:v>REVEALING</x:v>
      </x:c>
      <x:c r="Q304" s="35" t="str">
        <x:v>Gemini-3.8-flash/Result/Compress_25/result.json</x:v>
      </x:c>
    </x:row>
    <x:row r="305">
      <x:c r="A305" s="35" t="str">
        <x:v>gemini</x:v>
      </x:c>
      <x:c r="B305" s="35" t="str">
        <x:v>Compress</x:v>
      </x:c>
      <x:c r="C305" s="35" t="str">
        <x:v>Round1</x:v>
      </x:c>
      <x:c r="D305" s="35" t="str">
        <x:v>Compress_26</x:v>
      </x:c>
      <x:c r="E305" s="35" t="str">
        <x:v>Line</x:v>
      </x:c>
      <x:c r="F305" s="35" t="n">
        <x:v>36</x:v>
      </x:c>
      <x:c r="G305" s="35" t="str">
        <x:v>RECORDED</x:v>
      </x:c>
      <x:c r="H305" s="39" t="n">
        <x:f>IF(ISNUMBER('Data'!E305),'Data'!E305*100,"")</x:f>
        <x:v>100</x:v>
      </x:c>
      <x:c r="I305" s="35" t="str">
        <x:v>PASS</x:v>
      </x:c>
      <x:c r="J305" s="35" t="str">
        <x:v>PASS</x:v>
      </x:c>
      <x:c r="K305" s="35" t="str">
        <x:v>PASS</x:v>
      </x:c>
      <x:c r="L305" s="35" t="str">
        <x:v>PASS</x:v>
      </x:c>
      <x:c r="M305" s="35" t="str">
        <x:v>numeric coverage for applicable metric</x:v>
      </x:c>
      <x:c r="N305" s="35" t="str">
        <x:v>Gemini-3.8-flash/Result/Compress_26/result.json</x:v>
      </x:c>
      <x:c r="O305" s="39" t="n">
        <x:f>IF(AND(G305="RECORDED",ISNUMBER(H305)),H305,"")</x:f>
        <x:v>100</x:v>
      </x:c>
      <x:c r="P305" s="35" t="str">
        <x:v>INCONCLUSIVE</x:v>
      </x:c>
      <x:c r="Q305" s="35" t="str">
        <x:v>Gemini-3.8-flash/Result/Compress_26/result.json</x:v>
      </x:c>
    </x:row>
    <x:row r="306">
      <x:c r="A306" s="35" t="str">
        <x:v>gemini</x:v>
      </x:c>
      <x:c r="B306" s="35" t="str">
        <x:v>Compress</x:v>
      </x:c>
      <x:c r="C306" s="35" t="str">
        <x:v>Round1</x:v>
      </x:c>
      <x:c r="D306" s="35" t="str">
        <x:v>Compress_27</x:v>
      </x:c>
      <x:c r="E306" s="35" t="str">
        <x:v>Line</x:v>
      </x:c>
      <x:c r="F306" s="35"/>
      <x:c r="G306" s="35" t="str">
        <x:v>A</x:v>
      </x:c>
      <x:c r="H306" s="39" t="str">
        <x:f>IF(ISNUMBER('Data'!E306),'Data'!E306*100,"")</x:f>
      </x:c>
      <x:c r="I306" s="35"/>
      <x:c r="J306" s="35" t="str">
        <x:v>PASS</x:v>
      </x:c>
      <x:c r="K306" s="35" t="str">
        <x:v>FAIL</x:v>
      </x:c>
      <x:c r="L306" s="35" t="str">
        <x:v>NOT_RUN</x:v>
      </x:c>
      <x:c r="M306" s="35" t="str">
        <x:v>coverage unavailable or execution/compile failed</x:v>
      </x:c>
      <x:c r="N306" s="35" t="str">
        <x:v>Gemini-3.8-flash/Result/Compress_27/result.json</x:v>
      </x:c>
      <x:c r="O306" s="39" t="str">
        <x:f>IF(AND(G306="RECORDED",ISNUMBER(H306)),H306,"")</x:f>
      </x:c>
      <x:c r="P306" s="35" t="str">
        <x:v>NOT_AVAILABLE</x:v>
      </x:c>
      <x:c r="Q306" s="35" t="str">
        <x:v>Gemini-3.8-flash/Result/Compress_27/result.json</x:v>
      </x:c>
    </x:row>
    <x:row r="307">
      <x:c r="A307" s="35" t="str">
        <x:v>gemini</x:v>
      </x:c>
      <x:c r="B307" s="35" t="str">
        <x:v>Compress</x:v>
      </x:c>
      <x:c r="C307" s="35" t="str">
        <x:v>Round1</x:v>
      </x:c>
      <x:c r="D307" s="35" t="str">
        <x:v>Compress_28</x:v>
      </x:c>
      <x:c r="E307" s="35" t="str">
        <x:v>Line</x:v>
      </x:c>
      <x:c r="F307" s="35" t="n">
        <x:v>213</x:v>
      </x:c>
      <x:c r="G307" s="35" t="str">
        <x:v>RECORDED</x:v>
      </x:c>
      <x:c r="H307" s="39" t="n">
        <x:f>IF(ISNUMBER('Data'!E307),'Data'!E307*100,"")</x:f>
        <x:v>79.34</x:v>
      </x:c>
      <x:c r="I307" s="35" t="str">
        <x:v>PASS</x:v>
      </x:c>
      <x:c r="J307" s="35" t="str">
        <x:v>PASS</x:v>
      </x:c>
      <x:c r="K307" s="35" t="str">
        <x:v>PASS</x:v>
      </x:c>
      <x:c r="L307" s="35" t="str">
        <x:v>FAIL</x:v>
      </x:c>
      <x:c r="M307" s="35" t="str">
        <x:v>numeric coverage for applicable metric</x:v>
      </x:c>
      <x:c r="N307" s="35" t="str">
        <x:v>Gemini-3.8-flash/Result/Compress_28/result.json</x:v>
      </x:c>
      <x:c r="O307" s="39" t="n">
        <x:f>IF(AND(G307="RECORDED",ISNUMBER(H307)),H307,"")</x:f>
        <x:v>79.34</x:v>
      </x:c>
      <x:c r="P307" s="35" t="str">
        <x:v>INCONCLUSIVE</x:v>
      </x:c>
      <x:c r="Q307" s="35" t="str">
        <x:v>Gemini-3.8-flash/Result/Compress_28/result.json</x:v>
      </x:c>
    </x:row>
    <x:row r="308">
      <x:c r="A308" s="35" t="str">
        <x:v>gemini</x:v>
      </x:c>
      <x:c r="B308" s="35" t="str">
        <x:v>Compress</x:v>
      </x:c>
      <x:c r="C308" s="35" t="str">
        <x:v>Round1</x:v>
      </x:c>
      <x:c r="D308" s="35" t="str">
        <x:v>Compress_29</x:v>
      </x:c>
      <x:c r="E308" s="35" t="str">
        <x:v>Line</x:v>
      </x:c>
      <x:c r="F308" s="35"/>
      <x:c r="G308" s="35" t="str">
        <x:v>A</x:v>
      </x:c>
      <x:c r="H308" s="39" t="str">
        <x:f>IF(ISNUMBER('Data'!E308),'Data'!E308*100,"")</x:f>
      </x:c>
      <x:c r="I308" s="35"/>
      <x:c r="J308" s="35" t="str">
        <x:v>PASS</x:v>
      </x:c>
      <x:c r="K308" s="35" t="str">
        <x:v>FAIL</x:v>
      </x:c>
      <x:c r="L308" s="35" t="str">
        <x:v>NOT_RUN</x:v>
      </x:c>
      <x:c r="M308" s="35" t="str">
        <x:v>coverage unavailable or execution/compile failed</x:v>
      </x:c>
      <x:c r="N308" s="35" t="str">
        <x:v>Gemini-3.8-flash/Result/Compress_29/result.json</x:v>
      </x:c>
      <x:c r="O308" s="39" t="str">
        <x:f>IF(AND(G308="RECORDED",ISNUMBER(H308)),H308,"")</x:f>
      </x:c>
      <x:c r="P308" s="35" t="str">
        <x:v>NOT_AVAILABLE</x:v>
      </x:c>
      <x:c r="Q308" s="35" t="str">
        <x:v>Gemini-3.8-flash/Result/Compress_29/result.json</x:v>
      </x:c>
    </x:row>
    <x:row r="309">
      <x:c r="A309" s="35" t="str">
        <x:v>gemini</x:v>
      </x:c>
      <x:c r="B309" s="35" t="str">
        <x:v>Compress</x:v>
      </x:c>
      <x:c r="C309" s="35" t="str">
        <x:v>Round1</x:v>
      </x:c>
      <x:c r="D309" s="35" t="str">
        <x:v>Compress_3</x:v>
      </x:c>
      <x:c r="E309" s="35" t="str">
        <x:v>Line</x:v>
      </x:c>
      <x:c r="F309" s="35" t="n">
        <x:v>90</x:v>
      </x:c>
      <x:c r="G309" s="35" t="str">
        <x:v>RECORDED</x:v>
      </x:c>
      <x:c r="H309" s="39" t="n">
        <x:f>IF(ISNUMBER('Data'!E309),'Data'!E309*100,"")</x:f>
        <x:v>100</x:v>
      </x:c>
      <x:c r="I309" s="35" t="str">
        <x:v>PASS</x:v>
      </x:c>
      <x:c r="J309" s="35" t="str">
        <x:v>PASS</x:v>
      </x:c>
      <x:c r="K309" s="35" t="str">
        <x:v>PASS</x:v>
      </x:c>
      <x:c r="L309" s="35" t="str">
        <x:v>FAIL</x:v>
      </x:c>
      <x:c r="M309" s="35" t="str">
        <x:v>numeric coverage for applicable metric</x:v>
      </x:c>
      <x:c r="N309" s="35" t="str">
        <x:v>Gemini-3.8-flash/Result/Compress_3/result.json</x:v>
      </x:c>
      <x:c r="O309" s="39" t="n">
        <x:f>IF(AND(G309="RECORDED",ISNUMBER(H309)),H309,"")</x:f>
        <x:v>100</x:v>
      </x:c>
      <x:c r="P309" s="35" t="str">
        <x:v>INCONCLUSIVE</x:v>
      </x:c>
      <x:c r="Q309" s="35" t="str">
        <x:v>Gemini-3.8-flash/Result/Compress_3/result.json</x:v>
      </x:c>
    </x:row>
    <x:row r="310">
      <x:c r="A310" s="35" t="str">
        <x:v>gemini</x:v>
      </x:c>
      <x:c r="B310" s="35" t="str">
        <x:v>Compress</x:v>
      </x:c>
      <x:c r="C310" s="35" t="str">
        <x:v>Round1</x:v>
      </x:c>
      <x:c r="D310" s="35" t="str">
        <x:v>Compress_30</x:v>
      </x:c>
      <x:c r="E310" s="35" t="str">
        <x:v>Line</x:v>
      </x:c>
      <x:c r="F310" s="35" t="n">
        <x:v>490</x:v>
      </x:c>
      <x:c r="G310" s="35" t="str">
        <x:v>RECORDED</x:v>
      </x:c>
      <x:c r="H310" s="39" t="n">
        <x:f>IF(ISNUMBER('Data'!E310),'Data'!E310*100,"")</x:f>
        <x:v>20</x:v>
      </x:c>
      <x:c r="I310" s="35" t="str">
        <x:v>PASS</x:v>
      </x:c>
      <x:c r="J310" s="35" t="str">
        <x:v>PASS</x:v>
      </x:c>
      <x:c r="K310" s="35" t="str">
        <x:v>PASS</x:v>
      </x:c>
      <x:c r="L310" s="35" t="str">
        <x:v>PASS</x:v>
      </x:c>
      <x:c r="M310" s="35" t="str">
        <x:v>numeric coverage for applicable metric</x:v>
      </x:c>
      <x:c r="N310" s="35" t="str">
        <x:v>Gemini-3.8-flash/Result/Compress_30/result.json</x:v>
      </x:c>
      <x:c r="O310" s="39" t="n">
        <x:f>IF(AND(G310="RECORDED",ISNUMBER(H310)),H310,"")</x:f>
        <x:v>20</x:v>
      </x:c>
      <x:c r="P310" s="35" t="str">
        <x:v>INCONCLUSIVE</x:v>
      </x:c>
      <x:c r="Q310" s="35" t="str">
        <x:v>Gemini-3.8-flash/Result/Compress_30/result.json</x:v>
      </x:c>
    </x:row>
    <x:row r="311">
      <x:c r="A311" s="35" t="str">
        <x:v>gemini</x:v>
      </x:c>
      <x:c r="B311" s="35" t="str">
        <x:v>Compress</x:v>
      </x:c>
      <x:c r="C311" s="35" t="str">
        <x:v>Round1</x:v>
      </x:c>
      <x:c r="D311" s="35" t="str">
        <x:v>Compress_31</x:v>
      </x:c>
      <x:c r="E311" s="35" t="str">
        <x:v>Line</x:v>
      </x:c>
      <x:c r="F311" s="35"/>
      <x:c r="G311" s="35" t="str">
        <x:v>A</x:v>
      </x:c>
      <x:c r="H311" s="39" t="str">
        <x:f>IF(ISNUMBER('Data'!E311),'Data'!E311*100,"")</x:f>
      </x:c>
      <x:c r="I311" s="35"/>
      <x:c r="J311" s="35" t="str">
        <x:v>PASS</x:v>
      </x:c>
      <x:c r="K311" s="35" t="str">
        <x:v>FAIL</x:v>
      </x:c>
      <x:c r="L311" s="35" t="str">
        <x:v>NOT_RUN</x:v>
      </x:c>
      <x:c r="M311" s="35" t="str">
        <x:v>coverage unavailable or execution/compile failed</x:v>
      </x:c>
      <x:c r="N311" s="35" t="str">
        <x:v>Gemini-3.8-flash/Result/Compress_31/result.json</x:v>
      </x:c>
      <x:c r="O311" s="39" t="str">
        <x:f>IF(AND(G311="RECORDED",ISNUMBER(H311)),H311,"")</x:f>
      </x:c>
      <x:c r="P311" s="35" t="str">
        <x:v>NOT_AVAILABLE</x:v>
      </x:c>
      <x:c r="Q311" s="35" t="str">
        <x:v>Gemini-3.8-flash/Result/Compress_31/result.json</x:v>
      </x:c>
    </x:row>
    <x:row r="312">
      <x:c r="A312" s="35" t="str">
        <x:v>gemini</x:v>
      </x:c>
      <x:c r="B312" s="35" t="str">
        <x:v>Compress</x:v>
      </x:c>
      <x:c r="C312" s="35" t="str">
        <x:v>Round1</x:v>
      </x:c>
      <x:c r="D312" s="35" t="str">
        <x:v>Compress_32</x:v>
      </x:c>
      <x:c r="E312" s="35" t="str">
        <x:v>Line</x:v>
      </x:c>
      <x:c r="F312" s="35" t="n">
        <x:v>220</x:v>
      </x:c>
      <x:c r="G312" s="35" t="str">
        <x:v>RECORDED</x:v>
      </x:c>
      <x:c r="H312" s="39" t="n">
        <x:f>IF(ISNUMBER('Data'!E312),'Data'!E312*100,"")</x:f>
        <x:v>77.73</x:v>
      </x:c>
      <x:c r="I312" s="35" t="str">
        <x:v>PASS</x:v>
      </x:c>
      <x:c r="J312" s="35" t="str">
        <x:v>PASS</x:v>
      </x:c>
      <x:c r="K312" s="35" t="str">
        <x:v>PASS</x:v>
      </x:c>
      <x:c r="L312" s="35" t="str">
        <x:v>FAIL</x:v>
      </x:c>
      <x:c r="M312" s="35" t="str">
        <x:v>numeric coverage for applicable metric</x:v>
      </x:c>
      <x:c r="N312" s="35" t="str">
        <x:v>Gemini-3.8-flash/Result/Compress_32/result.json</x:v>
      </x:c>
      <x:c r="O312" s="39" t="n">
        <x:f>IF(AND(G312="RECORDED",ISNUMBER(H312)),H312,"")</x:f>
        <x:v>77.73</x:v>
      </x:c>
      <x:c r="P312" s="35" t="str">
        <x:v>INCONCLUSIVE</x:v>
      </x:c>
      <x:c r="Q312" s="35" t="str">
        <x:v>Gemini-3.8-flash/Result/Compress_32/result.json</x:v>
      </x:c>
    </x:row>
    <x:row r="313">
      <x:c r="A313" s="35" t="str">
        <x:v>gemini</x:v>
      </x:c>
      <x:c r="B313" s="35" t="str">
        <x:v>Compress</x:v>
      </x:c>
      <x:c r="C313" s="35" t="str">
        <x:v>Round1</x:v>
      </x:c>
      <x:c r="D313" s="35" t="str">
        <x:v>Compress_33</x:v>
      </x:c>
      <x:c r="E313" s="35" t="str">
        <x:v>Line</x:v>
      </x:c>
      <x:c r="F313" s="35" t="n">
        <x:v>96</x:v>
      </x:c>
      <x:c r="G313" s="35" t="str">
        <x:v>RECORDED</x:v>
      </x:c>
      <x:c r="H313" s="39" t="n">
        <x:f>IF(ISNUMBER('Data'!E313),'Data'!E313*100,"")</x:f>
        <x:v>77.08</x:v>
      </x:c>
      <x:c r="I313" s="35" t="str">
        <x:v>PASS</x:v>
      </x:c>
      <x:c r="J313" s="35" t="str">
        <x:v>PASS</x:v>
      </x:c>
      <x:c r="K313" s="35" t="str">
        <x:v>PASS</x:v>
      </x:c>
      <x:c r="L313" s="35" t="str">
        <x:v>FAIL</x:v>
      </x:c>
      <x:c r="M313" s="35" t="str">
        <x:v>numeric coverage for applicable metric</x:v>
      </x:c>
      <x:c r="N313" s="35" t="str">
        <x:v>Gemini-3.8-flash/Result/Compress_33/result.json</x:v>
      </x:c>
      <x:c r="O313" s="39" t="n">
        <x:f>IF(AND(G313="RECORDED",ISNUMBER(H313)),H313,"")</x:f>
        <x:v>77.08</x:v>
      </x:c>
      <x:c r="P313" s="35" t="str">
        <x:v>INCONCLUSIVE</x:v>
      </x:c>
      <x:c r="Q313" s="35" t="str">
        <x:v>Gemini-3.8-flash/Result/Compress_33/result.json</x:v>
      </x:c>
    </x:row>
    <x:row r="314">
      <x:c r="A314" s="35" t="str">
        <x:v>gemini</x:v>
      </x:c>
      <x:c r="B314" s="35" t="str">
        <x:v>Compress</x:v>
      </x:c>
      <x:c r="C314" s="35" t="str">
        <x:v>Round1</x:v>
      </x:c>
      <x:c r="D314" s="35" t="str">
        <x:v>Compress_34</x:v>
      </x:c>
      <x:c r="E314" s="35" t="str">
        <x:v>Line</x:v>
      </x:c>
      <x:c r="F314" s="35" t="n">
        <x:v>70</x:v>
      </x:c>
      <x:c r="G314" s="35" t="str">
        <x:v>RECORDED</x:v>
      </x:c>
      <x:c r="H314" s="39" t="n">
        <x:f>IF(ISNUMBER('Data'!E314),'Data'!E314*100,"")</x:f>
        <x:v>100</x:v>
      </x:c>
      <x:c r="I314" s="35" t="str">
        <x:v>PASS</x:v>
      </x:c>
      <x:c r="J314" s="35" t="str">
        <x:v>PASS</x:v>
      </x:c>
      <x:c r="K314" s="35" t="str">
        <x:v>PASS</x:v>
      </x:c>
      <x:c r="L314" s="35" t="str">
        <x:v>PASS</x:v>
      </x:c>
      <x:c r="M314" s="35" t="str">
        <x:v>numeric coverage for applicable metric</x:v>
      </x:c>
      <x:c r="N314" s="35" t="str">
        <x:v>Gemini-3.8-flash/Result/Compress_34/result.json</x:v>
      </x:c>
      <x:c r="O314" s="39" t="n">
        <x:f>IF(AND(G314="RECORDED",ISNUMBER(H314)),H314,"")</x:f>
        <x:v>100</x:v>
      </x:c>
      <x:c r="P314" s="35" t="str">
        <x:v>INCONCLUSIVE</x:v>
      </x:c>
      <x:c r="Q314" s="35" t="str">
        <x:v>Gemini-3.8-flash/Result/Compress_34/result.json</x:v>
      </x:c>
    </x:row>
    <x:row r="315">
      <x:c r="A315" s="35" t="str">
        <x:v>gemini</x:v>
      </x:c>
      <x:c r="B315" s="35" t="str">
        <x:v>Compress</x:v>
      </x:c>
      <x:c r="C315" s="35" t="str">
        <x:v>Round1</x:v>
      </x:c>
      <x:c r="D315" s="35" t="str">
        <x:v>Compress_35</x:v>
      </x:c>
      <x:c r="E315" s="35" t="str">
        <x:v>Line</x:v>
      </x:c>
      <x:c r="F315" s="35" t="n">
        <x:v>174</x:v>
      </x:c>
      <x:c r="G315" s="35" t="str">
        <x:v>RECORDED</x:v>
      </x:c>
      <x:c r="H315" s="39" t="n">
        <x:f>IF(ISNUMBER('Data'!E315),'Data'!E315*100,"")</x:f>
        <x:v>93.1</x:v>
      </x:c>
      <x:c r="I315" s="35" t="str">
        <x:v>PASS</x:v>
      </x:c>
      <x:c r="J315" s="35" t="str">
        <x:v>PASS</x:v>
      </x:c>
      <x:c r="K315" s="35" t="str">
        <x:v>PASS</x:v>
      </x:c>
      <x:c r="L315" s="35" t="str">
        <x:v>FAIL</x:v>
      </x:c>
      <x:c r="M315" s="35" t="str">
        <x:v>numeric coverage for applicable metric</x:v>
      </x:c>
      <x:c r="N315" s="35" t="str">
        <x:v>Gemini-3.8-flash/Result/Compress_35/result.json</x:v>
      </x:c>
      <x:c r="O315" s="39" t="n">
        <x:f>IF(AND(G315="RECORDED",ISNUMBER(H315)),H315,"")</x:f>
        <x:v>93.1</x:v>
      </x:c>
      <x:c r="P315" s="35" t="str">
        <x:v>INCONCLUSIVE</x:v>
      </x:c>
      <x:c r="Q315" s="35" t="str">
        <x:v>Gemini-3.8-flash/Result/Compress_35/result.json</x:v>
      </x:c>
    </x:row>
    <x:row r="316">
      <x:c r="A316" s="35" t="str">
        <x:v>gemini</x:v>
      </x:c>
      <x:c r="B316" s="35" t="str">
        <x:v>Compress</x:v>
      </x:c>
      <x:c r="C316" s="35" t="str">
        <x:v>Round1</x:v>
      </x:c>
      <x:c r="D316" s="35" t="str">
        <x:v>Compress_36</x:v>
      </x:c>
      <x:c r="E316" s="35" t="str">
        <x:v>Line</x:v>
      </x:c>
      <x:c r="F316" s="35" t="n">
        <x:v>533</x:v>
      </x:c>
      <x:c r="G316" s="35" t="str">
        <x:v>RECORDED</x:v>
      </x:c>
      <x:c r="H316" s="39" t="n">
        <x:f>IF(ISNUMBER('Data'!E316),'Data'!E316*100,"")</x:f>
        <x:v>61.15999999999999</x:v>
      </x:c>
      <x:c r="I316" s="35" t="str">
        <x:v>PASS</x:v>
      </x:c>
      <x:c r="J316" s="35" t="str">
        <x:v>PASS</x:v>
      </x:c>
      <x:c r="K316" s="35" t="str">
        <x:v>PASS</x:v>
      </x:c>
      <x:c r="L316" s="35" t="str">
        <x:v>FAIL</x:v>
      </x:c>
      <x:c r="M316" s="35" t="str">
        <x:v>numeric coverage for applicable metric</x:v>
      </x:c>
      <x:c r="N316" s="35" t="str">
        <x:v>Gemini-3.8-flash/Result/Compress_36/result.json</x:v>
      </x:c>
      <x:c r="O316" s="39" t="n">
        <x:f>IF(AND(G316="RECORDED",ISNUMBER(H316)),H316,"")</x:f>
        <x:v>61.15999999999999</x:v>
      </x:c>
      <x:c r="P316" s="35" t="str">
        <x:v>INCONCLUSIVE</x:v>
      </x:c>
      <x:c r="Q316" s="35" t="str">
        <x:v>Gemini-3.8-flash/Result/Compress_36/result.json</x:v>
      </x:c>
    </x:row>
    <x:row r="317">
      <x:c r="A317" s="35" t="str">
        <x:v>gemini</x:v>
      </x:c>
      <x:c r="B317" s="35" t="str">
        <x:v>Compress</x:v>
      </x:c>
      <x:c r="C317" s="35" t="str">
        <x:v>Round1</x:v>
      </x:c>
      <x:c r="D317" s="35" t="str">
        <x:v>Compress_37</x:v>
      </x:c>
      <x:c r="E317" s="35" t="str">
        <x:v>Line</x:v>
      </x:c>
      <x:c r="F317" s="35"/>
      <x:c r="G317" s="35" t="str">
        <x:v>A</x:v>
      </x:c>
      <x:c r="H317" s="39" t="str">
        <x:f>IF(ISNUMBER('Data'!E317),'Data'!E317*100,"")</x:f>
      </x:c>
      <x:c r="I317" s="35"/>
      <x:c r="J317" s="35" t="str">
        <x:v>PASS</x:v>
      </x:c>
      <x:c r="K317" s="35" t="str">
        <x:v>FAIL</x:v>
      </x:c>
      <x:c r="L317" s="35" t="str">
        <x:v>NOT_RUN</x:v>
      </x:c>
      <x:c r="M317" s="35" t="str">
        <x:v>coverage unavailable or execution/compile failed</x:v>
      </x:c>
      <x:c r="N317" s="35" t="str">
        <x:v>Gemini-3.8-flash/Result/Compress_37/result.json</x:v>
      </x:c>
      <x:c r="O317" s="39" t="str">
        <x:f>IF(AND(G317="RECORDED",ISNUMBER(H317)),H317,"")</x:f>
      </x:c>
      <x:c r="P317" s="35" t="str">
        <x:v>NOT_AVAILABLE</x:v>
      </x:c>
      <x:c r="Q317" s="35" t="str">
        <x:v>Gemini-3.8-flash/Result/Compress_37/result.json</x:v>
      </x:c>
    </x:row>
    <x:row r="318">
      <x:c r="A318" s="35" t="str">
        <x:v>gemini</x:v>
      </x:c>
      <x:c r="B318" s="35" t="str">
        <x:v>Compress</x:v>
      </x:c>
      <x:c r="C318" s="35" t="str">
        <x:v>Round1</x:v>
      </x:c>
      <x:c r="D318" s="35" t="str">
        <x:v>Compress_38</x:v>
      </x:c>
      <x:c r="E318" s="35" t="str">
        <x:v>Line</x:v>
      </x:c>
      <x:c r="F318" s="35"/>
      <x:c r="G318" s="35" t="str">
        <x:v>A</x:v>
      </x:c>
      <x:c r="H318" s="39" t="str">
        <x:f>IF(ISNUMBER('Data'!E318),'Data'!E318*100,"")</x:f>
      </x:c>
      <x:c r="I318" s="35"/>
      <x:c r="J318" s="35" t="str">
        <x:v>PASS</x:v>
      </x:c>
      <x:c r="K318" s="35" t="str">
        <x:v>FAIL</x:v>
      </x:c>
      <x:c r="L318" s="35" t="str">
        <x:v>NOT_RUN</x:v>
      </x:c>
      <x:c r="M318" s="35" t="str">
        <x:v>coverage unavailable or execution/compile failed</x:v>
      </x:c>
      <x:c r="N318" s="35" t="str">
        <x:v>Gemini-3.8-flash/Result/Compress_38/result.json</x:v>
      </x:c>
      <x:c r="O318" s="39" t="str">
        <x:f>IF(AND(G318="RECORDED",ISNUMBER(H318)),H318,"")</x:f>
      </x:c>
      <x:c r="P318" s="35" t="str">
        <x:v>NOT_AVAILABLE</x:v>
      </x:c>
      <x:c r="Q318" s="35" t="str">
        <x:v>Gemini-3.8-flash/Result/Compress_38/result.json</x:v>
      </x:c>
    </x:row>
    <x:row r="319">
      <x:c r="A319" s="35" t="str">
        <x:v>gemini</x:v>
      </x:c>
      <x:c r="B319" s="35" t="str">
        <x:v>Compress</x:v>
      </x:c>
      <x:c r="C319" s="35" t="str">
        <x:v>Round1</x:v>
      </x:c>
      <x:c r="D319" s="35" t="str">
        <x:v>Compress_39</x:v>
      </x:c>
      <x:c r="E319" s="35" t="str">
        <x:v>Line</x:v>
      </x:c>
      <x:c r="F319" s="35" t="n">
        <x:v>62</x:v>
      </x:c>
      <x:c r="G319" s="35" t="str">
        <x:v>RECORDED</x:v>
      </x:c>
      <x:c r="H319" s="39" t="n">
        <x:f>IF(ISNUMBER('Data'!E319),'Data'!E319*100,"")</x:f>
        <x:v>87.1</x:v>
      </x:c>
      <x:c r="I319" s="35" t="str">
        <x:v>PASS</x:v>
      </x:c>
      <x:c r="J319" s="35" t="str">
        <x:v>PASS</x:v>
      </x:c>
      <x:c r="K319" s="35" t="str">
        <x:v>PASS</x:v>
      </x:c>
      <x:c r="L319" s="35" t="str">
        <x:v>PASS</x:v>
      </x:c>
      <x:c r="M319" s="35" t="str">
        <x:v>numeric coverage for applicable metric</x:v>
      </x:c>
      <x:c r="N319" s="35" t="str">
        <x:v>Gemini-3.8-flash/Result/Compress_39/result.json</x:v>
      </x:c>
      <x:c r="O319" s="39" t="n">
        <x:f>IF(AND(G319="RECORDED",ISNUMBER(H319)),H319,"")</x:f>
        <x:v>87.1</x:v>
      </x:c>
      <x:c r="P319" s="35" t="str">
        <x:v>NOT_REVEALING</x:v>
      </x:c>
      <x:c r="Q319" s="35" t="str">
        <x:v>Gemini-3.8-flash/Result/Compress_39/result.json</x:v>
      </x:c>
    </x:row>
    <x:row r="320">
      <x:c r="A320" s="35" t="str">
        <x:v>gemini</x:v>
      </x:c>
      <x:c r="B320" s="35" t="str">
        <x:v>Compress</x:v>
      </x:c>
      <x:c r="C320" s="35" t="str">
        <x:v>Round1</x:v>
      </x:c>
      <x:c r="D320" s="35" t="str">
        <x:v>Compress_4</x:v>
      </x:c>
      <x:c r="E320" s="35" t="str">
        <x:v>Line</x:v>
      </x:c>
      <x:c r="F320" s="35"/>
      <x:c r="G320" s="35" t="str">
        <x:v>A</x:v>
      </x:c>
      <x:c r="H320" s="39" t="str">
        <x:f>IF(ISNUMBER('Data'!E320),'Data'!E320*100,"")</x:f>
      </x:c>
      <x:c r="I320" s="35"/>
      <x:c r="J320" s="35" t="str">
        <x:v>PASS</x:v>
      </x:c>
      <x:c r="K320" s="35" t="str">
        <x:v>FAIL</x:v>
      </x:c>
      <x:c r="L320" s="35" t="str">
        <x:v>NOT_RUN</x:v>
      </x:c>
      <x:c r="M320" s="35" t="str">
        <x:v>coverage unavailable or execution/compile failed</x:v>
      </x:c>
      <x:c r="N320" s="35" t="str">
        <x:v>Gemini-3.8-flash/Result/Compress_4/result.json</x:v>
      </x:c>
      <x:c r="O320" s="39" t="str">
        <x:f>IF(AND(G320="RECORDED",ISNUMBER(H320)),H320,"")</x:f>
      </x:c>
      <x:c r="P320" s="35" t="str">
        <x:v>NOT_AVAILABLE</x:v>
      </x:c>
      <x:c r="Q320" s="35" t="str">
        <x:v>Gemini-3.8-flash/Result/Compress_4/result.json</x:v>
      </x:c>
    </x:row>
    <x:row r="321">
      <x:c r="A321" s="35" t="str">
        <x:v>gemini</x:v>
      </x:c>
      <x:c r="B321" s="35" t="str">
        <x:v>Compress</x:v>
      </x:c>
      <x:c r="C321" s="35" t="str">
        <x:v>Round1</x:v>
      </x:c>
      <x:c r="D321" s="35" t="str">
        <x:v>Compress_40</x:v>
      </x:c>
      <x:c r="E321" s="35" t="str">
        <x:v>Line</x:v>
      </x:c>
      <x:c r="F321" s="35" t="n">
        <x:v>33</x:v>
      </x:c>
      <x:c r="G321" s="35" t="str">
        <x:v>RECORDED</x:v>
      </x:c>
      <x:c r="H321" s="39" t="n">
        <x:f>IF(ISNUMBER('Data'!E321),'Data'!E321*100,"")</x:f>
        <x:v>100</x:v>
      </x:c>
      <x:c r="I321" s="35" t="str">
        <x:v>PASS</x:v>
      </x:c>
      <x:c r="J321" s="35" t="str">
        <x:v>PASS</x:v>
      </x:c>
      <x:c r="K321" s="35" t="str">
        <x:v>PASS</x:v>
      </x:c>
      <x:c r="L321" s="35" t="str">
        <x:v>FAIL</x:v>
      </x:c>
      <x:c r="M321" s="35" t="str">
        <x:v>numeric coverage for applicable metric</x:v>
      </x:c>
      <x:c r="N321" s="35" t="str">
        <x:v>Gemini-3.8-flash/Result/Compress_40/result.json</x:v>
      </x:c>
      <x:c r="O321" s="39" t="n">
        <x:f>IF(AND(G321="RECORDED",ISNUMBER(H321)),H321,"")</x:f>
        <x:v>100</x:v>
      </x:c>
      <x:c r="P321" s="35" t="str">
        <x:v>INCONCLUSIVE</x:v>
      </x:c>
      <x:c r="Q321" s="35" t="str">
        <x:v>Gemini-3.8-flash/Result/Compress_40/result.json</x:v>
      </x:c>
    </x:row>
    <x:row r="322">
      <x:c r="A322" s="35" t="str">
        <x:v>gemini</x:v>
      </x:c>
      <x:c r="B322" s="35" t="str">
        <x:v>Compress</x:v>
      </x:c>
      <x:c r="C322" s="35" t="str">
        <x:v>Round1</x:v>
      </x:c>
      <x:c r="D322" s="35" t="str">
        <x:v>Compress_41</x:v>
      </x:c>
      <x:c r="E322" s="35" t="str">
        <x:v>Line</x:v>
      </x:c>
      <x:c r="F322" s="35" t="n">
        <x:v>412</x:v>
      </x:c>
      <x:c r="G322" s="35" t="str">
        <x:v>RECORDED</x:v>
      </x:c>
      <x:c r="H322" s="39" t="n">
        <x:f>IF(ISNUMBER('Data'!E322),'Data'!E322*100,"")</x:f>
        <x:v>68.93</x:v>
      </x:c>
      <x:c r="I322" s="35" t="str">
        <x:v>PASS</x:v>
      </x:c>
      <x:c r="J322" s="35" t="str">
        <x:v>PASS</x:v>
      </x:c>
      <x:c r="K322" s="35" t="str">
        <x:v>PASS</x:v>
      </x:c>
      <x:c r="L322" s="35" t="str">
        <x:v>FAIL</x:v>
      </x:c>
      <x:c r="M322" s="35" t="str">
        <x:v>numeric coverage for applicable metric</x:v>
      </x:c>
      <x:c r="N322" s="35" t="str">
        <x:v>Gemini-3.8-flash/Result/Compress_41/result.json</x:v>
      </x:c>
      <x:c r="O322" s="39" t="n">
        <x:f>IF(AND(G322="RECORDED",ISNUMBER(H322)),H322,"")</x:f>
        <x:v>68.93</x:v>
      </x:c>
      <x:c r="P322" s="35" t="str">
        <x:v>INCONCLUSIVE</x:v>
      </x:c>
      <x:c r="Q322" s="35" t="str">
        <x:v>Gemini-3.8-flash/Result/Compress_41/result.json</x:v>
      </x:c>
    </x:row>
    <x:row r="323">
      <x:c r="A323" s="35" t="str">
        <x:v>gemini</x:v>
      </x:c>
      <x:c r="B323" s="35" t="str">
        <x:v>Compress</x:v>
      </x:c>
      <x:c r="C323" s="35" t="str">
        <x:v>Round1</x:v>
      </x:c>
      <x:c r="D323" s="35" t="str">
        <x:v>Compress_42</x:v>
      </x:c>
      <x:c r="E323" s="35" t="str">
        <x:v>Line</x:v>
      </x:c>
      <x:c r="F323" s="35" t="n">
        <x:v>244</x:v>
      </x:c>
      <x:c r="G323" s="35" t="str">
        <x:v>RECORDED</x:v>
      </x:c>
      <x:c r="H323" s="39" t="n">
        <x:f>IF(ISNUMBER('Data'!E323),'Data'!E323*100,"")</x:f>
        <x:v>89.34</x:v>
      </x:c>
      <x:c r="I323" s="35" t="str">
        <x:v>PASS</x:v>
      </x:c>
      <x:c r="J323" s="35" t="str">
        <x:v>PASS</x:v>
      </x:c>
      <x:c r="K323" s="35" t="str">
        <x:v>PASS</x:v>
      </x:c>
      <x:c r="L323" s="35" t="str">
        <x:v>FAIL</x:v>
      </x:c>
      <x:c r="M323" s="35" t="str">
        <x:v>numeric coverage for applicable metric</x:v>
      </x:c>
      <x:c r="N323" s="35" t="str">
        <x:v>Gemini-3.8-flash/Result/Compress_42/result.json</x:v>
      </x:c>
      <x:c r="O323" s="39" t="n">
        <x:f>IF(AND(G323="RECORDED",ISNUMBER(H323)),H323,"")</x:f>
        <x:v>89.34</x:v>
      </x:c>
      <x:c r="P323" s="35" t="str">
        <x:v>INCONCLUSIVE</x:v>
      </x:c>
      <x:c r="Q323" s="35" t="str">
        <x:v>Gemini-3.8-flash/Result/Compress_42/result.json</x:v>
      </x:c>
    </x:row>
    <x:row r="324">
      <x:c r="A324" s="35" t="str">
        <x:v>gemini</x:v>
      </x:c>
      <x:c r="B324" s="35" t="str">
        <x:v>Compress</x:v>
      </x:c>
      <x:c r="C324" s="35" t="str">
        <x:v>Round1</x:v>
      </x:c>
      <x:c r="D324" s="35" t="str">
        <x:v>Compress_43</x:v>
      </x:c>
      <x:c r="E324" s="35" t="str">
        <x:v>Line</x:v>
      </x:c>
      <x:c r="F324" s="35" t="n">
        <x:v>533</x:v>
      </x:c>
      <x:c r="G324" s="35" t="str">
        <x:v>RECORDED</x:v>
      </x:c>
      <x:c r="H324" s="39" t="n">
        <x:f>IF(ISNUMBER('Data'!E324),'Data'!E324*100,"")</x:f>
        <x:v>55.16</x:v>
      </x:c>
      <x:c r="I324" s="35" t="str">
        <x:v>PASS</x:v>
      </x:c>
      <x:c r="J324" s="35" t="str">
        <x:v>PASS</x:v>
      </x:c>
      <x:c r="K324" s="35" t="str">
        <x:v>PASS</x:v>
      </x:c>
      <x:c r="L324" s="35" t="str">
        <x:v>FAIL</x:v>
      </x:c>
      <x:c r="M324" s="35" t="str">
        <x:v>numeric coverage for applicable metric</x:v>
      </x:c>
      <x:c r="N324" s="35" t="str">
        <x:v>Gemini-3.8-flash/Result/Compress_43/result.json</x:v>
      </x:c>
      <x:c r="O324" s="39" t="n">
        <x:f>IF(AND(G324="RECORDED",ISNUMBER(H324)),H324,"")</x:f>
        <x:v>55.16</x:v>
      </x:c>
      <x:c r="P324" s="35" t="str">
        <x:v>INCONCLUSIVE</x:v>
      </x:c>
      <x:c r="Q324" s="35" t="str">
        <x:v>Gemini-3.8-flash/Result/Compress_43/result.json</x:v>
      </x:c>
    </x:row>
    <x:row r="325">
      <x:c r="A325" s="35" t="str">
        <x:v>gemini</x:v>
      </x:c>
      <x:c r="B325" s="35" t="str">
        <x:v>Compress</x:v>
      </x:c>
      <x:c r="C325" s="35" t="str">
        <x:v>Round1</x:v>
      </x:c>
      <x:c r="D325" s="35" t="str">
        <x:v>Compress_44</x:v>
      </x:c>
      <x:c r="E325" s="35" t="str">
        <x:v>Line</x:v>
      </x:c>
      <x:c r="F325" s="35" t="n">
        <x:v>17</x:v>
      </x:c>
      <x:c r="G325" s="35" t="str">
        <x:v>RECORDED</x:v>
      </x:c>
      <x:c r="H325" s="39" t="n">
        <x:f>IF(ISNUMBER('Data'!E325),'Data'!E325*100,"")</x:f>
        <x:v>100</x:v>
      </x:c>
      <x:c r="I325" s="35" t="str">
        <x:v>PASS</x:v>
      </x:c>
      <x:c r="J325" s="35" t="str">
        <x:v>PASS</x:v>
      </x:c>
      <x:c r="K325" s="35" t="str">
        <x:v>PASS</x:v>
      </x:c>
      <x:c r="L325" s="35" t="str">
        <x:v>PASS</x:v>
      </x:c>
      <x:c r="M325" s="35" t="str">
        <x:v>numeric coverage for applicable metric</x:v>
      </x:c>
      <x:c r="N325" s="35" t="str">
        <x:v>Gemini-3.8-flash/Result/Compress_44/result.json</x:v>
      </x:c>
      <x:c r="O325" s="39" t="n">
        <x:f>IF(AND(G325="RECORDED",ISNUMBER(H325)),H325,"")</x:f>
        <x:v>100</x:v>
      </x:c>
      <x:c r="P325" s="35" t="str">
        <x:v>INCONCLUSIVE</x:v>
      </x:c>
      <x:c r="Q325" s="35" t="str">
        <x:v>Gemini-3.8-flash/Result/Compress_44/result.json</x:v>
      </x:c>
    </x:row>
    <x:row r="326">
      <x:c r="A326" s="35" t="str">
        <x:v>gemini</x:v>
      </x:c>
      <x:c r="B326" s="35" t="str">
        <x:v>Compress</x:v>
      </x:c>
      <x:c r="C326" s="35" t="str">
        <x:v>Round1</x:v>
      </x:c>
      <x:c r="D326" s="35" t="str">
        <x:v>Compress_45</x:v>
      </x:c>
      <x:c r="E326" s="35" t="str">
        <x:v>Line</x:v>
      </x:c>
      <x:c r="F326" s="35" t="n">
        <x:v>171</x:v>
      </x:c>
      <x:c r="G326" s="35" t="str">
        <x:v>RECORDED</x:v>
      </x:c>
      <x:c r="H326" s="39" t="n">
        <x:f>IF(ISNUMBER('Data'!E326),'Data'!E326*100,"")</x:f>
        <x:v>77.19</x:v>
      </x:c>
      <x:c r="I326" s="35" t="str">
        <x:v>PASS</x:v>
      </x:c>
      <x:c r="J326" s="35" t="str">
        <x:v>PASS</x:v>
      </x:c>
      <x:c r="K326" s="35" t="str">
        <x:v>PASS</x:v>
      </x:c>
      <x:c r="L326" s="35" t="str">
        <x:v>FAIL</x:v>
      </x:c>
      <x:c r="M326" s="35" t="str">
        <x:v>numeric coverage for applicable metric</x:v>
      </x:c>
      <x:c r="N326" s="35" t="str">
        <x:v>Gemini-3.8-flash/Result/Compress_45/result.json</x:v>
      </x:c>
      <x:c r="O326" s="39" t="n">
        <x:f>IF(AND(G326="RECORDED",ISNUMBER(H326)),H326,"")</x:f>
        <x:v>77.19</x:v>
      </x:c>
      <x:c r="P326" s="35" t="str">
        <x:v>INCONCLUSIVE</x:v>
      </x:c>
      <x:c r="Q326" s="35" t="str">
        <x:v>Gemini-3.8-flash/Result/Compress_45/result.json</x:v>
      </x:c>
    </x:row>
    <x:row r="327">
      <x:c r="A327" s="35" t="str">
        <x:v>gemini</x:v>
      </x:c>
      <x:c r="B327" s="35" t="str">
        <x:v>Compress</x:v>
      </x:c>
      <x:c r="C327" s="35" t="str">
        <x:v>Round1</x:v>
      </x:c>
      <x:c r="D327" s="35" t="str">
        <x:v>Compress_46</x:v>
      </x:c>
      <x:c r="E327" s="35" t="str">
        <x:v>Line</x:v>
      </x:c>
      <x:c r="F327" s="35" t="n">
        <x:v>119</x:v>
      </x:c>
      <x:c r="G327" s="35" t="str">
        <x:v>RECORDED</x:v>
      </x:c>
      <x:c r="H327" s="39" t="n">
        <x:f>IF(ISNUMBER('Data'!E327),'Data'!E327*100,"")</x:f>
        <x:v>89.92</x:v>
      </x:c>
      <x:c r="I327" s="35" t="str">
        <x:v>PASS</x:v>
      </x:c>
      <x:c r="J327" s="35" t="str">
        <x:v>PASS</x:v>
      </x:c>
      <x:c r="K327" s="35" t="str">
        <x:v>PASS</x:v>
      </x:c>
      <x:c r="L327" s="35" t="str">
        <x:v>PASS</x:v>
      </x:c>
      <x:c r="M327" s="35" t="str">
        <x:v>numeric coverage for applicable metric</x:v>
      </x:c>
      <x:c r="N327" s="35" t="str">
        <x:v>Gemini-3.8-flash/Result/Compress_46/result.json</x:v>
      </x:c>
      <x:c r="O327" s="39" t="n">
        <x:f>IF(AND(G327="RECORDED",ISNUMBER(H327)),H327,"")</x:f>
        <x:v>89.92</x:v>
      </x:c>
      <x:c r="P327" s="35" t="str">
        <x:v>NOT_REVEALING</x:v>
      </x:c>
      <x:c r="Q327" s="35" t="str">
        <x:v>Gemini-3.8-flash/Result/Compress_46/result.json</x:v>
      </x:c>
    </x:row>
    <x:row r="328">
      <x:c r="A328" s="35" t="str">
        <x:v>gemini</x:v>
      </x:c>
      <x:c r="B328" s="35" t="str">
        <x:v>Compress</x:v>
      </x:c>
      <x:c r="C328" s="35" t="str">
        <x:v>Round1</x:v>
      </x:c>
      <x:c r="D328" s="35" t="str">
        <x:v>Compress_47</x:v>
      </x:c>
      <x:c r="E328" s="35" t="str">
        <x:v>Line</x:v>
      </x:c>
      <x:c r="F328" s="35" t="n">
        <x:v>430</x:v>
      </x:c>
      <x:c r="G328" s="35" t="str">
        <x:v>RECORDED</x:v>
      </x:c>
      <x:c r="H328" s="39" t="n">
        <x:f>IF(ISNUMBER('Data'!E328),'Data'!E328*100,"")</x:f>
        <x:v>56.98</x:v>
      </x:c>
      <x:c r="I328" s="35" t="str">
        <x:v>PASS</x:v>
      </x:c>
      <x:c r="J328" s="35" t="str">
        <x:v>PASS</x:v>
      </x:c>
      <x:c r="K328" s="35" t="str">
        <x:v>PASS</x:v>
      </x:c>
      <x:c r="L328" s="35" t="str">
        <x:v>PASS</x:v>
      </x:c>
      <x:c r="M328" s="35" t="str">
        <x:v>numeric coverage for applicable metric</x:v>
      </x:c>
      <x:c r="N328" s="35" t="str">
        <x:v>Gemini-3.8-flash/Result/Compress_47/result.json</x:v>
      </x:c>
      <x:c r="O328" s="39" t="n">
        <x:f>IF(AND(G328="RECORDED",ISNUMBER(H328)),H328,"")</x:f>
        <x:v>56.98</x:v>
      </x:c>
      <x:c r="P328" s="35" t="str">
        <x:v>NOT_REVEALING</x:v>
      </x:c>
      <x:c r="Q328" s="35" t="str">
        <x:v>Gemini-3.8-flash/Result/Compress_47/result.json</x:v>
      </x:c>
    </x:row>
    <x:row r="329">
      <x:c r="A329" s="35" t="str">
        <x:v>gemini</x:v>
      </x:c>
      <x:c r="B329" s="35" t="str">
        <x:v>Compress</x:v>
      </x:c>
      <x:c r="C329" s="35" t="str">
        <x:v>Round1</x:v>
      </x:c>
      <x:c r="D329" s="35" t="str">
        <x:v>Compress_5</x:v>
      </x:c>
      <x:c r="E329" s="35" t="str">
        <x:v>Line</x:v>
      </x:c>
      <x:c r="F329" s="35" t="n">
        <x:v>161</x:v>
      </x:c>
      <x:c r="G329" s="35" t="str">
        <x:v>RECORDED</x:v>
      </x:c>
      <x:c r="H329" s="39" t="n">
        <x:f>IF(ISNUMBER('Data'!E329),'Data'!E329*100,"")</x:f>
        <x:v>96.27</x:v>
      </x:c>
      <x:c r="I329" s="35" t="str">
        <x:v>PASS</x:v>
      </x:c>
      <x:c r="J329" s="35" t="str">
        <x:v>PASS</x:v>
      </x:c>
      <x:c r="K329" s="35" t="str">
        <x:v>PASS</x:v>
      </x:c>
      <x:c r="L329" s="35" t="str">
        <x:v>FAIL</x:v>
      </x:c>
      <x:c r="M329" s="35" t="str">
        <x:v>numeric coverage for applicable metric</x:v>
      </x:c>
      <x:c r="N329" s="35" t="str">
        <x:v>Gemini-3.8-flash/Result/Compress_5/result.json</x:v>
      </x:c>
      <x:c r="O329" s="39" t="n">
        <x:f>IF(AND(G329="RECORDED",ISNUMBER(H329)),H329,"")</x:f>
        <x:v>96.27</x:v>
      </x:c>
      <x:c r="P329" s="35" t="str">
        <x:v>INCONCLUSIVE</x:v>
      </x:c>
      <x:c r="Q329" s="35" t="str">
        <x:v>Gemini-3.8-flash/Result/Compress_5/result.json</x:v>
      </x:c>
    </x:row>
    <x:row r="330">
      <x:c r="A330" s="35" t="str">
        <x:v>gemini</x:v>
      </x:c>
      <x:c r="B330" s="35" t="str">
        <x:v>Compress</x:v>
      </x:c>
      <x:c r="C330" s="35" t="str">
        <x:v>Round1</x:v>
      </x:c>
      <x:c r="D330" s="35" t="str">
        <x:v>Compress_6</x:v>
      </x:c>
      <x:c r="E330" s="35" t="str">
        <x:v>Line</x:v>
      </x:c>
      <x:c r="F330" s="35" t="n">
        <x:v>136</x:v>
      </x:c>
      <x:c r="G330" s="35" t="str">
        <x:v>RECORDED</x:v>
      </x:c>
      <x:c r="H330" s="39" t="n">
        <x:f>IF(ISNUMBER('Data'!E330),'Data'!E330*100,"")</x:f>
        <x:v>94.85</x:v>
      </x:c>
      <x:c r="I330" s="35" t="str">
        <x:v>PASS</x:v>
      </x:c>
      <x:c r="J330" s="35" t="str">
        <x:v>PASS</x:v>
      </x:c>
      <x:c r="K330" s="35" t="str">
        <x:v>PASS</x:v>
      </x:c>
      <x:c r="L330" s="35" t="str">
        <x:v>FAIL</x:v>
      </x:c>
      <x:c r="M330" s="35" t="str">
        <x:v>numeric coverage for applicable metric</x:v>
      </x:c>
      <x:c r="N330" s="35" t="str">
        <x:v>Gemini-3.8-flash/Result/Compress_6/result.json</x:v>
      </x:c>
      <x:c r="O330" s="39" t="n">
        <x:f>IF(AND(G330="RECORDED",ISNUMBER(H330)),H330,"")</x:f>
        <x:v>94.85</x:v>
      </x:c>
      <x:c r="P330" s="35" t="str">
        <x:v>INCONCLUSIVE</x:v>
      </x:c>
      <x:c r="Q330" s="35" t="str">
        <x:v>Gemini-3.8-flash/Result/Compress_6/result.json</x:v>
      </x:c>
    </x:row>
    <x:row r="331">
      <x:c r="A331" s="35" t="str">
        <x:v>gemini</x:v>
      </x:c>
      <x:c r="B331" s="35" t="str">
        <x:v>Compress</x:v>
      </x:c>
      <x:c r="C331" s="35" t="str">
        <x:v>Round1</x:v>
      </x:c>
      <x:c r="D331" s="35" t="str">
        <x:v>Compress_7</x:v>
      </x:c>
      <x:c r="E331" s="35" t="str">
        <x:v>Line</x:v>
      </x:c>
      <x:c r="F331" s="35"/>
      <x:c r="G331" s="35" t="str">
        <x:v>A</x:v>
      </x:c>
      <x:c r="H331" s="39" t="str">
        <x:f>IF(ISNUMBER('Data'!E331),'Data'!E331*100,"")</x:f>
      </x:c>
      <x:c r="I331" s="35"/>
      <x:c r="J331" s="35" t="str">
        <x:v>PASS</x:v>
      </x:c>
      <x:c r="K331" s="35" t="str">
        <x:v>FAIL</x:v>
      </x:c>
      <x:c r="L331" s="35" t="str">
        <x:v>NOT_RUN</x:v>
      </x:c>
      <x:c r="M331" s="35" t="str">
        <x:v>coverage unavailable or execution/compile failed</x:v>
      </x:c>
      <x:c r="N331" s="35" t="str">
        <x:v>Gemini-3.8-flash/Result/Compress_7/result.json</x:v>
      </x:c>
      <x:c r="O331" s="39" t="str">
        <x:f>IF(AND(G331="RECORDED",ISNUMBER(H331)),H331,"")</x:f>
      </x:c>
      <x:c r="P331" s="35" t="str">
        <x:v>NOT_AVAILABLE</x:v>
      </x:c>
      <x:c r="Q331" s="35" t="str">
        <x:v>Gemini-3.8-flash/Result/Compress_7/result.json</x:v>
      </x:c>
    </x:row>
    <x:row r="332">
      <x:c r="A332" s="35" t="str">
        <x:v>gemini</x:v>
      </x:c>
      <x:c r="B332" s="35" t="str">
        <x:v>Compress</x:v>
      </x:c>
      <x:c r="C332" s="35" t="str">
        <x:v>Round1</x:v>
      </x:c>
      <x:c r="D332" s="35" t="str">
        <x:v>Compress_8</x:v>
      </x:c>
      <x:c r="E332" s="35" t="str">
        <x:v>Line</x:v>
      </x:c>
      <x:c r="F332" s="35" t="n">
        <x:v>70</x:v>
      </x:c>
      <x:c r="G332" s="35" t="str">
        <x:v>RECORDED</x:v>
      </x:c>
      <x:c r="H332" s="39" t="n">
        <x:f>IF(ISNUMBER('Data'!E332),'Data'!E332*100,"")</x:f>
        <x:v>100</x:v>
      </x:c>
      <x:c r="I332" s="35" t="str">
        <x:v>PASS</x:v>
      </x:c>
      <x:c r="J332" s="35" t="str">
        <x:v>PASS</x:v>
      </x:c>
      <x:c r="K332" s="35" t="str">
        <x:v>PASS</x:v>
      </x:c>
      <x:c r="L332" s="35" t="str">
        <x:v>PASS</x:v>
      </x:c>
      <x:c r="M332" s="35" t="str">
        <x:v>numeric coverage for applicable metric</x:v>
      </x:c>
      <x:c r="N332" s="35" t="str">
        <x:v>Gemini-3.8-flash/Result/Compress_8/result.json</x:v>
      </x:c>
      <x:c r="O332" s="39" t="n">
        <x:f>IF(AND(G332="RECORDED",ISNUMBER(H332)),H332,"")</x:f>
        <x:v>100</x:v>
      </x:c>
      <x:c r="P332" s="35" t="str">
        <x:v>INCONCLUSIVE</x:v>
      </x:c>
      <x:c r="Q332" s="35" t="str">
        <x:v>Gemini-3.8-flash/Result/Compress_8/result.json</x:v>
      </x:c>
    </x:row>
    <x:row r="333">
      <x:c r="A333" s="35" t="str">
        <x:v>gemini</x:v>
      </x:c>
      <x:c r="B333" s="35" t="str">
        <x:v>Compress</x:v>
      </x:c>
      <x:c r="C333" s="35" t="str">
        <x:v>Round1</x:v>
      </x:c>
      <x:c r="D333" s="35" t="str">
        <x:v>Compress_9</x:v>
      </x:c>
      <x:c r="E333" s="35" t="str">
        <x:v>Line</x:v>
      </x:c>
      <x:c r="F333" s="35" t="n">
        <x:v>110</x:v>
      </x:c>
      <x:c r="G333" s="35" t="str">
        <x:v>RECORDED</x:v>
      </x:c>
      <x:c r="H333" s="39" t="n">
        <x:f>IF(ISNUMBER('Data'!E333),'Data'!E333*100,"")</x:f>
        <x:v>100</x:v>
      </x:c>
      <x:c r="I333" s="35" t="str">
        <x:v>PASS</x:v>
      </x:c>
      <x:c r="J333" s="35" t="str">
        <x:v>PASS</x:v>
      </x:c>
      <x:c r="K333" s="35" t="str">
        <x:v>PASS</x:v>
      </x:c>
      <x:c r="L333" s="35" t="str">
        <x:v>PASS</x:v>
      </x:c>
      <x:c r="M333" s="35" t="str">
        <x:v>numeric coverage for applicable metric</x:v>
      </x:c>
      <x:c r="N333" s="35" t="str">
        <x:v>Gemini-3.8-flash/Result/Compress_9/result.json</x:v>
      </x:c>
      <x:c r="O333" s="39" t="n">
        <x:f>IF(AND(G333="RECORDED",ISNUMBER(H333)),H333,"")</x:f>
        <x:v>100</x:v>
      </x:c>
      <x:c r="P333" s="35" t="str">
        <x:v>NOT_REVEALING</x:v>
      </x:c>
      <x:c r="Q333" s="35" t="str">
        <x:v>Gemini-3.8-flash/Result/Compress_9/result.json</x:v>
      </x:c>
    </x:row>
    <x:row r="334">
      <x:c r="A334" s="35" t="str">
        <x:v>gemini</x:v>
      </x:c>
      <x:c r="B334" s="35" t="str">
        <x:v>Csv</x:v>
      </x:c>
      <x:c r="C334" s="35" t="str">
        <x:v>Round1</x:v>
      </x:c>
      <x:c r="D334" s="35" t="str">
        <x:v>Csv_1</x:v>
      </x:c>
      <x:c r="E334" s="35" t="str">
        <x:v>Line</x:v>
      </x:c>
      <x:c r="F334" s="35" t="n">
        <x:v>37</x:v>
      </x:c>
      <x:c r="G334" s="35" t="str">
        <x:v>RECORDED</x:v>
      </x:c>
      <x:c r="H334" s="39" t="n">
        <x:f>IF(ISNUMBER('Data'!E334),'Data'!E334*100,"")</x:f>
        <x:v>100</x:v>
      </x:c>
      <x:c r="I334" s="35" t="str">
        <x:v>PASS</x:v>
      </x:c>
      <x:c r="J334" s="35" t="str">
        <x:v>PASS</x:v>
      </x:c>
      <x:c r="K334" s="35" t="str">
        <x:v>PASS</x:v>
      </x:c>
      <x:c r="L334" s="35" t="str">
        <x:v>PASS</x:v>
      </x:c>
      <x:c r="M334" s="35" t="str">
        <x:v>numeric coverage for applicable metric</x:v>
      </x:c>
      <x:c r="N334" s="35" t="str">
        <x:v>Gemini-3.8-flash/Result/Csv_1/result.json</x:v>
      </x:c>
      <x:c r="O334" s="39" t="n">
        <x:f>IF(AND(G334="RECORDED",ISNUMBER(H334)),H334,"")</x:f>
        <x:v>100</x:v>
      </x:c>
      <x:c r="P334" s="35" t="str">
        <x:v>INCONCLUSIVE</x:v>
      </x:c>
      <x:c r="Q334" s="35" t="str">
        <x:v>Gemini-3.8-flash/Result/Csv_1/result.json</x:v>
      </x:c>
    </x:row>
    <x:row r="335">
      <x:c r="A335" s="35" t="str">
        <x:v>gemini</x:v>
      </x:c>
      <x:c r="B335" s="35" t="str">
        <x:v>Csv</x:v>
      </x:c>
      <x:c r="C335" s="35" t="str">
        <x:v>Round1</x:v>
      </x:c>
      <x:c r="D335" s="35" t="str">
        <x:v>Csv_10</x:v>
      </x:c>
      <x:c r="E335" s="35" t="str">
        <x:v>Line</x:v>
      </x:c>
      <x:c r="F335" s="35"/>
      <x:c r="G335" s="35" t="str">
        <x:v>A</x:v>
      </x:c>
      <x:c r="H335" s="39" t="str">
        <x:f>IF(ISNUMBER('Data'!E335),'Data'!E335*100,"")</x:f>
      </x:c>
      <x:c r="I335" s="35"/>
      <x:c r="J335" s="35" t="str">
        <x:v>PASS</x:v>
      </x:c>
      <x:c r="K335" s="35" t="str">
        <x:v>FAIL</x:v>
      </x:c>
      <x:c r="L335" s="35" t="str">
        <x:v>NOT_RUN</x:v>
      </x:c>
      <x:c r="M335" s="35" t="str">
        <x:v>coverage unavailable or execution/compile failed</x:v>
      </x:c>
      <x:c r="N335" s="35" t="str">
        <x:v>Gemini-3.8-flash/Result/Csv_10/result.json</x:v>
      </x:c>
      <x:c r="O335" s="39" t="str">
        <x:f>IF(AND(G335="RECORDED",ISNUMBER(H335)),H335,"")</x:f>
      </x:c>
      <x:c r="P335" s="35" t="str">
        <x:v>NOT_AVAILABLE</x:v>
      </x:c>
      <x:c r="Q335" s="35" t="str">
        <x:v>Gemini-3.8-flash/Result/Csv_10/result.json</x:v>
      </x:c>
    </x:row>
    <x:row r="336">
      <x:c r="A336" s="35" t="str">
        <x:v>gemini</x:v>
      </x:c>
      <x:c r="B336" s="35" t="str">
        <x:v>Csv</x:v>
      </x:c>
      <x:c r="C336" s="35" t="str">
        <x:v>Round1</x:v>
      </x:c>
      <x:c r="D336" s="35" t="str">
        <x:v>Csv_11</x:v>
      </x:c>
      <x:c r="E336" s="35" t="str">
        <x:v>Line</x:v>
      </x:c>
      <x:c r="F336" s="35" t="n">
        <x:v>106</x:v>
      </x:c>
      <x:c r="G336" s="35" t="str">
        <x:v>RECORDED</x:v>
      </x:c>
      <x:c r="H336" s="39" t="n">
        <x:f>IF(ISNUMBER('Data'!E336),'Data'!E336*100,"")</x:f>
        <x:v>68.87</x:v>
      </x:c>
      <x:c r="I336" s="35" t="str">
        <x:v>PASS</x:v>
      </x:c>
      <x:c r="J336" s="35" t="str">
        <x:v>PASS</x:v>
      </x:c>
      <x:c r="K336" s="35" t="str">
        <x:v>PASS</x:v>
      </x:c>
      <x:c r="L336" s="35" t="str">
        <x:v>PASS</x:v>
      </x:c>
      <x:c r="M336" s="35" t="str">
        <x:v>numeric coverage for applicable metric</x:v>
      </x:c>
      <x:c r="N336" s="35" t="str">
        <x:v>Gemini-3.8-flash/Result/Csv_11/result.json</x:v>
      </x:c>
      <x:c r="O336" s="39" t="n">
        <x:f>IF(AND(G336="RECORDED",ISNUMBER(H336)),H336,"")</x:f>
        <x:v>68.87</x:v>
      </x:c>
      <x:c r="P336" s="35" t="str">
        <x:v>NOT_REVEALING</x:v>
      </x:c>
      <x:c r="Q336" s="35" t="str">
        <x:v>Gemini-3.8-flash/Result/Csv_11/result.json</x:v>
      </x:c>
    </x:row>
    <x:row r="337">
      <x:c r="A337" s="35" t="str">
        <x:v>gemini</x:v>
      </x:c>
      <x:c r="B337" s="35" t="str">
        <x:v>Csv</x:v>
      </x:c>
      <x:c r="C337" s="35" t="str">
        <x:v>Round1</x:v>
      </x:c>
      <x:c r="D337" s="35" t="str">
        <x:v>Csv_12</x:v>
      </x:c>
      <x:c r="E337" s="35" t="str">
        <x:v>Line</x:v>
      </x:c>
      <x:c r="F337" s="35"/>
      <x:c r="G337" s="35" t="str">
        <x:v>A</x:v>
      </x:c>
      <x:c r="H337" s="39" t="str">
        <x:f>IF(ISNUMBER('Data'!E337),'Data'!E337*100,"")</x:f>
      </x:c>
      <x:c r="I337" s="35"/>
      <x:c r="J337" s="35" t="str">
        <x:v>PASS</x:v>
      </x:c>
      <x:c r="K337" s="35" t="str">
        <x:v>FAIL</x:v>
      </x:c>
      <x:c r="L337" s="35" t="str">
        <x:v>NOT_RUN</x:v>
      </x:c>
      <x:c r="M337" s="35" t="str">
        <x:v>coverage unavailable or execution/compile failed</x:v>
      </x:c>
      <x:c r="N337" s="35" t="str">
        <x:v>Gemini-3.8-flash/Result/Csv_12/result.json</x:v>
      </x:c>
      <x:c r="O337" s="39" t="str">
        <x:f>IF(AND(G337="RECORDED",ISNUMBER(H337)),H337,"")</x:f>
      </x:c>
      <x:c r="P337" s="35" t="str">
        <x:v>NOT_AVAILABLE</x:v>
      </x:c>
      <x:c r="Q337" s="35" t="str">
        <x:v>Gemini-3.8-flash/Result/Csv_12/result.json</x:v>
      </x:c>
    </x:row>
    <x:row r="338">
      <x:c r="A338" s="35" t="str">
        <x:v>gemini</x:v>
      </x:c>
      <x:c r="B338" s="35" t="str">
        <x:v>Csv</x:v>
      </x:c>
      <x:c r="C338" s="35" t="str">
        <x:v>Round1</x:v>
      </x:c>
      <x:c r="D338" s="35" t="str">
        <x:v>Csv_13</x:v>
      </x:c>
      <x:c r="E338" s="35" t="str">
        <x:v>Line</x:v>
      </x:c>
      <x:c r="F338" s="35"/>
      <x:c r="G338" s="35" t="str">
        <x:v>A</x:v>
      </x:c>
      <x:c r="H338" s="39" t="str">
        <x:f>IF(ISNUMBER('Data'!E338),'Data'!E338*100,"")</x:f>
      </x:c>
      <x:c r="I338" s="35"/>
      <x:c r="J338" s="35" t="str">
        <x:v>PASS</x:v>
      </x:c>
      <x:c r="K338" s="35" t="str">
        <x:v>FAIL</x:v>
      </x:c>
      <x:c r="L338" s="35" t="str">
        <x:v>NOT_RUN</x:v>
      </x:c>
      <x:c r="M338" s="35" t="str">
        <x:v>coverage unavailable or execution/compile failed</x:v>
      </x:c>
      <x:c r="N338" s="35" t="str">
        <x:v>Gemini-3.8-flash/Result/Csv_13/result.json</x:v>
      </x:c>
      <x:c r="O338" s="39" t="str">
        <x:f>IF(AND(G338="RECORDED",ISNUMBER(H338)),H338,"")</x:f>
      </x:c>
      <x:c r="P338" s="35" t="str">
        <x:v>NOT_AVAILABLE</x:v>
      </x:c>
      <x:c r="Q338" s="35" t="str">
        <x:v>Gemini-3.8-flash/Result/Csv_13/result.json</x:v>
      </x:c>
    </x:row>
    <x:row r="339">
      <x:c r="A339" s="35" t="str">
        <x:v>gemini</x:v>
      </x:c>
      <x:c r="B339" s="35" t="str">
        <x:v>Csv</x:v>
      </x:c>
      <x:c r="C339" s="35" t="str">
        <x:v>Round1</x:v>
      </x:c>
      <x:c r="D339" s="35" t="str">
        <x:v>Csv_14</x:v>
      </x:c>
      <x:c r="E339" s="35" t="str">
        <x:v>Line</x:v>
      </x:c>
      <x:c r="F339" s="35"/>
      <x:c r="G339" s="35" t="str">
        <x:v>A</x:v>
      </x:c>
      <x:c r="H339" s="39" t="str">
        <x:f>IF(ISNUMBER('Data'!E339),'Data'!E339*100,"")</x:f>
      </x:c>
      <x:c r="I339" s="35"/>
      <x:c r="J339" s="35" t="str">
        <x:v>PASS</x:v>
      </x:c>
      <x:c r="K339" s="35" t="str">
        <x:v>FAIL</x:v>
      </x:c>
      <x:c r="L339" s="35" t="str">
        <x:v>NOT_RUN</x:v>
      </x:c>
      <x:c r="M339" s="35" t="str">
        <x:v>coverage unavailable or execution/compile failed</x:v>
      </x:c>
      <x:c r="N339" s="35" t="str">
        <x:v>Gemini-3.8-flash/Result/Csv_14/result.json</x:v>
      </x:c>
      <x:c r="O339" s="39" t="str">
        <x:f>IF(AND(G339="RECORDED",ISNUMBER(H339)),H339,"")</x:f>
      </x:c>
      <x:c r="P339" s="35" t="str">
        <x:v>NOT_AVAILABLE</x:v>
      </x:c>
      <x:c r="Q339" s="35" t="str">
        <x:v>Gemini-3.8-flash/Result/Csv_14/result.json</x:v>
      </x:c>
    </x:row>
    <x:row r="340">
      <x:c r="A340" s="35" t="str">
        <x:v>gemini</x:v>
      </x:c>
      <x:c r="B340" s="35" t="str">
        <x:v>Csv</x:v>
      </x:c>
      <x:c r="C340" s="35" t="str">
        <x:v>Round1</x:v>
      </x:c>
      <x:c r="D340" s="35" t="str">
        <x:v>Csv_15</x:v>
      </x:c>
      <x:c r="E340" s="35" t="str">
        <x:v>Line</x:v>
      </x:c>
      <x:c r="F340" s="35"/>
      <x:c r="G340" s="35" t="str">
        <x:v>A</x:v>
      </x:c>
      <x:c r="H340" s="39" t="str">
        <x:f>IF(ISNUMBER('Data'!E340),'Data'!E340*100,"")</x:f>
      </x:c>
      <x:c r="I340" s="35"/>
      <x:c r="J340" s="35" t="str">
        <x:v>PASS</x:v>
      </x:c>
      <x:c r="K340" s="35" t="str">
        <x:v>FAIL</x:v>
      </x:c>
      <x:c r="L340" s="35" t="str">
        <x:v>NOT_RUN</x:v>
      </x:c>
      <x:c r="M340" s="35" t="str">
        <x:v>coverage unavailable or execution/compile failed</x:v>
      </x:c>
      <x:c r="N340" s="35" t="str">
        <x:v>Gemini-3.8-flash/Result/Csv_15/result.json</x:v>
      </x:c>
      <x:c r="O340" s="39" t="str">
        <x:f>IF(AND(G340="RECORDED",ISNUMBER(H340)),H340,"")</x:f>
      </x:c>
      <x:c r="P340" s="35" t="str">
        <x:v>NOT_AVAILABLE</x:v>
      </x:c>
      <x:c r="Q340" s="35" t="str">
        <x:v>Gemini-3.8-flash/Result/Csv_15/result.json</x:v>
      </x:c>
    </x:row>
    <x:row r="341">
      <x:c r="A341" s="35" t="str">
        <x:v>gemini</x:v>
      </x:c>
      <x:c r="B341" s="35" t="str">
        <x:v>Csv</x:v>
      </x:c>
      <x:c r="C341" s="35" t="str">
        <x:v>Round1</x:v>
      </x:c>
      <x:c r="D341" s="35" t="str">
        <x:v>Csv_16</x:v>
      </x:c>
      <x:c r="E341" s="35" t="str">
        <x:v>Line</x:v>
      </x:c>
      <x:c r="F341" s="35" t="n">
        <x:v>123</x:v>
      </x:c>
      <x:c r="G341" s="35" t="str">
        <x:v>RECORDED</x:v>
      </x:c>
      <x:c r="H341" s="39" t="n">
        <x:f>IF(ISNUMBER('Data'!E341),'Data'!E341*100,"")</x:f>
        <x:v>65.04</x:v>
      </x:c>
      <x:c r="I341" s="35" t="str">
        <x:v>PASS</x:v>
      </x:c>
      <x:c r="J341" s="35" t="str">
        <x:v>PASS</x:v>
      </x:c>
      <x:c r="K341" s="35" t="str">
        <x:v>PASS</x:v>
      </x:c>
      <x:c r="L341" s="35" t="str">
        <x:v>PASS</x:v>
      </x:c>
      <x:c r="M341" s="35" t="str">
        <x:v>numeric coverage for applicable metric</x:v>
      </x:c>
      <x:c r="N341" s="35" t="str">
        <x:v>Gemini-3.8-flash/Result/Csv_16/result.json</x:v>
      </x:c>
      <x:c r="O341" s="39" t="n">
        <x:f>IF(AND(G341="RECORDED",ISNUMBER(H341)),H341,"")</x:f>
        <x:v>65.04</x:v>
      </x:c>
      <x:c r="P341" s="35" t="str">
        <x:v>NOT_REVEALING</x:v>
      </x:c>
      <x:c r="Q341" s="35" t="str">
        <x:v>Gemini-3.8-flash/Result/Csv_16/result.json</x:v>
      </x:c>
    </x:row>
    <x:row r="342">
      <x:c r="A342" s="35" t="str">
        <x:v>gemini</x:v>
      </x:c>
      <x:c r="B342" s="35" t="str">
        <x:v>Csv</x:v>
      </x:c>
      <x:c r="C342" s="35" t="str">
        <x:v>Round1</x:v>
      </x:c>
      <x:c r="D342" s="35" t="str">
        <x:v>Csv_2</x:v>
      </x:c>
      <x:c r="E342" s="35" t="str">
        <x:v>Line</x:v>
      </x:c>
      <x:c r="F342" s="35" t="n">
        <x:v>21</x:v>
      </x:c>
      <x:c r="G342" s="35" t="str">
        <x:v>RECORDED</x:v>
      </x:c>
      <x:c r="H342" s="39" t="n">
        <x:f>IF(ISNUMBER('Data'!E342),'Data'!E342*100,"")</x:f>
        <x:v>100</x:v>
      </x:c>
      <x:c r="I342" s="35" t="str">
        <x:v>PASS</x:v>
      </x:c>
      <x:c r="J342" s="35" t="str">
        <x:v>PASS</x:v>
      </x:c>
      <x:c r="K342" s="35" t="str">
        <x:v>PASS</x:v>
      </x:c>
      <x:c r="L342" s="35" t="str">
        <x:v>PASS</x:v>
      </x:c>
      <x:c r="M342" s="35" t="str">
        <x:v>numeric coverage for applicable metric</x:v>
      </x:c>
      <x:c r="N342" s="35" t="str">
        <x:v>Gemini-3.8-flash/Result/Csv_2/result.json</x:v>
      </x:c>
      <x:c r="O342" s="39" t="n">
        <x:f>IF(AND(G342="RECORDED",ISNUMBER(H342)),H342,"")</x:f>
        <x:v>100</x:v>
      </x:c>
      <x:c r="P342" s="35" t="str">
        <x:v>INCONCLUSIVE</x:v>
      </x:c>
      <x:c r="Q342" s="35" t="str">
        <x:v>Gemini-3.8-flash/Result/Csv_2/result.json</x:v>
      </x:c>
    </x:row>
    <x:row r="343">
      <x:c r="A343" s="35" t="str">
        <x:v>gemini</x:v>
      </x:c>
      <x:c r="B343" s="35" t="str">
        <x:v>Csv</x:v>
      </x:c>
      <x:c r="C343" s="35" t="str">
        <x:v>Round1</x:v>
      </x:c>
      <x:c r="D343" s="35" t="str">
        <x:v>Csv_3</x:v>
      </x:c>
      <x:c r="E343" s="35" t="str">
        <x:v>Line</x:v>
      </x:c>
      <x:c r="F343" s="35"/>
      <x:c r="G343" s="35" t="str">
        <x:v>A</x:v>
      </x:c>
      <x:c r="H343" s="39" t="str">
        <x:f>IF(ISNUMBER('Data'!E343),'Data'!E343*100,"")</x:f>
      </x:c>
      <x:c r="I343" s="35"/>
      <x:c r="J343" s="35" t="str">
        <x:v>PASS</x:v>
      </x:c>
      <x:c r="K343" s="35" t="str">
        <x:v>FAIL</x:v>
      </x:c>
      <x:c r="L343" s="35" t="str">
        <x:v>NOT_RUN</x:v>
      </x:c>
      <x:c r="M343" s="35" t="str">
        <x:v>coverage unavailable or execution/compile failed</x:v>
      </x:c>
      <x:c r="N343" s="35" t="str">
        <x:v>Gemini-3.8-flash/Result/Csv_3/result.json</x:v>
      </x:c>
      <x:c r="O343" s="39" t="str">
        <x:f>IF(AND(G343="RECORDED",ISNUMBER(H343)),H343,"")</x:f>
      </x:c>
      <x:c r="P343" s="35" t="str">
        <x:v>NOT_AVAILABLE</x:v>
      </x:c>
      <x:c r="Q343" s="35" t="str">
        <x:v>Gemini-3.8-flash/Result/Csv_3/result.json</x:v>
      </x:c>
    </x:row>
    <x:row r="344">
      <x:c r="A344" s="35" t="str">
        <x:v>gemini</x:v>
      </x:c>
      <x:c r="B344" s="35" t="str">
        <x:v>Csv</x:v>
      </x:c>
      <x:c r="C344" s="35" t="str">
        <x:v>Round1</x:v>
      </x:c>
      <x:c r="D344" s="35" t="str">
        <x:v>Csv_4</x:v>
      </x:c>
      <x:c r="E344" s="35" t="str">
        <x:v>Line</x:v>
      </x:c>
      <x:c r="F344" s="35" t="n">
        <x:v>100</x:v>
      </x:c>
      <x:c r="G344" s="35" t="str">
        <x:v>RECORDED</x:v>
      </x:c>
      <x:c r="H344" s="39" t="n">
        <x:f>IF(ISNUMBER('Data'!E344),'Data'!E344*100,"")</x:f>
        <x:v>15</x:v>
      </x:c>
      <x:c r="I344" s="35" t="str">
        <x:v>PASS</x:v>
      </x:c>
      <x:c r="J344" s="35" t="str">
        <x:v>PASS</x:v>
      </x:c>
      <x:c r="K344" s="35" t="str">
        <x:v>PASS</x:v>
      </x:c>
      <x:c r="L344" s="35" t="str">
        <x:v>PASS</x:v>
      </x:c>
      <x:c r="M344" s="35" t="str">
        <x:v>numeric coverage for applicable metric</x:v>
      </x:c>
      <x:c r="N344" s="35" t="str">
        <x:v>Gemini-3.8-flash/Result/Csv_4/result.json</x:v>
      </x:c>
      <x:c r="O344" s="39" t="n">
        <x:f>IF(AND(G344="RECORDED",ISNUMBER(H344)),H344,"")</x:f>
        <x:v>15</x:v>
      </x:c>
      <x:c r="P344" s="35" t="str">
        <x:v>NOT_REVEALING</x:v>
      </x:c>
      <x:c r="Q344" s="35" t="str">
        <x:v>Gemini-3.8-flash/Result/Csv_4/result.json</x:v>
      </x:c>
    </x:row>
    <x:row r="345">
      <x:c r="A345" s="35" t="str">
        <x:v>gemini</x:v>
      </x:c>
      <x:c r="B345" s="35" t="str">
        <x:v>Csv</x:v>
      </x:c>
      <x:c r="C345" s="35" t="str">
        <x:v>Round1</x:v>
      </x:c>
      <x:c r="D345" s="35" t="str">
        <x:v>Csv_5</x:v>
      </x:c>
      <x:c r="E345" s="35" t="str">
        <x:v>Line</x:v>
      </x:c>
      <x:c r="F345" s="35"/>
      <x:c r="G345" s="35" t="str">
        <x:v>A</x:v>
      </x:c>
      <x:c r="H345" s="39" t="str">
        <x:f>IF(ISNUMBER('Data'!E345),'Data'!E345*100,"")</x:f>
      </x:c>
      <x:c r="I345" s="35"/>
      <x:c r="J345" s="35" t="str">
        <x:v>PASS</x:v>
      </x:c>
      <x:c r="K345" s="35" t="str">
        <x:v>FAIL</x:v>
      </x:c>
      <x:c r="L345" s="35" t="str">
        <x:v>NOT_RUN</x:v>
      </x:c>
      <x:c r="M345" s="35" t="str">
        <x:v>coverage unavailable or execution/compile failed</x:v>
      </x:c>
      <x:c r="N345" s="35" t="str">
        <x:v>Gemini-3.8-flash/Result/Csv_5/result.json</x:v>
      </x:c>
      <x:c r="O345" s="39" t="str">
        <x:f>IF(AND(G345="RECORDED",ISNUMBER(H345)),H345,"")</x:f>
      </x:c>
      <x:c r="P345" s="35" t="str">
        <x:v>NOT_AVAILABLE</x:v>
      </x:c>
      <x:c r="Q345" s="35" t="str">
        <x:v>Gemini-3.8-flash/Result/Csv_5/result.json</x:v>
      </x:c>
    </x:row>
    <x:row r="346">
      <x:c r="A346" s="35" t="str">
        <x:v>gemini</x:v>
      </x:c>
      <x:c r="B346" s="35" t="str">
        <x:v>Csv</x:v>
      </x:c>
      <x:c r="C346" s="35" t="str">
        <x:v>Round1</x:v>
      </x:c>
      <x:c r="D346" s="35" t="str">
        <x:v>Csv_6</x:v>
      </x:c>
      <x:c r="E346" s="35" t="str">
        <x:v>Line</x:v>
      </x:c>
      <x:c r="F346" s="35" t="n">
        <x:v>35</x:v>
      </x:c>
      <x:c r="G346" s="35" t="str">
        <x:v>RECORDED</x:v>
      </x:c>
      <x:c r="H346" s="39" t="n">
        <x:f>IF(ISNUMBER('Data'!E346),'Data'!E346*100,"")</x:f>
        <x:v>100</x:v>
      </x:c>
      <x:c r="I346" s="35" t="str">
        <x:v>PASS</x:v>
      </x:c>
      <x:c r="J346" s="35" t="str">
        <x:v>PASS</x:v>
      </x:c>
      <x:c r="K346" s="35" t="str">
        <x:v>PASS</x:v>
      </x:c>
      <x:c r="L346" s="35" t="str">
        <x:v>PASS</x:v>
      </x:c>
      <x:c r="M346" s="35" t="str">
        <x:v>numeric coverage for applicable metric</x:v>
      </x:c>
      <x:c r="N346" s="35" t="str">
        <x:v>Gemini-3.8-flash/Result/Csv_6/result.json</x:v>
      </x:c>
      <x:c r="O346" s="39" t="n">
        <x:f>IF(AND(G346="RECORDED",ISNUMBER(H346)),H346,"")</x:f>
        <x:v>100</x:v>
      </x:c>
      <x:c r="P346" s="35" t="str">
        <x:v>NOT_REVEALING</x:v>
      </x:c>
      <x:c r="Q346" s="35" t="str">
        <x:v>Gemini-3.8-flash/Result/Csv_6/result.json</x:v>
      </x:c>
    </x:row>
    <x:row r="347">
      <x:c r="A347" s="35" t="str">
        <x:v>gemini</x:v>
      </x:c>
      <x:c r="B347" s="35" t="str">
        <x:v>Csv</x:v>
      </x:c>
      <x:c r="C347" s="35" t="str">
        <x:v>Round1</x:v>
      </x:c>
      <x:c r="D347" s="35" t="str">
        <x:v>Csv_7</x:v>
      </x:c>
      <x:c r="E347" s="35" t="str">
        <x:v>Line</x:v>
      </x:c>
      <x:c r="F347" s="35" t="n">
        <x:v>101</x:v>
      </x:c>
      <x:c r="G347" s="35" t="str">
        <x:v>RECORDED</x:v>
      </x:c>
      <x:c r="H347" s="39" t="n">
        <x:f>IF(ISNUMBER('Data'!E347),'Data'!E347*100,"")</x:f>
        <x:v>69.31</x:v>
      </x:c>
      <x:c r="I347" s="35" t="str">
        <x:v>PASS</x:v>
      </x:c>
      <x:c r="J347" s="35" t="str">
        <x:v>PASS</x:v>
      </x:c>
      <x:c r="K347" s="35" t="str">
        <x:v>PASS</x:v>
      </x:c>
      <x:c r="L347" s="35" t="str">
        <x:v>PASS</x:v>
      </x:c>
      <x:c r="M347" s="35" t="str">
        <x:v>numeric coverage for applicable metric</x:v>
      </x:c>
      <x:c r="N347" s="35" t="str">
        <x:v>Gemini-3.8-flash/Result/Csv_7/result.json</x:v>
      </x:c>
      <x:c r="O347" s="39" t="n">
        <x:f>IF(AND(G347="RECORDED",ISNUMBER(H347)),H347,"")</x:f>
        <x:v>69.31</x:v>
      </x:c>
      <x:c r="P347" s="35" t="str">
        <x:v>NOT_REVEALING</x:v>
      </x:c>
      <x:c r="Q347" s="35" t="str">
        <x:v>Gemini-3.8-flash/Result/Csv_7/result.json</x:v>
      </x:c>
    </x:row>
    <x:row r="348">
      <x:c r="A348" s="35" t="str">
        <x:v>gemini</x:v>
      </x:c>
      <x:c r="B348" s="35" t="str">
        <x:v>Csv</x:v>
      </x:c>
      <x:c r="C348" s="35" t="str">
        <x:v>Round1</x:v>
      </x:c>
      <x:c r="D348" s="35" t="str">
        <x:v>Csv_8</x:v>
      </x:c>
      <x:c r="E348" s="35" t="str">
        <x:v>Line</x:v>
      </x:c>
      <x:c r="F348" s="35"/>
      <x:c r="G348" s="35" t="str">
        <x:v>A</x:v>
      </x:c>
      <x:c r="H348" s="39" t="str">
        <x:f>IF(ISNUMBER('Data'!E348),'Data'!E348*100,"")</x:f>
      </x:c>
      <x:c r="I348" s="35"/>
      <x:c r="J348" s="35" t="str">
        <x:v>PASS</x:v>
      </x:c>
      <x:c r="K348" s="35" t="str">
        <x:v>FAIL</x:v>
      </x:c>
      <x:c r="L348" s="35" t="str">
        <x:v>NOT_RUN</x:v>
      </x:c>
      <x:c r="M348" s="35" t="str">
        <x:v>coverage unavailable or execution/compile failed</x:v>
      </x:c>
      <x:c r="N348" s="35" t="str">
        <x:v>Gemini-3.8-flash/Result/Csv_8/result.json</x:v>
      </x:c>
      <x:c r="O348" s="39" t="str">
        <x:f>IF(AND(G348="RECORDED",ISNUMBER(H348)),H348,"")</x:f>
      </x:c>
      <x:c r="P348" s="35" t="str">
        <x:v>NOT_AVAILABLE</x:v>
      </x:c>
      <x:c r="Q348" s="35" t="str">
        <x:v>Gemini-3.8-flash/Result/Csv_8/result.json</x:v>
      </x:c>
    </x:row>
    <x:row r="349">
      <x:c r="A349" s="35" t="str">
        <x:v>gemini</x:v>
      </x:c>
      <x:c r="B349" s="35" t="str">
        <x:v>Csv</x:v>
      </x:c>
      <x:c r="C349" s="35" t="str">
        <x:v>Round1</x:v>
      </x:c>
      <x:c r="D349" s="35" t="str">
        <x:v>Csv_9</x:v>
      </x:c>
      <x:c r="E349" s="35" t="str">
        <x:v>Line</x:v>
      </x:c>
      <x:c r="F349" s="35" t="n">
        <x:v>36</x:v>
      </x:c>
      <x:c r="G349" s="35" t="str">
        <x:v>RECORDED</x:v>
      </x:c>
      <x:c r="H349" s="39" t="n">
        <x:f>IF(ISNUMBER('Data'!E349),'Data'!E349*100,"")</x:f>
        <x:v>100</x:v>
      </x:c>
      <x:c r="I349" s="35" t="str">
        <x:v>PASS</x:v>
      </x:c>
      <x:c r="J349" s="35" t="str">
        <x:v>PASS</x:v>
      </x:c>
      <x:c r="K349" s="35" t="str">
        <x:v>PASS</x:v>
      </x:c>
      <x:c r="L349" s="35" t="str">
        <x:v>PASS</x:v>
      </x:c>
      <x:c r="M349" s="35" t="str">
        <x:v>numeric coverage for applicable metric</x:v>
      </x:c>
      <x:c r="N349" s="35" t="str">
        <x:v>Gemini-3.8-flash/Result/Csv_9/result.json</x:v>
      </x:c>
      <x:c r="O349" s="39" t="n">
        <x:f>IF(AND(G349="RECORDED",ISNUMBER(H349)),H349,"")</x:f>
        <x:v>100</x:v>
      </x:c>
      <x:c r="P349" s="35" t="str">
        <x:v>NOT_REVEALING</x:v>
      </x:c>
      <x:c r="Q349" s="35" t="str">
        <x:v>Gemini-3.8-flash/Result/Csv_9/result.json</x:v>
      </x:c>
    </x:row>
    <x:row r="350">
      <x:c r="A350" s="35" t="str">
        <x:v>gemini</x:v>
      </x:c>
      <x:c r="B350" s="35" t="str">
        <x:v>Gson</x:v>
      </x:c>
      <x:c r="C350" s="35" t="str">
        <x:v>Round1</x:v>
      </x:c>
      <x:c r="D350" s="35" t="str">
        <x:v>Gson_1</x:v>
      </x:c>
      <x:c r="E350" s="35" t="str">
        <x:v>Line</x:v>
      </x:c>
      <x:c r="F350" s="35" t="n">
        <x:v>48</x:v>
      </x:c>
      <x:c r="G350" s="35" t="str">
        <x:v>RECORDED</x:v>
      </x:c>
      <x:c r="H350" s="39" t="n">
        <x:f>IF(ISNUMBER('Data'!E350),'Data'!E350*100,"")</x:f>
        <x:v>97.92</x:v>
      </x:c>
      <x:c r="I350" s="35" t="str">
        <x:v>PASS</x:v>
      </x:c>
      <x:c r="J350" s="35" t="str">
        <x:v>PASS</x:v>
      </x:c>
      <x:c r="K350" s="35" t="str">
        <x:v>PASS</x:v>
      </x:c>
      <x:c r="L350" s="35" t="str">
        <x:v>FAIL</x:v>
      </x:c>
      <x:c r="M350" s="35" t="str">
        <x:v>numeric coverage for applicable metric</x:v>
      </x:c>
      <x:c r="N350" s="35" t="str">
        <x:v>Gemini-3.8-flash/Result/Gson_1/result.json</x:v>
      </x:c>
      <x:c r="O350" s="39" t="n">
        <x:f>IF(AND(G350="RECORDED",ISNUMBER(H350)),H350,"")</x:f>
        <x:v>97.92</x:v>
      </x:c>
      <x:c r="P350" s="35" t="str">
        <x:v>INCONCLUSIVE</x:v>
      </x:c>
      <x:c r="Q350" s="35" t="str">
        <x:v>Gemini-3.8-flash/Result/Gson_1/result.json</x:v>
      </x:c>
    </x:row>
    <x:row r="351">
      <x:c r="A351" s="35" t="str">
        <x:v>gemini</x:v>
      </x:c>
      <x:c r="B351" s="35" t="str">
        <x:v>Gson</x:v>
      </x:c>
      <x:c r="C351" s="35" t="str">
        <x:v>Round1</x:v>
      </x:c>
      <x:c r="D351" s="35" t="str">
        <x:v>Gson_10</x:v>
      </x:c>
      <x:c r="E351" s="35" t="str">
        <x:v>Line</x:v>
      </x:c>
      <x:c r="F351" s="35" t="n">
        <x:v>117</x:v>
      </x:c>
      <x:c r="G351" s="35" t="str">
        <x:v>RECORDED</x:v>
      </x:c>
      <x:c r="H351" s="39" t="n">
        <x:f>IF(ISNUMBER('Data'!E351),'Data'!E351*100,"")</x:f>
        <x:v>96.58</x:v>
      </x:c>
      <x:c r="I351" s="35" t="str">
        <x:v>PASS</x:v>
      </x:c>
      <x:c r="J351" s="35" t="str">
        <x:v>PASS</x:v>
      </x:c>
      <x:c r="K351" s="35" t="str">
        <x:v>PASS</x:v>
      </x:c>
      <x:c r="L351" s="35" t="str">
        <x:v>PASS</x:v>
      </x:c>
      <x:c r="M351" s="35" t="str">
        <x:v>numeric coverage for applicable metric</x:v>
      </x:c>
      <x:c r="N351" s="35" t="str">
        <x:v>Gemini-3.8-flash/Result/Gson_10/result.json</x:v>
      </x:c>
      <x:c r="O351" s="39" t="n">
        <x:f>IF(AND(G351="RECORDED",ISNUMBER(H351)),H351,"")</x:f>
        <x:v>96.58</x:v>
      </x:c>
      <x:c r="P351" s="35" t="str">
        <x:v>NOT_REVEALING</x:v>
      </x:c>
      <x:c r="Q351" s="35" t="str">
        <x:v>Gemini-3.8-flash/Result/Gson_10/result.json</x:v>
      </x:c>
    </x:row>
    <x:row r="352">
      <x:c r="A352" s="35" t="str">
        <x:v>gemini</x:v>
      </x:c>
      <x:c r="B352" s="35" t="str">
        <x:v>Gson</x:v>
      </x:c>
      <x:c r="C352" s="35" t="str">
        <x:v>Round1</x:v>
      </x:c>
      <x:c r="D352" s="35" t="str">
        <x:v>Gson_11</x:v>
      </x:c>
      <x:c r="E352" s="35" t="str">
        <x:v>Line</x:v>
      </x:c>
      <x:c r="F352" s="35"/>
      <x:c r="G352" s="35" t="str">
        <x:v>A</x:v>
      </x:c>
      <x:c r="H352" s="39" t="str">
        <x:f>IF(ISNUMBER('Data'!E352),'Data'!E352*100,"")</x:f>
      </x:c>
      <x:c r="I352" s="35"/>
      <x:c r="J352" s="35" t="str">
        <x:v>PASS</x:v>
      </x:c>
      <x:c r="K352" s="35" t="str">
        <x:v>FAIL</x:v>
      </x:c>
      <x:c r="L352" s="35" t="str">
        <x:v>NOT_RUN</x:v>
      </x:c>
      <x:c r="M352" s="35" t="str">
        <x:v>coverage unavailable or execution/compile failed</x:v>
      </x:c>
      <x:c r="N352" s="35" t="str">
        <x:v>Gemini-3.8-flash/Result/Gson_11/result.json</x:v>
      </x:c>
      <x:c r="O352" s="39" t="str">
        <x:f>IF(AND(G352="RECORDED",ISNUMBER(H352)),H352,"")</x:f>
      </x:c>
      <x:c r="P352" s="35" t="str">
        <x:v>NOT_AVAILABLE</x:v>
      </x:c>
      <x:c r="Q352" s="35" t="str">
        <x:v>Gemini-3.8-flash/Result/Gson_11/result.json</x:v>
      </x:c>
    </x:row>
    <x:row r="353">
      <x:c r="A353" s="35" t="str">
        <x:v>gemini</x:v>
      </x:c>
      <x:c r="B353" s="35" t="str">
        <x:v>Gson</x:v>
      </x:c>
      <x:c r="C353" s="35" t="str">
        <x:v>Round1</x:v>
      </x:c>
      <x:c r="D353" s="35" t="str">
        <x:v>Gson_12</x:v>
      </x:c>
      <x:c r="E353" s="35" t="str">
        <x:v>Line</x:v>
      </x:c>
      <x:c r="F353" s="35" t="n">
        <x:v>168</x:v>
      </x:c>
      <x:c r="G353" s="35" t="str">
        <x:v>RECORDED</x:v>
      </x:c>
      <x:c r="H353" s="39" t="n">
        <x:f>IF(ISNUMBER('Data'!E353),'Data'!E353*100,"")</x:f>
        <x:v>95.24</x:v>
      </x:c>
      <x:c r="I353" s="35" t="str">
        <x:v>PASS</x:v>
      </x:c>
      <x:c r="J353" s="35" t="str">
        <x:v>PASS</x:v>
      </x:c>
      <x:c r="K353" s="35" t="str">
        <x:v>PASS</x:v>
      </x:c>
      <x:c r="L353" s="35" t="str">
        <x:v>FAIL</x:v>
      </x:c>
      <x:c r="M353" s="35" t="str">
        <x:v>numeric coverage for applicable metric</x:v>
      </x:c>
      <x:c r="N353" s="35" t="str">
        <x:v>Gemini-3.8-flash/Result/Gson_12/result.json</x:v>
      </x:c>
      <x:c r="O353" s="39" t="n">
        <x:f>IF(AND(G353="RECORDED",ISNUMBER(H353)),H353,"")</x:f>
        <x:v>95.24</x:v>
      </x:c>
      <x:c r="P353" s="35" t="str">
        <x:v>INCONCLUSIVE</x:v>
      </x:c>
      <x:c r="Q353" s="35" t="str">
        <x:v>Gemini-3.8-flash/Result/Gson_12/result.json</x:v>
      </x:c>
    </x:row>
    <x:row r="354">
      <x:c r="A354" s="35" t="str">
        <x:v>gemini</x:v>
      </x:c>
      <x:c r="B354" s="35" t="str">
        <x:v>Gson</x:v>
      </x:c>
      <x:c r="C354" s="35" t="str">
        <x:v>Round1</x:v>
      </x:c>
      <x:c r="D354" s="35" t="str">
        <x:v>Gson_13</x:v>
      </x:c>
      <x:c r="E354" s="35" t="str">
        <x:v>Line</x:v>
      </x:c>
      <x:c r="F354" s="35"/>
      <x:c r="G354" s="35" t="str">
        <x:v>A</x:v>
      </x:c>
      <x:c r="H354" s="39" t="str">
        <x:f>IF(ISNUMBER('Data'!E354),'Data'!E354*100,"")</x:f>
      </x:c>
      <x:c r="I354" s="35"/>
      <x:c r="J354" s="35" t="str">
        <x:v>PASS</x:v>
      </x:c>
      <x:c r="K354" s="35" t="str">
        <x:v>FAIL</x:v>
      </x:c>
      <x:c r="L354" s="35" t="str">
        <x:v>NOT_RUN</x:v>
      </x:c>
      <x:c r="M354" s="35" t="str">
        <x:v>coverage unavailable or execution/compile failed</x:v>
      </x:c>
      <x:c r="N354" s="35" t="str">
        <x:v>Gemini-3.8-flash/Result/Gson_13/result.json</x:v>
      </x:c>
      <x:c r="O354" s="39" t="str">
        <x:f>IF(AND(G354="RECORDED",ISNUMBER(H354)),H354,"")</x:f>
      </x:c>
      <x:c r="P354" s="35" t="str">
        <x:v>NOT_AVAILABLE</x:v>
      </x:c>
      <x:c r="Q354" s="35" t="str">
        <x:v>Gemini-3.8-flash/Result/Gson_13/result.json</x:v>
      </x:c>
    </x:row>
    <x:row r="355">
      <x:c r="A355" s="35" t="str">
        <x:v>gemini</x:v>
      </x:c>
      <x:c r="B355" s="35" t="str">
        <x:v>Gson</x:v>
      </x:c>
      <x:c r="C355" s="35" t="str">
        <x:v>Round1</x:v>
      </x:c>
      <x:c r="D355" s="35" t="str">
        <x:v>Gson_14</x:v>
      </x:c>
      <x:c r="E355" s="35" t="str">
        <x:v>Line</x:v>
      </x:c>
      <x:c r="F355" s="35" t="n">
        <x:v>243</x:v>
      </x:c>
      <x:c r="G355" s="35" t="str">
        <x:v>RECORDED</x:v>
      </x:c>
      <x:c r="H355" s="39" t="n">
        <x:f>IF(ISNUMBER('Data'!E355),'Data'!E355*100,"")</x:f>
        <x:v>97.53</x:v>
      </x:c>
      <x:c r="I355" s="35" t="str">
        <x:v>PASS</x:v>
      </x:c>
      <x:c r="J355" s="35" t="str">
        <x:v>PASS</x:v>
      </x:c>
      <x:c r="K355" s="35" t="str">
        <x:v>PASS</x:v>
      </x:c>
      <x:c r="L355" s="35" t="str">
        <x:v>FAIL</x:v>
      </x:c>
      <x:c r="M355" s="35" t="str">
        <x:v>numeric coverage for applicable metric</x:v>
      </x:c>
      <x:c r="N355" s="35" t="str">
        <x:v>Gemini-3.8-flash/Result/Gson_14/result.json</x:v>
      </x:c>
      <x:c r="O355" s="39" t="n">
        <x:f>IF(AND(G355="RECORDED",ISNUMBER(H355)),H355,"")</x:f>
        <x:v>97.53</x:v>
      </x:c>
      <x:c r="P355" s="35" t="str">
        <x:v>INCONCLUSIVE</x:v>
      </x:c>
      <x:c r="Q355" s="35" t="str">
        <x:v>Gemini-3.8-flash/Result/Gson_14/result.json</x:v>
      </x:c>
    </x:row>
    <x:row r="356">
      <x:c r="A356" s="35" t="str">
        <x:v>gemini</x:v>
      </x:c>
      <x:c r="B356" s="35" t="str">
        <x:v>Gson</x:v>
      </x:c>
      <x:c r="C356" s="35" t="str">
        <x:v>Round1</x:v>
      </x:c>
      <x:c r="D356" s="35" t="str">
        <x:v>Gson_15</x:v>
      </x:c>
      <x:c r="E356" s="35" t="str">
        <x:v>Line</x:v>
      </x:c>
      <x:c r="F356" s="35" t="n">
        <x:v>198</x:v>
      </x:c>
      <x:c r="G356" s="35" t="str">
        <x:v>RECORDED</x:v>
      </x:c>
      <x:c r="H356" s="39" t="n">
        <x:f>IF(ISNUMBER('Data'!E356),'Data'!E356*100,"")</x:f>
        <x:v>99.49</x:v>
      </x:c>
      <x:c r="I356" s="35" t="str">
        <x:v>PASS</x:v>
      </x:c>
      <x:c r="J356" s="35" t="str">
        <x:v>PASS</x:v>
      </x:c>
      <x:c r="K356" s="35" t="str">
        <x:v>PASS</x:v>
      </x:c>
      <x:c r="L356" s="35" t="str">
        <x:v>PASS</x:v>
      </x:c>
      <x:c r="M356" s="35" t="str">
        <x:v>numeric coverage for applicable metric</x:v>
      </x:c>
      <x:c r="N356" s="35" t="str">
        <x:v>Gemini-3.8-flash/Result/Gson_15/result.json</x:v>
      </x:c>
      <x:c r="O356" s="39" t="n">
        <x:f>IF(AND(G356="RECORDED",ISNUMBER(H356)),H356,"")</x:f>
        <x:v>99.49</x:v>
      </x:c>
      <x:c r="P356" s="35" t="str">
        <x:v>NOT_REVEALING</x:v>
      </x:c>
      <x:c r="Q356" s="35" t="str">
        <x:v>Gemini-3.8-flash/Result/Gson_15/result.json</x:v>
      </x:c>
    </x:row>
    <x:row r="357">
      <x:c r="A357" s="35" t="str">
        <x:v>gemini</x:v>
      </x:c>
      <x:c r="B357" s="35" t="str">
        <x:v>Gson</x:v>
      </x:c>
      <x:c r="C357" s="35" t="str">
        <x:v>Round1</x:v>
      </x:c>
      <x:c r="D357" s="35" t="str">
        <x:v>Gson_16</x:v>
      </x:c>
      <x:c r="E357" s="35" t="str">
        <x:v>Line</x:v>
      </x:c>
      <x:c r="F357" s="35" t="n">
        <x:v>248</x:v>
      </x:c>
      <x:c r="G357" s="35" t="str">
        <x:v>RECORDED</x:v>
      </x:c>
      <x:c r="H357" s="39" t="n">
        <x:f>IF(ISNUMBER('Data'!E357),'Data'!E357*100,"")</x:f>
        <x:v>95.97</x:v>
      </x:c>
      <x:c r="I357" s="35" t="str">
        <x:v>PASS</x:v>
      </x:c>
      <x:c r="J357" s="35" t="str">
        <x:v>PASS</x:v>
      </x:c>
      <x:c r="K357" s="35" t="str">
        <x:v>PASS</x:v>
      </x:c>
      <x:c r="L357" s="35" t="str">
        <x:v>FAIL</x:v>
      </x:c>
      <x:c r="M357" s="35" t="str">
        <x:v>numeric coverage for applicable metric</x:v>
      </x:c>
      <x:c r="N357" s="35" t="str">
        <x:v>Gemini-3.8-flash/Result/Gson_16/result.json</x:v>
      </x:c>
      <x:c r="O357" s="39" t="n">
        <x:f>IF(AND(G357="RECORDED",ISNUMBER(H357)),H357,"")</x:f>
        <x:v>95.97</x:v>
      </x:c>
      <x:c r="P357" s="35" t="str">
        <x:v>INCONCLUSIVE</x:v>
      </x:c>
      <x:c r="Q357" s="35" t="str">
        <x:v>Gemini-3.8-flash/Result/Gson_16/result.json</x:v>
      </x:c>
    </x:row>
    <x:row r="358">
      <x:c r="A358" s="35" t="str">
        <x:v>gemini</x:v>
      </x:c>
      <x:c r="B358" s="35" t="str">
        <x:v>Gson</x:v>
      </x:c>
      <x:c r="C358" s="35" t="str">
        <x:v>Round1</x:v>
      </x:c>
      <x:c r="D358" s="35" t="str">
        <x:v>Gson_17</x:v>
      </x:c>
      <x:c r="E358" s="35" t="str">
        <x:v>Line</x:v>
      </x:c>
      <x:c r="F358" s="35" t="n">
        <x:v>55</x:v>
      </x:c>
      <x:c r="G358" s="35" t="str">
        <x:v>RECORDED</x:v>
      </x:c>
      <x:c r="H358" s="39" t="n">
        <x:f>IF(ISNUMBER('Data'!E358),'Data'!E358*100,"")</x:f>
        <x:v>96.36</x:v>
      </x:c>
      <x:c r="I358" s="35" t="str">
        <x:v>PASS</x:v>
      </x:c>
      <x:c r="J358" s="35" t="str">
        <x:v>PASS</x:v>
      </x:c>
      <x:c r="K358" s="35" t="str">
        <x:v>PASS</x:v>
      </x:c>
      <x:c r="L358" s="35" t="str">
        <x:v>PASS</x:v>
      </x:c>
      <x:c r="M358" s="35" t="str">
        <x:v>numeric coverage for applicable metric</x:v>
      </x:c>
      <x:c r="N358" s="35" t="str">
        <x:v>Gemini-3.8-flash/Result/Gson_17/result.json</x:v>
      </x:c>
      <x:c r="O358" s="39" t="n">
        <x:f>IF(AND(G358="RECORDED",ISNUMBER(H358)),H358,"")</x:f>
        <x:v>96.36</x:v>
      </x:c>
      <x:c r="P358" s="35" t="str">
        <x:v>INCONCLUSIVE</x:v>
      </x:c>
      <x:c r="Q358" s="35" t="str">
        <x:v>Gemini-3.8-flash/Result/Gson_17/result.json</x:v>
      </x:c>
    </x:row>
    <x:row r="359">
      <x:c r="A359" s="35" t="str">
        <x:v>gemini</x:v>
      </x:c>
      <x:c r="B359" s="35" t="str">
        <x:v>Gson</x:v>
      </x:c>
      <x:c r="C359" s="35" t="str">
        <x:v>Round1</x:v>
      </x:c>
      <x:c r="D359" s="35" t="str">
        <x:v>Gson_18</x:v>
      </x:c>
      <x:c r="E359" s="35" t="str">
        <x:v>Line</x:v>
      </x:c>
      <x:c r="F359" s="35" t="n">
        <x:v>251</x:v>
      </x:c>
      <x:c r="G359" s="35" t="str">
        <x:v>RECORDED</x:v>
      </x:c>
      <x:c r="H359" s="39" t="n">
        <x:f>IF(ISNUMBER('Data'!E359),'Data'!E359*100,"")</x:f>
        <x:v>86.06</x:v>
      </x:c>
      <x:c r="I359" s="35" t="str">
        <x:v>PASS</x:v>
      </x:c>
      <x:c r="J359" s="35" t="str">
        <x:v>PASS</x:v>
      </x:c>
      <x:c r="K359" s="35" t="str">
        <x:v>PASS</x:v>
      </x:c>
      <x:c r="L359" s="35" t="str">
        <x:v>FAIL</x:v>
      </x:c>
      <x:c r="M359" s="35" t="str">
        <x:v>numeric coverage for applicable metric</x:v>
      </x:c>
      <x:c r="N359" s="35" t="str">
        <x:v>Gemini-3.8-flash/Result/Gson_18/result.json</x:v>
      </x:c>
      <x:c r="O359" s="39" t="n">
        <x:f>IF(AND(G359="RECORDED",ISNUMBER(H359)),H359,"")</x:f>
        <x:v>86.06</x:v>
      </x:c>
      <x:c r="P359" s="35" t="str">
        <x:v>INCONCLUSIVE</x:v>
      </x:c>
      <x:c r="Q359" s="35" t="str">
        <x:v>Gemini-3.8-flash/Result/Gson_18/result.json</x:v>
      </x:c>
    </x:row>
    <x:row r="360">
      <x:c r="A360" s="35" t="str">
        <x:v>gemini</x:v>
      </x:c>
      <x:c r="B360" s="35" t="str">
        <x:v>Gson</x:v>
      </x:c>
      <x:c r="C360" s="35" t="str">
        <x:v>Round1</x:v>
      </x:c>
      <x:c r="D360" s="35" t="str">
        <x:v>Gson_2</x:v>
      </x:c>
      <x:c r="E360" s="35" t="str">
        <x:v>Line</x:v>
      </x:c>
      <x:c r="F360" s="35"/>
      <x:c r="G360" s="35" t="str">
        <x:v>A</x:v>
      </x:c>
      <x:c r="H360" s="39" t="str">
        <x:f>IF(ISNUMBER('Data'!E360),'Data'!E360*100,"")</x:f>
      </x:c>
      <x:c r="I360" s="35"/>
      <x:c r="J360" s="35" t="str">
        <x:v>PASS</x:v>
      </x:c>
      <x:c r="K360" s="35" t="str">
        <x:v>FAIL</x:v>
      </x:c>
      <x:c r="L360" s="35" t="str">
        <x:v>NOT_RUN</x:v>
      </x:c>
      <x:c r="M360" s="35" t="str">
        <x:v>coverage unavailable or execution/compile failed</x:v>
      </x:c>
      <x:c r="N360" s="35" t="str">
        <x:v>Gemini-3.8-flash/Result/Gson_2/result.json</x:v>
      </x:c>
      <x:c r="O360" s="39" t="str">
        <x:f>IF(AND(G360="RECORDED",ISNUMBER(H360)),H360,"")</x:f>
      </x:c>
      <x:c r="P360" s="35" t="str">
        <x:v>NOT_AVAILABLE</x:v>
      </x:c>
      <x:c r="Q360" s="35" t="str">
        <x:v>Gemini-3.8-flash/Result/Gson_2/result.json</x:v>
      </x:c>
    </x:row>
    <x:row r="361">
      <x:c r="A361" s="35" t="str">
        <x:v>gemini</x:v>
      </x:c>
      <x:c r="B361" s="35" t="str">
        <x:v>Gson</x:v>
      </x:c>
      <x:c r="C361" s="35" t="str">
        <x:v>Round1</x:v>
      </x:c>
      <x:c r="D361" s="35" t="str">
        <x:v>Gson_3</x:v>
      </x:c>
      <x:c r="E361" s="35" t="str">
        <x:v>Line</x:v>
      </x:c>
      <x:c r="F361" s="35" t="n">
        <x:v>86</x:v>
      </x:c>
      <x:c r="G361" s="35" t="str">
        <x:v>RECORDED</x:v>
      </x:c>
      <x:c r="H361" s="39" t="n">
        <x:f>IF(ISNUMBER('Data'!E361),'Data'!E361*100,"")</x:f>
        <x:v>97.67</x:v>
      </x:c>
      <x:c r="I361" s="35" t="str">
        <x:v>PASS</x:v>
      </x:c>
      <x:c r="J361" s="35" t="str">
        <x:v>PASS</x:v>
      </x:c>
      <x:c r="K361" s="35" t="str">
        <x:v>PASS</x:v>
      </x:c>
      <x:c r="L361" s="35" t="str">
        <x:v>PASS</x:v>
      </x:c>
      <x:c r="M361" s="35" t="str">
        <x:v>numeric coverage for applicable metric</x:v>
      </x:c>
      <x:c r="N361" s="35" t="str">
        <x:v>Gemini-3.8-flash/Result/Gson_3/result.json</x:v>
      </x:c>
      <x:c r="O361" s="39" t="n">
        <x:f>IF(AND(G361="RECORDED",ISNUMBER(H361)),H361,"")</x:f>
        <x:v>97.67</x:v>
      </x:c>
      <x:c r="P361" s="35" t="str">
        <x:v>NOT_REVEALING</x:v>
      </x:c>
      <x:c r="Q361" s="35" t="str">
        <x:v>Gemini-3.8-flash/Result/Gson_3/result.json</x:v>
      </x:c>
    </x:row>
    <x:row r="362">
      <x:c r="A362" s="35" t="str">
        <x:v>gemini</x:v>
      </x:c>
      <x:c r="B362" s="35" t="str">
        <x:v>Gson</x:v>
      </x:c>
      <x:c r="C362" s="35" t="str">
        <x:v>Round1</x:v>
      </x:c>
      <x:c r="D362" s="35" t="str">
        <x:v>Gson_4</x:v>
      </x:c>
      <x:c r="E362" s="35" t="str">
        <x:v>Line</x:v>
      </x:c>
      <x:c r="F362" s="35" t="n">
        <x:v>882</x:v>
      </x:c>
      <x:c r="G362" s="35" t="str">
        <x:v>RECORDED</x:v>
      </x:c>
      <x:c r="H362" s="39" t="n">
        <x:f>IF(ISNUMBER('Data'!E362),'Data'!E362*100,"")</x:f>
        <x:v>91.27</x:v>
      </x:c>
      <x:c r="I362" s="35" t="str">
        <x:v>PASS</x:v>
      </x:c>
      <x:c r="J362" s="35" t="str">
        <x:v>PASS</x:v>
      </x:c>
      <x:c r="K362" s="35" t="str">
        <x:v>PASS</x:v>
      </x:c>
      <x:c r="L362" s="35" t="str">
        <x:v>FAIL</x:v>
      </x:c>
      <x:c r="M362" s="35" t="str">
        <x:v>numeric coverage for applicable metric</x:v>
      </x:c>
      <x:c r="N362" s="35" t="str">
        <x:v>Gemini-3.8-flash/Result/Gson_4/result.json</x:v>
      </x:c>
      <x:c r="O362" s="39" t="n">
        <x:f>IF(AND(G362="RECORDED",ISNUMBER(H362)),H362,"")</x:f>
        <x:v>91.27</x:v>
      </x:c>
      <x:c r="P362" s="35" t="str">
        <x:v>INCONCLUSIVE</x:v>
      </x:c>
      <x:c r="Q362" s="35" t="str">
        <x:v>Gemini-3.8-flash/Result/Gson_4/result.json</x:v>
      </x:c>
    </x:row>
    <x:row r="363">
      <x:c r="A363" s="35" t="str">
        <x:v>gemini</x:v>
      </x:c>
      <x:c r="B363" s="35" t="str">
        <x:v>Gson</x:v>
      </x:c>
      <x:c r="C363" s="35" t="str">
        <x:v>Round1</x:v>
      </x:c>
      <x:c r="D363" s="35" t="str">
        <x:v>Gson_5</x:v>
      </x:c>
      <x:c r="E363" s="35" t="str">
        <x:v>Line</x:v>
      </x:c>
      <x:c r="F363" s="35" t="n">
        <x:v>150</x:v>
      </x:c>
      <x:c r="G363" s="35" t="str">
        <x:v>RECORDED</x:v>
      </x:c>
      <x:c r="H363" s="39" t="n">
        <x:f>IF(ISNUMBER('Data'!E363),'Data'!E363*100,"")</x:f>
        <x:v>99.33</x:v>
      </x:c>
      <x:c r="I363" s="35" t="str">
        <x:v>PASS</x:v>
      </x:c>
      <x:c r="J363" s="35" t="str">
        <x:v>PASS</x:v>
      </x:c>
      <x:c r="K363" s="35" t="str">
        <x:v>PASS</x:v>
      </x:c>
      <x:c r="L363" s="35" t="str">
        <x:v>PASS</x:v>
      </x:c>
      <x:c r="M363" s="35" t="str">
        <x:v>numeric coverage for applicable metric</x:v>
      </x:c>
      <x:c r="N363" s="35" t="str">
        <x:v>Gemini-3.8-flash/Result/Gson_5/result.json</x:v>
      </x:c>
      <x:c r="O363" s="39" t="n">
        <x:f>IF(AND(G363="RECORDED",ISNUMBER(H363)),H363,"")</x:f>
        <x:v>99.33</x:v>
      </x:c>
      <x:c r="P363" s="35" t="str">
        <x:v>NOT_REVEALING</x:v>
      </x:c>
      <x:c r="Q363" s="35" t="str">
        <x:v>Gemini-3.8-flash/Result/Gson_5/result.json</x:v>
      </x:c>
    </x:row>
    <x:row r="364">
      <x:c r="A364" s="35" t="str">
        <x:v>gemini</x:v>
      </x:c>
      <x:c r="B364" s="35" t="str">
        <x:v>Gson</x:v>
      </x:c>
      <x:c r="C364" s="35" t="str">
        <x:v>Round1</x:v>
      </x:c>
      <x:c r="D364" s="35" t="str">
        <x:v>Gson_6</x:v>
      </x:c>
      <x:c r="E364" s="35" t="str">
        <x:v>Line</x:v>
      </x:c>
      <x:c r="F364" s="35"/>
      <x:c r="G364" s="35" t="str">
        <x:v>A</x:v>
      </x:c>
      <x:c r="H364" s="39" t="str">
        <x:f>IF(ISNUMBER('Data'!E364),'Data'!E364*100,"")</x:f>
      </x:c>
      <x:c r="I364" s="35"/>
      <x:c r="J364" s="35" t="str">
        <x:v>PASS</x:v>
      </x:c>
      <x:c r="K364" s="35" t="str">
        <x:v>FAIL</x:v>
      </x:c>
      <x:c r="L364" s="35" t="str">
        <x:v>NOT_RUN</x:v>
      </x:c>
      <x:c r="M364" s="35" t="str">
        <x:v>coverage unavailable or execution/compile failed</x:v>
      </x:c>
      <x:c r="N364" s="35" t="str">
        <x:v>Gemini-3.8-flash/Result/Gson_6/result.json</x:v>
      </x:c>
      <x:c r="O364" s="39" t="str">
        <x:f>IF(AND(G364="RECORDED",ISNUMBER(H364)),H364,"")</x:f>
      </x:c>
      <x:c r="P364" s="35" t="str">
        <x:v>NOT_AVAILABLE</x:v>
      </x:c>
      <x:c r="Q364" s="35" t="str">
        <x:v>Gemini-3.8-flash/Result/Gson_6/result.json</x:v>
      </x:c>
    </x:row>
    <x:row r="365">
      <x:c r="A365" s="35" t="str">
        <x:v>gemini</x:v>
      </x:c>
      <x:c r="B365" s="35" t="str">
        <x:v>Gson</x:v>
      </x:c>
      <x:c r="C365" s="35" t="str">
        <x:v>Round1</x:v>
      </x:c>
      <x:c r="D365" s="35" t="str">
        <x:v>Gson_7</x:v>
      </x:c>
      <x:c r="E365" s="35" t="str">
        <x:v>Line</x:v>
      </x:c>
      <x:c r="F365" s="35" t="n">
        <x:v>684</x:v>
      </x:c>
      <x:c r="G365" s="35" t="str">
        <x:v>RECORDED</x:v>
      </x:c>
      <x:c r="H365" s="39" t="n">
        <x:f>IF(ISNUMBER('Data'!E365),'Data'!E365*100,"")</x:f>
        <x:v>90.06</x:v>
      </x:c>
      <x:c r="I365" s="35" t="str">
        <x:v>PASS</x:v>
      </x:c>
      <x:c r="J365" s="35" t="str">
        <x:v>PASS</x:v>
      </x:c>
      <x:c r="K365" s="35" t="str">
        <x:v>PASS</x:v>
      </x:c>
      <x:c r="L365" s="35" t="str">
        <x:v>FAIL</x:v>
      </x:c>
      <x:c r="M365" s="35" t="str">
        <x:v>numeric coverage for applicable metric</x:v>
      </x:c>
      <x:c r="N365" s="35" t="str">
        <x:v>Gemini-3.8-flash/Result/Gson_7/result.json</x:v>
      </x:c>
      <x:c r="O365" s="39" t="n">
        <x:f>IF(AND(G365="RECORDED",ISNUMBER(H365)),H365,"")</x:f>
        <x:v>90.06</x:v>
      </x:c>
      <x:c r="P365" s="35" t="str">
        <x:v>INCONCLUSIVE</x:v>
      </x:c>
      <x:c r="Q365" s="35" t="str">
        <x:v>Gemini-3.8-flash/Result/Gson_7/result.json</x:v>
      </x:c>
    </x:row>
    <x:row r="366">
      <x:c r="A366" s="35" t="str">
        <x:v>gemini</x:v>
      </x:c>
      <x:c r="B366" s="35" t="str">
        <x:v>Gson</x:v>
      </x:c>
      <x:c r="C366" s="35" t="str">
        <x:v>Round1</x:v>
      </x:c>
      <x:c r="D366" s="35" t="str">
        <x:v>Gson_8</x:v>
      </x:c>
      <x:c r="E366" s="35" t="str">
        <x:v>Line</x:v>
      </x:c>
      <x:c r="F366" s="35" t="n">
        <x:v>31</x:v>
      </x:c>
      <x:c r="G366" s="35" t="str">
        <x:v>RECORDED</x:v>
      </x:c>
      <x:c r="H366" s="39" t="n">
        <x:f>IF(ISNUMBER('Data'!E366),'Data'!E366*100,"")</x:f>
        <x:v>29.03</x:v>
      </x:c>
      <x:c r="I366" s="35" t="str">
        <x:v>PASS</x:v>
      </x:c>
      <x:c r="J366" s="35" t="str">
        <x:v>PASS</x:v>
      </x:c>
      <x:c r="K366" s="35" t="str">
        <x:v>PASS</x:v>
      </x:c>
      <x:c r="L366" s="35" t="str">
        <x:v>PASS</x:v>
      </x:c>
      <x:c r="M366" s="35" t="str">
        <x:v>numeric coverage for applicable metric</x:v>
      </x:c>
      <x:c r="N366" s="35" t="str">
        <x:v>Gemini-3.8-flash/Result/Gson_8/result.json</x:v>
      </x:c>
      <x:c r="O366" s="39" t="n">
        <x:f>IF(AND(G366="RECORDED",ISNUMBER(H366)),H366,"")</x:f>
        <x:v>29.03</x:v>
      </x:c>
      <x:c r="P366" s="35" t="str">
        <x:v>NOT_REVEALING</x:v>
      </x:c>
      <x:c r="Q366" s="35" t="str">
        <x:v>Gemini-3.8-flash/Result/Gson_8/result.json</x:v>
      </x:c>
    </x:row>
    <x:row r="367">
      <x:c r="A367" s="35" t="str">
        <x:v>gemini</x:v>
      </x:c>
      <x:c r="B367" s="35" t="str">
        <x:v>Gson</x:v>
      </x:c>
      <x:c r="C367" s="35" t="str">
        <x:v>Round1</x:v>
      </x:c>
      <x:c r="D367" s="35" t="str">
        <x:v>Gson_9</x:v>
      </x:c>
      <x:c r="E367" s="35" t="str">
        <x:v>Line</x:v>
      </x:c>
      <x:c r="F367" s="35"/>
      <x:c r="G367" s="35" t="str">
        <x:v>A</x:v>
      </x:c>
      <x:c r="H367" s="39" t="str">
        <x:f>IF(ISNUMBER('Data'!E367),'Data'!E367*100,"")</x:f>
      </x:c>
      <x:c r="I367" s="35"/>
      <x:c r="J367" s="35" t="str">
        <x:v>PASS</x:v>
      </x:c>
      <x:c r="K367" s="35" t="str">
        <x:v>FAIL</x:v>
      </x:c>
      <x:c r="L367" s="35" t="str">
        <x:v>NOT_RUN</x:v>
      </x:c>
      <x:c r="M367" s="35" t="str">
        <x:v>coverage unavailable or execution/compile failed</x:v>
      </x:c>
      <x:c r="N367" s="35" t="str">
        <x:v>Gemini-3.8-flash/Result/Gson_9/result.json</x:v>
      </x:c>
      <x:c r="O367" s="39" t="str">
        <x:f>IF(AND(G367="RECORDED",ISNUMBER(H367)),H367,"")</x:f>
      </x:c>
      <x:c r="P367" s="35" t="str">
        <x:v>NOT_AVAILABLE</x:v>
      </x:c>
      <x:c r="Q367" s="35" t="str">
        <x:v>Gemini-3.8-flash/Result/Gson_9/result.json</x:v>
      </x:c>
    </x:row>
    <x:row r="368">
      <x:c r="A368" s="35" t="str">
        <x:v>gemini</x:v>
      </x:c>
      <x:c r="B368" s="35" t="str">
        <x:v>JacksonCore</x:v>
      </x:c>
      <x:c r="C368" s="35" t="str">
        <x:v>Round1</x:v>
      </x:c>
      <x:c r="D368" s="35" t="str">
        <x:v>JacksonCore_1</x:v>
      </x:c>
      <x:c r="E368" s="35" t="str">
        <x:v>Line</x:v>
      </x:c>
      <x:c r="F368" s="35"/>
      <x:c r="G368" s="35" t="str">
        <x:v>A</x:v>
      </x:c>
      <x:c r="H368" s="39" t="str">
        <x:f>IF(ISNUMBER('Data'!E368),'Data'!E368*100,"")</x:f>
      </x:c>
      <x:c r="I368" s="35"/>
      <x:c r="J368" s="35" t="str">
        <x:v>PASS</x:v>
      </x:c>
      <x:c r="K368" s="35" t="str">
        <x:v>FAIL</x:v>
      </x:c>
      <x:c r="L368" s="35" t="str">
        <x:v>NOT_RUN</x:v>
      </x:c>
      <x:c r="M368" s="35" t="str">
        <x:v>coverage unavailable or execution/compile failed</x:v>
      </x:c>
      <x:c r="N368" s="35" t="str">
        <x:v>Gemini-3.8-flash/Result/JacksonCore_1/result.json</x:v>
      </x:c>
      <x:c r="O368" s="39" t="str">
        <x:f>IF(AND(G368="RECORDED",ISNUMBER(H368)),H368,"")</x:f>
      </x:c>
      <x:c r="P368" s="35" t="str">
        <x:v>NOT_AVAILABLE</x:v>
      </x:c>
      <x:c r="Q368" s="35" t="str">
        <x:v>Gemini-3.8-flash/Result/JacksonCore_1/result.json</x:v>
      </x:c>
    </x:row>
    <x:row r="369">
      <x:c r="A369" s="35" t="str">
        <x:v>gemini</x:v>
      </x:c>
      <x:c r="B369" s="35" t="str">
        <x:v>JacksonCore</x:v>
      </x:c>
      <x:c r="C369" s="35" t="str">
        <x:v>Round1</x:v>
      </x:c>
      <x:c r="D369" s="35" t="str">
        <x:v>JacksonCore_10</x:v>
      </x:c>
      <x:c r="E369" s="35" t="str">
        <x:v>Line</x:v>
      </x:c>
      <x:c r="F369" s="35" t="n">
        <x:v>465</x:v>
      </x:c>
      <x:c r="G369" s="35" t="str">
        <x:v>RECORDED</x:v>
      </x:c>
      <x:c r="H369" s="39" t="n">
        <x:f>IF(ISNUMBER('Data'!E369),'Data'!E369*100,"")</x:f>
        <x:v>90.11</x:v>
      </x:c>
      <x:c r="I369" s="35" t="str">
        <x:v>PASS</x:v>
      </x:c>
      <x:c r="J369" s="35" t="str">
        <x:v>PASS</x:v>
      </x:c>
      <x:c r="K369" s="35" t="str">
        <x:v>PASS</x:v>
      </x:c>
      <x:c r="L369" s="35" t="str">
        <x:v>FAIL</x:v>
      </x:c>
      <x:c r="M369" s="35" t="str">
        <x:v>numeric coverage for applicable metric</x:v>
      </x:c>
      <x:c r="N369" s="35" t="str">
        <x:v>Gemini-3.8-flash/Result/JacksonCore_10/result.json</x:v>
      </x:c>
      <x:c r="O369" s="39" t="n">
        <x:f>IF(AND(G369="RECORDED",ISNUMBER(H369)),H369,"")</x:f>
        <x:v>90.11</x:v>
      </x:c>
      <x:c r="P369" s="35" t="str">
        <x:v>INCONCLUSIVE</x:v>
      </x:c>
      <x:c r="Q369" s="35" t="str">
        <x:v>Gemini-3.8-flash/Result/JacksonCore_10/result.json</x:v>
      </x:c>
    </x:row>
    <x:row r="370">
      <x:c r="A370" s="35" t="str">
        <x:v>gemini</x:v>
      </x:c>
      <x:c r="B370" s="35" t="str">
        <x:v>JacksonCore</x:v>
      </x:c>
      <x:c r="C370" s="35" t="str">
        <x:v>Round1</x:v>
      </x:c>
      <x:c r="D370" s="35" t="str">
        <x:v>JacksonCore_11</x:v>
      </x:c>
      <x:c r="E370" s="35" t="str">
        <x:v>Line</x:v>
      </x:c>
      <x:c r="F370" s="35"/>
      <x:c r="G370" s="35" t="str">
        <x:v>A</x:v>
      </x:c>
      <x:c r="H370" s="39" t="str">
        <x:f>IF(ISNUMBER('Data'!E370),'Data'!E370*100,"")</x:f>
      </x:c>
      <x:c r="I370" s="35"/>
      <x:c r="J370" s="35" t="str">
        <x:v>PASS</x:v>
      </x:c>
      <x:c r="K370" s="35" t="str">
        <x:v>FAIL</x:v>
      </x:c>
      <x:c r="L370" s="35" t="str">
        <x:v>NOT_RUN</x:v>
      </x:c>
      <x:c r="M370" s="35" t="str">
        <x:v>coverage unavailable or execution/compile failed</x:v>
      </x:c>
      <x:c r="N370" s="35" t="str">
        <x:v>Gemini-3.8-flash/Result/JacksonCore_11/result.json</x:v>
      </x:c>
      <x:c r="O370" s="39" t="str">
        <x:f>IF(AND(G370="RECORDED",ISNUMBER(H370)),H370,"")</x:f>
      </x:c>
      <x:c r="P370" s="35" t="str">
        <x:v>NOT_AVAILABLE</x:v>
      </x:c>
      <x:c r="Q370" s="35" t="str">
        <x:v>Gemini-3.8-flash/Result/JacksonCore_11/result.json</x:v>
      </x:c>
    </x:row>
    <x:row r="371">
      <x:c r="A371" s="35" t="str">
        <x:v>gemini</x:v>
      </x:c>
      <x:c r="B371" s="35" t="str">
        <x:v>JacksonCore</x:v>
      </x:c>
      <x:c r="C371" s="35" t="str">
        <x:v>Round1</x:v>
      </x:c>
      <x:c r="D371" s="35" t="str">
        <x:v>JacksonCore_12</x:v>
      </x:c>
      <x:c r="E371" s="35" t="str">
        <x:v>Line</x:v>
      </x:c>
      <x:c r="F371" s="35" t="n">
        <x:v>3187</x:v>
      </x:c>
      <x:c r="G371" s="35" t="str">
        <x:v>RECORDED</x:v>
      </x:c>
      <x:c r="H371" s="39" t="n">
        <x:f>IF(ISNUMBER('Data'!E371),'Data'!E371*100,"")</x:f>
        <x:v>57.14</x:v>
      </x:c>
      <x:c r="I371" s="35" t="str">
        <x:v>PASS</x:v>
      </x:c>
      <x:c r="J371" s="35" t="str">
        <x:v>PASS</x:v>
      </x:c>
      <x:c r="K371" s="35" t="str">
        <x:v>PASS</x:v>
      </x:c>
      <x:c r="L371" s="35" t="str">
        <x:v>FAIL</x:v>
      </x:c>
      <x:c r="M371" s="35" t="str">
        <x:v>numeric coverage for applicable metric</x:v>
      </x:c>
      <x:c r="N371" s="35" t="str">
        <x:v>Gemini-3.8-flash/Result/JacksonCore_12/result.json</x:v>
      </x:c>
      <x:c r="O371" s="39" t="n">
        <x:f>IF(AND(G371="RECORDED",ISNUMBER(H371)),H371,"")</x:f>
        <x:v>57.14</x:v>
      </x:c>
      <x:c r="P371" s="35" t="str">
        <x:v>INCONCLUSIVE</x:v>
      </x:c>
      <x:c r="Q371" s="35" t="str">
        <x:v>Gemini-3.8-flash/Result/JacksonCore_12/result.json</x:v>
      </x:c>
    </x:row>
    <x:row r="372">
      <x:c r="A372" s="35" t="str">
        <x:v>gemini</x:v>
      </x:c>
      <x:c r="B372" s="35" t="str">
        <x:v>JacksonCore</x:v>
      </x:c>
      <x:c r="C372" s="35" t="str">
        <x:v>Round1</x:v>
      </x:c>
      <x:c r="D372" s="35" t="str">
        <x:v>JacksonCore_13</x:v>
      </x:c>
      <x:c r="E372" s="35" t="str">
        <x:v>Line</x:v>
      </x:c>
      <x:c r="F372" s="35" t="n">
        <x:v>31</x:v>
      </x:c>
      <x:c r="G372" s="35" t="str">
        <x:v>RECORDED</x:v>
      </x:c>
      <x:c r="H372" s="39" t="n">
        <x:f>IF(ISNUMBER('Data'!E372),'Data'!E372*100,"")</x:f>
        <x:v>100</x:v>
      </x:c>
      <x:c r="I372" s="35" t="str">
        <x:v>PASS</x:v>
      </x:c>
      <x:c r="J372" s="35" t="str">
        <x:v>PASS</x:v>
      </x:c>
      <x:c r="K372" s="35" t="str">
        <x:v>PASS</x:v>
      </x:c>
      <x:c r="L372" s="35" t="str">
        <x:v>PASS</x:v>
      </x:c>
      <x:c r="M372" s="35" t="str">
        <x:v>numeric coverage for applicable metric</x:v>
      </x:c>
      <x:c r="N372" s="35" t="str">
        <x:v>Gemini-3.8-flash/Result/JacksonCore_13/result.json</x:v>
      </x:c>
      <x:c r="O372" s="39" t="n">
        <x:f>IF(AND(G372="RECORDED",ISNUMBER(H372)),H372,"")</x:f>
        <x:v>100</x:v>
      </x:c>
      <x:c r="P372" s="35" t="str">
        <x:v>NOT_REVEALING</x:v>
      </x:c>
      <x:c r="Q372" s="35" t="str">
        <x:v>Gemini-3.8-flash/Result/JacksonCore_13/result.json</x:v>
      </x:c>
    </x:row>
    <x:row r="373">
      <x:c r="A373" s="35" t="str">
        <x:v>gemini</x:v>
      </x:c>
      <x:c r="B373" s="35" t="str">
        <x:v>JacksonCore</x:v>
      </x:c>
      <x:c r="C373" s="35" t="str">
        <x:v>Round1</x:v>
      </x:c>
      <x:c r="D373" s="35" t="str">
        <x:v>JacksonCore_14</x:v>
      </x:c>
      <x:c r="E373" s="35" t="str">
        <x:v>Line</x:v>
      </x:c>
      <x:c r="F373" s="35" t="n">
        <x:v>68</x:v>
      </x:c>
      <x:c r="G373" s="35" t="str">
        <x:v>RECORDED</x:v>
      </x:c>
      <x:c r="H373" s="39" t="n">
        <x:f>IF(ISNUMBER('Data'!E373),'Data'!E373*100,"")</x:f>
        <x:v>100</x:v>
      </x:c>
      <x:c r="I373" s="35" t="str">
        <x:v>PASS</x:v>
      </x:c>
      <x:c r="J373" s="35" t="str">
        <x:v>PASS</x:v>
      </x:c>
      <x:c r="K373" s="35" t="str">
        <x:v>PASS</x:v>
      </x:c>
      <x:c r="L373" s="35" t="str">
        <x:v>PASS</x:v>
      </x:c>
      <x:c r="M373" s="35" t="str">
        <x:v>numeric coverage for applicable metric</x:v>
      </x:c>
      <x:c r="N373" s="35" t="str">
        <x:v>Gemini-3.8-flash/Result/JacksonCore_14/result.json</x:v>
      </x:c>
      <x:c r="O373" s="39" t="n">
        <x:f>IF(AND(G373="RECORDED",ISNUMBER(H373)),H373,"")</x:f>
        <x:v>100</x:v>
      </x:c>
      <x:c r="P373" s="35" t="str">
        <x:v>INCONCLUSIVE</x:v>
      </x:c>
      <x:c r="Q373" s="35" t="str">
        <x:v>Gemini-3.8-flash/Result/JacksonCore_14/result.json</x:v>
      </x:c>
    </x:row>
    <x:row r="374">
      <x:c r="A374" s="35" t="str">
        <x:v>gemini</x:v>
      </x:c>
      <x:c r="B374" s="35" t="str">
        <x:v>JacksonCore</x:v>
      </x:c>
      <x:c r="C374" s="35" t="str">
        <x:v>Round1</x:v>
      </x:c>
      <x:c r="D374" s="35" t="str">
        <x:v>JacksonCore_15</x:v>
      </x:c>
      <x:c r="E374" s="35" t="str">
        <x:v>Line</x:v>
      </x:c>
      <x:c r="F374" s="35"/>
      <x:c r="G374" s="35" t="str">
        <x:v>A</x:v>
      </x:c>
      <x:c r="H374" s="39" t="str">
        <x:f>IF(ISNUMBER('Data'!E374),'Data'!E374*100,"")</x:f>
      </x:c>
      <x:c r="I374" s="35"/>
      <x:c r="J374" s="35" t="str">
        <x:v>PASS</x:v>
      </x:c>
      <x:c r="K374" s="35" t="str">
        <x:v>FAIL</x:v>
      </x:c>
      <x:c r="L374" s="35" t="str">
        <x:v>NOT_RUN</x:v>
      </x:c>
      <x:c r="M374" s="35" t="str">
        <x:v>coverage unavailable or execution/compile failed</x:v>
      </x:c>
      <x:c r="N374" s="35" t="str">
        <x:v>Gemini-3.8-flash/Result/JacksonCore_15/result.json</x:v>
      </x:c>
      <x:c r="O374" s="39" t="str">
        <x:f>IF(AND(G374="RECORDED",ISNUMBER(H374)),H374,"")</x:f>
      </x:c>
      <x:c r="P374" s="35" t="str">
        <x:v>NOT_AVAILABLE</x:v>
      </x:c>
      <x:c r="Q374" s="35" t="str">
        <x:v>Gemini-3.8-flash/Result/JacksonCore_15/result.json</x:v>
      </x:c>
    </x:row>
    <x:row r="375">
      <x:c r="A375" s="35" t="str">
        <x:v>gemini</x:v>
      </x:c>
      <x:c r="B375" s="35" t="str">
        <x:v>JacksonCore</x:v>
      </x:c>
      <x:c r="C375" s="35" t="str">
        <x:v>Round1</x:v>
      </x:c>
      <x:c r="D375" s="35" t="str">
        <x:v>JacksonCore_16</x:v>
      </x:c>
      <x:c r="E375" s="35" t="str">
        <x:v>Line</x:v>
      </x:c>
      <x:c r="F375" s="35" t="n">
        <x:v>33</x:v>
      </x:c>
      <x:c r="G375" s="35" t="str">
        <x:v>RECORDED</x:v>
      </x:c>
      <x:c r="H375" s="39" t="n">
        <x:f>IF(ISNUMBER('Data'!E375),'Data'!E375*100,"")</x:f>
        <x:v>100</x:v>
      </x:c>
      <x:c r="I375" s="35" t="str">
        <x:v>PASS</x:v>
      </x:c>
      <x:c r="J375" s="35" t="str">
        <x:v>PASS</x:v>
      </x:c>
      <x:c r="K375" s="35" t="str">
        <x:v>PASS</x:v>
      </x:c>
      <x:c r="L375" s="35" t="str">
        <x:v>PASS</x:v>
      </x:c>
      <x:c r="M375" s="35" t="str">
        <x:v>numeric coverage for applicable metric</x:v>
      </x:c>
      <x:c r="N375" s="35" t="str">
        <x:v>Gemini-3.8-flash/Result/JacksonCore_16/result.json</x:v>
      </x:c>
      <x:c r="O375" s="39" t="n">
        <x:f>IF(AND(G375="RECORDED",ISNUMBER(H375)),H375,"")</x:f>
        <x:v>100</x:v>
      </x:c>
      <x:c r="P375" s="35" t="str">
        <x:v>INCONCLUSIVE</x:v>
      </x:c>
      <x:c r="Q375" s="35" t="str">
        <x:v>Gemini-3.8-flash/Result/JacksonCore_16/result.json</x:v>
      </x:c>
    </x:row>
    <x:row r="376">
      <x:c r="A376" s="35" t="str">
        <x:v>gemini</x:v>
      </x:c>
      <x:c r="B376" s="35" t="str">
        <x:v>JacksonCore</x:v>
      </x:c>
      <x:c r="C376" s="35" t="str">
        <x:v>Round1</x:v>
      </x:c>
      <x:c r="D376" s="35" t="str">
        <x:v>JacksonCore_17</x:v>
      </x:c>
      <x:c r="E376" s="35" t="str">
        <x:v>Line</x:v>
      </x:c>
      <x:c r="F376" s="35" t="n">
        <x:v>991</x:v>
      </x:c>
      <x:c r="G376" s="35" t="str">
        <x:v>RECORDED</x:v>
      </x:c>
      <x:c r="H376" s="39" t="n">
        <x:f>IF(ISNUMBER('Data'!E376),'Data'!E376*100,"")</x:f>
        <x:v>22.6</x:v>
      </x:c>
      <x:c r="I376" s="35" t="str">
        <x:v>PASS</x:v>
      </x:c>
      <x:c r="J376" s="35" t="str">
        <x:v>PASS</x:v>
      </x:c>
      <x:c r="K376" s="35" t="str">
        <x:v>PASS</x:v>
      </x:c>
      <x:c r="L376" s="35" t="str">
        <x:v>FAIL</x:v>
      </x:c>
      <x:c r="M376" s="35" t="str">
        <x:v>numeric coverage for applicable metric</x:v>
      </x:c>
      <x:c r="N376" s="35" t="str">
        <x:v>Gemini-3.8-flash/Result/JacksonCore_17/result.json</x:v>
      </x:c>
      <x:c r="O376" s="39" t="n">
        <x:f>IF(AND(G376="RECORDED",ISNUMBER(H376)),H376,"")</x:f>
        <x:v>22.6</x:v>
      </x:c>
      <x:c r="P376" s="35" t="str">
        <x:v>INCONCLUSIVE</x:v>
      </x:c>
      <x:c r="Q376" s="35" t="str">
        <x:v>Gemini-3.8-flash/Result/JacksonCore_17/result.json</x:v>
      </x:c>
    </x:row>
    <x:row r="377">
      <x:c r="A377" s="35" t="str">
        <x:v>gemini</x:v>
      </x:c>
      <x:c r="B377" s="35" t="str">
        <x:v>JacksonCore</x:v>
      </x:c>
      <x:c r="C377" s="35" t="str">
        <x:v>Round1</x:v>
      </x:c>
      <x:c r="D377" s="35" t="str">
        <x:v>JacksonCore_18</x:v>
      </x:c>
      <x:c r="E377" s="35" t="str">
        <x:v>Line</x:v>
      </x:c>
      <x:c r="F377" s="35" t="n">
        <x:v>2113</x:v>
      </x:c>
      <x:c r="G377" s="35" t="str">
        <x:v>RECORDED</x:v>
      </x:c>
      <x:c r="H377" s="39" t="n">
        <x:f>IF(ISNUMBER('Data'!E377),'Data'!E377*100,"")</x:f>
        <x:v>20.21</x:v>
      </x:c>
      <x:c r="I377" s="35" t="str">
        <x:v>PASS</x:v>
      </x:c>
      <x:c r="J377" s="35" t="str">
        <x:v>PASS</x:v>
      </x:c>
      <x:c r="K377" s="35" t="str">
        <x:v>PASS</x:v>
      </x:c>
      <x:c r="L377" s="35" t="str">
        <x:v>FAIL</x:v>
      </x:c>
      <x:c r="M377" s="35" t="str">
        <x:v>numeric coverage for applicable metric</x:v>
      </x:c>
      <x:c r="N377" s="35" t="str">
        <x:v>Gemini-3.8-flash/Result/JacksonCore_18/result.json</x:v>
      </x:c>
      <x:c r="O377" s="39" t="n">
        <x:f>IF(AND(G377="RECORDED",ISNUMBER(H377)),H377,"")</x:f>
        <x:v>20.21</x:v>
      </x:c>
      <x:c r="P377" s="35" t="str">
        <x:v>INCONCLUSIVE</x:v>
      </x:c>
      <x:c r="Q377" s="35" t="str">
        <x:v>Gemini-3.8-flash/Result/JacksonCore_18/result.json</x:v>
      </x:c>
    </x:row>
    <x:row r="378">
      <x:c r="A378" s="35" t="str">
        <x:v>gemini</x:v>
      </x:c>
      <x:c r="B378" s="35" t="str">
        <x:v>JacksonCore</x:v>
      </x:c>
      <x:c r="C378" s="35" t="str">
        <x:v>Round1</x:v>
      </x:c>
      <x:c r="D378" s="35" t="str">
        <x:v>JacksonCore_19</x:v>
      </x:c>
      <x:c r="E378" s="35" t="str">
        <x:v>Line</x:v>
      </x:c>
      <x:c r="F378" s="35" t="n">
        <x:v>3197</x:v>
      </x:c>
      <x:c r="G378" s="35" t="str">
        <x:v>RECORDED</x:v>
      </x:c>
      <x:c r="H378" s="39" t="n">
        <x:f>IF(ISNUMBER('Data'!E378),'Data'!E378*100,"")</x:f>
        <x:v>19.11</x:v>
      </x:c>
      <x:c r="I378" s="35" t="str">
        <x:v>PASS</x:v>
      </x:c>
      <x:c r="J378" s="35" t="str">
        <x:v>PASS</x:v>
      </x:c>
      <x:c r="K378" s="35" t="str">
        <x:v>PASS</x:v>
      </x:c>
      <x:c r="L378" s="35" t="str">
        <x:v>PASS</x:v>
      </x:c>
      <x:c r="M378" s="35" t="str">
        <x:v>numeric coverage for applicable metric</x:v>
      </x:c>
      <x:c r="N378" s="35" t="str">
        <x:v>Gemini-3.8-flash/Result/JacksonCore_19/result.json</x:v>
      </x:c>
      <x:c r="O378" s="39" t="n">
        <x:f>IF(AND(G378="RECORDED",ISNUMBER(H378)),H378,"")</x:f>
        <x:v>19.11</x:v>
      </x:c>
      <x:c r="P378" s="35" t="str">
        <x:v>NOT_REVEALING</x:v>
      </x:c>
      <x:c r="Q378" s="35" t="str">
        <x:v>Gemini-3.8-flash/Result/JacksonCore_19/result.json</x:v>
      </x:c>
    </x:row>
    <x:row r="379">
      <x:c r="A379" s="35" t="str">
        <x:v>gemini</x:v>
      </x:c>
      <x:c r="B379" s="35" t="str">
        <x:v>JacksonCore</x:v>
      </x:c>
      <x:c r="C379" s="35" t="str">
        <x:v>Round1</x:v>
      </x:c>
      <x:c r="D379" s="35" t="str">
        <x:v>JacksonCore_2</x:v>
      </x:c>
      <x:c r="E379" s="35" t="str">
        <x:v>Line</x:v>
      </x:c>
      <x:c r="F379" s="35" t="n">
        <x:v>2463</x:v>
      </x:c>
      <x:c r="G379" s="35" t="str">
        <x:v>RECORDED</x:v>
      </x:c>
      <x:c r="H379" s="39" t="n">
        <x:f>IF(ISNUMBER('Data'!E379),'Data'!E379*100,"")</x:f>
        <x:v>21.56</x:v>
      </x:c>
      <x:c r="I379" s="35" t="str">
        <x:v>PASS</x:v>
      </x:c>
      <x:c r="J379" s="35" t="str">
        <x:v>PASS</x:v>
      </x:c>
      <x:c r="K379" s="35" t="str">
        <x:v>PASS</x:v>
      </x:c>
      <x:c r="L379" s="35" t="str">
        <x:v>PASS</x:v>
      </x:c>
      <x:c r="M379" s="35" t="str">
        <x:v>numeric coverage for applicable metric</x:v>
      </x:c>
      <x:c r="N379" s="35" t="str">
        <x:v>Gemini-3.8-flash/Result/JacksonCore_2/result.json</x:v>
      </x:c>
      <x:c r="O379" s="39" t="n">
        <x:f>IF(AND(G379="RECORDED",ISNUMBER(H379)),H379,"")</x:f>
        <x:v>21.56</x:v>
      </x:c>
      <x:c r="P379" s="35" t="str">
        <x:v>NOT_REVEALING</x:v>
      </x:c>
      <x:c r="Q379" s="35" t="str">
        <x:v>Gemini-3.8-flash/Result/JacksonCore_2/result.json</x:v>
      </x:c>
    </x:row>
    <x:row r="380">
      <x:c r="A380" s="35" t="str">
        <x:v>gemini</x:v>
      </x:c>
      <x:c r="B380" s="35" t="str">
        <x:v>JacksonCore</x:v>
      </x:c>
      <x:c r="C380" s="35" t="str">
        <x:v>Round1</x:v>
      </x:c>
      <x:c r="D380" s="35" t="str">
        <x:v>JacksonCore_20</x:v>
      </x:c>
      <x:c r="E380" s="35" t="str">
        <x:v>Line</x:v>
      </x:c>
      <x:c r="F380" s="35" t="n">
        <x:v>259</x:v>
      </x:c>
      <x:c r="G380" s="35" t="str">
        <x:v>RECORDED</x:v>
      </x:c>
      <x:c r="H380" s="39" t="n">
        <x:f>IF(ISNUMBER('Data'!E380),'Data'!E380*100,"")</x:f>
        <x:v>16.22</x:v>
      </x:c>
      <x:c r="I380" s="35" t="str">
        <x:v>PASS</x:v>
      </x:c>
      <x:c r="J380" s="35" t="str">
        <x:v>PASS</x:v>
      </x:c>
      <x:c r="K380" s="35" t="str">
        <x:v>PASS</x:v>
      </x:c>
      <x:c r="L380" s="35" t="str">
        <x:v>PASS</x:v>
      </x:c>
      <x:c r="M380" s="35" t="str">
        <x:v>numeric coverage for applicable metric</x:v>
      </x:c>
      <x:c r="N380" s="35" t="str">
        <x:v>Gemini-3.8-flash/Result/JacksonCore_20/result.json</x:v>
      </x:c>
      <x:c r="O380" s="39" t="n">
        <x:f>IF(AND(G380="RECORDED",ISNUMBER(H380)),H380,"")</x:f>
        <x:v>16.22</x:v>
      </x:c>
      <x:c r="P380" s="35" t="str">
        <x:v>NOT_REVEALING</x:v>
      </x:c>
      <x:c r="Q380" s="35" t="str">
        <x:v>Gemini-3.8-flash/Result/JacksonCore_20/result.json</x:v>
      </x:c>
    </x:row>
    <x:row r="381">
      <x:c r="A381" s="35" t="str">
        <x:v>gemini</x:v>
      </x:c>
      <x:c r="B381" s="35" t="str">
        <x:v>JacksonCore</x:v>
      </x:c>
      <x:c r="C381" s="35" t="str">
        <x:v>Round1</x:v>
      </x:c>
      <x:c r="D381" s="35" t="str">
        <x:v>JacksonCore_21</x:v>
      </x:c>
      <x:c r="E381" s="35" t="str">
        <x:v>Line</x:v>
      </x:c>
      <x:c r="F381" s="35" t="n">
        <x:v>385</x:v>
      </x:c>
      <x:c r="G381" s="35" t="str">
        <x:v>RECORDED</x:v>
      </x:c>
      <x:c r="H381" s="39" t="n">
        <x:f>IF(ISNUMBER('Data'!E381),'Data'!E381*100,"")</x:f>
        <x:v>23.38</x:v>
      </x:c>
      <x:c r="I381" s="35" t="str">
        <x:v>PASS</x:v>
      </x:c>
      <x:c r="J381" s="35" t="str">
        <x:v>PASS</x:v>
      </x:c>
      <x:c r="K381" s="35" t="str">
        <x:v>PASS</x:v>
      </x:c>
      <x:c r="L381" s="35" t="str">
        <x:v>PASS</x:v>
      </x:c>
      <x:c r="M381" s="35" t="str">
        <x:v>numeric coverage for applicable metric</x:v>
      </x:c>
      <x:c r="N381" s="35" t="str">
        <x:v>Gemini-3.8-flash/Result/JacksonCore_21/result.json</x:v>
      </x:c>
      <x:c r="O381" s="39" t="n">
        <x:f>IF(AND(G381="RECORDED",ISNUMBER(H381)),H381,"")</x:f>
        <x:v>23.38</x:v>
      </x:c>
      <x:c r="P381" s="35" t="str">
        <x:v>NOT_REVEALING</x:v>
      </x:c>
      <x:c r="Q381" s="35" t="str">
        <x:v>Gemini-3.8-flash/Result/JacksonCore_21/result.json</x:v>
      </x:c>
    </x:row>
    <x:row r="382">
      <x:c r="A382" s="35" t="str">
        <x:v>gemini</x:v>
      </x:c>
      <x:c r="B382" s="35" t="str">
        <x:v>JacksonCore</x:v>
      </x:c>
      <x:c r="C382" s="35" t="str">
        <x:v>Round1</x:v>
      </x:c>
      <x:c r="D382" s="35" t="str">
        <x:v>JacksonCore_22</x:v>
      </x:c>
      <x:c r="E382" s="35" t="str">
        <x:v>Line</x:v>
      </x:c>
      <x:c r="F382" s="35" t="n">
        <x:v>381</x:v>
      </x:c>
      <x:c r="G382" s="35" t="str">
        <x:v>RECORDED</x:v>
      </x:c>
      <x:c r="H382" s="39" t="n">
        <x:f>IF(ISNUMBER('Data'!E382),'Data'!E382*100,"")</x:f>
        <x:v>23.1</x:v>
      </x:c>
      <x:c r="I382" s="35" t="str">
        <x:v>PASS</x:v>
      </x:c>
      <x:c r="J382" s="35" t="str">
        <x:v>PASS</x:v>
      </x:c>
      <x:c r="K382" s="35" t="str">
        <x:v>PASS</x:v>
      </x:c>
      <x:c r="L382" s="35" t="str">
        <x:v>PASS</x:v>
      </x:c>
      <x:c r="M382" s="35" t="str">
        <x:v>numeric coverage for applicable metric</x:v>
      </x:c>
      <x:c r="N382" s="35" t="str">
        <x:v>Gemini-3.8-flash/Result/JacksonCore_22/result.json</x:v>
      </x:c>
      <x:c r="O382" s="39" t="n">
        <x:f>IF(AND(G382="RECORDED",ISNUMBER(H382)),H382,"")</x:f>
        <x:v>23.1</x:v>
      </x:c>
      <x:c r="P382" s="35" t="str">
        <x:v>NOT_REVEALING</x:v>
      </x:c>
      <x:c r="Q382" s="35" t="str">
        <x:v>Gemini-3.8-flash/Result/JacksonCore_22/result.json</x:v>
      </x:c>
    </x:row>
    <x:row r="383">
      <x:c r="A383" s="35" t="str">
        <x:v>gemini</x:v>
      </x:c>
      <x:c r="B383" s="35" t="str">
        <x:v>JacksonCore</x:v>
      </x:c>
      <x:c r="C383" s="35" t="str">
        <x:v>Round1</x:v>
      </x:c>
      <x:c r="D383" s="35" t="str">
        <x:v>JacksonCore_23</x:v>
      </x:c>
      <x:c r="E383" s="35" t="str">
        <x:v>Line</x:v>
      </x:c>
      <x:c r="F383" s="35" t="n">
        <x:v>106</x:v>
      </x:c>
      <x:c r="G383" s="35" t="str">
        <x:v>RECORDED</x:v>
      </x:c>
      <x:c r="H383" s="39" t="n">
        <x:f>IF(ISNUMBER('Data'!E383),'Data'!E383*100,"")</x:f>
        <x:v>47.17</x:v>
      </x:c>
      <x:c r="I383" s="35" t="str">
        <x:v>PASS</x:v>
      </x:c>
      <x:c r="J383" s="35" t="str">
        <x:v>PASS</x:v>
      </x:c>
      <x:c r="K383" s="35" t="str">
        <x:v>PASS</x:v>
      </x:c>
      <x:c r="L383" s="35" t="str">
        <x:v>PASS</x:v>
      </x:c>
      <x:c r="M383" s="35" t="str">
        <x:v>numeric coverage for applicable metric</x:v>
      </x:c>
      <x:c r="N383" s="35" t="str">
        <x:v>Gemini-3.8-flash/Result/JacksonCore_23/result.json</x:v>
      </x:c>
      <x:c r="O383" s="39" t="n">
        <x:f>IF(AND(G383="RECORDED",ISNUMBER(H383)),H383,"")</x:f>
        <x:v>47.17</x:v>
      </x:c>
      <x:c r="P383" s="35" t="str">
        <x:v>NOT_REVEALING</x:v>
      </x:c>
      <x:c r="Q383" s="35" t="str">
        <x:v>Gemini-3.8-flash/Result/JacksonCore_23/result.json</x:v>
      </x:c>
    </x:row>
    <x:row r="384">
      <x:c r="A384" s="35" t="str">
        <x:v>gemini</x:v>
      </x:c>
      <x:c r="B384" s="35" t="str">
        <x:v>JacksonCore</x:v>
      </x:c>
      <x:c r="C384" s="35" t="str">
        <x:v>Round1</x:v>
      </x:c>
      <x:c r="D384" s="35" t="str">
        <x:v>JacksonCore_24</x:v>
      </x:c>
      <x:c r="E384" s="35" t="str">
        <x:v>Line</x:v>
      </x:c>
      <x:c r="F384" s="35" t="n">
        <x:v>607</x:v>
      </x:c>
      <x:c r="G384" s="35" t="str">
        <x:v>RECORDED</x:v>
      </x:c>
      <x:c r="H384" s="39" t="n">
        <x:f>IF(ISNUMBER('Data'!E384),'Data'!E384*100,"")</x:f>
        <x:v>18.45</x:v>
      </x:c>
      <x:c r="I384" s="35" t="str">
        <x:v>PASS</x:v>
      </x:c>
      <x:c r="J384" s="35" t="str">
        <x:v>PASS</x:v>
      </x:c>
      <x:c r="K384" s="35" t="str">
        <x:v>PASS</x:v>
      </x:c>
      <x:c r="L384" s="35" t="str">
        <x:v>PASS</x:v>
      </x:c>
      <x:c r="M384" s="35" t="str">
        <x:v>numeric coverage for applicable metric</x:v>
      </x:c>
      <x:c r="N384" s="35" t="str">
        <x:v>Gemini-3.8-flash/Result/JacksonCore_24/result.json</x:v>
      </x:c>
      <x:c r="O384" s="39" t="n">
        <x:f>IF(AND(G384="RECORDED",ISNUMBER(H384)),H384,"")</x:f>
        <x:v>18.45</x:v>
      </x:c>
      <x:c r="P384" s="35" t="str">
        <x:v>NOT_REVEALING</x:v>
      </x:c>
      <x:c r="Q384" s="35" t="str">
        <x:v>Gemini-3.8-flash/Result/JacksonCore_24/result.json</x:v>
      </x:c>
    </x:row>
    <x:row r="385">
      <x:c r="A385" s="35" t="str">
        <x:v>gemini</x:v>
      </x:c>
      <x:c r="B385" s="35" t="str">
        <x:v>JacksonCore</x:v>
      </x:c>
      <x:c r="C385" s="35" t="str">
        <x:v>Round1</x:v>
      </x:c>
      <x:c r="D385" s="35" t="str">
        <x:v>JacksonCore_25</x:v>
      </x:c>
      <x:c r="E385" s="35" t="str">
        <x:v>Line</x:v>
      </x:c>
      <x:c r="F385" s="35" t="n">
        <x:v>1438</x:v>
      </x:c>
      <x:c r="G385" s="35" t="str">
        <x:v>RECORDED</x:v>
      </x:c>
      <x:c r="H385" s="39" t="n">
        <x:f>IF(ISNUMBER('Data'!E385),'Data'!E385*100,"")</x:f>
        <x:v>17.45</x:v>
      </x:c>
      <x:c r="I385" s="35" t="str">
        <x:v>PASS</x:v>
      </x:c>
      <x:c r="J385" s="35" t="str">
        <x:v>PASS</x:v>
      </x:c>
      <x:c r="K385" s="35" t="str">
        <x:v>PASS</x:v>
      </x:c>
      <x:c r="L385" s="35" t="str">
        <x:v>PASS</x:v>
      </x:c>
      <x:c r="M385" s="35" t="str">
        <x:v>numeric coverage for applicable metric</x:v>
      </x:c>
      <x:c r="N385" s="35" t="str">
        <x:v>Gemini-3.8-flash/Result/JacksonCore_25/result.json</x:v>
      </x:c>
      <x:c r="O385" s="39" t="n">
        <x:f>IF(AND(G385="RECORDED",ISNUMBER(H385)),H385,"")</x:f>
        <x:v>17.45</x:v>
      </x:c>
      <x:c r="P385" s="35" t="str">
        <x:v>NOT_REVEALING</x:v>
      </x:c>
      <x:c r="Q385" s="35" t="str">
        <x:v>Gemini-3.8-flash/Result/JacksonCore_25/result.json</x:v>
      </x:c>
    </x:row>
    <x:row r="386">
      <x:c r="A386" s="35" t="str">
        <x:v>gemini</x:v>
      </x:c>
      <x:c r="B386" s="35" t="str">
        <x:v>JacksonCore</x:v>
      </x:c>
      <x:c r="C386" s="35" t="str">
        <x:v>Round1</x:v>
      </x:c>
      <x:c r="D386" s="35" t="str">
        <x:v>JacksonCore_26</x:v>
      </x:c>
      <x:c r="E386" s="35" t="str">
        <x:v>Line</x:v>
      </x:c>
      <x:c r="F386" s="35" t="n">
        <x:v>1482</x:v>
      </x:c>
      <x:c r="G386" s="35" t="str">
        <x:v>RECORDED</x:v>
      </x:c>
      <x:c r="H386" s="39" t="n">
        <x:f>IF(ISNUMBER('Data'!E386),'Data'!E386*100,"")</x:f>
        <x:v>12.08</x:v>
      </x:c>
      <x:c r="I386" s="35" t="str">
        <x:v>PASS</x:v>
      </x:c>
      <x:c r="J386" s="35" t="str">
        <x:v>PASS</x:v>
      </x:c>
      <x:c r="K386" s="35" t="str">
        <x:v>PASS</x:v>
      </x:c>
      <x:c r="L386" s="35" t="str">
        <x:v>PASS</x:v>
      </x:c>
      <x:c r="M386" s="35" t="str">
        <x:v>numeric coverage for applicable metric</x:v>
      </x:c>
      <x:c r="N386" s="35" t="str">
        <x:v>Gemini-3.8-flash/Result/JacksonCore_26/result.json</x:v>
      </x:c>
      <x:c r="O386" s="39" t="n">
        <x:f>IF(AND(G386="RECORDED",ISNUMBER(H386)),H386,"")</x:f>
        <x:v>12.08</x:v>
      </x:c>
      <x:c r="P386" s="35" t="str">
        <x:v>NOT_REVEALING</x:v>
      </x:c>
      <x:c r="Q386" s="35" t="str">
        <x:v>Gemini-3.8-flash/Result/JacksonCore_26/result.json</x:v>
      </x:c>
    </x:row>
    <x:row r="387">
      <x:c r="A387" s="35" t="str">
        <x:v>gemini</x:v>
      </x:c>
      <x:c r="B387" s="35" t="str">
        <x:v>JacksonCore</x:v>
      </x:c>
      <x:c r="C387" s="35" t="str">
        <x:v>Round1</x:v>
      </x:c>
      <x:c r="D387" s="35" t="str">
        <x:v>JacksonCore_3</x:v>
      </x:c>
      <x:c r="E387" s="35" t="str">
        <x:v>Line</x:v>
      </x:c>
      <x:c r="F387" s="35" t="n">
        <x:v>1538</x:v>
      </x:c>
      <x:c r="G387" s="35" t="str">
        <x:v>RECORDED</x:v>
      </x:c>
      <x:c r="H387" s="39" t="n">
        <x:f>IF(ISNUMBER('Data'!E387),'Data'!E387*100,"")</x:f>
        <x:v>20.48</x:v>
      </x:c>
      <x:c r="I387" s="35" t="str">
        <x:v>PASS</x:v>
      </x:c>
      <x:c r="J387" s="35" t="str">
        <x:v>PASS</x:v>
      </x:c>
      <x:c r="K387" s="35" t="str">
        <x:v>PASS</x:v>
      </x:c>
      <x:c r="L387" s="35" t="str">
        <x:v>PASS</x:v>
      </x:c>
      <x:c r="M387" s="35" t="str">
        <x:v>numeric coverage for applicable metric</x:v>
      </x:c>
      <x:c r="N387" s="35" t="str">
        <x:v>Gemini-3.8-flash/Result/JacksonCore_3/result.json</x:v>
      </x:c>
      <x:c r="O387" s="39" t="n">
        <x:f>IF(AND(G387="RECORDED",ISNUMBER(H387)),H387,"")</x:f>
        <x:v>20.48</x:v>
      </x:c>
      <x:c r="P387" s="35" t="str">
        <x:v>NOT_REVEALING</x:v>
      </x:c>
      <x:c r="Q387" s="35" t="str">
        <x:v>Gemini-3.8-flash/Result/JacksonCore_3/result.json</x:v>
      </x:c>
    </x:row>
    <x:row r="388">
      <x:c r="A388" s="35" t="str">
        <x:v>gemini</x:v>
      </x:c>
      <x:c r="B388" s="35" t="str">
        <x:v>JacksonCore</x:v>
      </x:c>
      <x:c r="C388" s="35" t="str">
        <x:v>Round1</x:v>
      </x:c>
      <x:c r="D388" s="35" t="str">
        <x:v>JacksonCore_4</x:v>
      </x:c>
      <x:c r="E388" s="35" t="str">
        <x:v>Line</x:v>
      </x:c>
      <x:c r="F388" s="35"/>
      <x:c r="G388" s="35" t="str">
        <x:v>A</x:v>
      </x:c>
      <x:c r="H388" s="39" t="str">
        <x:f>IF(ISNUMBER('Data'!E388),'Data'!E388*100,"")</x:f>
      </x:c>
      <x:c r="I388" s="35"/>
      <x:c r="J388" s="35" t="str">
        <x:v>PASS</x:v>
      </x:c>
      <x:c r="K388" s="35" t="str">
        <x:v>FAIL</x:v>
      </x:c>
      <x:c r="L388" s="35" t="str">
        <x:v>NOT_RUN</x:v>
      </x:c>
      <x:c r="M388" s="35" t="str">
        <x:v>coverage unavailable or execution/compile failed</x:v>
      </x:c>
      <x:c r="N388" s="35" t="str">
        <x:v>Gemini-3.8-flash/Result/JacksonCore_4/result.json</x:v>
      </x:c>
      <x:c r="O388" s="39" t="str">
        <x:f>IF(AND(G388="RECORDED",ISNUMBER(H388)),H388,"")</x:f>
      </x:c>
      <x:c r="P388" s="35" t="str">
        <x:v>NOT_AVAILABLE</x:v>
      </x:c>
      <x:c r="Q388" s="35" t="str">
        <x:v>Gemini-3.8-flash/Result/JacksonCore_4/result.json</x:v>
      </x:c>
    </x:row>
    <x:row r="389">
      <x:c r="A389" s="35" t="str">
        <x:v>gemini</x:v>
      </x:c>
      <x:c r="B389" s="35" t="str">
        <x:v>JacksonCore</x:v>
      </x:c>
      <x:c r="C389" s="35" t="str">
        <x:v>Round1</x:v>
      </x:c>
      <x:c r="D389" s="35" t="str">
        <x:v>JacksonCore_5</x:v>
      </x:c>
      <x:c r="E389" s="35" t="str">
        <x:v>Line</x:v>
      </x:c>
      <x:c r="F389" s="35" t="n">
        <x:v>84</x:v>
      </x:c>
      <x:c r="G389" s="35" t="str">
        <x:v>RECORDED</x:v>
      </x:c>
      <x:c r="H389" s="39" t="n">
        <x:f>IF(ISNUMBER('Data'!E389),'Data'!E389*100,"")</x:f>
        <x:v>91.67</x:v>
      </x:c>
      <x:c r="I389" s="35" t="str">
        <x:v>PASS</x:v>
      </x:c>
      <x:c r="J389" s="35" t="str">
        <x:v>PASS</x:v>
      </x:c>
      <x:c r="K389" s="35" t="str">
        <x:v>PASS</x:v>
      </x:c>
      <x:c r="L389" s="35" t="str">
        <x:v>PASS</x:v>
      </x:c>
      <x:c r="M389" s="35" t="str">
        <x:v>numeric coverage for applicable metric</x:v>
      </x:c>
      <x:c r="N389" s="35" t="str">
        <x:v>Gemini-3.8-flash/Result/JacksonCore_5/result.json</x:v>
      </x:c>
      <x:c r="O389" s="39" t="n">
        <x:f>IF(AND(G389="RECORDED",ISNUMBER(H389)),H389,"")</x:f>
        <x:v>91.67</x:v>
      </x:c>
      <x:c r="P389" s="35" t="str">
        <x:v>NOT_REVEALING</x:v>
      </x:c>
      <x:c r="Q389" s="35" t="str">
        <x:v>Gemini-3.8-flash/Result/JacksonCore_5/result.json</x:v>
      </x:c>
    </x:row>
    <x:row r="390">
      <x:c r="A390" s="35" t="str">
        <x:v>gemini</x:v>
      </x:c>
      <x:c r="B390" s="35" t="str">
        <x:v>JacksonCore</x:v>
      </x:c>
      <x:c r="C390" s="35" t="str">
        <x:v>Round1</x:v>
      </x:c>
      <x:c r="D390" s="35" t="str">
        <x:v>JacksonCore_6</x:v>
      </x:c>
      <x:c r="E390" s="35" t="str">
        <x:v>Line</x:v>
      </x:c>
      <x:c r="F390" s="35" t="n">
        <x:v>84</x:v>
      </x:c>
      <x:c r="G390" s="35" t="str">
        <x:v>RECORDED</x:v>
      </x:c>
      <x:c r="H390" s="39" t="n">
        <x:f>IF(ISNUMBER('Data'!E390),'Data'!E390*100,"")</x:f>
        <x:v>91.67</x:v>
      </x:c>
      <x:c r="I390" s="35" t="str">
        <x:v>PASS</x:v>
      </x:c>
      <x:c r="J390" s="35" t="str">
        <x:v>PASS</x:v>
      </x:c>
      <x:c r="K390" s="35" t="str">
        <x:v>PASS</x:v>
      </x:c>
      <x:c r="L390" s="35" t="str">
        <x:v>PASS</x:v>
      </x:c>
      <x:c r="M390" s="35" t="str">
        <x:v>numeric coverage for applicable metric</x:v>
      </x:c>
      <x:c r="N390" s="35" t="str">
        <x:v>Gemini-3.8-flash/Result/JacksonCore_6/result.json</x:v>
      </x:c>
      <x:c r="O390" s="39" t="n">
        <x:f>IF(AND(G390="RECORDED",ISNUMBER(H390)),H390,"")</x:f>
        <x:v>91.67</x:v>
      </x:c>
      <x:c r="P390" s="35" t="str">
        <x:v>NOT_REVEALING</x:v>
      </x:c>
      <x:c r="Q390" s="35" t="str">
        <x:v>Gemini-3.8-flash/Result/JacksonCore_6/result.json</x:v>
      </x:c>
    </x:row>
    <x:row r="391">
      <x:c r="A391" s="35" t="str">
        <x:v>gemini</x:v>
      </x:c>
      <x:c r="B391" s="35" t="str">
        <x:v>JacksonCore</x:v>
      </x:c>
      <x:c r="C391" s="35" t="str">
        <x:v>Round1</x:v>
      </x:c>
      <x:c r="D391" s="35" t="str">
        <x:v>JacksonCore_7</x:v>
      </x:c>
      <x:c r="E391" s="35" t="str">
        <x:v>Line</x:v>
      </x:c>
      <x:c r="F391" s="35"/>
      <x:c r="G391" s="35" t="str">
        <x:v>A</x:v>
      </x:c>
      <x:c r="H391" s="39" t="str">
        <x:f>IF(ISNUMBER('Data'!E391),'Data'!E391*100,"")</x:f>
      </x:c>
      <x:c r="I391" s="35"/>
      <x:c r="J391" s="35" t="str">
        <x:v>PASS</x:v>
      </x:c>
      <x:c r="K391" s="35" t="str">
        <x:v>FAIL</x:v>
      </x:c>
      <x:c r="L391" s="35" t="str">
        <x:v>NOT_RUN</x:v>
      </x:c>
      <x:c r="M391" s="35" t="str">
        <x:v>coverage unavailable or execution/compile failed</x:v>
      </x:c>
      <x:c r="N391" s="35" t="str">
        <x:v>Gemini-3.8-flash/Result/JacksonCore_7/result.json</x:v>
      </x:c>
      <x:c r="O391" s="39" t="str">
        <x:f>IF(AND(G391="RECORDED",ISNUMBER(H391)),H391,"")</x:f>
      </x:c>
      <x:c r="P391" s="35" t="str">
        <x:v>NOT_AVAILABLE</x:v>
      </x:c>
      <x:c r="Q391" s="35" t="str">
        <x:v>Gemini-3.8-flash/Result/JacksonCore_7/result.json</x:v>
      </x:c>
    </x:row>
    <x:row r="392">
      <x:c r="A392" s="35" t="str">
        <x:v>gemini</x:v>
      </x:c>
      <x:c r="B392" s="35" t="str">
        <x:v>JacksonCore</x:v>
      </x:c>
      <x:c r="C392" s="35" t="str">
        <x:v>Round1</x:v>
      </x:c>
      <x:c r="D392" s="35" t="str">
        <x:v>JacksonCore_8</x:v>
      </x:c>
      <x:c r="E392" s="35" t="str">
        <x:v>Line</x:v>
      </x:c>
      <x:c r="F392" s="35" t="n">
        <x:v>271</x:v>
      </x:c>
      <x:c r="G392" s="35" t="str">
        <x:v>RECORDED</x:v>
      </x:c>
      <x:c r="H392" s="39" t="n">
        <x:f>IF(ISNUMBER('Data'!E392),'Data'!E392*100,"")</x:f>
        <x:v>98.15</x:v>
      </x:c>
      <x:c r="I392" s="35" t="str">
        <x:v>PASS</x:v>
      </x:c>
      <x:c r="J392" s="35" t="str">
        <x:v>PASS</x:v>
      </x:c>
      <x:c r="K392" s="35" t="str">
        <x:v>PASS</x:v>
      </x:c>
      <x:c r="L392" s="35" t="str">
        <x:v>FAIL</x:v>
      </x:c>
      <x:c r="M392" s="35" t="str">
        <x:v>numeric coverage for applicable metric</x:v>
      </x:c>
      <x:c r="N392" s="35" t="str">
        <x:v>Gemini-3.8-flash/Result/JacksonCore_8/result.json</x:v>
      </x:c>
      <x:c r="O392" s="39" t="n">
        <x:f>IF(AND(G392="RECORDED",ISNUMBER(H392)),H392,"")</x:f>
        <x:v>98.15</x:v>
      </x:c>
      <x:c r="P392" s="35" t="str">
        <x:v>INCONCLUSIVE</x:v>
      </x:c>
      <x:c r="Q392" s="35" t="str">
        <x:v>Gemini-3.8-flash/Result/JacksonCore_8/result.json</x:v>
      </x:c>
    </x:row>
    <x:row r="393">
      <x:c r="A393" s="35" t="str">
        <x:v>gemini</x:v>
      </x:c>
      <x:c r="B393" s="35" t="str">
        <x:v>JacksonCore</x:v>
      </x:c>
      <x:c r="C393" s="35" t="str">
        <x:v>Round1</x:v>
      </x:c>
      <x:c r="D393" s="35" t="str">
        <x:v>JacksonCore_9</x:v>
      </x:c>
      <x:c r="E393" s="35" t="str">
        <x:v>Line</x:v>
      </x:c>
      <x:c r="F393" s="35"/>
      <x:c r="G393" s="35" t="str">
        <x:v>A</x:v>
      </x:c>
      <x:c r="H393" s="39" t="str">
        <x:f>IF(ISNUMBER('Data'!E393),'Data'!E393*100,"")</x:f>
      </x:c>
      <x:c r="I393" s="35"/>
      <x:c r="J393" s="35" t="str">
        <x:v>PASS</x:v>
      </x:c>
      <x:c r="K393" s="35" t="str">
        <x:v>FAIL</x:v>
      </x:c>
      <x:c r="L393" s="35" t="str">
        <x:v>NOT_RUN</x:v>
      </x:c>
      <x:c r="M393" s="35" t="str">
        <x:v>coverage unavailable or execution/compile failed</x:v>
      </x:c>
      <x:c r="N393" s="35" t="str">
        <x:v>Gemini-3.8-flash/Result/JacksonCore_9/result.json</x:v>
      </x:c>
      <x:c r="O393" s="39" t="str">
        <x:f>IF(AND(G393="RECORDED",ISNUMBER(H393)),H393,"")</x:f>
      </x:c>
      <x:c r="P393" s="35" t="str">
        <x:v>NOT_AVAILABLE</x:v>
      </x:c>
      <x:c r="Q393" s="35" t="str">
        <x:v>Gemini-3.8-flash/Result/JacksonCore_9/result.json</x:v>
      </x:c>
    </x:row>
    <x:row r="394">
      <x:c r="A394" s="35" t="str">
        <x:v>gemini</x:v>
      </x:c>
      <x:c r="B394" s="35" t="str">
        <x:v>JacksonDatabind</x:v>
      </x:c>
      <x:c r="C394" s="35" t="str">
        <x:v>Round1</x:v>
      </x:c>
      <x:c r="D394" s="35" t="str">
        <x:v>JacksonDatabind_1</x:v>
      </x:c>
      <x:c r="E394" s="35" t="str">
        <x:v>Line</x:v>
      </x:c>
      <x:c r="F394" s="35" t="n">
        <x:v>195</x:v>
      </x:c>
      <x:c r="G394" s="35" t="str">
        <x:v>RECORDED</x:v>
      </x:c>
      <x:c r="H394" s="39" t="n">
        <x:f>IF(ISNUMBER('Data'!E394),'Data'!E394*100,"")</x:f>
        <x:v>38.97</x:v>
      </x:c>
      <x:c r="I394" s="35" t="str">
        <x:v>PASS</x:v>
      </x:c>
      <x:c r="J394" s="35" t="str">
        <x:v>PASS</x:v>
      </x:c>
      <x:c r="K394" s="35" t="str">
        <x:v>PASS</x:v>
      </x:c>
      <x:c r="L394" s="35" t="str">
        <x:v>PASS</x:v>
      </x:c>
      <x:c r="M394" s="35" t="str">
        <x:v>numeric coverage for applicable metric</x:v>
      </x:c>
      <x:c r="N394" s="35" t="str">
        <x:v>Gemini-3.8-flash/Result/JacksonDatabind_1/result.json</x:v>
      </x:c>
      <x:c r="O394" s="39" t="n">
        <x:f>IF(AND(G394="RECORDED",ISNUMBER(H394)),H394,"")</x:f>
        <x:v>38.97</x:v>
      </x:c>
      <x:c r="P394" s="35" t="str">
        <x:v>NOT_REVEALING</x:v>
      </x:c>
      <x:c r="Q394" s="35" t="str">
        <x:v>Gemini-3.8-flash/Result/JacksonDatabind_1/result.json</x:v>
      </x:c>
    </x:row>
    <x:row r="395">
      <x:c r="A395" s="35" t="str">
        <x:v>gemini</x:v>
      </x:c>
      <x:c r="B395" s="35" t="str">
        <x:v>JacksonDatabind</x:v>
      </x:c>
      <x:c r="C395" s="35" t="str">
        <x:v>Round1</x:v>
      </x:c>
      <x:c r="D395" s="35" t="str">
        <x:v>JacksonDatabind_10</x:v>
      </x:c>
      <x:c r="E395" s="35" t="str">
        <x:v>Line</x:v>
      </x:c>
      <x:c r="F395" s="35"/>
      <x:c r="G395" s="35" t="str">
        <x:v>A</x:v>
      </x:c>
      <x:c r="H395" s="39" t="str">
        <x:f>IF(ISNUMBER('Data'!E395),'Data'!E395*100,"")</x:f>
      </x:c>
      <x:c r="I395" s="35"/>
      <x:c r="J395" s="35" t="str">
        <x:v>PASS</x:v>
      </x:c>
      <x:c r="K395" s="35" t="str">
        <x:v>FAIL</x:v>
      </x:c>
      <x:c r="L395" s="35" t="str">
        <x:v>NOT_RUN</x:v>
      </x:c>
      <x:c r="M395" s="35" t="str">
        <x:v>coverage unavailable or execution/compile failed</x:v>
      </x:c>
      <x:c r="N395" s="35" t="str">
        <x:v>Gemini-3.8-flash/Result/JacksonDatabind_10/result.json</x:v>
      </x:c>
      <x:c r="O395" s="39" t="str">
        <x:f>IF(AND(G395="RECORDED",ISNUMBER(H395)),H395,"")</x:f>
      </x:c>
      <x:c r="P395" s="35" t="str">
        <x:v>NOT_AVAILABLE</x:v>
      </x:c>
      <x:c r="Q395" s="35" t="str">
        <x:v>Gemini-3.8-flash/Result/JacksonDatabind_10/result.json</x:v>
      </x:c>
    </x:row>
    <x:row r="396">
      <x:c r="A396" s="35" t="str">
        <x:v>gemini</x:v>
      </x:c>
      <x:c r="B396" s="35" t="str">
        <x:v>JacksonDatabind</x:v>
      </x:c>
      <x:c r="C396" s="35" t="str">
        <x:v>Round1</x:v>
      </x:c>
      <x:c r="D396" s="35" t="str">
        <x:v>JacksonDatabind_100</x:v>
      </x:c>
      <x:c r="E396" s="35" t="str">
        <x:v>Line</x:v>
      </x:c>
      <x:c r="F396" s="35"/>
      <x:c r="G396" s="35" t="str">
        <x:v>A</x:v>
      </x:c>
      <x:c r="H396" s="39" t="str">
        <x:f>IF(ISNUMBER('Data'!E396),'Data'!E396*100,"")</x:f>
      </x:c>
      <x:c r="I396" s="35"/>
      <x:c r="J396" s="35" t="str">
        <x:v>PASS</x:v>
      </x:c>
      <x:c r="K396" s="35" t="str">
        <x:v>FAIL</x:v>
      </x:c>
      <x:c r="L396" s="35" t="str">
        <x:v>NOT_RUN</x:v>
      </x:c>
      <x:c r="M396" s="35" t="str">
        <x:v>coverage unavailable or execution/compile failed</x:v>
      </x:c>
      <x:c r="N396" s="35" t="str">
        <x:v>Gemini-3.8-flash/Result/JacksonDatabind_100/result.json</x:v>
      </x:c>
      <x:c r="O396" s="39" t="str">
        <x:f>IF(AND(G396="RECORDED",ISNUMBER(H396)),H396,"")</x:f>
      </x:c>
      <x:c r="P396" s="35" t="str">
        <x:v>NOT_AVAILABLE</x:v>
      </x:c>
      <x:c r="Q396" s="35" t="str">
        <x:v>Gemini-3.8-flash/Result/JacksonDatabind_100/result.json</x:v>
      </x:c>
    </x:row>
    <x:row r="397">
      <x:c r="A397" s="35" t="str">
        <x:v>gemini</x:v>
      </x:c>
      <x:c r="B397" s="35" t="str">
        <x:v>JacksonDatabind</x:v>
      </x:c>
      <x:c r="C397" s="35" t="str">
        <x:v>Round1</x:v>
      </x:c>
      <x:c r="D397" s="35" t="str">
        <x:v>JacksonDatabind_101</x:v>
      </x:c>
      <x:c r="E397" s="35" t="str">
        <x:v>Line</x:v>
      </x:c>
      <x:c r="F397" s="35"/>
      <x:c r="G397" s="35" t="str">
        <x:v>A</x:v>
      </x:c>
      <x:c r="H397" s="39" t="str">
        <x:f>IF(ISNUMBER('Data'!E397),'Data'!E397*100,"")</x:f>
      </x:c>
      <x:c r="I397" s="35"/>
      <x:c r="J397" s="35" t="str">
        <x:v>PASS</x:v>
      </x:c>
      <x:c r="K397" s="35" t="str">
        <x:v>FAIL</x:v>
      </x:c>
      <x:c r="L397" s="35" t="str">
        <x:v>NOT_RUN</x:v>
      </x:c>
      <x:c r="M397" s="35" t="str">
        <x:v>coverage unavailable or execution/compile failed</x:v>
      </x:c>
      <x:c r="N397" s="35" t="str">
        <x:v>Gemini-3.8-flash/Result/JacksonDatabind_101/result.json</x:v>
      </x:c>
      <x:c r="O397" s="39" t="str">
        <x:f>IF(AND(G397="RECORDED",ISNUMBER(H397)),H397,"")</x:f>
      </x:c>
      <x:c r="P397" s="35" t="str">
        <x:v>NOT_AVAILABLE</x:v>
      </x:c>
      <x:c r="Q397" s="35" t="str">
        <x:v>Gemini-3.8-flash/Result/JacksonDatabind_101/result.json</x:v>
      </x:c>
    </x:row>
    <x:row r="398">
      <x:c r="A398" s="35" t="str">
        <x:v>gemini</x:v>
      </x:c>
      <x:c r="B398" s="35" t="str">
        <x:v>JacksonDatabind</x:v>
      </x:c>
      <x:c r="C398" s="35" t="str">
        <x:v>Round1</x:v>
      </x:c>
      <x:c r="D398" s="35" t="str">
        <x:v>JacksonDatabind_102</x:v>
      </x:c>
      <x:c r="E398" s="35" t="str">
        <x:v>Line</x:v>
      </x:c>
      <x:c r="F398" s="35"/>
      <x:c r="G398" s="35" t="str">
        <x:v>A</x:v>
      </x:c>
      <x:c r="H398" s="39" t="str">
        <x:f>IF(ISNUMBER('Data'!E398),'Data'!E398*100,"")</x:f>
      </x:c>
      <x:c r="I398" s="35"/>
      <x:c r="J398" s="35" t="str">
        <x:v>PASS</x:v>
      </x:c>
      <x:c r="K398" s="35" t="str">
        <x:v>FAIL</x:v>
      </x:c>
      <x:c r="L398" s="35" t="str">
        <x:v>NOT_RUN</x:v>
      </x:c>
      <x:c r="M398" s="35" t="str">
        <x:v>coverage unavailable or execution/compile failed</x:v>
      </x:c>
      <x:c r="N398" s="35" t="str">
        <x:v>Gemini-3.8-flash/Result/JacksonDatabind_102/result.json</x:v>
      </x:c>
      <x:c r="O398" s="39" t="str">
        <x:f>IF(AND(G398="RECORDED",ISNUMBER(H398)),H398,"")</x:f>
      </x:c>
      <x:c r="P398" s="35" t="str">
        <x:v>NOT_AVAILABLE</x:v>
      </x:c>
      <x:c r="Q398" s="35" t="str">
        <x:v>Gemini-3.8-flash/Result/JacksonDatabind_102/result.json</x:v>
      </x:c>
    </x:row>
    <x:row r="399">
      <x:c r="A399" s="35" t="str">
        <x:v>gemini</x:v>
      </x:c>
      <x:c r="B399" s="35" t="str">
        <x:v>JacksonDatabind</x:v>
      </x:c>
      <x:c r="C399" s="35" t="str">
        <x:v>Round1</x:v>
      </x:c>
      <x:c r="D399" s="35" t="str">
        <x:v>JacksonDatabind_103</x:v>
      </x:c>
      <x:c r="E399" s="35" t="str">
        <x:v>Line</x:v>
      </x:c>
      <x:c r="F399" s="35"/>
      <x:c r="G399" s="35" t="str">
        <x:v>A</x:v>
      </x:c>
      <x:c r="H399" s="39" t="str">
        <x:f>IF(ISNUMBER('Data'!E399),'Data'!E399*100,"")</x:f>
      </x:c>
      <x:c r="I399" s="35"/>
      <x:c r="J399" s="35" t="str">
        <x:v>PASS</x:v>
      </x:c>
      <x:c r="K399" s="35" t="str">
        <x:v>FAIL</x:v>
      </x:c>
      <x:c r="L399" s="35" t="str">
        <x:v>NOT_RUN</x:v>
      </x:c>
      <x:c r="M399" s="35" t="str">
        <x:v>coverage unavailable or execution/compile failed</x:v>
      </x:c>
      <x:c r="N399" s="35" t="str">
        <x:v>Gemini-3.8-flash/Result/JacksonDatabind_103/result.json</x:v>
      </x:c>
      <x:c r="O399" s="39" t="str">
        <x:f>IF(AND(G399="RECORDED",ISNUMBER(H399)),H399,"")</x:f>
      </x:c>
      <x:c r="P399" s="35" t="str">
        <x:v>NOT_AVAILABLE</x:v>
      </x:c>
      <x:c r="Q399" s="35" t="str">
        <x:v>Gemini-3.8-flash/Result/JacksonDatabind_103/result.json</x:v>
      </x:c>
    </x:row>
    <x:row r="400">
      <x:c r="A400" s="35" t="str">
        <x:v>gemini</x:v>
      </x:c>
      <x:c r="B400" s="35" t="str">
        <x:v>JacksonDatabind</x:v>
      </x:c>
      <x:c r="C400" s="35" t="str">
        <x:v>Round1</x:v>
      </x:c>
      <x:c r="D400" s="35" t="str">
        <x:v>JacksonDatabind_104</x:v>
      </x:c>
      <x:c r="E400" s="35" t="str">
        <x:v>Line</x:v>
      </x:c>
      <x:c r="F400" s="35" t="n">
        <x:v>272</x:v>
      </x:c>
      <x:c r="G400" s="35" t="str">
        <x:v>RECORDED</x:v>
      </x:c>
      <x:c r="H400" s="39" t="n">
        <x:f>IF(ISNUMBER('Data'!E400),'Data'!E400*100,"")</x:f>
        <x:v>6.619999999999999</x:v>
      </x:c>
      <x:c r="I400" s="35" t="str">
        <x:v>PASS</x:v>
      </x:c>
      <x:c r="J400" s="35" t="str">
        <x:v>PASS</x:v>
      </x:c>
      <x:c r="K400" s="35" t="str">
        <x:v>PASS</x:v>
      </x:c>
      <x:c r="L400" s="35" t="str">
        <x:v>PASS</x:v>
      </x:c>
      <x:c r="M400" s="35" t="str">
        <x:v>numeric coverage for applicable metric</x:v>
      </x:c>
      <x:c r="N400" s="35" t="str">
        <x:v>Gemini-3.8-flash/Result/JacksonDatabind_104/result.json</x:v>
      </x:c>
      <x:c r="O400" s="39" t="n">
        <x:f>IF(AND(G400="RECORDED",ISNUMBER(H400)),H400,"")</x:f>
        <x:v>6.619999999999999</x:v>
      </x:c>
      <x:c r="P400" s="35" t="str">
        <x:v>NOT_REVEALING</x:v>
      </x:c>
      <x:c r="Q400" s="35" t="str">
        <x:v>Gemini-3.8-flash/Result/JacksonDatabind_104/result.json</x:v>
      </x:c>
    </x:row>
    <x:row r="401">
      <x:c r="A401" s="35" t="str">
        <x:v>gemini</x:v>
      </x:c>
      <x:c r="B401" s="35" t="str">
        <x:v>JacksonDatabind</x:v>
      </x:c>
      <x:c r="C401" s="35" t="str">
        <x:v>Round1</x:v>
      </x:c>
      <x:c r="D401" s="35" t="str">
        <x:v>JacksonDatabind_105</x:v>
      </x:c>
      <x:c r="E401" s="35" t="str">
        <x:v>Line</x:v>
      </x:c>
      <x:c r="F401" s="35" t="n">
        <x:v>19</x:v>
      </x:c>
      <x:c r="G401" s="35" t="str">
        <x:v>RECORDED</x:v>
      </x:c>
      <x:c r="H401" s="39" t="n">
        <x:f>IF(ISNUMBER('Data'!E401),'Data'!E401*100,"")</x:f>
        <x:v>100</x:v>
      </x:c>
      <x:c r="I401" s="35" t="str">
        <x:v>PASS</x:v>
      </x:c>
      <x:c r="J401" s="35" t="str">
        <x:v>PASS</x:v>
      </x:c>
      <x:c r="K401" s="35" t="str">
        <x:v>PASS</x:v>
      </x:c>
      <x:c r="L401" s="35" t="str">
        <x:v>PASS</x:v>
      </x:c>
      <x:c r="M401" s="35" t="str">
        <x:v>numeric coverage for applicable metric</x:v>
      </x:c>
      <x:c r="N401" s="35" t="str">
        <x:v>Gemini-3.8-flash/Result/JacksonDatabind_105/result.json</x:v>
      </x:c>
      <x:c r="O401" s="39" t="n">
        <x:f>IF(AND(G401="RECORDED",ISNUMBER(H401)),H401,"")</x:f>
        <x:v>100</x:v>
      </x:c>
      <x:c r="P401" s="35" t="str">
        <x:v>NOT_REVEALING</x:v>
      </x:c>
      <x:c r="Q401" s="35" t="str">
        <x:v>Gemini-3.8-flash/Result/JacksonDatabind_105/result.json</x:v>
      </x:c>
    </x:row>
    <x:row r="402">
      <x:c r="A402" s="35" t="str">
        <x:v>gemini</x:v>
      </x:c>
      <x:c r="B402" s="35" t="str">
        <x:v>JacksonDatabind</x:v>
      </x:c>
      <x:c r="C402" s="35" t="str">
        <x:v>Round1</x:v>
      </x:c>
      <x:c r="D402" s="35" t="str">
        <x:v>JacksonDatabind_106</x:v>
      </x:c>
      <x:c r="E402" s="35" t="str">
        <x:v>Line</x:v>
      </x:c>
      <x:c r="F402" s="35"/>
      <x:c r="G402" s="35" t="str">
        <x:v>A</x:v>
      </x:c>
      <x:c r="H402" s="39" t="str">
        <x:f>IF(ISNUMBER('Data'!E402),'Data'!E402*100,"")</x:f>
      </x:c>
      <x:c r="I402" s="35"/>
      <x:c r="J402" s="35" t="str">
        <x:v>PASS</x:v>
      </x:c>
      <x:c r="K402" s="35" t="str">
        <x:v>FAIL</x:v>
      </x:c>
      <x:c r="L402" s="35" t="str">
        <x:v>NOT_RUN</x:v>
      </x:c>
      <x:c r="M402" s="35" t="str">
        <x:v>coverage unavailable or execution/compile failed</x:v>
      </x:c>
      <x:c r="N402" s="35" t="str">
        <x:v>Gemini-3.8-flash/Result/JacksonDatabind_106/result.json</x:v>
      </x:c>
      <x:c r="O402" s="39" t="str">
        <x:f>IF(AND(G402="RECORDED",ISNUMBER(H402)),H402,"")</x:f>
      </x:c>
      <x:c r="P402" s="35" t="str">
        <x:v>NOT_AVAILABLE</x:v>
      </x:c>
      <x:c r="Q402" s="35" t="str">
        <x:v>Gemini-3.8-flash/Result/JacksonDatabind_106/result.json</x:v>
      </x:c>
    </x:row>
    <x:row r="403">
      <x:c r="A403" s="35" t="str">
        <x:v>gemini</x:v>
      </x:c>
      <x:c r="B403" s="35" t="str">
        <x:v>JacksonDatabind</x:v>
      </x:c>
      <x:c r="C403" s="35" t="str">
        <x:v>Round1</x:v>
      </x:c>
      <x:c r="D403" s="35" t="str">
        <x:v>JacksonDatabind_107</x:v>
      </x:c>
      <x:c r="E403" s="35" t="str">
        <x:v>Line</x:v>
      </x:c>
      <x:c r="F403" s="35" t="n">
        <x:v>77</x:v>
      </x:c>
      <x:c r="G403" s="35" t="str">
        <x:v>RECORDED</x:v>
      </x:c>
      <x:c r="H403" s="39" t="n">
        <x:f>IF(ISNUMBER('Data'!E403),'Data'!E403*100,"")</x:f>
        <x:v>0</x:v>
      </x:c>
      <x:c r="I403" s="35" t="str">
        <x:v>PASS</x:v>
      </x:c>
      <x:c r="J403" s="35" t="str">
        <x:v>PASS</x:v>
      </x:c>
      <x:c r="K403" s="35" t="str">
        <x:v>PASS</x:v>
      </x:c>
      <x:c r="L403" s="35" t="str">
        <x:v>PASS</x:v>
      </x:c>
      <x:c r="M403" s="35" t="str">
        <x:v>numeric coverage for applicable metric</x:v>
      </x:c>
      <x:c r="N403" s="35" t="str">
        <x:v>Gemini-3.8-flash/Result/JacksonDatabind_107/result.json</x:v>
      </x:c>
      <x:c r="O403" s="39" t="n">
        <x:f>IF(AND(G403="RECORDED",ISNUMBER(H403)),H403,"")</x:f>
        <x:v>0</x:v>
      </x:c>
      <x:c r="P403" s="35" t="str">
        <x:v>NOT_REVEALING</x:v>
      </x:c>
      <x:c r="Q403" s="35" t="str">
        <x:v>Gemini-3.8-flash/Result/JacksonDatabind_107/result.json</x:v>
      </x:c>
    </x:row>
    <x:row r="404">
      <x:c r="A404" s="35" t="str">
        <x:v>gemini</x:v>
      </x:c>
      <x:c r="B404" s="35" t="str">
        <x:v>JacksonDatabind</x:v>
      </x:c>
      <x:c r="C404" s="35" t="str">
        <x:v>Round1</x:v>
      </x:c>
      <x:c r="D404" s="35" t="str">
        <x:v>JacksonDatabind_108</x:v>
      </x:c>
      <x:c r="E404" s="35" t="str">
        <x:v>Line</x:v>
      </x:c>
      <x:c r="F404" s="35" t="n">
        <x:v>433</x:v>
      </x:c>
      <x:c r="G404" s="35" t="str">
        <x:v>RECORDED</x:v>
      </x:c>
      <x:c r="H404" s="39" t="n">
        <x:f>IF(ISNUMBER('Data'!E404),'Data'!E404*100,"")</x:f>
        <x:v>0.22999999999999998</x:v>
      </x:c>
      <x:c r="I404" s="35" t="str">
        <x:v>PASS</x:v>
      </x:c>
      <x:c r="J404" s="35" t="str">
        <x:v>PASS</x:v>
      </x:c>
      <x:c r="K404" s="35" t="str">
        <x:v>PASS</x:v>
      </x:c>
      <x:c r="L404" s="35" t="str">
        <x:v>PASS</x:v>
      </x:c>
      <x:c r="M404" s="35" t="str">
        <x:v>numeric coverage for applicable metric</x:v>
      </x:c>
      <x:c r="N404" s="35" t="str">
        <x:v>Gemini-3.8-flash/Result/JacksonDatabind_108/result.json</x:v>
      </x:c>
      <x:c r="O404" s="39" t="n">
        <x:f>IF(AND(G404="RECORDED",ISNUMBER(H404)),H404,"")</x:f>
        <x:v>0.22999999999999998</x:v>
      </x:c>
      <x:c r="P404" s="35" t="str">
        <x:v>NOT_REVEALING</x:v>
      </x:c>
      <x:c r="Q404" s="35" t="str">
        <x:v>Gemini-3.8-flash/Result/JacksonDatabind_108/result.json</x:v>
      </x:c>
    </x:row>
    <x:row r="405">
      <x:c r="A405" s="35" t="str">
        <x:v>gemini</x:v>
      </x:c>
      <x:c r="B405" s="35" t="str">
        <x:v>JacksonDatabind</x:v>
      </x:c>
      <x:c r="C405" s="35" t="str">
        <x:v>Round1</x:v>
      </x:c>
      <x:c r="D405" s="35" t="str">
        <x:v>JacksonDatabind_109</x:v>
      </x:c>
      <x:c r="E405" s="35" t="str">
        <x:v>Line</x:v>
      </x:c>
      <x:c r="F405" s="35"/>
      <x:c r="G405" s="35" t="str">
        <x:v>A</x:v>
      </x:c>
      <x:c r="H405" s="39" t="str">
        <x:f>IF(ISNUMBER('Data'!E405),'Data'!E405*100,"")</x:f>
      </x:c>
      <x:c r="I405" s="35"/>
      <x:c r="J405" s="35" t="str">
        <x:v>PASS</x:v>
      </x:c>
      <x:c r="K405" s="35" t="str">
        <x:v>FAIL</x:v>
      </x:c>
      <x:c r="L405" s="35" t="str">
        <x:v>NOT_RUN</x:v>
      </x:c>
      <x:c r="M405" s="35" t="str">
        <x:v>coverage unavailable or execution/compile failed</x:v>
      </x:c>
      <x:c r="N405" s="35" t="str">
        <x:v>Gemini-3.8-flash/Result/JacksonDatabind_109/result.json</x:v>
      </x:c>
      <x:c r="O405" s="39" t="str">
        <x:f>IF(AND(G405="RECORDED",ISNUMBER(H405)),H405,"")</x:f>
      </x:c>
      <x:c r="P405" s="35" t="str">
        <x:v>NOT_AVAILABLE</x:v>
      </x:c>
      <x:c r="Q405" s="35" t="str">
        <x:v>Gemini-3.8-flash/Result/JacksonDatabind_109/result.json</x:v>
      </x:c>
    </x:row>
    <x:row r="406">
      <x:c r="A406" s="35" t="str">
        <x:v>gemini</x:v>
      </x:c>
      <x:c r="B406" s="35" t="str">
        <x:v>JacksonDatabind</x:v>
      </x:c>
      <x:c r="C406" s="35" t="str">
        <x:v>Round1</x:v>
      </x:c>
      <x:c r="D406" s="35" t="str">
        <x:v>JacksonDatabind_11</x:v>
      </x:c>
      <x:c r="E406" s="35" t="str">
        <x:v>Line</x:v>
      </x:c>
      <x:c r="F406" s="35" t="n">
        <x:v>320</x:v>
      </x:c>
      <x:c r="G406" s="35" t="str">
        <x:v>RECORDED</x:v>
      </x:c>
      <x:c r="H406" s="39" t="n">
        <x:f>IF(ISNUMBER('Data'!E406),'Data'!E406*100,"")</x:f>
        <x:v>3.44</x:v>
      </x:c>
      <x:c r="I406" s="35" t="str">
        <x:v>PASS</x:v>
      </x:c>
      <x:c r="J406" s="35" t="str">
        <x:v>PASS</x:v>
      </x:c>
      <x:c r="K406" s="35" t="str">
        <x:v>PASS</x:v>
      </x:c>
      <x:c r="L406" s="35" t="str">
        <x:v>PASS</x:v>
      </x:c>
      <x:c r="M406" s="35" t="str">
        <x:v>numeric coverage for applicable metric</x:v>
      </x:c>
      <x:c r="N406" s="35" t="str">
        <x:v>Gemini-3.8-flash/Result/JacksonDatabind_11/result.json</x:v>
      </x:c>
      <x:c r="O406" s="39" t="n">
        <x:f>IF(AND(G406="RECORDED",ISNUMBER(H406)),H406,"")</x:f>
        <x:v>3.44</x:v>
      </x:c>
      <x:c r="P406" s="35" t="str">
        <x:v>NOT_REVEALING</x:v>
      </x:c>
      <x:c r="Q406" s="35" t="str">
        <x:v>Gemini-3.8-flash/Result/JacksonDatabind_11/result.json</x:v>
      </x:c>
    </x:row>
    <x:row r="407">
      <x:c r="A407" s="35" t="str">
        <x:v>gemini</x:v>
      </x:c>
      <x:c r="B407" s="35" t="str">
        <x:v>JacksonDatabind</x:v>
      </x:c>
      <x:c r="C407" s="35" t="str">
        <x:v>Round1</x:v>
      </x:c>
      <x:c r="D407" s="35" t="str">
        <x:v>JacksonDatabind_110</x:v>
      </x:c>
      <x:c r="E407" s="35" t="str">
        <x:v>Line</x:v>
      </x:c>
      <x:c r="F407" s="35" t="n">
        <x:v>58</x:v>
      </x:c>
      <x:c r="G407" s="35" t="str">
        <x:v>RECORDED</x:v>
      </x:c>
      <x:c r="H407" s="39" t="n">
        <x:f>IF(ISNUMBER('Data'!E407),'Data'!E407*100,"")</x:f>
        <x:v>18.97</x:v>
      </x:c>
      <x:c r="I407" s="35" t="str">
        <x:v>PASS</x:v>
      </x:c>
      <x:c r="J407" s="35" t="str">
        <x:v>PASS</x:v>
      </x:c>
      <x:c r="K407" s="35" t="str">
        <x:v>PASS</x:v>
      </x:c>
      <x:c r="L407" s="35" t="str">
        <x:v>FAIL</x:v>
      </x:c>
      <x:c r="M407" s="35" t="str">
        <x:v>numeric coverage for applicable metric</x:v>
      </x:c>
      <x:c r="N407" s="35" t="str">
        <x:v>Gemini-3.8-flash/Result/JacksonDatabind_110/result.json</x:v>
      </x:c>
      <x:c r="O407" s="39" t="n">
        <x:f>IF(AND(G407="RECORDED",ISNUMBER(H407)),H407,"")</x:f>
        <x:v>18.97</x:v>
      </x:c>
      <x:c r="P407" s="35" t="str">
        <x:v>INCONCLUSIVE</x:v>
      </x:c>
      <x:c r="Q407" s="35" t="str">
        <x:v>Gemini-3.8-flash/Result/JacksonDatabind_110/result.json</x:v>
      </x:c>
    </x:row>
    <x:row r="408">
      <x:c r="A408" s="35" t="str">
        <x:v>gemini</x:v>
      </x:c>
      <x:c r="B408" s="35" t="str">
        <x:v>JacksonDatabind</x:v>
      </x:c>
      <x:c r="C408" s="35" t="str">
        <x:v>Round1</x:v>
      </x:c>
      <x:c r="D408" s="35" t="str">
        <x:v>JacksonDatabind_111</x:v>
      </x:c>
      <x:c r="E408" s="35" t="str">
        <x:v>Line</x:v>
      </x:c>
      <x:c r="F408" s="35"/>
      <x:c r="G408" s="35" t="str">
        <x:v>A</x:v>
      </x:c>
      <x:c r="H408" s="39" t="str">
        <x:f>IF(ISNUMBER('Data'!E408),'Data'!E408*100,"")</x:f>
      </x:c>
      <x:c r="I408" s="35"/>
      <x:c r="J408" s="35" t="str">
        <x:v>PASS</x:v>
      </x:c>
      <x:c r="K408" s="35" t="str">
        <x:v>FAIL</x:v>
      </x:c>
      <x:c r="L408" s="35" t="str">
        <x:v>NOT_RUN</x:v>
      </x:c>
      <x:c r="M408" s="35" t="str">
        <x:v>coverage unavailable or execution/compile failed</x:v>
      </x:c>
      <x:c r="N408" s="35" t="str">
        <x:v>Gemini-3.8-flash/Result/JacksonDatabind_111/result.json</x:v>
      </x:c>
      <x:c r="O408" s="39" t="str">
        <x:f>IF(AND(G408="RECORDED",ISNUMBER(H408)),H408,"")</x:f>
      </x:c>
      <x:c r="P408" s="35" t="str">
        <x:v>NOT_AVAILABLE</x:v>
      </x:c>
      <x:c r="Q408" s="35" t="str">
        <x:v>Gemini-3.8-flash/Result/JacksonDatabind_111/result.json</x:v>
      </x:c>
    </x:row>
    <x:row r="409">
      <x:c r="A409" s="35" t="str">
        <x:v>gemini</x:v>
      </x:c>
      <x:c r="B409" s="35" t="str">
        <x:v>JacksonDatabind</x:v>
      </x:c>
      <x:c r="C409" s="35" t="str">
        <x:v>Round1</x:v>
      </x:c>
      <x:c r="D409" s="35" t="str">
        <x:v>JacksonDatabind_112</x:v>
      </x:c>
      <x:c r="E409" s="35" t="str">
        <x:v>Line</x:v>
      </x:c>
      <x:c r="F409" s="35" t="n">
        <x:v>88</x:v>
      </x:c>
      <x:c r="G409" s="35" t="str">
        <x:v>RECORDED</x:v>
      </x:c>
      <x:c r="H409" s="39" t="n">
        <x:f>IF(ISNUMBER('Data'!E409),'Data'!E409*100,"")</x:f>
        <x:v>65.91</x:v>
      </x:c>
      <x:c r="I409" s="35" t="str">
        <x:v>PASS</x:v>
      </x:c>
      <x:c r="J409" s="35" t="str">
        <x:v>PASS</x:v>
      </x:c>
      <x:c r="K409" s="35" t="str">
        <x:v>PASS</x:v>
      </x:c>
      <x:c r="L409" s="35" t="str">
        <x:v>PASS</x:v>
      </x:c>
      <x:c r="M409" s="35" t="str">
        <x:v>numeric coverage for applicable metric</x:v>
      </x:c>
      <x:c r="N409" s="35" t="str">
        <x:v>Gemini-3.8-flash/Result/JacksonDatabind_112/result.json</x:v>
      </x:c>
      <x:c r="O409" s="39" t="n">
        <x:f>IF(AND(G409="RECORDED",ISNUMBER(H409)),H409,"")</x:f>
        <x:v>65.91</x:v>
      </x:c>
      <x:c r="P409" s="35" t="str">
        <x:v>NOT_REVEALING</x:v>
      </x:c>
      <x:c r="Q409" s="35" t="str">
        <x:v>Gemini-3.8-flash/Result/JacksonDatabind_112/result.json</x:v>
      </x:c>
    </x:row>
    <x:row r="410">
      <x:c r="A410" s="35" t="str">
        <x:v>gemini</x:v>
      </x:c>
      <x:c r="B410" s="35" t="str">
        <x:v>JacksonDatabind</x:v>
      </x:c>
      <x:c r="C410" s="35" t="str">
        <x:v>Round1</x:v>
      </x:c>
      <x:c r="D410" s="35" t="str">
        <x:v>JacksonDatabind_12</x:v>
      </x:c>
      <x:c r="E410" s="35" t="str">
        <x:v>Line</x:v>
      </x:c>
      <x:c r="F410" s="35" t="n">
        <x:v>262</x:v>
      </x:c>
      <x:c r="G410" s="35" t="str">
        <x:v>RECORDED</x:v>
      </x:c>
      <x:c r="H410" s="39" t="n">
        <x:f>IF(ISNUMBER('Data'!E410),'Data'!E410*100,"")</x:f>
        <x:v>0</x:v>
      </x:c>
      <x:c r="I410" s="35" t="str">
        <x:v>PASS</x:v>
      </x:c>
      <x:c r="J410" s="35" t="str">
        <x:v>PASS</x:v>
      </x:c>
      <x:c r="K410" s="35" t="str">
        <x:v>PASS</x:v>
      </x:c>
      <x:c r="L410" s="35" t="str">
        <x:v>PASS</x:v>
      </x:c>
      <x:c r="M410" s="35" t="str">
        <x:v>numeric coverage for applicable metric</x:v>
      </x:c>
      <x:c r="N410" s="35" t="str">
        <x:v>Gemini-3.8-flash/Result/JacksonDatabind_12/result.json</x:v>
      </x:c>
      <x:c r="O410" s="39" t="n">
        <x:f>IF(AND(G410="RECORDED",ISNUMBER(H410)),H410,"")</x:f>
        <x:v>0</x:v>
      </x:c>
      <x:c r="P410" s="35" t="str">
        <x:v>NOT_REVEALING</x:v>
      </x:c>
      <x:c r="Q410" s="35" t="str">
        <x:v>Gemini-3.8-flash/Result/JacksonDatabind_12/result.json</x:v>
      </x:c>
    </x:row>
    <x:row r="411">
      <x:c r="A411" s="35" t="str">
        <x:v>gemini</x:v>
      </x:c>
      <x:c r="B411" s="35" t="str">
        <x:v>JacksonDatabind</x:v>
      </x:c>
      <x:c r="C411" s="35" t="str">
        <x:v>Round1</x:v>
      </x:c>
      <x:c r="D411" s="35" t="str">
        <x:v>JacksonDatabind_13</x:v>
      </x:c>
      <x:c r="E411" s="35" t="str">
        <x:v>Line</x:v>
      </x:c>
      <x:c r="F411" s="35"/>
      <x:c r="G411" s="35" t="str">
        <x:v>A</x:v>
      </x:c>
      <x:c r="H411" s="39" t="str">
        <x:f>IF(ISNUMBER('Data'!E411),'Data'!E411*100,"")</x:f>
      </x:c>
      <x:c r="I411" s="35"/>
      <x:c r="J411" s="35" t="str">
        <x:v>PASS</x:v>
      </x:c>
      <x:c r="K411" s="35" t="str">
        <x:v>FAIL</x:v>
      </x:c>
      <x:c r="L411" s="35" t="str">
        <x:v>NOT_RUN</x:v>
      </x:c>
      <x:c r="M411" s="35" t="str">
        <x:v>coverage unavailable or execution/compile failed</x:v>
      </x:c>
      <x:c r="N411" s="35" t="str">
        <x:v>Gemini-3.8-flash/Result/JacksonDatabind_13/result.json</x:v>
      </x:c>
      <x:c r="O411" s="39" t="str">
        <x:f>IF(AND(G411="RECORDED",ISNUMBER(H411)),H411,"")</x:f>
      </x:c>
      <x:c r="P411" s="35" t="str">
        <x:v>NOT_AVAILABLE</x:v>
      </x:c>
      <x:c r="Q411" s="35" t="str">
        <x:v>Gemini-3.8-flash/Result/JacksonDatabind_13/result.json</x:v>
      </x:c>
    </x:row>
    <x:row r="412">
      <x:c r="A412" s="35" t="str">
        <x:v>gemini</x:v>
      </x:c>
      <x:c r="B412" s="35" t="str">
        <x:v>JacksonDatabind</x:v>
      </x:c>
      <x:c r="C412" s="35" t="str">
        <x:v>Round1</x:v>
      </x:c>
      <x:c r="D412" s="35" t="str">
        <x:v>JacksonDatabind_14</x:v>
      </x:c>
      <x:c r="E412" s="35" t="str">
        <x:v>Line</x:v>
      </x:c>
      <x:c r="F412" s="35" t="n">
        <x:v>382</x:v>
      </x:c>
      <x:c r="G412" s="35" t="str">
        <x:v>RECORDED</x:v>
      </x:c>
      <x:c r="H412" s="39" t="n">
        <x:f>IF(ISNUMBER('Data'!E412),'Data'!E412*100,"")</x:f>
        <x:v>0.26</x:v>
      </x:c>
      <x:c r="I412" s="35" t="str">
        <x:v>PASS</x:v>
      </x:c>
      <x:c r="J412" s="35" t="str">
        <x:v>PASS</x:v>
      </x:c>
      <x:c r="K412" s="35" t="str">
        <x:v>PASS</x:v>
      </x:c>
      <x:c r="L412" s="35" t="str">
        <x:v>PASS</x:v>
      </x:c>
      <x:c r="M412" s="35" t="str">
        <x:v>numeric coverage for applicable metric</x:v>
      </x:c>
      <x:c r="N412" s="35" t="str">
        <x:v>Gemini-3.8-flash/Result/JacksonDatabind_14/result.json</x:v>
      </x:c>
      <x:c r="O412" s="39" t="n">
        <x:f>IF(AND(G412="RECORDED",ISNUMBER(H412)),H412,"")</x:f>
        <x:v>0.26</x:v>
      </x:c>
      <x:c r="P412" s="35" t="str">
        <x:v>NOT_REVEALING</x:v>
      </x:c>
      <x:c r="Q412" s="35" t="str">
        <x:v>Gemini-3.8-flash/Result/JacksonDatabind_14/result.json</x:v>
      </x:c>
    </x:row>
    <x:row r="413">
      <x:c r="A413" s="35" t="str">
        <x:v>gemini</x:v>
      </x:c>
      <x:c r="B413" s="35" t="str">
        <x:v>JacksonDatabind</x:v>
      </x:c>
      <x:c r="C413" s="35" t="str">
        <x:v>Round1</x:v>
      </x:c>
      <x:c r="D413" s="35" t="str">
        <x:v>JacksonDatabind_15</x:v>
      </x:c>
      <x:c r="E413" s="35" t="str">
        <x:v>Line</x:v>
      </x:c>
      <x:c r="F413" s="35"/>
      <x:c r="G413" s="35" t="str">
        <x:v>A</x:v>
      </x:c>
      <x:c r="H413" s="39" t="str">
        <x:f>IF(ISNUMBER('Data'!E413),'Data'!E413*100,"")</x:f>
      </x:c>
      <x:c r="I413" s="35"/>
      <x:c r="J413" s="35" t="str">
        <x:v>PASS</x:v>
      </x:c>
      <x:c r="K413" s="35" t="str">
        <x:v>FAIL</x:v>
      </x:c>
      <x:c r="L413" s="35" t="str">
        <x:v>NOT_RUN</x:v>
      </x:c>
      <x:c r="M413" s="35" t="str">
        <x:v>coverage unavailable or execution/compile failed</x:v>
      </x:c>
      <x:c r="N413" s="35" t="str">
        <x:v>Gemini-3.8-flash/Result/JacksonDatabind_15/result.json</x:v>
      </x:c>
      <x:c r="O413" s="39" t="str">
        <x:f>IF(AND(G413="RECORDED",ISNUMBER(H413)),H413,"")</x:f>
      </x:c>
      <x:c r="P413" s="35" t="str">
        <x:v>NOT_AVAILABLE</x:v>
      </x:c>
      <x:c r="Q413" s="35" t="str">
        <x:v>Gemini-3.8-flash/Result/JacksonDatabind_15/result.json</x:v>
      </x:c>
    </x:row>
    <x:row r="414">
      <x:c r="A414" s="35" t="str">
        <x:v>gemini</x:v>
      </x:c>
      <x:c r="B414" s="35" t="str">
        <x:v>JacksonDatabind</x:v>
      </x:c>
      <x:c r="C414" s="35" t="str">
        <x:v>Round1</x:v>
      </x:c>
      <x:c r="D414" s="35" t="str">
        <x:v>JacksonDatabind_16</x:v>
      </x:c>
      <x:c r="E414" s="35" t="str">
        <x:v>Line</x:v>
      </x:c>
      <x:c r="F414" s="35" t="n">
        <x:v>35</x:v>
      </x:c>
      <x:c r="G414" s="35" t="str">
        <x:v>RECORDED</x:v>
      </x:c>
      <x:c r="H414" s="39" t="n">
        <x:f>IF(ISNUMBER('Data'!E414),'Data'!E414*100,"")</x:f>
        <x:v>100</x:v>
      </x:c>
      <x:c r="I414" s="35" t="str">
        <x:v>PASS</x:v>
      </x:c>
      <x:c r="J414" s="35" t="str">
        <x:v>PASS</x:v>
      </x:c>
      <x:c r="K414" s="35" t="str">
        <x:v>PASS</x:v>
      </x:c>
      <x:c r="L414" s="35" t="str">
        <x:v>PASS</x:v>
      </x:c>
      <x:c r="M414" s="35" t="str">
        <x:v>numeric coverage for applicable metric</x:v>
      </x:c>
      <x:c r="N414" s="35" t="str">
        <x:v>Gemini-3.8-flash/Result/JacksonDatabind_16/result.json</x:v>
      </x:c>
      <x:c r="O414" s="39" t="n">
        <x:f>IF(AND(G414="RECORDED",ISNUMBER(H414)),H414,"")</x:f>
        <x:v>100</x:v>
      </x:c>
      <x:c r="P414" s="35" t="str">
        <x:v>INCONCLUSIVE</x:v>
      </x:c>
      <x:c r="Q414" s="35" t="str">
        <x:v>Gemini-3.8-flash/Result/JacksonDatabind_16/result.json</x:v>
      </x:c>
    </x:row>
    <x:row r="415">
      <x:c r="A415" s="35" t="str">
        <x:v>gemini</x:v>
      </x:c>
      <x:c r="B415" s="35" t="str">
        <x:v>JacksonDatabind</x:v>
      </x:c>
      <x:c r="C415" s="35" t="str">
        <x:v>Round1</x:v>
      </x:c>
      <x:c r="D415" s="35" t="str">
        <x:v>JacksonDatabind_17</x:v>
      </x:c>
      <x:c r="E415" s="35" t="str">
        <x:v>Line</x:v>
      </x:c>
      <x:c r="F415" s="35" t="n">
        <x:v>638</x:v>
      </x:c>
      <x:c r="G415" s="35" t="str">
        <x:v>RECORDED</x:v>
      </x:c>
      <x:c r="H415" s="39" t="n">
        <x:f>IF(ISNUMBER('Data'!E415),'Data'!E415*100,"")</x:f>
        <x:v>1.5700000000000003</x:v>
      </x:c>
      <x:c r="I415" s="35" t="str">
        <x:v>PASS</x:v>
      </x:c>
      <x:c r="J415" s="35" t="str">
        <x:v>PASS</x:v>
      </x:c>
      <x:c r="K415" s="35" t="str">
        <x:v>PASS</x:v>
      </x:c>
      <x:c r="L415" s="35" t="str">
        <x:v>FAIL</x:v>
      </x:c>
      <x:c r="M415" s="35" t="str">
        <x:v>numeric coverage for applicable metric</x:v>
      </x:c>
      <x:c r="N415" s="35" t="str">
        <x:v>Gemini-3.8-flash/Result/JacksonDatabind_17/result.json</x:v>
      </x:c>
      <x:c r="O415" s="39" t="n">
        <x:f>IF(AND(G415="RECORDED",ISNUMBER(H415)),H415,"")</x:f>
        <x:v>1.5700000000000003</x:v>
      </x:c>
      <x:c r="P415" s="35" t="str">
        <x:v>INCONCLUSIVE</x:v>
      </x:c>
      <x:c r="Q415" s="35" t="str">
        <x:v>Gemini-3.8-flash/Result/JacksonDatabind_17/result.json</x:v>
      </x:c>
    </x:row>
    <x:row r="416">
      <x:c r="A416" s="35" t="str">
        <x:v>gemini</x:v>
      </x:c>
      <x:c r="B416" s="35" t="str">
        <x:v>JacksonDatabind</x:v>
      </x:c>
      <x:c r="C416" s="35" t="str">
        <x:v>Round1</x:v>
      </x:c>
      <x:c r="D416" s="35" t="str">
        <x:v>JacksonDatabind_18</x:v>
      </x:c>
      <x:c r="E416" s="35" t="str">
        <x:v>Line</x:v>
      </x:c>
      <x:c r="F416" s="35" t="n">
        <x:v>68</x:v>
      </x:c>
      <x:c r="G416" s="35" t="str">
        <x:v>RECORDED</x:v>
      </x:c>
      <x:c r="H416" s="39" t="n">
        <x:f>IF(ISNUMBER('Data'!E416),'Data'!E416*100,"")</x:f>
        <x:v>16.18</x:v>
      </x:c>
      <x:c r="I416" s="35" t="str">
        <x:v>PASS</x:v>
      </x:c>
      <x:c r="J416" s="35" t="str">
        <x:v>PASS</x:v>
      </x:c>
      <x:c r="K416" s="35" t="str">
        <x:v>PASS</x:v>
      </x:c>
      <x:c r="L416" s="35" t="str">
        <x:v>PASS</x:v>
      </x:c>
      <x:c r="M416" s="35" t="str">
        <x:v>numeric coverage for applicable metric</x:v>
      </x:c>
      <x:c r="N416" s="35" t="str">
        <x:v>Gemini-3.8-flash/Result/JacksonDatabind_18/result.json</x:v>
      </x:c>
      <x:c r="O416" s="39" t="n">
        <x:f>IF(AND(G416="RECORDED",ISNUMBER(H416)),H416,"")</x:f>
        <x:v>16.18</x:v>
      </x:c>
      <x:c r="P416" s="35" t="str">
        <x:v>NOT_REVEALING</x:v>
      </x:c>
      <x:c r="Q416" s="35" t="str">
        <x:v>Gemini-3.8-flash/Result/JacksonDatabind_18/result.json</x:v>
      </x:c>
    </x:row>
    <x:row r="417">
      <x:c r="A417" s="35" t="str">
        <x:v>gemini</x:v>
      </x:c>
      <x:c r="B417" s="35" t="str">
        <x:v>JacksonDatabind</x:v>
      </x:c>
      <x:c r="C417" s="35" t="str">
        <x:v>Round1</x:v>
      </x:c>
      <x:c r="D417" s="35" t="str">
        <x:v>JacksonDatabind_19</x:v>
      </x:c>
      <x:c r="E417" s="35" t="str">
        <x:v>Line</x:v>
      </x:c>
      <x:c r="F417" s="35" t="n">
        <x:v>347</x:v>
      </x:c>
      <x:c r="G417" s="35" t="str">
        <x:v>RECORDED</x:v>
      </x:c>
      <x:c r="H417" s="39" t="n">
        <x:f>IF(ISNUMBER('Data'!E417),'Data'!E417*100,"")</x:f>
        <x:v>3.17</x:v>
      </x:c>
      <x:c r="I417" s="35" t="str">
        <x:v>PASS</x:v>
      </x:c>
      <x:c r="J417" s="35" t="str">
        <x:v>PASS</x:v>
      </x:c>
      <x:c r="K417" s="35" t="str">
        <x:v>PASS</x:v>
      </x:c>
      <x:c r="L417" s="35" t="str">
        <x:v>PASS</x:v>
      </x:c>
      <x:c r="M417" s="35" t="str">
        <x:v>numeric coverage for applicable metric</x:v>
      </x:c>
      <x:c r="N417" s="35" t="str">
        <x:v>Gemini-3.8-flash/Result/JacksonDatabind_19/result.json</x:v>
      </x:c>
      <x:c r="O417" s="39" t="n">
        <x:f>IF(AND(G417="RECORDED",ISNUMBER(H417)),H417,"")</x:f>
        <x:v>3.17</x:v>
      </x:c>
      <x:c r="P417" s="35" t="str">
        <x:v>NOT_REVEALING</x:v>
      </x:c>
      <x:c r="Q417" s="35" t="str">
        <x:v>Gemini-3.8-flash/Result/JacksonDatabind_19/result.json</x:v>
      </x:c>
    </x:row>
    <x:row r="418">
      <x:c r="A418" s="35" t="str">
        <x:v>gemini</x:v>
      </x:c>
      <x:c r="B418" s="35" t="str">
        <x:v>JacksonDatabind</x:v>
      </x:c>
      <x:c r="C418" s="35" t="str">
        <x:v>Round1</x:v>
      </x:c>
      <x:c r="D418" s="35" t="str">
        <x:v>JacksonDatabind_2</x:v>
      </x:c>
      <x:c r="E418" s="35" t="str">
        <x:v>Line</x:v>
      </x:c>
      <x:c r="F418" s="35" t="n">
        <x:v>610</x:v>
      </x:c>
      <x:c r="G418" s="35" t="str">
        <x:v>RECORDED</x:v>
      </x:c>
      <x:c r="H418" s="39" t="n">
        <x:f>IF(ISNUMBER('Data'!E418),'Data'!E418*100,"")</x:f>
        <x:v>32.79</x:v>
      </x:c>
      <x:c r="I418" s="35" t="str">
        <x:v>PASS</x:v>
      </x:c>
      <x:c r="J418" s="35" t="str">
        <x:v>PASS</x:v>
      </x:c>
      <x:c r="K418" s="35" t="str">
        <x:v>PASS</x:v>
      </x:c>
      <x:c r="L418" s="35" t="str">
        <x:v>PASS</x:v>
      </x:c>
      <x:c r="M418" s="35" t="str">
        <x:v>numeric coverage for applicable metric</x:v>
      </x:c>
      <x:c r="N418" s="35" t="str">
        <x:v>Gemini-3.8-flash/Result/JacksonDatabind_2/result.json</x:v>
      </x:c>
      <x:c r="O418" s="39" t="n">
        <x:f>IF(AND(G418="RECORDED",ISNUMBER(H418)),H418,"")</x:f>
        <x:v>32.79</x:v>
      </x:c>
      <x:c r="P418" s="35" t="str">
        <x:v>NOT_REVEALING</x:v>
      </x:c>
      <x:c r="Q418" s="35" t="str">
        <x:v>Gemini-3.8-flash/Result/JacksonDatabind_2/result.json</x:v>
      </x:c>
    </x:row>
    <x:row r="419">
      <x:c r="A419" s="35" t="str">
        <x:v>gemini</x:v>
      </x:c>
      <x:c r="B419" s="35" t="str">
        <x:v>JacksonDatabind</x:v>
      </x:c>
      <x:c r="C419" s="35" t="str">
        <x:v>Round1</x:v>
      </x:c>
      <x:c r="D419" s="35" t="str">
        <x:v>JacksonDatabind_20</x:v>
      </x:c>
      <x:c r="E419" s="35" t="str">
        <x:v>Line</x:v>
      </x:c>
      <x:c r="F419" s="35" t="n">
        <x:v>186</x:v>
      </x:c>
      <x:c r="G419" s="35" t="str">
        <x:v>RECORDED</x:v>
      </x:c>
      <x:c r="H419" s="39" t="n">
        <x:f>IF(ISNUMBER('Data'!E419),'Data'!E419*100,"")</x:f>
        <x:v>0</x:v>
      </x:c>
      <x:c r="I419" s="35" t="str">
        <x:v>PASS</x:v>
      </x:c>
      <x:c r="J419" s="35" t="str">
        <x:v>PASS</x:v>
      </x:c>
      <x:c r="K419" s="35" t="str">
        <x:v>PASS</x:v>
      </x:c>
      <x:c r="L419" s="35" t="str">
        <x:v>PASS</x:v>
      </x:c>
      <x:c r="M419" s="35" t="str">
        <x:v>numeric coverage for applicable metric</x:v>
      </x:c>
      <x:c r="N419" s="35" t="str">
        <x:v>Gemini-3.8-flash/Result/JacksonDatabind_20/result.json</x:v>
      </x:c>
      <x:c r="O419" s="39" t="n">
        <x:f>IF(AND(G419="RECORDED",ISNUMBER(H419)),H419,"")</x:f>
        <x:v>0</x:v>
      </x:c>
      <x:c r="P419" s="35" t="str">
        <x:v>NOT_REVEALING</x:v>
      </x:c>
      <x:c r="Q419" s="35" t="str">
        <x:v>Gemini-3.8-flash/Result/JacksonDatabind_20/result.json</x:v>
      </x:c>
    </x:row>
    <x:row r="420">
      <x:c r="A420" s="35" t="str">
        <x:v>gemini</x:v>
      </x:c>
      <x:c r="B420" s="35" t="str">
        <x:v>JacksonDatabind</x:v>
      </x:c>
      <x:c r="C420" s="35" t="str">
        <x:v>Round1</x:v>
      </x:c>
      <x:c r="D420" s="35" t="str">
        <x:v>JacksonDatabind_21</x:v>
      </x:c>
      <x:c r="E420" s="35" t="str">
        <x:v>Line</x:v>
      </x:c>
      <x:c r="F420" s="35" t="n">
        <x:v>333</x:v>
      </x:c>
      <x:c r="G420" s="35" t="str">
        <x:v>RECORDED</x:v>
      </x:c>
      <x:c r="H420" s="39" t="n">
        <x:f>IF(ISNUMBER('Data'!E420),'Data'!E420*100,"")</x:f>
        <x:v>0</x:v>
      </x:c>
      <x:c r="I420" s="35" t="str">
        <x:v>PASS</x:v>
      </x:c>
      <x:c r="J420" s="35" t="str">
        <x:v>PASS</x:v>
      </x:c>
      <x:c r="K420" s="35" t="str">
        <x:v>PASS</x:v>
      </x:c>
      <x:c r="L420" s="35" t="str">
        <x:v>PASS</x:v>
      </x:c>
      <x:c r="M420" s="35" t="str">
        <x:v>numeric coverage for applicable metric</x:v>
      </x:c>
      <x:c r="N420" s="35" t="str">
        <x:v>Gemini-3.8-flash/Result/JacksonDatabind_21/result.json</x:v>
      </x:c>
      <x:c r="O420" s="39" t="n">
        <x:f>IF(AND(G420="RECORDED",ISNUMBER(H420)),H420,"")</x:f>
        <x:v>0</x:v>
      </x:c>
      <x:c r="P420" s="35" t="str">
        <x:v>NOT_REVEALING</x:v>
      </x:c>
      <x:c r="Q420" s="35" t="str">
        <x:v>Gemini-3.8-flash/Result/JacksonDatabind_21/result.json</x:v>
      </x:c>
    </x:row>
    <x:row r="421">
      <x:c r="A421" s="35" t="str">
        <x:v>gemini</x:v>
      </x:c>
      <x:c r="B421" s="35" t="str">
        <x:v>JacksonDatabind</x:v>
      </x:c>
      <x:c r="C421" s="35" t="str">
        <x:v>Round1</x:v>
      </x:c>
      <x:c r="D421" s="35" t="str">
        <x:v>JacksonDatabind_22</x:v>
      </x:c>
      <x:c r="E421" s="35" t="str">
        <x:v>Line</x:v>
      </x:c>
      <x:c r="F421" s="35"/>
      <x:c r="G421" s="35" t="str">
        <x:v>A</x:v>
      </x:c>
      <x:c r="H421" s="39" t="str">
        <x:f>IF(ISNUMBER('Data'!E421),'Data'!E421*100,"")</x:f>
      </x:c>
      <x:c r="I421" s="35"/>
      <x:c r="J421" s="35" t="str">
        <x:v>PASS</x:v>
      </x:c>
      <x:c r="K421" s="35" t="str">
        <x:v>FAIL</x:v>
      </x:c>
      <x:c r="L421" s="35" t="str">
        <x:v>NOT_RUN</x:v>
      </x:c>
      <x:c r="M421" s="35" t="str">
        <x:v>coverage unavailable or execution/compile failed</x:v>
      </x:c>
      <x:c r="N421" s="35" t="str">
        <x:v>Gemini-3.8-flash/Result/JacksonDatabind_22/result.json</x:v>
      </x:c>
      <x:c r="O421" s="39" t="str">
        <x:f>IF(AND(G421="RECORDED",ISNUMBER(H421)),H421,"")</x:f>
      </x:c>
      <x:c r="P421" s="35" t="str">
        <x:v>NOT_AVAILABLE</x:v>
      </x:c>
      <x:c r="Q421" s="35" t="str">
        <x:v>Gemini-3.8-flash/Result/JacksonDatabind_22/result.json</x:v>
      </x:c>
    </x:row>
    <x:row r="422">
      <x:c r="A422" s="35" t="str">
        <x:v>gemini</x:v>
      </x:c>
      <x:c r="B422" s="35" t="str">
        <x:v>JacksonDatabind</x:v>
      </x:c>
      <x:c r="C422" s="35" t="str">
        <x:v>Round1</x:v>
      </x:c>
      <x:c r="D422" s="35" t="str">
        <x:v>JacksonDatabind_23</x:v>
      </x:c>
      <x:c r="E422" s="35" t="str">
        <x:v>Line</x:v>
      </x:c>
      <x:c r="F422" s="35" t="n">
        <x:v>73</x:v>
      </x:c>
      <x:c r="G422" s="35" t="str">
        <x:v>RECORDED</x:v>
      </x:c>
      <x:c r="H422" s="39" t="n">
        <x:f>IF(ISNUMBER('Data'!E422),'Data'!E422*100,"")</x:f>
        <x:v>0</x:v>
      </x:c>
      <x:c r="I422" s="35" t="str">
        <x:v>PASS</x:v>
      </x:c>
      <x:c r="J422" s="35" t="str">
        <x:v>PASS</x:v>
      </x:c>
      <x:c r="K422" s="35" t="str">
        <x:v>PASS</x:v>
      </x:c>
      <x:c r="L422" s="35" t="str">
        <x:v>FAIL</x:v>
      </x:c>
      <x:c r="M422" s="35" t="str">
        <x:v>numeric coverage for applicable metric</x:v>
      </x:c>
      <x:c r="N422" s="35" t="str">
        <x:v>Gemini-3.8-flash/Result/JacksonDatabind_23/result.json</x:v>
      </x:c>
      <x:c r="O422" s="39" t="n">
        <x:f>IF(AND(G422="RECORDED",ISNUMBER(H422)),H422,"")</x:f>
        <x:v>0</x:v>
      </x:c>
      <x:c r="P422" s="35" t="str">
        <x:v>INCONCLUSIVE</x:v>
      </x:c>
      <x:c r="Q422" s="35" t="str">
        <x:v>Gemini-3.8-flash/Result/JacksonDatabind_23/result.json</x:v>
      </x:c>
    </x:row>
    <x:row r="423">
      <x:c r="A423" s="35" t="str">
        <x:v>gemini</x:v>
      </x:c>
      <x:c r="B423" s="35" t="str">
        <x:v>JacksonDatabind</x:v>
      </x:c>
      <x:c r="C423" s="35" t="str">
        <x:v>Round1</x:v>
      </x:c>
      <x:c r="D423" s="35" t="str">
        <x:v>JacksonDatabind_24</x:v>
      </x:c>
      <x:c r="E423" s="35" t="str">
        <x:v>Line</x:v>
      </x:c>
      <x:c r="F423" s="35" t="n">
        <x:v>67</x:v>
      </x:c>
      <x:c r="G423" s="35" t="str">
        <x:v>RECORDED</x:v>
      </x:c>
      <x:c r="H423" s="39" t="n">
        <x:f>IF(ISNUMBER('Data'!E423),'Data'!E423*100,"")</x:f>
        <x:v>0</x:v>
      </x:c>
      <x:c r="I423" s="35" t="str">
        <x:v>PASS</x:v>
      </x:c>
      <x:c r="J423" s="35" t="str">
        <x:v>PASS</x:v>
      </x:c>
      <x:c r="K423" s="35" t="str">
        <x:v>PASS</x:v>
      </x:c>
      <x:c r="L423" s="35" t="str">
        <x:v>PASS</x:v>
      </x:c>
      <x:c r="M423" s="35" t="str">
        <x:v>numeric coverage for applicable metric</x:v>
      </x:c>
      <x:c r="N423" s="35" t="str">
        <x:v>Gemini-3.8-flash/Result/JacksonDatabind_24/result.json</x:v>
      </x:c>
      <x:c r="O423" s="39" t="n">
        <x:f>IF(AND(G423="RECORDED",ISNUMBER(H423)),H423,"")</x:f>
        <x:v>0</x:v>
      </x:c>
      <x:c r="P423" s="35" t="str">
        <x:v>NOT_REVEALING</x:v>
      </x:c>
      <x:c r="Q423" s="35" t="str">
        <x:v>Gemini-3.8-flash/Result/JacksonDatabind_24/result.json</x:v>
      </x:c>
    </x:row>
    <x:row r="424">
      <x:c r="A424" s="35" t="str">
        <x:v>gemini</x:v>
      </x:c>
      <x:c r="B424" s="35" t="str">
        <x:v>JacksonDatabind</x:v>
      </x:c>
      <x:c r="C424" s="35" t="str">
        <x:v>Round1</x:v>
      </x:c>
      <x:c r="D424" s="35" t="str">
        <x:v>JacksonDatabind_25</x:v>
      </x:c>
      <x:c r="E424" s="35" t="str">
        <x:v>Line</x:v>
      </x:c>
      <x:c r="F424" s="35" t="n">
        <x:v>1058</x:v>
      </x:c>
      <x:c r="G424" s="35" t="str">
        <x:v>RECORDED</x:v>
      </x:c>
      <x:c r="H424" s="39" t="n">
        <x:f>IF(ISNUMBER('Data'!E424),'Data'!E424*100,"")</x:f>
        <x:v>1.6099999999999999</x:v>
      </x:c>
      <x:c r="I424" s="35" t="str">
        <x:v>PASS</x:v>
      </x:c>
      <x:c r="J424" s="35" t="str">
        <x:v>PASS</x:v>
      </x:c>
      <x:c r="K424" s="35" t="str">
        <x:v>PASS</x:v>
      </x:c>
      <x:c r="L424" s="35" t="str">
        <x:v>PASS</x:v>
      </x:c>
      <x:c r="M424" s="35" t="str">
        <x:v>numeric coverage for applicable metric</x:v>
      </x:c>
      <x:c r="N424" s="35" t="str">
        <x:v>Gemini-3.8-flash/Result/JacksonDatabind_25/result.json</x:v>
      </x:c>
      <x:c r="O424" s="39" t="n">
        <x:f>IF(AND(G424="RECORDED",ISNUMBER(H424)),H424,"")</x:f>
        <x:v>1.6099999999999999</x:v>
      </x:c>
      <x:c r="P424" s="35" t="str">
        <x:v>INCONCLUSIVE</x:v>
      </x:c>
      <x:c r="Q424" s="35" t="str">
        <x:v>Gemini-3.8-flash/Result/JacksonDatabind_25/result.json</x:v>
      </x:c>
    </x:row>
    <x:row r="425">
      <x:c r="A425" s="35" t="str">
        <x:v>gemini</x:v>
      </x:c>
      <x:c r="B425" s="35" t="str">
        <x:v>JacksonDatabind</x:v>
      </x:c>
      <x:c r="C425" s="35" t="str">
        <x:v>Round1</x:v>
      </x:c>
      <x:c r="D425" s="35" t="str">
        <x:v>JacksonDatabind_26</x:v>
      </x:c>
      <x:c r="E425" s="35" t="str">
        <x:v>Line</x:v>
      </x:c>
      <x:c r="F425" s="35" t="n">
        <x:v>267</x:v>
      </x:c>
      <x:c r="G425" s="35" t="str">
        <x:v>RECORDED</x:v>
      </x:c>
      <x:c r="H425" s="39" t="n">
        <x:f>IF(ISNUMBER('Data'!E425),'Data'!E425*100,"")</x:f>
        <x:v>28.84</x:v>
      </x:c>
      <x:c r="I425" s="35" t="str">
        <x:v>PASS</x:v>
      </x:c>
      <x:c r="J425" s="35" t="str">
        <x:v>PASS</x:v>
      </x:c>
      <x:c r="K425" s="35" t="str">
        <x:v>PASS</x:v>
      </x:c>
      <x:c r="L425" s="35" t="str">
        <x:v>PASS</x:v>
      </x:c>
      <x:c r="M425" s="35" t="str">
        <x:v>numeric coverage for applicable metric</x:v>
      </x:c>
      <x:c r="N425" s="35" t="str">
        <x:v>Gemini-3.8-flash/Result/JacksonDatabind_26/result.json</x:v>
      </x:c>
      <x:c r="O425" s="39" t="n">
        <x:f>IF(AND(G425="RECORDED",ISNUMBER(H425)),H425,"")</x:f>
        <x:v>28.84</x:v>
      </x:c>
      <x:c r="P425" s="35" t="str">
        <x:v>NOT_REVEALING</x:v>
      </x:c>
      <x:c r="Q425" s="35" t="str">
        <x:v>Gemini-3.8-flash/Result/JacksonDatabind_26/result.json</x:v>
      </x:c>
    </x:row>
    <x:row r="426">
      <x:c r="A426" s="35" t="str">
        <x:v>gemini</x:v>
      </x:c>
      <x:c r="B426" s="35" t="str">
        <x:v>JacksonDatabind</x:v>
      </x:c>
      <x:c r="C426" s="35" t="str">
        <x:v>Round1</x:v>
      </x:c>
      <x:c r="D426" s="35" t="str">
        <x:v>JacksonDatabind_27</x:v>
      </x:c>
      <x:c r="E426" s="35" t="str">
        <x:v>Line</x:v>
      </x:c>
      <x:c r="F426" s="35"/>
      <x:c r="G426" s="35" t="str">
        <x:v>A</x:v>
      </x:c>
      <x:c r="H426" s="39" t="str">
        <x:f>IF(ISNUMBER('Data'!E426),'Data'!E426*100,"")</x:f>
      </x:c>
      <x:c r="I426" s="35"/>
      <x:c r="J426" s="35" t="str">
        <x:v>PASS</x:v>
      </x:c>
      <x:c r="K426" s="35" t="str">
        <x:v>FAIL</x:v>
      </x:c>
      <x:c r="L426" s="35" t="str">
        <x:v>NOT_RUN</x:v>
      </x:c>
      <x:c r="M426" s="35" t="str">
        <x:v>coverage unavailable or execution/compile failed</x:v>
      </x:c>
      <x:c r="N426" s="35" t="str">
        <x:v>Gemini-3.8-flash/Result/JacksonDatabind_27/result.json</x:v>
      </x:c>
      <x:c r="O426" s="39" t="str">
        <x:f>IF(AND(G426="RECORDED",ISNUMBER(H426)),H426,"")</x:f>
      </x:c>
      <x:c r="P426" s="35" t="str">
        <x:v>NOT_AVAILABLE</x:v>
      </x:c>
      <x:c r="Q426" s="35" t="str">
        <x:v>Gemini-3.8-flash/Result/JacksonDatabind_27/result.json</x:v>
      </x:c>
    </x:row>
    <x:row r="427">
      <x:c r="A427" s="35" t="str">
        <x:v>gemini</x:v>
      </x:c>
      <x:c r="B427" s="35" t="str">
        <x:v>JacksonDatabind</x:v>
      </x:c>
      <x:c r="C427" s="35" t="str">
        <x:v>Round1</x:v>
      </x:c>
      <x:c r="D427" s="35" t="str">
        <x:v>JacksonDatabind_28</x:v>
      </x:c>
      <x:c r="E427" s="35" t="str">
        <x:v>Line</x:v>
      </x:c>
      <x:c r="F427" s="35" t="n">
        <x:v>31</x:v>
      </x:c>
      <x:c r="G427" s="35" t="str">
        <x:v>RECORDED</x:v>
      </x:c>
      <x:c r="H427" s="39" t="n">
        <x:f>IF(ISNUMBER('Data'!E427),'Data'!E427*100,"")</x:f>
        <x:v>6.45</x:v>
      </x:c>
      <x:c r="I427" s="35" t="str">
        <x:v>PASS</x:v>
      </x:c>
      <x:c r="J427" s="35" t="str">
        <x:v>PASS</x:v>
      </x:c>
      <x:c r="K427" s="35" t="str">
        <x:v>PASS</x:v>
      </x:c>
      <x:c r="L427" s="35" t="str">
        <x:v>FAIL</x:v>
      </x:c>
      <x:c r="M427" s="35" t="str">
        <x:v>numeric coverage for applicable metric</x:v>
      </x:c>
      <x:c r="N427" s="35" t="str">
        <x:v>Gemini-3.8-flash/Result/JacksonDatabind_28/result.json</x:v>
      </x:c>
      <x:c r="O427" s="39" t="n">
        <x:f>IF(AND(G427="RECORDED",ISNUMBER(H427)),H427,"")</x:f>
        <x:v>6.45</x:v>
      </x:c>
      <x:c r="P427" s="35" t="str">
        <x:v>INCONCLUSIVE</x:v>
      </x:c>
      <x:c r="Q427" s="35" t="str">
        <x:v>Gemini-3.8-flash/Result/JacksonDatabind_28/result.json</x:v>
      </x:c>
    </x:row>
    <x:row r="428">
      <x:c r="A428" s="35" t="str">
        <x:v>gemini</x:v>
      </x:c>
      <x:c r="B428" s="35" t="str">
        <x:v>JacksonDatabind</x:v>
      </x:c>
      <x:c r="C428" s="35" t="str">
        <x:v>Round1</x:v>
      </x:c>
      <x:c r="D428" s="35" t="str">
        <x:v>JacksonDatabind_29</x:v>
      </x:c>
      <x:c r="E428" s="35" t="str">
        <x:v>Line</x:v>
      </x:c>
      <x:c r="F428" s="35" t="n">
        <x:v>141</x:v>
      </x:c>
      <x:c r="G428" s="35" t="str">
        <x:v>RECORDED</x:v>
      </x:c>
      <x:c r="H428" s="39" t="n">
        <x:f>IF(ISNUMBER('Data'!E428),'Data'!E428*100,"")</x:f>
        <x:v>0</x:v>
      </x:c>
      <x:c r="I428" s="35" t="str">
        <x:v>PASS</x:v>
      </x:c>
      <x:c r="J428" s="35" t="str">
        <x:v>PASS</x:v>
      </x:c>
      <x:c r="K428" s="35" t="str">
        <x:v>PASS</x:v>
      </x:c>
      <x:c r="L428" s="35" t="str">
        <x:v>FAIL</x:v>
      </x:c>
      <x:c r="M428" s="35" t="str">
        <x:v>numeric coverage for applicable metric</x:v>
      </x:c>
      <x:c r="N428" s="35" t="str">
        <x:v>Gemini-3.8-flash/Result/JacksonDatabind_29/result.json</x:v>
      </x:c>
      <x:c r="O428" s="39" t="n">
        <x:f>IF(AND(G428="RECORDED",ISNUMBER(H428)),H428,"")</x:f>
        <x:v>0</x:v>
      </x:c>
      <x:c r="P428" s="35" t="str">
        <x:v>INCONCLUSIVE</x:v>
      </x:c>
      <x:c r="Q428" s="35" t="str">
        <x:v>Gemini-3.8-flash/Result/JacksonDatabind_29/result.json</x:v>
      </x:c>
    </x:row>
    <x:row r="429">
      <x:c r="A429" s="35" t="str">
        <x:v>gemini</x:v>
      </x:c>
      <x:c r="B429" s="35" t="str">
        <x:v>JacksonDatabind</x:v>
      </x:c>
      <x:c r="C429" s="35" t="str">
        <x:v>Round1</x:v>
      </x:c>
      <x:c r="D429" s="35" t="str">
        <x:v>JacksonDatabind_3</x:v>
      </x:c>
      <x:c r="E429" s="35" t="str">
        <x:v>Line</x:v>
      </x:c>
      <x:c r="F429" s="35" t="n">
        <x:v>62</x:v>
      </x:c>
      <x:c r="G429" s="35" t="str">
        <x:v>RECORDED</x:v>
      </x:c>
      <x:c r="H429" s="39" t="n">
        <x:f>IF(ISNUMBER('Data'!E429),'Data'!E429*100,"")</x:f>
        <x:v>51.61</x:v>
      </x:c>
      <x:c r="I429" s="35" t="str">
        <x:v>PASS</x:v>
      </x:c>
      <x:c r="J429" s="35" t="str">
        <x:v>PASS</x:v>
      </x:c>
      <x:c r="K429" s="35" t="str">
        <x:v>PASS</x:v>
      </x:c>
      <x:c r="L429" s="35" t="str">
        <x:v>PASS</x:v>
      </x:c>
      <x:c r="M429" s="35" t="str">
        <x:v>numeric coverage for applicable metric</x:v>
      </x:c>
      <x:c r="N429" s="35" t="str">
        <x:v>Gemini-3.8-flash/Result/JacksonDatabind_3/result.json</x:v>
      </x:c>
      <x:c r="O429" s="39" t="n">
        <x:f>IF(AND(G429="RECORDED",ISNUMBER(H429)),H429,"")</x:f>
        <x:v>51.61</x:v>
      </x:c>
      <x:c r="P429" s="35" t="str">
        <x:v>NOT_REVEALING</x:v>
      </x:c>
      <x:c r="Q429" s="35" t="str">
        <x:v>Gemini-3.8-flash/Result/JacksonDatabind_3/result.json</x:v>
      </x:c>
    </x:row>
    <x:row r="430">
      <x:c r="A430" s="35" t="str">
        <x:v>gemini</x:v>
      </x:c>
      <x:c r="B430" s="35" t="str">
        <x:v>JacksonDatabind</x:v>
      </x:c>
      <x:c r="C430" s="35" t="str">
        <x:v>Round1</x:v>
      </x:c>
      <x:c r="D430" s="35" t="str">
        <x:v>JacksonDatabind_30</x:v>
      </x:c>
      <x:c r="E430" s="35" t="str">
        <x:v>Line</x:v>
      </x:c>
      <x:c r="F430" s="35" t="n">
        <x:v>1332</x:v>
      </x:c>
      <x:c r="G430" s="35" t="str">
        <x:v>RECORDED</x:v>
      </x:c>
      <x:c r="H430" s="39" t="n">
        <x:f>IF(ISNUMBER('Data'!E430),'Data'!E430*100,"")</x:f>
        <x:v>15.689999999999998</x:v>
      </x:c>
      <x:c r="I430" s="35" t="str">
        <x:v>PASS</x:v>
      </x:c>
      <x:c r="J430" s="35" t="str">
        <x:v>PASS</x:v>
      </x:c>
      <x:c r="K430" s="35" t="str">
        <x:v>PASS</x:v>
      </x:c>
      <x:c r="L430" s="35" t="str">
        <x:v>FAIL</x:v>
      </x:c>
      <x:c r="M430" s="35" t="str">
        <x:v>numeric coverage for applicable metric</x:v>
      </x:c>
      <x:c r="N430" s="35" t="str">
        <x:v>Gemini-3.8-flash/Result/JacksonDatabind_30/result.json</x:v>
      </x:c>
      <x:c r="O430" s="39" t="n">
        <x:f>IF(AND(G430="RECORDED",ISNUMBER(H430)),H430,"")</x:f>
        <x:v>15.689999999999998</x:v>
      </x:c>
      <x:c r="P430" s="35" t="str">
        <x:v>INCONCLUSIVE</x:v>
      </x:c>
      <x:c r="Q430" s="35" t="str">
        <x:v>Gemini-3.8-flash/Result/JacksonDatabind_30/result.json</x:v>
      </x:c>
    </x:row>
    <x:row r="431">
      <x:c r="A431" s="35" t="str">
        <x:v>gemini</x:v>
      </x:c>
      <x:c r="B431" s="35" t="str">
        <x:v>JacksonDatabind</x:v>
      </x:c>
      <x:c r="C431" s="35" t="str">
        <x:v>Round1</x:v>
      </x:c>
      <x:c r="D431" s="35" t="str">
        <x:v>JacksonDatabind_31</x:v>
      </x:c>
      <x:c r="E431" s="35" t="str">
        <x:v>Line</x:v>
      </x:c>
      <x:c r="F431" s="35" t="n">
        <x:v>655</x:v>
      </x:c>
      <x:c r="G431" s="35" t="str">
        <x:v>RECORDED</x:v>
      </x:c>
      <x:c r="H431" s="39" t="n">
        <x:f>IF(ISNUMBER('Data'!E431),'Data'!E431*100,"")</x:f>
        <x:v>30.69</x:v>
      </x:c>
      <x:c r="I431" s="35" t="str">
        <x:v>PASS</x:v>
      </x:c>
      <x:c r="J431" s="35" t="str">
        <x:v>PASS</x:v>
      </x:c>
      <x:c r="K431" s="35" t="str">
        <x:v>PASS</x:v>
      </x:c>
      <x:c r="L431" s="35" t="str">
        <x:v>PASS</x:v>
      </x:c>
      <x:c r="M431" s="35" t="str">
        <x:v>numeric coverage for applicable metric</x:v>
      </x:c>
      <x:c r="N431" s="35" t="str">
        <x:v>Gemini-3.8-flash/Result/JacksonDatabind_31/result.json</x:v>
      </x:c>
      <x:c r="O431" s="39" t="n">
        <x:f>IF(AND(G431="RECORDED",ISNUMBER(H431)),H431,"")</x:f>
        <x:v>30.69</x:v>
      </x:c>
      <x:c r="P431" s="35" t="str">
        <x:v>NOT_REVEALING</x:v>
      </x:c>
      <x:c r="Q431" s="35" t="str">
        <x:v>Gemini-3.8-flash/Result/JacksonDatabind_31/result.json</x:v>
      </x:c>
    </x:row>
    <x:row r="432">
      <x:c r="A432" s="35" t="str">
        <x:v>gemini</x:v>
      </x:c>
      <x:c r="B432" s="35" t="str">
        <x:v>JacksonDatabind</x:v>
      </x:c>
      <x:c r="C432" s="35" t="str">
        <x:v>Round1</x:v>
      </x:c>
      <x:c r="D432" s="35" t="str">
        <x:v>JacksonDatabind_32</x:v>
      </x:c>
      <x:c r="E432" s="35" t="str">
        <x:v>Line</x:v>
      </x:c>
      <x:c r="F432" s="35" t="n">
        <x:v>262</x:v>
      </x:c>
      <x:c r="G432" s="35" t="str">
        <x:v>RECORDED</x:v>
      </x:c>
      <x:c r="H432" s="39" t="n">
        <x:f>IF(ISNUMBER('Data'!E432),'Data'!E432*100,"")</x:f>
        <x:v>2.29</x:v>
      </x:c>
      <x:c r="I432" s="35" t="str">
        <x:v>PASS</x:v>
      </x:c>
      <x:c r="J432" s="35" t="str">
        <x:v>PASS</x:v>
      </x:c>
      <x:c r="K432" s="35" t="str">
        <x:v>PASS</x:v>
      </x:c>
      <x:c r="L432" s="35" t="str">
        <x:v>PASS</x:v>
      </x:c>
      <x:c r="M432" s="35" t="str">
        <x:v>numeric coverage for applicable metric</x:v>
      </x:c>
      <x:c r="N432" s="35" t="str">
        <x:v>Gemini-3.8-flash/Result/JacksonDatabind_32/result.json</x:v>
      </x:c>
      <x:c r="O432" s="39" t="n">
        <x:f>IF(AND(G432="RECORDED",ISNUMBER(H432)),H432,"")</x:f>
        <x:v>2.29</x:v>
      </x:c>
      <x:c r="P432" s="35" t="str">
        <x:v>NOT_REVEALING</x:v>
      </x:c>
      <x:c r="Q432" s="35" t="str">
        <x:v>Gemini-3.8-flash/Result/JacksonDatabind_32/result.json</x:v>
      </x:c>
    </x:row>
    <x:row r="433">
      <x:c r="A433" s="35" t="str">
        <x:v>gemini</x:v>
      </x:c>
      <x:c r="B433" s="35" t="str">
        <x:v>JacksonDatabind</x:v>
      </x:c>
      <x:c r="C433" s="35" t="str">
        <x:v>Round1</x:v>
      </x:c>
      <x:c r="D433" s="35" t="str">
        <x:v>JacksonDatabind_33</x:v>
      </x:c>
      <x:c r="E433" s="35" t="str">
        <x:v>Line</x:v>
      </x:c>
      <x:c r="F433" s="35" t="n">
        <x:v>368</x:v>
      </x:c>
      <x:c r="G433" s="35" t="str">
        <x:v>RECORDED</x:v>
      </x:c>
      <x:c r="H433" s="39" t="n">
        <x:f>IF(ISNUMBER('Data'!E433),'Data'!E433*100,"")</x:f>
        <x:v>0</x:v>
      </x:c>
      <x:c r="I433" s="35" t="str">
        <x:v>PASS</x:v>
      </x:c>
      <x:c r="J433" s="35" t="str">
        <x:v>PASS</x:v>
      </x:c>
      <x:c r="K433" s="35" t="str">
        <x:v>PASS</x:v>
      </x:c>
      <x:c r="L433" s="35" t="str">
        <x:v>PASS</x:v>
      </x:c>
      <x:c r="M433" s="35" t="str">
        <x:v>numeric coverage for applicable metric</x:v>
      </x:c>
      <x:c r="N433" s="35" t="str">
        <x:v>Gemini-3.8-flash/Result/JacksonDatabind_33/result.json</x:v>
      </x:c>
      <x:c r="O433" s="39" t="n">
        <x:f>IF(AND(G433="RECORDED",ISNUMBER(H433)),H433,"")</x:f>
        <x:v>0</x:v>
      </x:c>
      <x:c r="P433" s="35" t="str">
        <x:v>NOT_REVEALING</x:v>
      </x:c>
      <x:c r="Q433" s="35" t="str">
        <x:v>Gemini-3.8-flash/Result/JacksonDatabind_33/result.json</x:v>
      </x:c>
    </x:row>
    <x:row r="434">
      <x:c r="A434" s="35" t="str">
        <x:v>gemini</x:v>
      </x:c>
      <x:c r="B434" s="35" t="str">
        <x:v>JacksonDatabind</x:v>
      </x:c>
      <x:c r="C434" s="35" t="str">
        <x:v>Round1</x:v>
      </x:c>
      <x:c r="D434" s="35" t="str">
        <x:v>JacksonDatabind_34</x:v>
      </x:c>
      <x:c r="E434" s="35" t="str">
        <x:v>Line</x:v>
      </x:c>
      <x:c r="F434" s="35" t="n">
        <x:v>29</x:v>
      </x:c>
      <x:c r="G434" s="35" t="str">
        <x:v>RECORDED</x:v>
      </x:c>
      <x:c r="H434" s="39" t="n">
        <x:f>IF(ISNUMBER('Data'!E434),'Data'!E434*100,"")</x:f>
        <x:v>96.55</x:v>
      </x:c>
      <x:c r="I434" s="35" t="str">
        <x:v>PASS</x:v>
      </x:c>
      <x:c r="J434" s="35" t="str">
        <x:v>PASS</x:v>
      </x:c>
      <x:c r="K434" s="35" t="str">
        <x:v>PASS</x:v>
      </x:c>
      <x:c r="L434" s="35" t="str">
        <x:v>PASS</x:v>
      </x:c>
      <x:c r="M434" s="35" t="str">
        <x:v>numeric coverage for applicable metric</x:v>
      </x:c>
      <x:c r="N434" s="35" t="str">
        <x:v>Gemini-3.8-flash/Result/JacksonDatabind_34/result.json</x:v>
      </x:c>
      <x:c r="O434" s="39" t="n">
        <x:f>IF(AND(G434="RECORDED",ISNUMBER(H434)),H434,"")</x:f>
        <x:v>96.55</x:v>
      </x:c>
      <x:c r="P434" s="35" t="str">
        <x:v>INCONCLUSIVE</x:v>
      </x:c>
      <x:c r="Q434" s="35" t="str">
        <x:v>Gemini-3.8-flash/Result/JacksonDatabind_34/result.json</x:v>
      </x:c>
    </x:row>
    <x:row r="435">
      <x:c r="A435" s="35" t="str">
        <x:v>gemini</x:v>
      </x:c>
      <x:c r="B435" s="35" t="str">
        <x:v>JacksonDatabind</x:v>
      </x:c>
      <x:c r="C435" s="35" t="str">
        <x:v>Round1</x:v>
      </x:c>
      <x:c r="D435" s="35" t="str">
        <x:v>JacksonDatabind_35</x:v>
      </x:c>
      <x:c r="E435" s="35" t="str">
        <x:v>Line</x:v>
      </x:c>
      <x:c r="F435" s="35"/>
      <x:c r="G435" s="35" t="str">
        <x:v>A</x:v>
      </x:c>
      <x:c r="H435" s="39" t="str">
        <x:f>IF(ISNUMBER('Data'!E435),'Data'!E435*100,"")</x:f>
      </x:c>
      <x:c r="I435" s="35"/>
      <x:c r="J435" s="35" t="str">
        <x:v>PASS</x:v>
      </x:c>
      <x:c r="K435" s="35" t="str">
        <x:v>FAIL</x:v>
      </x:c>
      <x:c r="L435" s="35" t="str">
        <x:v>NOT_RUN</x:v>
      </x:c>
      <x:c r="M435" s="35" t="str">
        <x:v>coverage unavailable or execution/compile failed</x:v>
      </x:c>
      <x:c r="N435" s="35" t="str">
        <x:v>Gemini-3.8-flash/Result/JacksonDatabind_35/result.json</x:v>
      </x:c>
      <x:c r="O435" s="39" t="str">
        <x:f>IF(AND(G435="RECORDED",ISNUMBER(H435)),H435,"")</x:f>
      </x:c>
      <x:c r="P435" s="35" t="str">
        <x:v>NOT_AVAILABLE</x:v>
      </x:c>
      <x:c r="Q435" s="35" t="str">
        <x:v>Gemini-3.8-flash/Result/JacksonDatabind_35/result.json</x:v>
      </x:c>
    </x:row>
    <x:row r="436">
      <x:c r="A436" s="35" t="str">
        <x:v>gemini</x:v>
      </x:c>
      <x:c r="B436" s="35" t="str">
        <x:v>JacksonDatabind</x:v>
      </x:c>
      <x:c r="C436" s="35" t="str">
        <x:v>Round1</x:v>
      </x:c>
      <x:c r="D436" s="35" t="str">
        <x:v>JacksonDatabind_36</x:v>
      </x:c>
      <x:c r="E436" s="35" t="str">
        <x:v>Line</x:v>
      </x:c>
      <x:c r="F436" s="35" t="n">
        <x:v>193</x:v>
      </x:c>
      <x:c r="G436" s="35" t="str">
        <x:v>RECORDED</x:v>
      </x:c>
      <x:c r="H436" s="39" t="n">
        <x:f>IF(ISNUMBER('Data'!E436),'Data'!E436*100,"")</x:f>
        <x:v>7.77</x:v>
      </x:c>
      <x:c r="I436" s="35" t="str">
        <x:v>PASS</x:v>
      </x:c>
      <x:c r="J436" s="35" t="str">
        <x:v>PASS</x:v>
      </x:c>
      <x:c r="K436" s="35" t="str">
        <x:v>PASS</x:v>
      </x:c>
      <x:c r="L436" s="35" t="str">
        <x:v>PASS</x:v>
      </x:c>
      <x:c r="M436" s="35" t="str">
        <x:v>numeric coverage for applicable metric</x:v>
      </x:c>
      <x:c r="N436" s="35" t="str">
        <x:v>Gemini-3.8-flash/Result/JacksonDatabind_36/result.json</x:v>
      </x:c>
      <x:c r="O436" s="39" t="n">
        <x:f>IF(AND(G436="RECORDED",ISNUMBER(H436)),H436,"")</x:f>
        <x:v>7.77</x:v>
      </x:c>
      <x:c r="P436" s="35" t="str">
        <x:v>NOT_REVEALING</x:v>
      </x:c>
      <x:c r="Q436" s="35" t="str">
        <x:v>Gemini-3.8-flash/Result/JacksonDatabind_36/result.json</x:v>
      </x:c>
    </x:row>
    <x:row r="437">
      <x:c r="A437" s="35" t="str">
        <x:v>gemini</x:v>
      </x:c>
      <x:c r="B437" s="35" t="str">
        <x:v>JacksonDatabind</x:v>
      </x:c>
      <x:c r="C437" s="35" t="str">
        <x:v>Round1</x:v>
      </x:c>
      <x:c r="D437" s="35" t="str">
        <x:v>JacksonDatabind_37</x:v>
      </x:c>
      <x:c r="E437" s="35" t="str">
        <x:v>Line</x:v>
      </x:c>
      <x:c r="F437" s="35" t="n">
        <x:v>67</x:v>
      </x:c>
      <x:c r="G437" s="35" t="str">
        <x:v>RECORDED</x:v>
      </x:c>
      <x:c r="H437" s="39" t="n">
        <x:f>IF(ISNUMBER('Data'!E437),'Data'!E437*100,"")</x:f>
        <x:v>0</x:v>
      </x:c>
      <x:c r="I437" s="35" t="str">
        <x:v>PASS</x:v>
      </x:c>
      <x:c r="J437" s="35" t="str">
        <x:v>PASS</x:v>
      </x:c>
      <x:c r="K437" s="35" t="str">
        <x:v>PASS</x:v>
      </x:c>
      <x:c r="L437" s="35" t="str">
        <x:v>PASS</x:v>
      </x:c>
      <x:c r="M437" s="35" t="str">
        <x:v>numeric coverage for applicable metric</x:v>
      </x:c>
      <x:c r="N437" s="35" t="str">
        <x:v>Gemini-3.8-flash/Result/JacksonDatabind_37/result.json</x:v>
      </x:c>
      <x:c r="O437" s="39" t="n">
        <x:f>IF(AND(G437="RECORDED",ISNUMBER(H437)),H437,"")</x:f>
        <x:v>0</x:v>
      </x:c>
      <x:c r="P437" s="35" t="str">
        <x:v>NOT_REVEALING</x:v>
      </x:c>
      <x:c r="Q437" s="35" t="str">
        <x:v>Gemini-3.8-flash/Result/JacksonDatabind_37/result.json</x:v>
      </x:c>
    </x:row>
    <x:row r="438">
      <x:c r="A438" s="35" t="str">
        <x:v>gemini</x:v>
      </x:c>
      <x:c r="B438" s="35" t="str">
        <x:v>JacksonDatabind</x:v>
      </x:c>
      <x:c r="C438" s="35" t="str">
        <x:v>Round1</x:v>
      </x:c>
      <x:c r="D438" s="35" t="str">
        <x:v>JacksonDatabind_38</x:v>
      </x:c>
      <x:c r="E438" s="35" t="str">
        <x:v>Line</x:v>
      </x:c>
      <x:c r="F438" s="35"/>
      <x:c r="G438" s="35" t="str">
        <x:v>A</x:v>
      </x:c>
      <x:c r="H438" s="39" t="str">
        <x:f>IF(ISNUMBER('Data'!E438),'Data'!E438*100,"")</x:f>
      </x:c>
      <x:c r="I438" s="35"/>
      <x:c r="J438" s="35" t="str">
        <x:v>PASS</x:v>
      </x:c>
      <x:c r="K438" s="35" t="str">
        <x:v>FAIL</x:v>
      </x:c>
      <x:c r="L438" s="35" t="str">
        <x:v>NOT_RUN</x:v>
      </x:c>
      <x:c r="M438" s="35" t="str">
        <x:v>coverage unavailable or execution/compile failed</x:v>
      </x:c>
      <x:c r="N438" s="35" t="str">
        <x:v>Gemini-3.8-flash/Result/JacksonDatabind_38/result.json</x:v>
      </x:c>
      <x:c r="O438" s="39" t="str">
        <x:f>IF(AND(G438="RECORDED",ISNUMBER(H438)),H438,"")</x:f>
      </x:c>
      <x:c r="P438" s="35" t="str">
        <x:v>NOT_AVAILABLE</x:v>
      </x:c>
      <x:c r="Q438" s="35" t="str">
        <x:v>Gemini-3.8-flash/Result/JacksonDatabind_38/result.json</x:v>
      </x:c>
    </x:row>
    <x:row r="439">
      <x:c r="A439" s="35" t="str">
        <x:v>gemini</x:v>
      </x:c>
      <x:c r="B439" s="35" t="str">
        <x:v>JacksonDatabind</x:v>
      </x:c>
      <x:c r="C439" s="35" t="str">
        <x:v>Round1</x:v>
      </x:c>
      <x:c r="D439" s="35" t="str">
        <x:v>JacksonDatabind_39</x:v>
      </x:c>
      <x:c r="E439" s="35" t="str">
        <x:v>Line</x:v>
      </x:c>
      <x:c r="F439" s="35" t="n">
        <x:v>7</x:v>
      </x:c>
      <x:c r="G439" s="35" t="str">
        <x:v>RECORDED</x:v>
      </x:c>
      <x:c r="H439" s="39" t="n">
        <x:f>IF(ISNUMBER('Data'!E439),'Data'!E439*100,"")</x:f>
        <x:v>100</x:v>
      </x:c>
      <x:c r="I439" s="35" t="str">
        <x:v>PASS</x:v>
      </x:c>
      <x:c r="J439" s="35" t="str">
        <x:v>PASS</x:v>
      </x:c>
      <x:c r="K439" s="35" t="str">
        <x:v>PASS</x:v>
      </x:c>
      <x:c r="L439" s="35" t="str">
        <x:v>PASS</x:v>
      </x:c>
      <x:c r="M439" s="35" t="str">
        <x:v>numeric coverage for applicable metric</x:v>
      </x:c>
      <x:c r="N439" s="35" t="str">
        <x:v>Gemini-3.8-flash/Result/JacksonDatabind_39/result.json</x:v>
      </x:c>
      <x:c r="O439" s="39" t="n">
        <x:f>IF(AND(G439="RECORDED",ISNUMBER(H439)),H439,"")</x:f>
        <x:v>100</x:v>
      </x:c>
      <x:c r="P439" s="35" t="str">
        <x:v>INCONCLUSIVE</x:v>
      </x:c>
      <x:c r="Q439" s="35" t="str">
        <x:v>Gemini-3.8-flash/Result/JacksonDatabind_39/result.json</x:v>
      </x:c>
    </x:row>
    <x:row r="440">
      <x:c r="A440" s="35" t="str">
        <x:v>gemini</x:v>
      </x:c>
      <x:c r="B440" s="35" t="str">
        <x:v>JacksonDatabind</x:v>
      </x:c>
      <x:c r="C440" s="35" t="str">
        <x:v>Round1</x:v>
      </x:c>
      <x:c r="D440" s="35" t="str">
        <x:v>JacksonDatabind_4</x:v>
      </x:c>
      <x:c r="E440" s="35" t="str">
        <x:v>Line</x:v>
      </x:c>
      <x:c r="F440" s="35"/>
      <x:c r="G440" s="35" t="str">
        <x:v>A</x:v>
      </x:c>
      <x:c r="H440" s="39" t="str">
        <x:f>IF(ISNUMBER('Data'!E440),'Data'!E440*100,"")</x:f>
      </x:c>
      <x:c r="I440" s="35"/>
      <x:c r="J440" s="35" t="str">
        <x:v>PASS</x:v>
      </x:c>
      <x:c r="K440" s="35" t="str">
        <x:v>FAIL</x:v>
      </x:c>
      <x:c r="L440" s="35" t="str">
        <x:v>NOT_RUN</x:v>
      </x:c>
      <x:c r="M440" s="35" t="str">
        <x:v>coverage unavailable or execution/compile failed</x:v>
      </x:c>
      <x:c r="N440" s="35" t="str">
        <x:v>Gemini-3.8-flash/Result/JacksonDatabind_4/result.json</x:v>
      </x:c>
      <x:c r="O440" s="39" t="str">
        <x:f>IF(AND(G440="RECORDED",ISNUMBER(H440)),H440,"")</x:f>
      </x:c>
      <x:c r="P440" s="35" t="str">
        <x:v>NOT_AVAILABLE</x:v>
      </x:c>
      <x:c r="Q440" s="35" t="str">
        <x:v>Gemini-3.8-flash/Result/JacksonDatabind_4/result.json</x:v>
      </x:c>
    </x:row>
    <x:row r="441">
      <x:c r="A441" s="35" t="str">
        <x:v>gemini</x:v>
      </x:c>
      <x:c r="B441" s="35" t="str">
        <x:v>JacksonDatabind</x:v>
      </x:c>
      <x:c r="C441" s="35" t="str">
        <x:v>Round1</x:v>
      </x:c>
      <x:c r="D441" s="35" t="str">
        <x:v>JacksonDatabind_40</x:v>
      </x:c>
      <x:c r="E441" s="35" t="str">
        <x:v>Line</x:v>
      </x:c>
      <x:c r="F441" s="35" t="n">
        <x:v>219</x:v>
      </x:c>
      <x:c r="G441" s="35" t="str">
        <x:v>RECORDED</x:v>
      </x:c>
      <x:c r="H441" s="39" t="n">
        <x:f>IF(ISNUMBER('Data'!E441),'Data'!E441*100,"")</x:f>
        <x:v>2.28</x:v>
      </x:c>
      <x:c r="I441" s="35" t="str">
        <x:v>PASS</x:v>
      </x:c>
      <x:c r="J441" s="35" t="str">
        <x:v>PASS</x:v>
      </x:c>
      <x:c r="K441" s="35" t="str">
        <x:v>PASS</x:v>
      </x:c>
      <x:c r="L441" s="35" t="str">
        <x:v>FAIL</x:v>
      </x:c>
      <x:c r="M441" s="35" t="str">
        <x:v>numeric coverage for applicable metric</x:v>
      </x:c>
      <x:c r="N441" s="35" t="str">
        <x:v>Gemini-3.8-flash/Result/JacksonDatabind_40/result.json</x:v>
      </x:c>
      <x:c r="O441" s="39" t="n">
        <x:f>IF(AND(G441="RECORDED",ISNUMBER(H441)),H441,"")</x:f>
        <x:v>2.28</x:v>
      </x:c>
      <x:c r="P441" s="35" t="str">
        <x:v>INCONCLUSIVE</x:v>
      </x:c>
      <x:c r="Q441" s="35" t="str">
        <x:v>Gemini-3.8-flash/Result/JacksonDatabind_40/result.json</x:v>
      </x:c>
    </x:row>
    <x:row r="442">
      <x:c r="A442" s="35" t="str">
        <x:v>gemini</x:v>
      </x:c>
      <x:c r="B442" s="35" t="str">
        <x:v>JacksonDatabind</x:v>
      </x:c>
      <x:c r="C442" s="35" t="str">
        <x:v>Round1</x:v>
      </x:c>
      <x:c r="D442" s="35" t="str">
        <x:v>JacksonDatabind_41</x:v>
      </x:c>
      <x:c r="E442" s="35" t="str">
        <x:v>Line</x:v>
      </x:c>
      <x:c r="F442" s="35" t="n">
        <x:v>339</x:v>
      </x:c>
      <x:c r="G442" s="35" t="str">
        <x:v>RECORDED</x:v>
      </x:c>
      <x:c r="H442" s="39" t="n">
        <x:f>IF(ISNUMBER('Data'!E442),'Data'!E442*100,"")</x:f>
        <x:v>7.37</x:v>
      </x:c>
      <x:c r="I442" s="35" t="str">
        <x:v>PASS</x:v>
      </x:c>
      <x:c r="J442" s="35" t="str">
        <x:v>PASS</x:v>
      </x:c>
      <x:c r="K442" s="35" t="str">
        <x:v>PASS</x:v>
      </x:c>
      <x:c r="L442" s="35" t="str">
        <x:v>PASS</x:v>
      </x:c>
      <x:c r="M442" s="35" t="str">
        <x:v>numeric coverage for applicable metric</x:v>
      </x:c>
      <x:c r="N442" s="35" t="str">
        <x:v>Gemini-3.8-flash/Result/JacksonDatabind_41/result.json</x:v>
      </x:c>
      <x:c r="O442" s="39" t="n">
        <x:f>IF(AND(G442="RECORDED",ISNUMBER(H442)),H442,"")</x:f>
        <x:v>7.37</x:v>
      </x:c>
      <x:c r="P442" s="35" t="str">
        <x:v>NOT_REVEALING</x:v>
      </x:c>
      <x:c r="Q442" s="35" t="str">
        <x:v>Gemini-3.8-flash/Result/JacksonDatabind_41/result.json</x:v>
      </x:c>
    </x:row>
    <x:row r="443">
      <x:c r="A443" s="35" t="str">
        <x:v>gemini</x:v>
      </x:c>
      <x:c r="B443" s="35" t="str">
        <x:v>JacksonDatabind</x:v>
      </x:c>
      <x:c r="C443" s="35" t="str">
        <x:v>Round1</x:v>
      </x:c>
      <x:c r="D443" s="35" t="str">
        <x:v>JacksonDatabind_42</x:v>
      </x:c>
      <x:c r="E443" s="35" t="str">
        <x:v>Line</x:v>
      </x:c>
      <x:c r="F443" s="35" t="n">
        <x:v>110</x:v>
      </x:c>
      <x:c r="G443" s="35" t="str">
        <x:v>RECORDED</x:v>
      </x:c>
      <x:c r="H443" s="39" t="n">
        <x:f>IF(ISNUMBER('Data'!E443),'Data'!E443*100,"")</x:f>
        <x:v>0</x:v>
      </x:c>
      <x:c r="I443" s="35" t="str">
        <x:v>PASS</x:v>
      </x:c>
      <x:c r="J443" s="35" t="str">
        <x:v>PASS</x:v>
      </x:c>
      <x:c r="K443" s="35" t="str">
        <x:v>PASS</x:v>
      </x:c>
      <x:c r="L443" s="35" t="str">
        <x:v>PASS</x:v>
      </x:c>
      <x:c r="M443" s="35" t="str">
        <x:v>numeric coverage for applicable metric</x:v>
      </x:c>
      <x:c r="N443" s="35" t="str">
        <x:v>Gemini-3.8-flash/Result/JacksonDatabind_42/result.json</x:v>
      </x:c>
      <x:c r="O443" s="39" t="n">
        <x:f>IF(AND(G443="RECORDED",ISNUMBER(H443)),H443,"")</x:f>
        <x:v>0</x:v>
      </x:c>
      <x:c r="P443" s="35" t="str">
        <x:v>NOT_AVAILABLE</x:v>
      </x:c>
      <x:c r="Q443" s="35" t="str">
        <x:v>Gemini-3.8-flash/Result/JacksonDatabind_42/result.json</x:v>
      </x:c>
    </x:row>
    <x:row r="444">
      <x:c r="A444" s="35" t="str">
        <x:v>gemini</x:v>
      </x:c>
      <x:c r="B444" s="35" t="str">
        <x:v>JacksonDatabind</x:v>
      </x:c>
      <x:c r="C444" s="35" t="str">
        <x:v>Round1</x:v>
      </x:c>
      <x:c r="D444" s="35" t="str">
        <x:v>JacksonDatabind_43</x:v>
      </x:c>
      <x:c r="E444" s="35" t="str">
        <x:v>Line</x:v>
      </x:c>
      <x:c r="F444" s="35"/>
      <x:c r="G444" s="35" t="str">
        <x:v>A</x:v>
      </x:c>
      <x:c r="H444" s="39" t="str">
        <x:f>IF(ISNUMBER('Data'!E444),'Data'!E444*100,"")</x:f>
      </x:c>
      <x:c r="I444" s="35"/>
      <x:c r="J444" s="35" t="str">
        <x:v>PASS</x:v>
      </x:c>
      <x:c r="K444" s="35" t="str">
        <x:v>FAIL</x:v>
      </x:c>
      <x:c r="L444" s="35" t="str">
        <x:v>NOT_RUN</x:v>
      </x:c>
      <x:c r="M444" s="35" t="str">
        <x:v>coverage unavailable or execution/compile failed</x:v>
      </x:c>
      <x:c r="N444" s="35" t="str">
        <x:v>Gemini-3.8-flash/Result/JacksonDatabind_43/result.json</x:v>
      </x:c>
      <x:c r="O444" s="39" t="str">
        <x:f>IF(AND(G444="RECORDED",ISNUMBER(H444)),H444,"")</x:f>
      </x:c>
      <x:c r="P444" s="35" t="str">
        <x:v>NOT_AVAILABLE</x:v>
      </x:c>
      <x:c r="Q444" s="35" t="str">
        <x:v>Gemini-3.8-flash/Result/JacksonDatabind_43/result.json</x:v>
      </x:c>
    </x:row>
    <x:row r="445">
      <x:c r="A445" s="35" t="str">
        <x:v>gemini</x:v>
      </x:c>
      <x:c r="B445" s="35" t="str">
        <x:v>JacksonDatabind</x:v>
      </x:c>
      <x:c r="C445" s="35" t="str">
        <x:v>Round1</x:v>
      </x:c>
      <x:c r="D445" s="35" t="str">
        <x:v>JacksonDatabind_44</x:v>
      </x:c>
      <x:c r="E445" s="35" t="str">
        <x:v>Line</x:v>
      </x:c>
      <x:c r="F445" s="35" t="n">
        <x:v>75</x:v>
      </x:c>
      <x:c r="G445" s="35" t="str">
        <x:v>RECORDED</x:v>
      </x:c>
      <x:c r="H445" s="39" t="n">
        <x:f>IF(ISNUMBER('Data'!E445),'Data'!E445*100,"")</x:f>
        <x:v>0</x:v>
      </x:c>
      <x:c r="I445" s="35" t="str">
        <x:v>PASS</x:v>
      </x:c>
      <x:c r="J445" s="35" t="str">
        <x:v>PASS</x:v>
      </x:c>
      <x:c r="K445" s="35" t="str">
        <x:v>PASS</x:v>
      </x:c>
      <x:c r="L445" s="35" t="str">
        <x:v>PASS</x:v>
      </x:c>
      <x:c r="M445" s="35" t="str">
        <x:v>numeric coverage for applicable metric</x:v>
      </x:c>
      <x:c r="N445" s="35" t="str">
        <x:v>Gemini-3.8-flash/Result/JacksonDatabind_44/result.json</x:v>
      </x:c>
      <x:c r="O445" s="39" t="n">
        <x:f>IF(AND(G445="RECORDED",ISNUMBER(H445)),H445,"")</x:f>
        <x:v>0</x:v>
      </x:c>
      <x:c r="P445" s="35" t="str">
        <x:v>NOT_REVEALING</x:v>
      </x:c>
      <x:c r="Q445" s="35" t="str">
        <x:v>Gemini-3.8-flash/Result/JacksonDatabind_44/result.json</x:v>
      </x:c>
    </x:row>
    <x:row r="446">
      <x:c r="A446" s="35" t="str">
        <x:v>gemini</x:v>
      </x:c>
      <x:c r="B446" s="35" t="str">
        <x:v>JacksonDatabind</x:v>
      </x:c>
      <x:c r="C446" s="35" t="str">
        <x:v>Round1</x:v>
      </x:c>
      <x:c r="D446" s="35" t="str">
        <x:v>JacksonDatabind_45</x:v>
      </x:c>
      <x:c r="E446" s="35" t="str">
        <x:v>Line</x:v>
      </x:c>
      <x:c r="F446" s="35"/>
      <x:c r="G446" s="35" t="str">
        <x:v>A</x:v>
      </x:c>
      <x:c r="H446" s="39" t="str">
        <x:f>IF(ISNUMBER('Data'!E446),'Data'!E446*100,"")</x:f>
      </x:c>
      <x:c r="I446" s="35"/>
      <x:c r="J446" s="35" t="str">
        <x:v>PASS</x:v>
      </x:c>
      <x:c r="K446" s="35" t="str">
        <x:v>FAIL</x:v>
      </x:c>
      <x:c r="L446" s="35" t="str">
        <x:v>NOT_RUN</x:v>
      </x:c>
      <x:c r="M446" s="35" t="str">
        <x:v>coverage unavailable or execution/compile failed</x:v>
      </x:c>
      <x:c r="N446" s="35" t="str">
        <x:v>Gemini-3.8-flash/Result/JacksonDatabind_45/result.json</x:v>
      </x:c>
      <x:c r="O446" s="39" t="str">
        <x:f>IF(AND(G446="RECORDED",ISNUMBER(H446)),H446,"")</x:f>
      </x:c>
      <x:c r="P446" s="35" t="str">
        <x:v>NOT_AVAILABLE</x:v>
      </x:c>
      <x:c r="Q446" s="35" t="str">
        <x:v>Gemini-3.8-flash/Result/JacksonDatabind_45/result.json</x:v>
      </x:c>
    </x:row>
    <x:row r="447">
      <x:c r="A447" s="35" t="str">
        <x:v>gemini</x:v>
      </x:c>
      <x:c r="B447" s="35" t="str">
        <x:v>JacksonDatabind</x:v>
      </x:c>
      <x:c r="C447" s="35" t="str">
        <x:v>Round1</x:v>
      </x:c>
      <x:c r="D447" s="35" t="str">
        <x:v>JacksonDatabind_46</x:v>
      </x:c>
      <x:c r="E447" s="35" t="str">
        <x:v>Line</x:v>
      </x:c>
      <x:c r="F447" s="35"/>
      <x:c r="G447" s="35" t="str">
        <x:v>A</x:v>
      </x:c>
      <x:c r="H447" s="39" t="str">
        <x:f>IF(ISNUMBER('Data'!E447),'Data'!E447*100,"")</x:f>
      </x:c>
      <x:c r="I447" s="35"/>
      <x:c r="J447" s="35" t="str">
        <x:v>PASS</x:v>
      </x:c>
      <x:c r="K447" s="35" t="str">
        <x:v>FAIL</x:v>
      </x:c>
      <x:c r="L447" s="35" t="str">
        <x:v>NOT_RUN</x:v>
      </x:c>
      <x:c r="M447" s="35" t="str">
        <x:v>coverage unavailable or execution/compile failed</x:v>
      </x:c>
      <x:c r="N447" s="35" t="str">
        <x:v>Gemini-3.8-flash/Result/JacksonDatabind_46/result.json</x:v>
      </x:c>
      <x:c r="O447" s="39" t="str">
        <x:f>IF(AND(G447="RECORDED",ISNUMBER(H447)),H447,"")</x:f>
      </x:c>
      <x:c r="P447" s="35" t="str">
        <x:v>NOT_AVAILABLE</x:v>
      </x:c>
      <x:c r="Q447" s="35" t="str">
        <x:v>Gemini-3.8-flash/Result/JacksonDatabind_46/result.json</x:v>
      </x:c>
    </x:row>
    <x:row r="448">
      <x:c r="A448" s="35" t="str">
        <x:v>gemini</x:v>
      </x:c>
      <x:c r="B448" s="35" t="str">
        <x:v>JacksonDatabind</x:v>
      </x:c>
      <x:c r="C448" s="35" t="str">
        <x:v>Round1</x:v>
      </x:c>
      <x:c r="D448" s="35" t="str">
        <x:v>JacksonDatabind_47</x:v>
      </x:c>
      <x:c r="E448" s="35" t="str">
        <x:v>Line</x:v>
      </x:c>
      <x:c r="F448" s="35" t="n">
        <x:v>179</x:v>
      </x:c>
      <x:c r="G448" s="35" t="str">
        <x:v>RECORDED</x:v>
      </x:c>
      <x:c r="H448" s="39" t="n">
        <x:f>IF(ISNUMBER('Data'!E448),'Data'!E448*100,"")</x:f>
        <x:v>0</x:v>
      </x:c>
      <x:c r="I448" s="35" t="str">
        <x:v>PASS</x:v>
      </x:c>
      <x:c r="J448" s="35" t="str">
        <x:v>PASS</x:v>
      </x:c>
      <x:c r="K448" s="35" t="str">
        <x:v>PASS</x:v>
      </x:c>
      <x:c r="L448" s="35" t="str">
        <x:v>FAIL</x:v>
      </x:c>
      <x:c r="M448" s="35" t="str">
        <x:v>numeric coverage for applicable metric</x:v>
      </x:c>
      <x:c r="N448" s="35" t="str">
        <x:v>Gemini-3.8-flash/Result/JacksonDatabind_47/result.json</x:v>
      </x:c>
      <x:c r="O448" s="39" t="n">
        <x:f>IF(AND(G448="RECORDED",ISNUMBER(H448)),H448,"")</x:f>
        <x:v>0</x:v>
      </x:c>
      <x:c r="P448" s="35" t="str">
        <x:v>INCONCLUSIVE</x:v>
      </x:c>
      <x:c r="Q448" s="35" t="str">
        <x:v>Gemini-3.8-flash/Result/JacksonDatabind_47/result.json</x:v>
      </x:c>
    </x:row>
    <x:row r="449">
      <x:c r="A449" s="35" t="str">
        <x:v>gemini</x:v>
      </x:c>
      <x:c r="B449" s="35" t="str">
        <x:v>JacksonDatabind</x:v>
      </x:c>
      <x:c r="C449" s="35" t="str">
        <x:v>Round1</x:v>
      </x:c>
      <x:c r="D449" s="35" t="str">
        <x:v>JacksonDatabind_48</x:v>
      </x:c>
      <x:c r="E449" s="35" t="str">
        <x:v>Line</x:v>
      </x:c>
      <x:c r="F449" s="35" t="n">
        <x:v>569</x:v>
      </x:c>
      <x:c r="G449" s="35" t="str">
        <x:v>RECORDED</x:v>
      </x:c>
      <x:c r="H449" s="39" t="n">
        <x:f>IF(ISNUMBER('Data'!E449),'Data'!E449*100,"")</x:f>
        <x:v>0.35</x:v>
      </x:c>
      <x:c r="I449" s="35" t="str">
        <x:v>PASS</x:v>
      </x:c>
      <x:c r="J449" s="35" t="str">
        <x:v>PASS</x:v>
      </x:c>
      <x:c r="K449" s="35" t="str">
        <x:v>PASS</x:v>
      </x:c>
      <x:c r="L449" s="35" t="str">
        <x:v>PASS</x:v>
      </x:c>
      <x:c r="M449" s="35" t="str">
        <x:v>numeric coverage for applicable metric</x:v>
      </x:c>
      <x:c r="N449" s="35" t="str">
        <x:v>Gemini-3.8-flash/Result/JacksonDatabind_48/result.json</x:v>
      </x:c>
      <x:c r="O449" s="39" t="n">
        <x:f>IF(AND(G449="RECORDED",ISNUMBER(H449)),H449,"")</x:f>
        <x:v>0.35</x:v>
      </x:c>
      <x:c r="P449" s="35" t="str">
        <x:v>NOT_REVEALING</x:v>
      </x:c>
      <x:c r="Q449" s="35" t="str">
        <x:v>Gemini-3.8-flash/Result/JacksonDatabind_48/result.json</x:v>
      </x:c>
    </x:row>
    <x:row r="450">
      <x:c r="A450" s="35" t="str">
        <x:v>gemini</x:v>
      </x:c>
      <x:c r="B450" s="35" t="str">
        <x:v>JacksonDatabind</x:v>
      </x:c>
      <x:c r="C450" s="35" t="str">
        <x:v>Round1</x:v>
      </x:c>
      <x:c r="D450" s="35" t="str">
        <x:v>JacksonDatabind_49</x:v>
      </x:c>
      <x:c r="E450" s="35" t="str">
        <x:v>Line</x:v>
      </x:c>
      <x:c r="F450" s="35" t="n">
        <x:v>21</x:v>
      </x:c>
      <x:c r="G450" s="35" t="str">
        <x:v>RECORDED</x:v>
      </x:c>
      <x:c r="H450" s="39" t="n">
        <x:f>IF(ISNUMBER('Data'!E450),'Data'!E450*100,"")</x:f>
        <x:v>100</x:v>
      </x:c>
      <x:c r="I450" s="35" t="str">
        <x:v>PASS</x:v>
      </x:c>
      <x:c r="J450" s="35" t="str">
        <x:v>PASS</x:v>
      </x:c>
      <x:c r="K450" s="35" t="str">
        <x:v>PASS</x:v>
      </x:c>
      <x:c r="L450" s="35" t="str">
        <x:v>PASS</x:v>
      </x:c>
      <x:c r="M450" s="35" t="str">
        <x:v>numeric coverage for applicable metric</x:v>
      </x:c>
      <x:c r="N450" s="35" t="str">
        <x:v>Gemini-3.8-flash/Result/JacksonDatabind_49/result.json</x:v>
      </x:c>
      <x:c r="O450" s="39" t="n">
        <x:f>IF(AND(G450="RECORDED",ISNUMBER(H450)),H450,"")</x:f>
        <x:v>100</x:v>
      </x:c>
      <x:c r="P450" s="35" t="str">
        <x:v>NOT_REVEALING</x:v>
      </x:c>
      <x:c r="Q450" s="35" t="str">
        <x:v>Gemini-3.8-flash/Result/JacksonDatabind_49/result.json</x:v>
      </x:c>
    </x:row>
    <x:row r="451">
      <x:c r="A451" s="35" t="str">
        <x:v>gemini</x:v>
      </x:c>
      <x:c r="B451" s="35" t="str">
        <x:v>JacksonDatabind</x:v>
      </x:c>
      <x:c r="C451" s="35" t="str">
        <x:v>Round1</x:v>
      </x:c>
      <x:c r="D451" s="35" t="str">
        <x:v>JacksonDatabind_5</x:v>
      </x:c>
      <x:c r="E451" s="35" t="str">
        <x:v>Line</x:v>
      </x:c>
      <x:c r="F451" s="35" t="n">
        <x:v>365</x:v>
      </x:c>
      <x:c r="G451" s="35" t="str">
        <x:v>RECORDED</x:v>
      </x:c>
      <x:c r="H451" s="39" t="n">
        <x:f>IF(ISNUMBER('Data'!E451),'Data'!E451*100,"")</x:f>
        <x:v>0.27</x:v>
      </x:c>
      <x:c r="I451" s="35" t="str">
        <x:v>PASS</x:v>
      </x:c>
      <x:c r="J451" s="35" t="str">
        <x:v>PASS</x:v>
      </x:c>
      <x:c r="K451" s="35" t="str">
        <x:v>PASS</x:v>
      </x:c>
      <x:c r="L451" s="35" t="str">
        <x:v>PASS</x:v>
      </x:c>
      <x:c r="M451" s="35" t="str">
        <x:v>numeric coverage for applicable metric</x:v>
      </x:c>
      <x:c r="N451" s="35" t="str">
        <x:v>Gemini-3.8-flash/Result/JacksonDatabind_5/result.json</x:v>
      </x:c>
      <x:c r="O451" s="39" t="n">
        <x:f>IF(AND(G451="RECORDED",ISNUMBER(H451)),H451,"")</x:f>
        <x:v>0.27</x:v>
      </x:c>
      <x:c r="P451" s="35" t="str">
        <x:v>NOT_REVEALING</x:v>
      </x:c>
      <x:c r="Q451" s="35" t="str">
        <x:v>Gemini-3.8-flash/Result/JacksonDatabind_5/result.json</x:v>
      </x:c>
    </x:row>
    <x:row r="452">
      <x:c r="A452" s="35" t="str">
        <x:v>gemini</x:v>
      </x:c>
      <x:c r="B452" s="35" t="str">
        <x:v>JacksonDatabind</x:v>
      </x:c>
      <x:c r="C452" s="35" t="str">
        <x:v>Round1</x:v>
      </x:c>
      <x:c r="D452" s="35" t="str">
        <x:v>JacksonDatabind_50</x:v>
      </x:c>
      <x:c r="E452" s="35" t="str">
        <x:v>Line</x:v>
      </x:c>
      <x:c r="F452" s="35"/>
      <x:c r="G452" s="35" t="str">
        <x:v>A</x:v>
      </x:c>
      <x:c r="H452" s="39" t="str">
        <x:f>IF(ISNUMBER('Data'!E452),'Data'!E452*100,"")</x:f>
      </x:c>
      <x:c r="I452" s="35"/>
      <x:c r="J452" s="35" t="str">
        <x:v>PASS</x:v>
      </x:c>
      <x:c r="K452" s="35" t="str">
        <x:v>FAIL</x:v>
      </x:c>
      <x:c r="L452" s="35" t="str">
        <x:v>NOT_RUN</x:v>
      </x:c>
      <x:c r="M452" s="35" t="str">
        <x:v>coverage unavailable or execution/compile failed</x:v>
      </x:c>
      <x:c r="N452" s="35" t="str">
        <x:v>Gemini-3.8-flash/Result/JacksonDatabind_50/result.json</x:v>
      </x:c>
      <x:c r="O452" s="39" t="str">
        <x:f>IF(AND(G452="RECORDED",ISNUMBER(H452)),H452,"")</x:f>
      </x:c>
      <x:c r="P452" s="35" t="str">
        <x:v>NOT_AVAILABLE</x:v>
      </x:c>
      <x:c r="Q452" s="35" t="str">
        <x:v>Gemini-3.8-flash/Result/JacksonDatabind_50/result.json</x:v>
      </x:c>
    </x:row>
    <x:row r="453">
      <x:c r="A453" s="35" t="str">
        <x:v>gemini</x:v>
      </x:c>
      <x:c r="B453" s="35" t="str">
        <x:v>JacksonDatabind</x:v>
      </x:c>
      <x:c r="C453" s="35" t="str">
        <x:v>Round1</x:v>
      </x:c>
      <x:c r="D453" s="35" t="str">
        <x:v>JacksonDatabind_51</x:v>
      </x:c>
      <x:c r="E453" s="35" t="str">
        <x:v>Line</x:v>
      </x:c>
      <x:c r="F453" s="35" t="n">
        <x:v>74</x:v>
      </x:c>
      <x:c r="G453" s="35" t="str">
        <x:v>RECORDED</x:v>
      </x:c>
      <x:c r="H453" s="39" t="n">
        <x:f>IF(ISNUMBER('Data'!E453),'Data'!E453*100,"")</x:f>
        <x:v>0</x:v>
      </x:c>
      <x:c r="I453" s="35" t="str">
        <x:v>PASS</x:v>
      </x:c>
      <x:c r="J453" s="35" t="str">
        <x:v>PASS</x:v>
      </x:c>
      <x:c r="K453" s="35" t="str">
        <x:v>PASS</x:v>
      </x:c>
      <x:c r="L453" s="35" t="str">
        <x:v>PASS</x:v>
      </x:c>
      <x:c r="M453" s="35" t="str">
        <x:v>numeric coverage for applicable metric</x:v>
      </x:c>
      <x:c r="N453" s="35" t="str">
        <x:v>Gemini-3.8-flash/Result/JacksonDatabind_51/result.json</x:v>
      </x:c>
      <x:c r="O453" s="39" t="n">
        <x:f>IF(AND(G453="RECORDED",ISNUMBER(H453)),H453,"")</x:f>
        <x:v>0</x:v>
      </x:c>
      <x:c r="P453" s="35" t="str">
        <x:v>NOT_REVEALING</x:v>
      </x:c>
      <x:c r="Q453" s="35" t="str">
        <x:v>Gemini-3.8-flash/Result/JacksonDatabind_51/result.json</x:v>
      </x:c>
    </x:row>
    <x:row r="454">
      <x:c r="A454" s="35" t="str">
        <x:v>gemini</x:v>
      </x:c>
      <x:c r="B454" s="35" t="str">
        <x:v>JacksonDatabind</x:v>
      </x:c>
      <x:c r="C454" s="35" t="str">
        <x:v>Round1</x:v>
      </x:c>
      <x:c r="D454" s="35" t="str">
        <x:v>JacksonDatabind_52</x:v>
      </x:c>
      <x:c r="E454" s="35" t="str">
        <x:v>Line</x:v>
      </x:c>
      <x:c r="F454" s="35" t="n">
        <x:v>738</x:v>
      </x:c>
      <x:c r="G454" s="35" t="str">
        <x:v>RECORDED</x:v>
      </x:c>
      <x:c r="H454" s="39" t="n">
        <x:f>IF(ISNUMBER('Data'!E454),'Data'!E454*100,"")</x:f>
        <x:v>0.14</x:v>
      </x:c>
      <x:c r="I454" s="35" t="str">
        <x:v>PASS</x:v>
      </x:c>
      <x:c r="J454" s="35" t="str">
        <x:v>PASS</x:v>
      </x:c>
      <x:c r="K454" s="35" t="str">
        <x:v>PASS</x:v>
      </x:c>
      <x:c r="L454" s="35" t="str">
        <x:v>FAIL</x:v>
      </x:c>
      <x:c r="M454" s="35" t="str">
        <x:v>numeric coverage for applicable metric</x:v>
      </x:c>
      <x:c r="N454" s="35" t="str">
        <x:v>Gemini-3.8-flash/Result/JacksonDatabind_52/result.json</x:v>
      </x:c>
      <x:c r="O454" s="39" t="n">
        <x:f>IF(AND(G454="RECORDED",ISNUMBER(H454)),H454,"")</x:f>
        <x:v>0.14</x:v>
      </x:c>
      <x:c r="P454" s="35" t="str">
        <x:v>INCONCLUSIVE</x:v>
      </x:c>
      <x:c r="Q454" s="35" t="str">
        <x:v>Gemini-3.8-flash/Result/JacksonDatabind_52/result.json</x:v>
      </x:c>
    </x:row>
    <x:row r="455">
      <x:c r="A455" s="35" t="str">
        <x:v>gemini</x:v>
      </x:c>
      <x:c r="B455" s="35" t="str">
        <x:v>JacksonDatabind</x:v>
      </x:c>
      <x:c r="C455" s="35" t="str">
        <x:v>Round1</x:v>
      </x:c>
      <x:c r="D455" s="35" t="str">
        <x:v>JacksonDatabind_53</x:v>
      </x:c>
      <x:c r="E455" s="35" t="str">
        <x:v>Line</x:v>
      </x:c>
      <x:c r="F455" s="35" t="n">
        <x:v>505</x:v>
      </x:c>
      <x:c r="G455" s="35" t="str">
        <x:v>RECORDED</x:v>
      </x:c>
      <x:c r="H455" s="39" t="n">
        <x:f>IF(ISNUMBER('Data'!E455),'Data'!E455*100,"")</x:f>
        <x:v>7.519999999999999</x:v>
      </x:c>
      <x:c r="I455" s="35" t="str">
        <x:v>PASS</x:v>
      </x:c>
      <x:c r="J455" s="35" t="str">
        <x:v>PASS</x:v>
      </x:c>
      <x:c r="K455" s="35" t="str">
        <x:v>PASS</x:v>
      </x:c>
      <x:c r="L455" s="35" t="str">
        <x:v>PASS</x:v>
      </x:c>
      <x:c r="M455" s="35" t="str">
        <x:v>numeric coverage for applicable metric</x:v>
      </x:c>
      <x:c r="N455" s="35" t="str">
        <x:v>Gemini-3.8-flash/Result/JacksonDatabind_53/result.json</x:v>
      </x:c>
      <x:c r="O455" s="39" t="n">
        <x:f>IF(AND(G455="RECORDED",ISNUMBER(H455)),H455,"")</x:f>
        <x:v>7.519999999999999</x:v>
      </x:c>
      <x:c r="P455" s="35" t="str">
        <x:v>NOT_REVEALING</x:v>
      </x:c>
      <x:c r="Q455" s="35" t="str">
        <x:v>Gemini-3.8-flash/Result/JacksonDatabind_53/result.json</x:v>
      </x:c>
    </x:row>
    <x:row r="456">
      <x:c r="A456" s="35" t="str">
        <x:v>gemini</x:v>
      </x:c>
      <x:c r="B456" s="35" t="str">
        <x:v>JacksonDatabind</x:v>
      </x:c>
      <x:c r="C456" s="35" t="str">
        <x:v>Round1</x:v>
      </x:c>
      <x:c r="D456" s="35" t="str">
        <x:v>JacksonDatabind_54</x:v>
      </x:c>
      <x:c r="E456" s="35" t="str">
        <x:v>Line</x:v>
      </x:c>
      <x:c r="F456" s="35" t="n">
        <x:v>97</x:v>
      </x:c>
      <x:c r="G456" s="35" t="str">
        <x:v>RECORDED</x:v>
      </x:c>
      <x:c r="H456" s="39" t="n">
        <x:f>IF(ISNUMBER('Data'!E456),'Data'!E456*100,"")</x:f>
        <x:v>1.03</x:v>
      </x:c>
      <x:c r="I456" s="35" t="str">
        <x:v>PASS</x:v>
      </x:c>
      <x:c r="J456" s="35" t="str">
        <x:v>PASS</x:v>
      </x:c>
      <x:c r="K456" s="35" t="str">
        <x:v>PASS</x:v>
      </x:c>
      <x:c r="L456" s="35" t="str">
        <x:v>PASS</x:v>
      </x:c>
      <x:c r="M456" s="35" t="str">
        <x:v>numeric coverage for applicable metric</x:v>
      </x:c>
      <x:c r="N456" s="35" t="str">
        <x:v>Gemini-3.8-flash/Result/JacksonDatabind_54/result.json</x:v>
      </x:c>
      <x:c r="O456" s="39" t="n">
        <x:f>IF(AND(G456="RECORDED",ISNUMBER(H456)),H456,"")</x:f>
        <x:v>1.03</x:v>
      </x:c>
      <x:c r="P456" s="35" t="str">
        <x:v>NOT_REVEALING</x:v>
      </x:c>
      <x:c r="Q456" s="35" t="str">
        <x:v>Gemini-3.8-flash/Result/JacksonDatabind_54/result.json</x:v>
      </x:c>
    </x:row>
    <x:row r="457">
      <x:c r="A457" s="35" t="str">
        <x:v>gemini</x:v>
      </x:c>
      <x:c r="B457" s="35" t="str">
        <x:v>JacksonDatabind</x:v>
      </x:c>
      <x:c r="C457" s="35" t="str">
        <x:v>Round1</x:v>
      </x:c>
      <x:c r="D457" s="35" t="str">
        <x:v>JacksonDatabind_55</x:v>
      </x:c>
      <x:c r="E457" s="35" t="str">
        <x:v>Line</x:v>
      </x:c>
      <x:c r="F457" s="35" t="n">
        <x:v>61</x:v>
      </x:c>
      <x:c r="G457" s="35" t="str">
        <x:v>RECORDED</x:v>
      </x:c>
      <x:c r="H457" s="39" t="n">
        <x:f>IF(ISNUMBER('Data'!E457),'Data'!E457*100,"")</x:f>
        <x:v>4.92</x:v>
      </x:c>
      <x:c r="I457" s="35" t="str">
        <x:v>PASS</x:v>
      </x:c>
      <x:c r="J457" s="35" t="str">
        <x:v>PASS</x:v>
      </x:c>
      <x:c r="K457" s="35" t="str">
        <x:v>PASS</x:v>
      </x:c>
      <x:c r="L457" s="35" t="str">
        <x:v>FAIL</x:v>
      </x:c>
      <x:c r="M457" s="35" t="str">
        <x:v>numeric coverage for applicable metric</x:v>
      </x:c>
      <x:c r="N457" s="35" t="str">
        <x:v>Gemini-3.8-flash/Result/JacksonDatabind_55/result.json</x:v>
      </x:c>
      <x:c r="O457" s="39" t="n">
        <x:f>IF(AND(G457="RECORDED",ISNUMBER(H457)),H457,"")</x:f>
        <x:v>4.92</x:v>
      </x:c>
      <x:c r="P457" s="35" t="str">
        <x:v>INCONCLUSIVE</x:v>
      </x:c>
      <x:c r="Q457" s="35" t="str">
        <x:v>Gemini-3.8-flash/Result/JacksonDatabind_55/result.json</x:v>
      </x:c>
    </x:row>
    <x:row r="458">
      <x:c r="A458" s="35" t="str">
        <x:v>gemini</x:v>
      </x:c>
      <x:c r="B458" s="35" t="str">
        <x:v>JacksonDatabind</x:v>
      </x:c>
      <x:c r="C458" s="35" t="str">
        <x:v>Round1</x:v>
      </x:c>
      <x:c r="D458" s="35" t="str">
        <x:v>JacksonDatabind_56</x:v>
      </x:c>
      <x:c r="E458" s="35" t="str">
        <x:v>Line</x:v>
      </x:c>
      <x:c r="F458" s="35" t="n">
        <x:v>112</x:v>
      </x:c>
      <x:c r="G458" s="35" t="str">
        <x:v>RECORDED</x:v>
      </x:c>
      <x:c r="H458" s="39" t="n">
        <x:f>IF(ISNUMBER('Data'!E458),'Data'!E458*100,"")</x:f>
        <x:v>0</x:v>
      </x:c>
      <x:c r="I458" s="35" t="str">
        <x:v>PASS</x:v>
      </x:c>
      <x:c r="J458" s="35" t="str">
        <x:v>PASS</x:v>
      </x:c>
      <x:c r="K458" s="35" t="str">
        <x:v>PASS</x:v>
      </x:c>
      <x:c r="L458" s="35" t="str">
        <x:v>PASS</x:v>
      </x:c>
      <x:c r="M458" s="35" t="str">
        <x:v>numeric coverage for applicable metric</x:v>
      </x:c>
      <x:c r="N458" s="35" t="str">
        <x:v>Gemini-3.8-flash/Result/JacksonDatabind_56/result.json</x:v>
      </x:c>
      <x:c r="O458" s="39" t="n">
        <x:f>IF(AND(G458="RECORDED",ISNUMBER(H458)),H458,"")</x:f>
        <x:v>0</x:v>
      </x:c>
      <x:c r="P458" s="35" t="str">
        <x:v>NOT_REVEALING</x:v>
      </x:c>
      <x:c r="Q458" s="35" t="str">
        <x:v>Gemini-3.8-flash/Result/JacksonDatabind_56/result.json</x:v>
      </x:c>
    </x:row>
    <x:row r="459">
      <x:c r="A459" s="35" t="str">
        <x:v>gemini</x:v>
      </x:c>
      <x:c r="B459" s="35" t="str">
        <x:v>JacksonDatabind</x:v>
      </x:c>
      <x:c r="C459" s="35" t="str">
        <x:v>Round1</x:v>
      </x:c>
      <x:c r="D459" s="35" t="str">
        <x:v>JacksonDatabind_57</x:v>
      </x:c>
      <x:c r="E459" s="35" t="str">
        <x:v>Line</x:v>
      </x:c>
      <x:c r="F459" s="35" t="n">
        <x:v>408</x:v>
      </x:c>
      <x:c r="G459" s="35" t="str">
        <x:v>RECORDED</x:v>
      </x:c>
      <x:c r="H459" s="39" t="n">
        <x:f>IF(ISNUMBER('Data'!E459),'Data'!E459*100,"")</x:f>
        <x:v>0.25</x:v>
      </x:c>
      <x:c r="I459" s="35" t="str">
        <x:v>PASS</x:v>
      </x:c>
      <x:c r="J459" s="35" t="str">
        <x:v>PASS</x:v>
      </x:c>
      <x:c r="K459" s="35" t="str">
        <x:v>PASS</x:v>
      </x:c>
      <x:c r="L459" s="35" t="str">
        <x:v>PASS</x:v>
      </x:c>
      <x:c r="M459" s="35" t="str">
        <x:v>numeric coverage for applicable metric</x:v>
      </x:c>
      <x:c r="N459" s="35" t="str">
        <x:v>Gemini-3.8-flash/Result/JacksonDatabind_57/result.json</x:v>
      </x:c>
      <x:c r="O459" s="39" t="n">
        <x:f>IF(AND(G459="RECORDED",ISNUMBER(H459)),H459,"")</x:f>
        <x:v>0.25</x:v>
      </x:c>
      <x:c r="P459" s="35" t="str">
        <x:v>NOT_REVEALING</x:v>
      </x:c>
      <x:c r="Q459" s="35" t="str">
        <x:v>Gemini-3.8-flash/Result/JacksonDatabind_57/result.json</x:v>
      </x:c>
    </x:row>
    <x:row r="460">
      <x:c r="A460" s="35" t="str">
        <x:v>gemini</x:v>
      </x:c>
      <x:c r="B460" s="35" t="str">
        <x:v>JacksonDatabind</x:v>
      </x:c>
      <x:c r="C460" s="35" t="str">
        <x:v>Round1</x:v>
      </x:c>
      <x:c r="D460" s="35" t="str">
        <x:v>JacksonDatabind_58</x:v>
      </x:c>
      <x:c r="E460" s="35" t="str">
        <x:v>Line</x:v>
      </x:c>
      <x:c r="F460" s="35"/>
      <x:c r="G460" s="35" t="str">
        <x:v>A</x:v>
      </x:c>
      <x:c r="H460" s="39" t="str">
        <x:f>IF(ISNUMBER('Data'!E460),'Data'!E460*100,"")</x:f>
      </x:c>
      <x:c r="I460" s="35"/>
      <x:c r="J460" s="35" t="str">
        <x:v>PASS</x:v>
      </x:c>
      <x:c r="K460" s="35" t="str">
        <x:v>FAIL</x:v>
      </x:c>
      <x:c r="L460" s="35" t="str">
        <x:v>NOT_RUN</x:v>
      </x:c>
      <x:c r="M460" s="35" t="str">
        <x:v>coverage unavailable or execution/compile failed</x:v>
      </x:c>
      <x:c r="N460" s="35" t="str">
        <x:v>Gemini-3.8-flash/Result/JacksonDatabind_58/result.json</x:v>
      </x:c>
      <x:c r="O460" s="39" t="str">
        <x:f>IF(AND(G460="RECORDED",ISNUMBER(H460)),H460,"")</x:f>
      </x:c>
      <x:c r="P460" s="35" t="str">
        <x:v>NOT_AVAILABLE</x:v>
      </x:c>
      <x:c r="Q460" s="35" t="str">
        <x:v>Gemini-3.8-flash/Result/JacksonDatabind_58/result.json</x:v>
      </x:c>
    </x:row>
    <x:row r="461">
      <x:c r="A461" s="35" t="str">
        <x:v>gemini</x:v>
      </x:c>
      <x:c r="B461" s="35" t="str">
        <x:v>JacksonDatabind</x:v>
      </x:c>
      <x:c r="C461" s="35" t="str">
        <x:v>Round1</x:v>
      </x:c>
      <x:c r="D461" s="35" t="str">
        <x:v>JacksonDatabind_59</x:v>
      </x:c>
      <x:c r="E461" s="35" t="str">
        <x:v>Line</x:v>
      </x:c>
      <x:c r="F461" s="35" t="n">
        <x:v>568</x:v>
      </x:c>
      <x:c r="G461" s="35" t="str">
        <x:v>RECORDED</x:v>
      </x:c>
      <x:c r="H461" s="39" t="n">
        <x:f>IF(ISNUMBER('Data'!E461),'Data'!E461*100,"")</x:f>
        <x:v>6.34</x:v>
      </x:c>
      <x:c r="I461" s="35" t="str">
        <x:v>PASS</x:v>
      </x:c>
      <x:c r="J461" s="35" t="str">
        <x:v>PASS</x:v>
      </x:c>
      <x:c r="K461" s="35" t="str">
        <x:v>PASS</x:v>
      </x:c>
      <x:c r="L461" s="35" t="str">
        <x:v>PASS</x:v>
      </x:c>
      <x:c r="M461" s="35" t="str">
        <x:v>numeric coverage for applicable metric</x:v>
      </x:c>
      <x:c r="N461" s="35" t="str">
        <x:v>Gemini-3.8-flash/Result/JacksonDatabind_59/result.json</x:v>
      </x:c>
      <x:c r="O461" s="39" t="n">
        <x:f>IF(AND(G461="RECORDED",ISNUMBER(H461)),H461,"")</x:f>
        <x:v>6.34</x:v>
      </x:c>
      <x:c r="P461" s="35" t="str">
        <x:v>NOT_REVEALING</x:v>
      </x:c>
      <x:c r="Q461" s="35" t="str">
        <x:v>Gemini-3.8-flash/Result/JacksonDatabind_59/result.json</x:v>
      </x:c>
    </x:row>
    <x:row r="462">
      <x:c r="A462" s="35" t="str">
        <x:v>gemini</x:v>
      </x:c>
      <x:c r="B462" s="35" t="str">
        <x:v>JacksonDatabind</x:v>
      </x:c>
      <x:c r="C462" s="35" t="str">
        <x:v>Round1</x:v>
      </x:c>
      <x:c r="D462" s="35" t="str">
        <x:v>JacksonDatabind_6</x:v>
      </x:c>
      <x:c r="E462" s="35" t="str">
        <x:v>Line</x:v>
      </x:c>
      <x:c r="F462" s="35" t="n">
        <x:v>149</x:v>
      </x:c>
      <x:c r="G462" s="35" t="str">
        <x:v>RECORDED</x:v>
      </x:c>
      <x:c r="H462" s="39" t="n">
        <x:f>IF(ISNUMBER('Data'!E462),'Data'!E462*100,"")</x:f>
        <x:v>10.07</x:v>
      </x:c>
      <x:c r="I462" s="35" t="str">
        <x:v>PASS</x:v>
      </x:c>
      <x:c r="J462" s="35" t="str">
        <x:v>PASS</x:v>
      </x:c>
      <x:c r="K462" s="35" t="str">
        <x:v>PASS</x:v>
      </x:c>
      <x:c r="L462" s="35" t="str">
        <x:v>PASS</x:v>
      </x:c>
      <x:c r="M462" s="35" t="str">
        <x:v>numeric coverage for applicable metric</x:v>
      </x:c>
      <x:c r="N462" s="35" t="str">
        <x:v>Gemini-3.8-flash/Result/JacksonDatabind_6/result.json</x:v>
      </x:c>
      <x:c r="O462" s="39" t="n">
        <x:f>IF(AND(G462="RECORDED",ISNUMBER(H462)),H462,"")</x:f>
        <x:v>10.07</x:v>
      </x:c>
      <x:c r="P462" s="35" t="str">
        <x:v>NOT_REVEALING</x:v>
      </x:c>
      <x:c r="Q462" s="35" t="str">
        <x:v>Gemini-3.8-flash/Result/JacksonDatabind_6/result.json</x:v>
      </x:c>
    </x:row>
    <x:row r="463">
      <x:c r="A463" s="35" t="str">
        <x:v>gemini</x:v>
      </x:c>
      <x:c r="B463" s="35" t="str">
        <x:v>JacksonDatabind</x:v>
      </x:c>
      <x:c r="C463" s="35" t="str">
        <x:v>Round1</x:v>
      </x:c>
      <x:c r="D463" s="35" t="str">
        <x:v>JacksonDatabind_60</x:v>
      </x:c>
      <x:c r="E463" s="35" t="str">
        <x:v>Line</x:v>
      </x:c>
      <x:c r="F463" s="35" t="n">
        <x:v>110</x:v>
      </x:c>
      <x:c r="G463" s="35" t="str">
        <x:v>RECORDED</x:v>
      </x:c>
      <x:c r="H463" s="39" t="n">
        <x:f>IF(ISNUMBER('Data'!E463),'Data'!E463*100,"")</x:f>
        <x:v>0</x:v>
      </x:c>
      <x:c r="I463" s="35" t="str">
        <x:v>PASS</x:v>
      </x:c>
      <x:c r="J463" s="35" t="str">
        <x:v>PASS</x:v>
      </x:c>
      <x:c r="K463" s="35" t="str">
        <x:v>PASS</x:v>
      </x:c>
      <x:c r="L463" s="35" t="str">
        <x:v>PASS</x:v>
      </x:c>
      <x:c r="M463" s="35" t="str">
        <x:v>numeric coverage for applicable metric</x:v>
      </x:c>
      <x:c r="N463" s="35" t="str">
        <x:v>Gemini-3.8-flash/Result/JacksonDatabind_60/result.json</x:v>
      </x:c>
      <x:c r="O463" s="39" t="n">
        <x:f>IF(AND(G463="RECORDED",ISNUMBER(H463)),H463,"")</x:f>
        <x:v>0</x:v>
      </x:c>
      <x:c r="P463" s="35" t="str">
        <x:v>NOT_REVEALING</x:v>
      </x:c>
      <x:c r="Q463" s="35" t="str">
        <x:v>Gemini-3.8-flash/Result/JacksonDatabind_60/result.json</x:v>
      </x:c>
    </x:row>
    <x:row r="464">
      <x:c r="A464" s="35" t="str">
        <x:v>gemini</x:v>
      </x:c>
      <x:c r="B464" s="35" t="str">
        <x:v>JacksonDatabind</x:v>
      </x:c>
      <x:c r="C464" s="35" t="str">
        <x:v>Round1</x:v>
      </x:c>
      <x:c r="D464" s="35" t="str">
        <x:v>JacksonDatabind_61</x:v>
      </x:c>
      <x:c r="E464" s="35" t="str">
        <x:v>Line</x:v>
      </x:c>
      <x:c r="F464" s="35" t="n">
        <x:v>737</x:v>
      </x:c>
      <x:c r="G464" s="35" t="str">
        <x:v>RECORDED</x:v>
      </x:c>
      <x:c r="H464" s="39" t="n">
        <x:f>IF(ISNUMBER('Data'!E464),'Data'!E464*100,"")</x:f>
        <x:v>1.09</x:v>
      </x:c>
      <x:c r="I464" s="35" t="str">
        <x:v>PASS</x:v>
      </x:c>
      <x:c r="J464" s="35" t="str">
        <x:v>PASS</x:v>
      </x:c>
      <x:c r="K464" s="35" t="str">
        <x:v>PASS</x:v>
      </x:c>
      <x:c r="L464" s="35" t="str">
        <x:v>FAIL</x:v>
      </x:c>
      <x:c r="M464" s="35" t="str">
        <x:v>numeric coverage for applicable metric</x:v>
      </x:c>
      <x:c r="N464" s="35" t="str">
        <x:v>Gemini-3.8-flash/Result/JacksonDatabind_61/result.json</x:v>
      </x:c>
      <x:c r="O464" s="39" t="n">
        <x:f>IF(AND(G464="RECORDED",ISNUMBER(H464)),H464,"")</x:f>
        <x:v>1.09</x:v>
      </x:c>
      <x:c r="P464" s="35" t="str">
        <x:v>INCONCLUSIVE</x:v>
      </x:c>
      <x:c r="Q464" s="35" t="str">
        <x:v>Gemini-3.8-flash/Result/JacksonDatabind_61/result.json</x:v>
      </x:c>
    </x:row>
    <x:row r="465">
      <x:c r="A465" s="35" t="str">
        <x:v>gemini</x:v>
      </x:c>
      <x:c r="B465" s="35" t="str">
        <x:v>JacksonDatabind</x:v>
      </x:c>
      <x:c r="C465" s="35" t="str">
        <x:v>Round1</x:v>
      </x:c>
      <x:c r="D465" s="35" t="str">
        <x:v>JacksonDatabind_62</x:v>
      </x:c>
      <x:c r="E465" s="35" t="str">
        <x:v>Line</x:v>
      </x:c>
      <x:c r="F465" s="35" t="n">
        <x:v>131</x:v>
      </x:c>
      <x:c r="G465" s="35" t="str">
        <x:v>RECORDED</x:v>
      </x:c>
      <x:c r="H465" s="39" t="n">
        <x:f>IF(ISNUMBER('Data'!E465),'Data'!E465*100,"")</x:f>
        <x:v>0</x:v>
      </x:c>
      <x:c r="I465" s="35" t="str">
        <x:v>PASS</x:v>
      </x:c>
      <x:c r="J465" s="35" t="str">
        <x:v>PASS</x:v>
      </x:c>
      <x:c r="K465" s="35" t="str">
        <x:v>PASS</x:v>
      </x:c>
      <x:c r="L465" s="35" t="str">
        <x:v>FAIL</x:v>
      </x:c>
      <x:c r="M465" s="35" t="str">
        <x:v>numeric coverage for applicable metric</x:v>
      </x:c>
      <x:c r="N465" s="35" t="str">
        <x:v>Gemini-3.8-flash/Result/JacksonDatabind_62/result.json</x:v>
      </x:c>
      <x:c r="O465" s="39" t="n">
        <x:f>IF(AND(G465="RECORDED",ISNUMBER(H465)),H465,"")</x:f>
        <x:v>0</x:v>
      </x:c>
      <x:c r="P465" s="35" t="str">
        <x:v>INCONCLUSIVE</x:v>
      </x:c>
      <x:c r="Q465" s="35" t="str">
        <x:v>Gemini-3.8-flash/Result/JacksonDatabind_62/result.json</x:v>
      </x:c>
    </x:row>
    <x:row r="466">
      <x:c r="A466" s="35" t="str">
        <x:v>gemini</x:v>
      </x:c>
      <x:c r="B466" s="35" t="str">
        <x:v>JacksonDatabind</x:v>
      </x:c>
      <x:c r="C466" s="35" t="str">
        <x:v>Round1</x:v>
      </x:c>
      <x:c r="D466" s="35" t="str">
        <x:v>JacksonDatabind_63</x:v>
      </x:c>
      <x:c r="E466" s="35" t="str">
        <x:v>Line</x:v>
      </x:c>
      <x:c r="F466" s="35"/>
      <x:c r="G466" s="35" t="str">
        <x:v>A</x:v>
      </x:c>
      <x:c r="H466" s="39" t="str">
        <x:f>IF(ISNUMBER('Data'!E466),'Data'!E466*100,"")</x:f>
      </x:c>
      <x:c r="I466" s="35"/>
      <x:c r="J466" s="35" t="str">
        <x:v>PASS</x:v>
      </x:c>
      <x:c r="K466" s="35" t="str">
        <x:v>FAIL</x:v>
      </x:c>
      <x:c r="L466" s="35" t="str">
        <x:v>NOT_RUN</x:v>
      </x:c>
      <x:c r="M466" s="35" t="str">
        <x:v>coverage unavailable or execution/compile failed</x:v>
      </x:c>
      <x:c r="N466" s="35" t="str">
        <x:v>Gemini-3.8-flash/Result/JacksonDatabind_63/result.json</x:v>
      </x:c>
      <x:c r="O466" s="39" t="str">
        <x:f>IF(AND(G466="RECORDED",ISNUMBER(H466)),H466,"")</x:f>
      </x:c>
      <x:c r="P466" s="35" t="str">
        <x:v>NOT_AVAILABLE</x:v>
      </x:c>
      <x:c r="Q466" s="35" t="str">
        <x:v>Gemini-3.8-flash/Result/JacksonDatabind_63/result.json</x:v>
      </x:c>
    </x:row>
    <x:row r="467">
      <x:c r="A467" s="35" t="str">
        <x:v>gemini</x:v>
      </x:c>
      <x:c r="B467" s="35" t="str">
        <x:v>JacksonDatabind</x:v>
      </x:c>
      <x:c r="C467" s="35" t="str">
        <x:v>Round1</x:v>
      </x:c>
      <x:c r="D467" s="35" t="str">
        <x:v>JacksonDatabind_64</x:v>
      </x:c>
      <x:c r="E467" s="35" t="str">
        <x:v>Line</x:v>
      </x:c>
      <x:c r="F467" s="35" t="n">
        <x:v>107</x:v>
      </x:c>
      <x:c r="G467" s="35" t="str">
        <x:v>RECORDED</x:v>
      </x:c>
      <x:c r="H467" s="39" t="n">
        <x:f>IF(ISNUMBER('Data'!E467),'Data'!E467*100,"")</x:f>
        <x:v>0.93</x:v>
      </x:c>
      <x:c r="I467" s="35" t="str">
        <x:v>PASS</x:v>
      </x:c>
      <x:c r="J467" s="35" t="str">
        <x:v>PASS</x:v>
      </x:c>
      <x:c r="K467" s="35" t="str">
        <x:v>PASS</x:v>
      </x:c>
      <x:c r="L467" s="35" t="str">
        <x:v>PASS</x:v>
      </x:c>
      <x:c r="M467" s="35" t="str">
        <x:v>numeric coverage for applicable metric</x:v>
      </x:c>
      <x:c r="N467" s="35" t="str">
        <x:v>Gemini-3.8-flash/Result/JacksonDatabind_64/result.json</x:v>
      </x:c>
      <x:c r="O467" s="39" t="n">
        <x:f>IF(AND(G467="RECORDED",ISNUMBER(H467)),H467,"")</x:f>
        <x:v>0.93</x:v>
      </x:c>
      <x:c r="P467" s="35" t="str">
        <x:v>NOT_REVEALING</x:v>
      </x:c>
      <x:c r="Q467" s="35" t="str">
        <x:v>Gemini-3.8-flash/Result/JacksonDatabind_64/result.json</x:v>
      </x:c>
    </x:row>
    <x:row r="468">
      <x:c r="A468" s="35" t="str">
        <x:v>gemini</x:v>
      </x:c>
      <x:c r="B468" s="35" t="str">
        <x:v>JacksonDatabind</x:v>
      </x:c>
      <x:c r="C468" s="35" t="str">
        <x:v>Round1</x:v>
      </x:c>
      <x:c r="D468" s="35" t="str">
        <x:v>JacksonDatabind_66</x:v>
      </x:c>
      <x:c r="E468" s="35" t="str">
        <x:v>Line</x:v>
      </x:c>
      <x:c r="F468" s="35"/>
      <x:c r="G468" s="35" t="str">
        <x:v>A</x:v>
      </x:c>
      <x:c r="H468" s="39" t="str">
        <x:f>IF(ISNUMBER('Data'!E468),'Data'!E468*100,"")</x:f>
      </x:c>
      <x:c r="I468" s="35"/>
      <x:c r="J468" s="35" t="str">
        <x:v>PASS</x:v>
      </x:c>
      <x:c r="K468" s="35" t="str">
        <x:v>FAIL</x:v>
      </x:c>
      <x:c r="L468" s="35" t="str">
        <x:v>NOT_RUN</x:v>
      </x:c>
      <x:c r="M468" s="35" t="str">
        <x:v>coverage unavailable or execution/compile failed</x:v>
      </x:c>
      <x:c r="N468" s="35" t="str">
        <x:v>Gemini-3.8-flash/Result/JacksonDatabind_66/result.json</x:v>
      </x:c>
      <x:c r="O468" s="39" t="str">
        <x:f>IF(AND(G468="RECORDED",ISNUMBER(H468)),H468,"")</x:f>
      </x:c>
      <x:c r="P468" s="35" t="str">
        <x:v>NOT_AVAILABLE</x:v>
      </x:c>
      <x:c r="Q468" s="35" t="str">
        <x:v>Gemini-3.8-flash/Result/JacksonDatabind_66/result.json</x:v>
      </x:c>
    </x:row>
    <x:row r="469">
      <x:c r="A469" s="35" t="str">
        <x:v>gemini</x:v>
      </x:c>
      <x:c r="B469" s="35" t="str">
        <x:v>JacksonDatabind</x:v>
      </x:c>
      <x:c r="C469" s="35" t="str">
        <x:v>Round1</x:v>
      </x:c>
      <x:c r="D469" s="35" t="str">
        <x:v>JacksonDatabind_67</x:v>
      </x:c>
      <x:c r="E469" s="35" t="str">
        <x:v>Line</x:v>
      </x:c>
      <x:c r="F469" s="35"/>
      <x:c r="G469" s="35" t="str">
        <x:v>A</x:v>
      </x:c>
      <x:c r="H469" s="39" t="str">
        <x:f>IF(ISNUMBER('Data'!E469),'Data'!E469*100,"")</x:f>
      </x:c>
      <x:c r="I469" s="35"/>
      <x:c r="J469" s="35" t="str">
        <x:v>PASS</x:v>
      </x:c>
      <x:c r="K469" s="35" t="str">
        <x:v>FAIL</x:v>
      </x:c>
      <x:c r="L469" s="35" t="str">
        <x:v>NOT_RUN</x:v>
      </x:c>
      <x:c r="M469" s="35" t="str">
        <x:v>coverage unavailable or execution/compile failed</x:v>
      </x:c>
      <x:c r="N469" s="35" t="str">
        <x:v>Gemini-3.8-flash/Result/JacksonDatabind_67/result.json</x:v>
      </x:c>
      <x:c r="O469" s="39" t="str">
        <x:f>IF(AND(G469="RECORDED",ISNUMBER(H469)),H469,"")</x:f>
      </x:c>
      <x:c r="P469" s="35" t="str">
        <x:v>NOT_AVAILABLE</x:v>
      </x:c>
      <x:c r="Q469" s="35" t="str">
        <x:v>Gemini-3.8-flash/Result/JacksonDatabind_67/result.json</x:v>
      </x:c>
    </x:row>
    <x:row r="470">
      <x:c r="A470" s="35" t="str">
        <x:v>gemini</x:v>
      </x:c>
      <x:c r="B470" s="35" t="str">
        <x:v>JacksonDatabind</x:v>
      </x:c>
      <x:c r="C470" s="35" t="str">
        <x:v>Round1</x:v>
      </x:c>
      <x:c r="D470" s="35" t="str">
        <x:v>JacksonDatabind_68</x:v>
      </x:c>
      <x:c r="E470" s="35" t="str">
        <x:v>Line</x:v>
      </x:c>
      <x:c r="F470" s="35" t="n">
        <x:v>592</x:v>
      </x:c>
      <x:c r="G470" s="35" t="str">
        <x:v>RECORDED</x:v>
      </x:c>
      <x:c r="H470" s="39" t="n">
        <x:f>IF(ISNUMBER('Data'!E470),'Data'!E470*100,"")</x:f>
        <x:v>0.17</x:v>
      </x:c>
      <x:c r="I470" s="35" t="str">
        <x:v>PASS</x:v>
      </x:c>
      <x:c r="J470" s="35" t="str">
        <x:v>PASS</x:v>
      </x:c>
      <x:c r="K470" s="35" t="str">
        <x:v>PASS</x:v>
      </x:c>
      <x:c r="L470" s="35" t="str">
        <x:v>PASS</x:v>
      </x:c>
      <x:c r="M470" s="35" t="str">
        <x:v>numeric coverage for applicable metric</x:v>
      </x:c>
      <x:c r="N470" s="35" t="str">
        <x:v>Gemini-3.8-flash/Result/JacksonDatabind_68/result.json</x:v>
      </x:c>
      <x:c r="O470" s="39" t="n">
        <x:f>IF(AND(G470="RECORDED",ISNUMBER(H470)),H470,"")</x:f>
        <x:v>0.17</x:v>
      </x:c>
      <x:c r="P470" s="35" t="str">
        <x:v>NOT_REVEALING</x:v>
      </x:c>
      <x:c r="Q470" s="35" t="str">
        <x:v>Gemini-3.8-flash/Result/JacksonDatabind_68/result.json</x:v>
      </x:c>
    </x:row>
    <x:row r="471">
      <x:c r="A471" s="35" t="str">
        <x:v>gemini</x:v>
      </x:c>
      <x:c r="B471" s="35" t="str">
        <x:v>JacksonDatabind</x:v>
      </x:c>
      <x:c r="C471" s="35" t="str">
        <x:v>Round1</x:v>
      </x:c>
      <x:c r="D471" s="35" t="str">
        <x:v>JacksonDatabind_69</x:v>
      </x:c>
      <x:c r="E471" s="35" t="str">
        <x:v>Line</x:v>
      </x:c>
      <x:c r="F471" s="35" t="n">
        <x:v>127</x:v>
      </x:c>
      <x:c r="G471" s="35" t="str">
        <x:v>RECORDED</x:v>
      </x:c>
      <x:c r="H471" s="39" t="n">
        <x:f>IF(ISNUMBER('Data'!E471),'Data'!E471*100,"")</x:f>
        <x:v>0.79</x:v>
      </x:c>
      <x:c r="I471" s="35" t="str">
        <x:v>PASS</x:v>
      </x:c>
      <x:c r="J471" s="35" t="str">
        <x:v>PASS</x:v>
      </x:c>
      <x:c r="K471" s="35" t="str">
        <x:v>PASS</x:v>
      </x:c>
      <x:c r="L471" s="35" t="str">
        <x:v>PASS</x:v>
      </x:c>
      <x:c r="M471" s="35" t="str">
        <x:v>numeric coverage for applicable metric</x:v>
      </x:c>
      <x:c r="N471" s="35" t="str">
        <x:v>Gemini-3.8-flash/Result/JacksonDatabind_69/result.json</x:v>
      </x:c>
      <x:c r="O471" s="39" t="n">
        <x:f>IF(AND(G471="RECORDED",ISNUMBER(H471)),H471,"")</x:f>
        <x:v>0.79</x:v>
      </x:c>
      <x:c r="P471" s="35" t="str">
        <x:v>NOT_REVEALING</x:v>
      </x:c>
      <x:c r="Q471" s="35" t="str">
        <x:v>Gemini-3.8-flash/Result/JacksonDatabind_69/result.json</x:v>
      </x:c>
    </x:row>
    <x:row r="472">
      <x:c r="A472" s="35" t="str">
        <x:v>gemini</x:v>
      </x:c>
      <x:c r="B472" s="35" t="str">
        <x:v>JacksonDatabind</x:v>
      </x:c>
      <x:c r="C472" s="35" t="str">
        <x:v>Round1</x:v>
      </x:c>
      <x:c r="D472" s="35" t="str">
        <x:v>JacksonDatabind_7</x:v>
      </x:c>
      <x:c r="E472" s="35" t="str">
        <x:v>Line</x:v>
      </x:c>
      <x:c r="F472" s="35" t="n">
        <x:v>624</x:v>
      </x:c>
      <x:c r="G472" s="35" t="str">
        <x:v>RECORDED</x:v>
      </x:c>
      <x:c r="H472" s="39" t="n">
        <x:f>IF(ISNUMBER('Data'!E472),'Data'!E472*100,"")</x:f>
        <x:v>32.05</x:v>
      </x:c>
      <x:c r="I472" s="35" t="str">
        <x:v>PASS</x:v>
      </x:c>
      <x:c r="J472" s="35" t="str">
        <x:v>PASS</x:v>
      </x:c>
      <x:c r="K472" s="35" t="str">
        <x:v>PASS</x:v>
      </x:c>
      <x:c r="L472" s="35" t="str">
        <x:v>PASS</x:v>
      </x:c>
      <x:c r="M472" s="35" t="str">
        <x:v>numeric coverage for applicable metric</x:v>
      </x:c>
      <x:c r="N472" s="35" t="str">
        <x:v>Gemini-3.8-flash/Result/JacksonDatabind_7/result.json</x:v>
      </x:c>
      <x:c r="O472" s="39" t="n">
        <x:f>IF(AND(G472="RECORDED",ISNUMBER(H472)),H472,"")</x:f>
        <x:v>32.05</x:v>
      </x:c>
      <x:c r="P472" s="35" t="str">
        <x:v>NOT_REVEALING</x:v>
      </x:c>
      <x:c r="Q472" s="35" t="str">
        <x:v>Gemini-3.8-flash/Result/JacksonDatabind_7/result.json</x:v>
      </x:c>
    </x:row>
    <x:row r="473">
      <x:c r="A473" s="35" t="str">
        <x:v>gemini</x:v>
      </x:c>
      <x:c r="B473" s="35" t="str">
        <x:v>JacksonDatabind</x:v>
      </x:c>
      <x:c r="C473" s="35" t="str">
        <x:v>Round1</x:v>
      </x:c>
      <x:c r="D473" s="35" t="str">
        <x:v>JacksonDatabind_70</x:v>
      </x:c>
      <x:c r="E473" s="35" t="str">
        <x:v>Line</x:v>
      </x:c>
      <x:c r="F473" s="35" t="n">
        <x:v>226</x:v>
      </x:c>
      <x:c r="G473" s="35" t="str">
        <x:v>RECORDED</x:v>
      </x:c>
      <x:c r="H473" s="39" t="n">
        <x:f>IF(ISNUMBER('Data'!E473),'Data'!E473*100,"")</x:f>
        <x:v>0</x:v>
      </x:c>
      <x:c r="I473" s="35" t="str">
        <x:v>PASS</x:v>
      </x:c>
      <x:c r="J473" s="35" t="str">
        <x:v>PASS</x:v>
      </x:c>
      <x:c r="K473" s="35" t="str">
        <x:v>PASS</x:v>
      </x:c>
      <x:c r="L473" s="35" t="str">
        <x:v>PASS</x:v>
      </x:c>
      <x:c r="M473" s="35" t="str">
        <x:v>numeric coverage for applicable metric</x:v>
      </x:c>
      <x:c r="N473" s="35" t="str">
        <x:v>Gemini-3.8-flash/Result/JacksonDatabind_70/result.json</x:v>
      </x:c>
      <x:c r="O473" s="39" t="n">
        <x:f>IF(AND(G473="RECORDED",ISNUMBER(H473)),H473,"")</x:f>
        <x:v>0</x:v>
      </x:c>
      <x:c r="P473" s="35" t="str">
        <x:v>NOT_REVEALING</x:v>
      </x:c>
      <x:c r="Q473" s="35" t="str">
        <x:v>Gemini-3.8-flash/Result/JacksonDatabind_70/result.json</x:v>
      </x:c>
    </x:row>
    <x:row r="474">
      <x:c r="A474" s="35" t="str">
        <x:v>gemini</x:v>
      </x:c>
      <x:c r="B474" s="35" t="str">
        <x:v>JacksonDatabind</x:v>
      </x:c>
      <x:c r="C474" s="35" t="str">
        <x:v>Round1</x:v>
      </x:c>
      <x:c r="D474" s="35" t="str">
        <x:v>JacksonDatabind_71</x:v>
      </x:c>
      <x:c r="E474" s="35" t="str">
        <x:v>Line</x:v>
      </x:c>
      <x:c r="F474" s="35"/>
      <x:c r="G474" s="35" t="str">
        <x:v>A</x:v>
      </x:c>
      <x:c r="H474" s="39" t="str">
        <x:f>IF(ISNUMBER('Data'!E474),'Data'!E474*100,"")</x:f>
      </x:c>
      <x:c r="I474" s="35"/>
      <x:c r="J474" s="35" t="str">
        <x:v>PASS</x:v>
      </x:c>
      <x:c r="K474" s="35" t="str">
        <x:v>FAIL</x:v>
      </x:c>
      <x:c r="L474" s="35" t="str">
        <x:v>NOT_RUN</x:v>
      </x:c>
      <x:c r="M474" s="35" t="str">
        <x:v>coverage unavailable or execution/compile failed</x:v>
      </x:c>
      <x:c r="N474" s="35" t="str">
        <x:v>Gemini-3.8-flash/Result/JacksonDatabind_71/result.json</x:v>
      </x:c>
      <x:c r="O474" s="39" t="str">
        <x:f>IF(AND(G474="RECORDED",ISNUMBER(H474)),H474,"")</x:f>
      </x:c>
      <x:c r="P474" s="35" t="str">
        <x:v>NOT_AVAILABLE</x:v>
      </x:c>
      <x:c r="Q474" s="35" t="str">
        <x:v>Gemini-3.8-flash/Result/JacksonDatabind_71/result.json</x:v>
      </x:c>
    </x:row>
    <x:row r="475">
      <x:c r="A475" s="35" t="str">
        <x:v>gemini</x:v>
      </x:c>
      <x:c r="B475" s="35" t="str">
        <x:v>JacksonDatabind</x:v>
      </x:c>
      <x:c r="C475" s="35" t="str">
        <x:v>Round1</x:v>
      </x:c>
      <x:c r="D475" s="35" t="str">
        <x:v>JacksonDatabind_72</x:v>
      </x:c>
      <x:c r="E475" s="35" t="str">
        <x:v>Line</x:v>
      </x:c>
      <x:c r="F475" s="35"/>
      <x:c r="G475" s="35" t="str">
        <x:v>A</x:v>
      </x:c>
      <x:c r="H475" s="39" t="str">
        <x:f>IF(ISNUMBER('Data'!E475),'Data'!E475*100,"")</x:f>
      </x:c>
      <x:c r="I475" s="35"/>
      <x:c r="J475" s="35" t="str">
        <x:v>PASS</x:v>
      </x:c>
      <x:c r="K475" s="35" t="str">
        <x:v>FAIL</x:v>
      </x:c>
      <x:c r="L475" s="35" t="str">
        <x:v>NOT_RUN</x:v>
      </x:c>
      <x:c r="M475" s="35" t="str">
        <x:v>coverage unavailable or execution/compile failed</x:v>
      </x:c>
      <x:c r="N475" s="35" t="str">
        <x:v>Gemini-3.8-flash/Result/JacksonDatabind_72/result.json</x:v>
      </x:c>
      <x:c r="O475" s="39" t="str">
        <x:f>IF(AND(G475="RECORDED",ISNUMBER(H475)),H475,"")</x:f>
      </x:c>
      <x:c r="P475" s="35" t="str">
        <x:v>NOT_AVAILABLE</x:v>
      </x:c>
      <x:c r="Q475" s="35" t="str">
        <x:v>Gemini-3.8-flash/Result/JacksonDatabind_72/result.json</x:v>
      </x:c>
    </x:row>
    <x:row r="476">
      <x:c r="A476" s="35" t="str">
        <x:v>gemini</x:v>
      </x:c>
      <x:c r="B476" s="35" t="str">
        <x:v>JacksonDatabind</x:v>
      </x:c>
      <x:c r="C476" s="35" t="str">
        <x:v>Round1</x:v>
      </x:c>
      <x:c r="D476" s="35" t="str">
        <x:v>JacksonDatabind_73</x:v>
      </x:c>
      <x:c r="E476" s="35" t="str">
        <x:v>Line</x:v>
      </x:c>
      <x:c r="F476" s="35" t="n">
        <x:v>928</x:v>
      </x:c>
      <x:c r="G476" s="35" t="str">
        <x:v>RECORDED</x:v>
      </x:c>
      <x:c r="H476" s="39" t="n">
        <x:f>IF(ISNUMBER('Data'!E476),'Data'!E476*100,"")</x:f>
        <x:v>0</x:v>
      </x:c>
      <x:c r="I476" s="35" t="str">
        <x:v>PASS</x:v>
      </x:c>
      <x:c r="J476" s="35" t="str">
        <x:v>PASS</x:v>
      </x:c>
      <x:c r="K476" s="35" t="str">
        <x:v>PASS</x:v>
      </x:c>
      <x:c r="L476" s="35" t="str">
        <x:v>FAIL</x:v>
      </x:c>
      <x:c r="M476" s="35" t="str">
        <x:v>numeric coverage for applicable metric</x:v>
      </x:c>
      <x:c r="N476" s="35" t="str">
        <x:v>Gemini-3.8-flash/Result/JacksonDatabind_73/result.json</x:v>
      </x:c>
      <x:c r="O476" s="39" t="n">
        <x:f>IF(AND(G476="RECORDED",ISNUMBER(H476)),H476,"")</x:f>
        <x:v>0</x:v>
      </x:c>
      <x:c r="P476" s="35" t="str">
        <x:v>INCONCLUSIVE</x:v>
      </x:c>
      <x:c r="Q476" s="35" t="str">
        <x:v>Gemini-3.8-flash/Result/JacksonDatabind_73/result.json</x:v>
      </x:c>
    </x:row>
    <x:row r="477">
      <x:c r="A477" s="35" t="str">
        <x:v>gemini</x:v>
      </x:c>
      <x:c r="B477" s="35" t="str">
        <x:v>JacksonDatabind</x:v>
      </x:c>
      <x:c r="C477" s="35" t="str">
        <x:v>Round1</x:v>
      </x:c>
      <x:c r="D477" s="35" t="str">
        <x:v>JacksonDatabind_74</x:v>
      </x:c>
      <x:c r="E477" s="35" t="str">
        <x:v>Line</x:v>
      </x:c>
      <x:c r="F477" s="35" t="n">
        <x:v>60</x:v>
      </x:c>
      <x:c r="G477" s="35" t="str">
        <x:v>RECORDED</x:v>
      </x:c>
      <x:c r="H477" s="39" t="n">
        <x:f>IF(ISNUMBER('Data'!E477),'Data'!E477*100,"")</x:f>
        <x:v>0</x:v>
      </x:c>
      <x:c r="I477" s="35" t="str">
        <x:v>PASS</x:v>
      </x:c>
      <x:c r="J477" s="35" t="str">
        <x:v>PASS</x:v>
      </x:c>
      <x:c r="K477" s="35" t="str">
        <x:v>PASS</x:v>
      </x:c>
      <x:c r="L477" s="35" t="str">
        <x:v>PASS</x:v>
      </x:c>
      <x:c r="M477" s="35" t="str">
        <x:v>numeric coverage for applicable metric</x:v>
      </x:c>
      <x:c r="N477" s="35" t="str">
        <x:v>Gemini-3.8-flash/Result/JacksonDatabind_74/result.json</x:v>
      </x:c>
      <x:c r="O477" s="39" t="n">
        <x:f>IF(AND(G477="RECORDED",ISNUMBER(H477)),H477,"")</x:f>
        <x:v>0</x:v>
      </x:c>
      <x:c r="P477" s="35" t="str">
        <x:v>NOT_REVEALING</x:v>
      </x:c>
      <x:c r="Q477" s="35" t="str">
        <x:v>Gemini-3.8-flash/Result/JacksonDatabind_74/result.json</x:v>
      </x:c>
    </x:row>
    <x:row r="478">
      <x:c r="A478" s="35" t="str">
        <x:v>gemini</x:v>
      </x:c>
      <x:c r="B478" s="35" t="str">
        <x:v>JacksonDatabind</x:v>
      </x:c>
      <x:c r="C478" s="35" t="str">
        <x:v>Round1</x:v>
      </x:c>
      <x:c r="D478" s="35" t="str">
        <x:v>JacksonDatabind_75</x:v>
      </x:c>
      <x:c r="E478" s="35" t="str">
        <x:v>Line</x:v>
      </x:c>
      <x:c r="F478" s="35" t="n">
        <x:v>69</x:v>
      </x:c>
      <x:c r="G478" s="35" t="str">
        <x:v>RECORDED</x:v>
      </x:c>
      <x:c r="H478" s="39" t="n">
        <x:f>IF(ISNUMBER('Data'!E478),'Data'!E478*100,"")</x:f>
        <x:v>0</x:v>
      </x:c>
      <x:c r="I478" s="35" t="str">
        <x:v>PASS</x:v>
      </x:c>
      <x:c r="J478" s="35" t="str">
        <x:v>PASS</x:v>
      </x:c>
      <x:c r="K478" s="35" t="str">
        <x:v>PASS</x:v>
      </x:c>
      <x:c r="L478" s="35" t="str">
        <x:v>PASS</x:v>
      </x:c>
      <x:c r="M478" s="35" t="str">
        <x:v>numeric coverage for applicable metric</x:v>
      </x:c>
      <x:c r="N478" s="35" t="str">
        <x:v>Gemini-3.8-flash/Result/JacksonDatabind_75/result.json</x:v>
      </x:c>
      <x:c r="O478" s="39" t="n">
        <x:f>IF(AND(G478="RECORDED",ISNUMBER(H478)),H478,"")</x:f>
        <x:v>0</x:v>
      </x:c>
      <x:c r="P478" s="35" t="str">
        <x:v>NOT_REVEALING</x:v>
      </x:c>
      <x:c r="Q478" s="35" t="str">
        <x:v>Gemini-3.8-flash/Result/JacksonDatabind_75/result.json</x:v>
      </x:c>
    </x:row>
    <x:row r="479">
      <x:c r="A479" s="35" t="str">
        <x:v>gemini</x:v>
      </x:c>
      <x:c r="B479" s="35" t="str">
        <x:v>JacksonDatabind</x:v>
      </x:c>
      <x:c r="C479" s="35" t="str">
        <x:v>Round1</x:v>
      </x:c>
      <x:c r="D479" s="35" t="str">
        <x:v>JacksonDatabind_76</x:v>
      </x:c>
      <x:c r="E479" s="35" t="str">
        <x:v>Line</x:v>
      </x:c>
      <x:c r="F479" s="35" t="n">
        <x:v>320</x:v>
      </x:c>
      <x:c r="G479" s="35" t="str">
        <x:v>RECORDED</x:v>
      </x:c>
      <x:c r="H479" s="39" t="n">
        <x:f>IF(ISNUMBER('Data'!E479),'Data'!E479*100,"")</x:f>
        <x:v>0</x:v>
      </x:c>
      <x:c r="I479" s="35" t="str">
        <x:v>PASS</x:v>
      </x:c>
      <x:c r="J479" s="35" t="str">
        <x:v>PASS</x:v>
      </x:c>
      <x:c r="K479" s="35" t="str">
        <x:v>PASS</x:v>
      </x:c>
      <x:c r="L479" s="35" t="str">
        <x:v>PASS</x:v>
      </x:c>
      <x:c r="M479" s="35" t="str">
        <x:v>numeric coverage for applicable metric</x:v>
      </x:c>
      <x:c r="N479" s="35" t="str">
        <x:v>Gemini-3.8-flash/Result/JacksonDatabind_76/result.json</x:v>
      </x:c>
      <x:c r="O479" s="39" t="n">
        <x:f>IF(AND(G479="RECORDED",ISNUMBER(H479)),H479,"")</x:f>
        <x:v>0</x:v>
      </x:c>
      <x:c r="P479" s="35" t="str">
        <x:v>NOT_REVEALING</x:v>
      </x:c>
      <x:c r="Q479" s="35" t="str">
        <x:v>Gemini-3.8-flash/Result/JacksonDatabind_76/result.json</x:v>
      </x:c>
    </x:row>
    <x:row r="480">
      <x:c r="A480" s="35" t="str">
        <x:v>gemini</x:v>
      </x:c>
      <x:c r="B480" s="35" t="str">
        <x:v>JacksonDatabind</x:v>
      </x:c>
      <x:c r="C480" s="35" t="str">
        <x:v>Round1</x:v>
      </x:c>
      <x:c r="D480" s="35" t="str">
        <x:v>JacksonDatabind_77</x:v>
      </x:c>
      <x:c r="E480" s="35" t="str">
        <x:v>Line</x:v>
      </x:c>
      <x:c r="F480" s="35"/>
      <x:c r="G480" s="35" t="str">
        <x:v>A</x:v>
      </x:c>
      <x:c r="H480" s="39" t="str">
        <x:f>IF(ISNUMBER('Data'!E480),'Data'!E480*100,"")</x:f>
      </x:c>
      <x:c r="I480" s="35"/>
      <x:c r="J480" s="35" t="str">
        <x:v>PASS</x:v>
      </x:c>
      <x:c r="K480" s="35" t="str">
        <x:v>FAIL</x:v>
      </x:c>
      <x:c r="L480" s="35" t="str">
        <x:v>NOT_RUN</x:v>
      </x:c>
      <x:c r="M480" s="35" t="str">
        <x:v>coverage unavailable or execution/compile failed</x:v>
      </x:c>
      <x:c r="N480" s="35" t="str">
        <x:v>Gemini-3.8-flash/Result/JacksonDatabind_77/result.json</x:v>
      </x:c>
      <x:c r="O480" s="39" t="str">
        <x:f>IF(AND(G480="RECORDED",ISNUMBER(H480)),H480,"")</x:f>
      </x:c>
      <x:c r="P480" s="35" t="str">
        <x:v>NOT_AVAILABLE</x:v>
      </x:c>
      <x:c r="Q480" s="35" t="str">
        <x:v>Gemini-3.8-flash/Result/JacksonDatabind_77/result.json</x:v>
      </x:c>
    </x:row>
    <x:row r="481">
      <x:c r="A481" s="35" t="str">
        <x:v>gemini</x:v>
      </x:c>
      <x:c r="B481" s="35" t="str">
        <x:v>JacksonDatabind</x:v>
      </x:c>
      <x:c r="C481" s="35" t="str">
        <x:v>Round1</x:v>
      </x:c>
      <x:c r="D481" s="35" t="str">
        <x:v>JacksonDatabind_78</x:v>
      </x:c>
      <x:c r="E481" s="35" t="str">
        <x:v>Line</x:v>
      </x:c>
      <x:c r="F481" s="35"/>
      <x:c r="G481" s="35" t="str">
        <x:v>A</x:v>
      </x:c>
      <x:c r="H481" s="39" t="str">
        <x:f>IF(ISNUMBER('Data'!E481),'Data'!E481*100,"")</x:f>
      </x:c>
      <x:c r="I481" s="35"/>
      <x:c r="J481" s="35" t="str">
        <x:v>PASS</x:v>
      </x:c>
      <x:c r="K481" s="35" t="str">
        <x:v>FAIL</x:v>
      </x:c>
      <x:c r="L481" s="35" t="str">
        <x:v>NOT_RUN</x:v>
      </x:c>
      <x:c r="M481" s="35" t="str">
        <x:v>coverage unavailable or execution/compile failed</x:v>
      </x:c>
      <x:c r="N481" s="35" t="str">
        <x:v>Gemini-3.8-flash/Result/JacksonDatabind_78/result.json</x:v>
      </x:c>
      <x:c r="O481" s="39" t="str">
        <x:f>IF(AND(G481="RECORDED",ISNUMBER(H481)),H481,"")</x:f>
      </x:c>
      <x:c r="P481" s="35" t="str">
        <x:v>NOT_AVAILABLE</x:v>
      </x:c>
      <x:c r="Q481" s="35" t="str">
        <x:v>Gemini-3.8-flash/Result/JacksonDatabind_78/result.json</x:v>
      </x:c>
    </x:row>
    <x:row r="482">
      <x:c r="A482" s="35" t="str">
        <x:v>gemini</x:v>
      </x:c>
      <x:c r="B482" s="35" t="str">
        <x:v>JacksonDatabind</x:v>
      </x:c>
      <x:c r="C482" s="35" t="str">
        <x:v>Round1</x:v>
      </x:c>
      <x:c r="D482" s="35" t="str">
        <x:v>JacksonDatabind_79</x:v>
      </x:c>
      <x:c r="E482" s="35" t="str">
        <x:v>Line</x:v>
      </x:c>
      <x:c r="F482" s="35" t="n">
        <x:v>829</x:v>
      </x:c>
      <x:c r="G482" s="35" t="str">
        <x:v>RECORDED</x:v>
      </x:c>
      <x:c r="H482" s="39" t="n">
        <x:f>IF(ISNUMBER('Data'!E482),'Data'!E482*100,"")</x:f>
        <x:v>3.38</x:v>
      </x:c>
      <x:c r="I482" s="35" t="str">
        <x:v>PASS</x:v>
      </x:c>
      <x:c r="J482" s="35" t="str">
        <x:v>PASS</x:v>
      </x:c>
      <x:c r="K482" s="35" t="str">
        <x:v>PASS</x:v>
      </x:c>
      <x:c r="L482" s="35" t="str">
        <x:v>PASS</x:v>
      </x:c>
      <x:c r="M482" s="35" t="str">
        <x:v>numeric coverage for applicable metric</x:v>
      </x:c>
      <x:c r="N482" s="35" t="str">
        <x:v>Gemini-3.8-flash/Result/JacksonDatabind_79/result.json</x:v>
      </x:c>
      <x:c r="O482" s="39" t="n">
        <x:f>IF(AND(G482="RECORDED",ISNUMBER(H482)),H482,"")</x:f>
        <x:v>3.38</x:v>
      </x:c>
      <x:c r="P482" s="35" t="str">
        <x:v>NOT_REVEALING</x:v>
      </x:c>
      <x:c r="Q482" s="35" t="str">
        <x:v>Gemini-3.8-flash/Result/JacksonDatabind_79/result.json</x:v>
      </x:c>
    </x:row>
    <x:row r="483">
      <x:c r="A483" s="35" t="str">
        <x:v>gemini</x:v>
      </x:c>
      <x:c r="B483" s="35" t="str">
        <x:v>JacksonDatabind</x:v>
      </x:c>
      <x:c r="C483" s="35" t="str">
        <x:v>Round1</x:v>
      </x:c>
      <x:c r="D483" s="35" t="str">
        <x:v>JacksonDatabind_8</x:v>
      </x:c>
      <x:c r="E483" s="35" t="str">
        <x:v>Line</x:v>
      </x:c>
      <x:c r="F483" s="35" t="n">
        <x:v>116</x:v>
      </x:c>
      <x:c r="G483" s="35" t="str">
        <x:v>RECORDED</x:v>
      </x:c>
      <x:c r="H483" s="39" t="n">
        <x:f>IF(ISNUMBER('Data'!E483),'Data'!E483*100,"")</x:f>
        <x:v>0.86</x:v>
      </x:c>
      <x:c r="I483" s="35" t="str">
        <x:v>PASS</x:v>
      </x:c>
      <x:c r="J483" s="35" t="str">
        <x:v>PASS</x:v>
      </x:c>
      <x:c r="K483" s="35" t="str">
        <x:v>PASS</x:v>
      </x:c>
      <x:c r="L483" s="35" t="str">
        <x:v>PASS</x:v>
      </x:c>
      <x:c r="M483" s="35" t="str">
        <x:v>numeric coverage for applicable metric</x:v>
      </x:c>
      <x:c r="N483" s="35" t="str">
        <x:v>Gemini-3.8-flash/Result/JacksonDatabind_8/result.json</x:v>
      </x:c>
      <x:c r="O483" s="39" t="n">
        <x:f>IF(AND(G483="RECORDED",ISNUMBER(H483)),H483,"")</x:f>
        <x:v>0.86</x:v>
      </x:c>
      <x:c r="P483" s="35" t="str">
        <x:v>NOT_REVEALING</x:v>
      </x:c>
      <x:c r="Q483" s="35" t="str">
        <x:v>Gemini-3.8-flash/Result/JacksonDatabind_8/result.json</x:v>
      </x:c>
    </x:row>
    <x:row r="484">
      <x:c r="A484" s="35" t="str">
        <x:v>gemini</x:v>
      </x:c>
      <x:c r="B484" s="35" t="str">
        <x:v>JacksonDatabind</x:v>
      </x:c>
      <x:c r="C484" s="35" t="str">
        <x:v>Round1</x:v>
      </x:c>
      <x:c r="D484" s="35" t="str">
        <x:v>JacksonDatabind_80</x:v>
      </x:c>
      <x:c r="E484" s="35" t="str">
        <x:v>Line</x:v>
      </x:c>
      <x:c r="F484" s="35" t="n">
        <x:v>124</x:v>
      </x:c>
      <x:c r="G484" s="35" t="str">
        <x:v>RECORDED</x:v>
      </x:c>
      <x:c r="H484" s="39" t="n">
        <x:f>IF(ISNUMBER('Data'!E484),'Data'!E484*100,"")</x:f>
        <x:v>0</x:v>
      </x:c>
      <x:c r="I484" s="35" t="str">
        <x:v>PASS</x:v>
      </x:c>
      <x:c r="J484" s="35" t="str">
        <x:v>PASS</x:v>
      </x:c>
      <x:c r="K484" s="35" t="str">
        <x:v>PASS</x:v>
      </x:c>
      <x:c r="L484" s="35" t="str">
        <x:v>PASS</x:v>
      </x:c>
      <x:c r="M484" s="35" t="str">
        <x:v>numeric coverage for applicable metric</x:v>
      </x:c>
      <x:c r="N484" s="35" t="str">
        <x:v>Gemini-3.8-flash/Result/JacksonDatabind_80/result.json</x:v>
      </x:c>
      <x:c r="O484" s="39" t="n">
        <x:f>IF(AND(G484="RECORDED",ISNUMBER(H484)),H484,"")</x:f>
        <x:v>0</x:v>
      </x:c>
      <x:c r="P484" s="35" t="str">
        <x:v>NOT_REVEALING</x:v>
      </x:c>
      <x:c r="Q484" s="35" t="str">
        <x:v>Gemini-3.8-flash/Result/JacksonDatabind_80/result.json</x:v>
      </x:c>
    </x:row>
    <x:row r="485">
      <x:c r="A485" s="35" t="str">
        <x:v>gemini</x:v>
      </x:c>
      <x:c r="B485" s="35" t="str">
        <x:v>JacksonDatabind</x:v>
      </x:c>
      <x:c r="C485" s="35" t="str">
        <x:v>Round1</x:v>
      </x:c>
      <x:c r="D485" s="35" t="str">
        <x:v>JacksonDatabind_81</x:v>
      </x:c>
      <x:c r="E485" s="35" t="str">
        <x:v>Line</x:v>
      </x:c>
      <x:c r="F485" s="35" t="n">
        <x:v>532</x:v>
      </x:c>
      <x:c r="G485" s="35" t="str">
        <x:v>RECORDED</x:v>
      </x:c>
      <x:c r="H485" s="39" t="n">
        <x:f>IF(ISNUMBER('Data'!E485),'Data'!E485*100,"")</x:f>
        <x:v>1.32</x:v>
      </x:c>
      <x:c r="I485" s="35" t="str">
        <x:v>PASS</x:v>
      </x:c>
      <x:c r="J485" s="35" t="str">
        <x:v>PASS</x:v>
      </x:c>
      <x:c r="K485" s="35" t="str">
        <x:v>PASS</x:v>
      </x:c>
      <x:c r="L485" s="35" t="str">
        <x:v>PASS</x:v>
      </x:c>
      <x:c r="M485" s="35" t="str">
        <x:v>numeric coverage for applicable metric</x:v>
      </x:c>
      <x:c r="N485" s="35" t="str">
        <x:v>Gemini-3.8-flash/Result/JacksonDatabind_81/result.json</x:v>
      </x:c>
      <x:c r="O485" s="39" t="n">
        <x:f>IF(AND(G485="RECORDED",ISNUMBER(H485)),H485,"")</x:f>
        <x:v>1.32</x:v>
      </x:c>
      <x:c r="P485" s="35" t="str">
        <x:v>NOT_REVEALING</x:v>
      </x:c>
      <x:c r="Q485" s="35" t="str">
        <x:v>Gemini-3.8-flash/Result/JacksonDatabind_81/result.json</x:v>
      </x:c>
    </x:row>
    <x:row r="486">
      <x:c r="A486" s="35" t="str">
        <x:v>gemini</x:v>
      </x:c>
      <x:c r="B486" s="35" t="str">
        <x:v>JacksonDatabind</x:v>
      </x:c>
      <x:c r="C486" s="35" t="str">
        <x:v>Round1</x:v>
      </x:c>
      <x:c r="D486" s="35" t="str">
        <x:v>JacksonDatabind_82</x:v>
      </x:c>
      <x:c r="E486" s="35" t="str">
        <x:v>Line</x:v>
      </x:c>
      <x:c r="F486" s="35"/>
      <x:c r="G486" s="35" t="str">
        <x:v>A</x:v>
      </x:c>
      <x:c r="H486" s="39" t="str">
        <x:f>IF(ISNUMBER('Data'!E486),'Data'!E486*100,"")</x:f>
      </x:c>
      <x:c r="I486" s="35"/>
      <x:c r="J486" s="35" t="str">
        <x:v>PASS</x:v>
      </x:c>
      <x:c r="K486" s="35" t="str">
        <x:v>FAIL</x:v>
      </x:c>
      <x:c r="L486" s="35" t="str">
        <x:v>NOT_RUN</x:v>
      </x:c>
      <x:c r="M486" s="35" t="str">
        <x:v>coverage unavailable or execution/compile failed</x:v>
      </x:c>
      <x:c r="N486" s="35" t="str">
        <x:v>Gemini-3.8-flash/Result/JacksonDatabind_82/result.json</x:v>
      </x:c>
      <x:c r="O486" s="39" t="str">
        <x:f>IF(AND(G486="RECORDED",ISNUMBER(H486)),H486,"")</x:f>
      </x:c>
      <x:c r="P486" s="35" t="str">
        <x:v>NOT_AVAILABLE</x:v>
      </x:c>
      <x:c r="Q486" s="35" t="str">
        <x:v>Gemini-3.8-flash/Result/JacksonDatabind_82/result.json</x:v>
      </x:c>
    </x:row>
    <x:row r="487">
      <x:c r="A487" s="35" t="str">
        <x:v>gemini</x:v>
      </x:c>
      <x:c r="B487" s="35" t="str">
        <x:v>JacksonDatabind</x:v>
      </x:c>
      <x:c r="C487" s="35" t="str">
        <x:v>Round1</x:v>
      </x:c>
      <x:c r="D487" s="35" t="str">
        <x:v>JacksonDatabind_83</x:v>
      </x:c>
      <x:c r="E487" s="35" t="str">
        <x:v>Line</x:v>
      </x:c>
      <x:c r="F487" s="35" t="n">
        <x:v>122</x:v>
      </x:c>
      <x:c r="G487" s="35" t="str">
        <x:v>RECORDED</x:v>
      </x:c>
      <x:c r="H487" s="39" t="n">
        <x:f>IF(ISNUMBER('Data'!E487),'Data'!E487*100,"")</x:f>
        <x:v>0</x:v>
      </x:c>
      <x:c r="I487" s="35" t="str">
        <x:v>PASS</x:v>
      </x:c>
      <x:c r="J487" s="35" t="str">
        <x:v>PASS</x:v>
      </x:c>
      <x:c r="K487" s="35" t="str">
        <x:v>PASS</x:v>
      </x:c>
      <x:c r="L487" s="35" t="str">
        <x:v>FAIL</x:v>
      </x:c>
      <x:c r="M487" s="35" t="str">
        <x:v>numeric coverage for applicable metric</x:v>
      </x:c>
      <x:c r="N487" s="35" t="str">
        <x:v>Gemini-3.8-flash/Result/JacksonDatabind_83/result.json</x:v>
      </x:c>
      <x:c r="O487" s="39" t="n">
        <x:f>IF(AND(G487="RECORDED",ISNUMBER(H487)),H487,"")</x:f>
        <x:v>0</x:v>
      </x:c>
      <x:c r="P487" s="35" t="str">
        <x:v>INCONCLUSIVE</x:v>
      </x:c>
      <x:c r="Q487" s="35" t="str">
        <x:v>Gemini-3.8-flash/Result/JacksonDatabind_83/result.json</x:v>
      </x:c>
    </x:row>
    <x:row r="488">
      <x:c r="A488" s="35" t="str">
        <x:v>gemini</x:v>
      </x:c>
      <x:c r="B488" s="35" t="str">
        <x:v>JacksonDatabind</x:v>
      </x:c>
      <x:c r="C488" s="35" t="str">
        <x:v>Round1</x:v>
      </x:c>
      <x:c r="D488" s="35" t="str">
        <x:v>JacksonDatabind_84</x:v>
      </x:c>
      <x:c r="E488" s="35" t="str">
        <x:v>Line</x:v>
      </x:c>
      <x:c r="F488" s="35" t="n">
        <x:v>30</x:v>
      </x:c>
      <x:c r="G488" s="35" t="str">
        <x:v>RECORDED</x:v>
      </x:c>
      <x:c r="H488" s="39" t="n">
        <x:f>IF(ISNUMBER('Data'!E488),'Data'!E488*100,"")</x:f>
        <x:v>100</x:v>
      </x:c>
      <x:c r="I488" s="35" t="str">
        <x:v>PASS</x:v>
      </x:c>
      <x:c r="J488" s="35" t="str">
        <x:v>PASS</x:v>
      </x:c>
      <x:c r="K488" s="35" t="str">
        <x:v>PASS</x:v>
      </x:c>
      <x:c r="L488" s="35" t="str">
        <x:v>PASS</x:v>
      </x:c>
      <x:c r="M488" s="35" t="str">
        <x:v>numeric coverage for applicable metric</x:v>
      </x:c>
      <x:c r="N488" s="35" t="str">
        <x:v>Gemini-3.8-flash/Result/JacksonDatabind_84/result.json</x:v>
      </x:c>
      <x:c r="O488" s="39" t="n">
        <x:f>IF(AND(G488="RECORDED",ISNUMBER(H488)),H488,"")</x:f>
        <x:v>100</x:v>
      </x:c>
      <x:c r="P488" s="35" t="str">
        <x:v>NOT_REVEALING</x:v>
      </x:c>
      <x:c r="Q488" s="35" t="str">
        <x:v>Gemini-3.8-flash/Result/JacksonDatabind_84/result.json</x:v>
      </x:c>
    </x:row>
    <x:row r="489">
      <x:c r="A489" s="35" t="str">
        <x:v>gemini</x:v>
      </x:c>
      <x:c r="B489" s="35" t="str">
        <x:v>JacksonDatabind</x:v>
      </x:c>
      <x:c r="C489" s="35" t="str">
        <x:v>Round1</x:v>
      </x:c>
      <x:c r="D489" s="35" t="str">
        <x:v>JacksonDatabind_85</x:v>
      </x:c>
      <x:c r="E489" s="35" t="str">
        <x:v>Line</x:v>
      </x:c>
      <x:c r="F489" s="35"/>
      <x:c r="G489" s="35" t="str">
        <x:v>A</x:v>
      </x:c>
      <x:c r="H489" s="39" t="str">
        <x:f>IF(ISNUMBER('Data'!E489),'Data'!E489*100,"")</x:f>
      </x:c>
      <x:c r="I489" s="35"/>
      <x:c r="J489" s="35" t="str">
        <x:v>PASS</x:v>
      </x:c>
      <x:c r="K489" s="35" t="str">
        <x:v>FAIL</x:v>
      </x:c>
      <x:c r="L489" s="35" t="str">
        <x:v>NOT_RUN</x:v>
      </x:c>
      <x:c r="M489" s="35" t="str">
        <x:v>coverage unavailable or execution/compile failed</x:v>
      </x:c>
      <x:c r="N489" s="35" t="str">
        <x:v>Gemini-3.8-flash/Result/JacksonDatabind_85/result.json</x:v>
      </x:c>
      <x:c r="O489" s="39" t="str">
        <x:f>IF(AND(G489="RECORDED",ISNUMBER(H489)),H489,"")</x:f>
      </x:c>
      <x:c r="P489" s="35" t="str">
        <x:v>NOT_AVAILABLE</x:v>
      </x:c>
      <x:c r="Q489" s="35" t="str">
        <x:v>Gemini-3.8-flash/Result/JacksonDatabind_85/result.json</x:v>
      </x:c>
    </x:row>
    <x:row r="490">
      <x:c r="A490" s="35" t="str">
        <x:v>gemini</x:v>
      </x:c>
      <x:c r="B490" s="35" t="str">
        <x:v>JacksonDatabind</x:v>
      </x:c>
      <x:c r="C490" s="35" t="str">
        <x:v>Round1</x:v>
      </x:c>
      <x:c r="D490" s="35" t="str">
        <x:v>JacksonDatabind_86</x:v>
      </x:c>
      <x:c r="E490" s="35" t="str">
        <x:v>Line</x:v>
      </x:c>
      <x:c r="F490" s="35" t="n">
        <x:v>30</x:v>
      </x:c>
      <x:c r="G490" s="35" t="str">
        <x:v>RECORDED</x:v>
      </x:c>
      <x:c r="H490" s="39" t="n">
        <x:f>IF(ISNUMBER('Data'!E490),'Data'!E490*100,"")</x:f>
        <x:v>100</x:v>
      </x:c>
      <x:c r="I490" s="35" t="str">
        <x:v>PASS</x:v>
      </x:c>
      <x:c r="J490" s="35" t="str">
        <x:v>PASS</x:v>
      </x:c>
      <x:c r="K490" s="35" t="str">
        <x:v>PASS</x:v>
      </x:c>
      <x:c r="L490" s="35" t="str">
        <x:v>PASS</x:v>
      </x:c>
      <x:c r="M490" s="35" t="str">
        <x:v>numeric coverage for applicable metric</x:v>
      </x:c>
      <x:c r="N490" s="35" t="str">
        <x:v>Gemini-3.8-flash/Result/JacksonDatabind_86/result.json</x:v>
      </x:c>
      <x:c r="O490" s="39" t="n">
        <x:f>IF(AND(G490="RECORDED",ISNUMBER(H490)),H490,"")</x:f>
        <x:v>100</x:v>
      </x:c>
      <x:c r="P490" s="35" t="str">
        <x:v>NOT_REVEALING</x:v>
      </x:c>
      <x:c r="Q490" s="35" t="str">
        <x:v>Gemini-3.8-flash/Result/JacksonDatabind_86/result.json</x:v>
      </x:c>
    </x:row>
    <x:row r="491">
      <x:c r="A491" s="35" t="str">
        <x:v>gemini</x:v>
      </x:c>
      <x:c r="B491" s="35" t="str">
        <x:v>JacksonDatabind</x:v>
      </x:c>
      <x:c r="C491" s="35" t="str">
        <x:v>Round1</x:v>
      </x:c>
      <x:c r="D491" s="35" t="str">
        <x:v>JacksonDatabind_87</x:v>
      </x:c>
      <x:c r="E491" s="35" t="str">
        <x:v>Line</x:v>
      </x:c>
      <x:c r="F491" s="35" t="n">
        <x:v>202</x:v>
      </x:c>
      <x:c r="G491" s="35" t="str">
        <x:v>RECORDED</x:v>
      </x:c>
      <x:c r="H491" s="39" t="n">
        <x:f>IF(ISNUMBER('Data'!E491),'Data'!E491*100,"")</x:f>
        <x:v>7.429999999999999</x:v>
      </x:c>
      <x:c r="I491" s="35" t="str">
        <x:v>PASS</x:v>
      </x:c>
      <x:c r="J491" s="35" t="str">
        <x:v>PASS</x:v>
      </x:c>
      <x:c r="K491" s="35" t="str">
        <x:v>PASS</x:v>
      </x:c>
      <x:c r="L491" s="35" t="str">
        <x:v>PASS</x:v>
      </x:c>
      <x:c r="M491" s="35" t="str">
        <x:v>numeric coverage for applicable metric</x:v>
      </x:c>
      <x:c r="N491" s="35" t="str">
        <x:v>Gemini-3.8-flash/Result/JacksonDatabind_87/result.json</x:v>
      </x:c>
      <x:c r="O491" s="39" t="n">
        <x:f>IF(AND(G491="RECORDED",ISNUMBER(H491)),H491,"")</x:f>
        <x:v>7.429999999999999</x:v>
      </x:c>
      <x:c r="P491" s="35" t="str">
        <x:v>NOT_REVEALING</x:v>
      </x:c>
      <x:c r="Q491" s="35" t="str">
        <x:v>Gemini-3.8-flash/Result/JacksonDatabind_87/result.json</x:v>
      </x:c>
    </x:row>
    <x:row r="492">
      <x:c r="A492" s="35" t="str">
        <x:v>gemini</x:v>
      </x:c>
      <x:c r="B492" s="35" t="str">
        <x:v>JacksonDatabind</x:v>
      </x:c>
      <x:c r="C492" s="35" t="str">
        <x:v>Round1</x:v>
      </x:c>
      <x:c r="D492" s="35" t="str">
        <x:v>JacksonDatabind_88</x:v>
      </x:c>
      <x:c r="E492" s="35" t="str">
        <x:v>Line</x:v>
      </x:c>
      <x:c r="F492" s="35" t="n">
        <x:v>48</x:v>
      </x:c>
      <x:c r="G492" s="35" t="str">
        <x:v>RECORDED</x:v>
      </x:c>
      <x:c r="H492" s="39" t="n">
        <x:f>IF(ISNUMBER('Data'!E492),'Data'!E492*100,"")</x:f>
        <x:v>64.58</x:v>
      </x:c>
      <x:c r="I492" s="35" t="str">
        <x:v>PASS</x:v>
      </x:c>
      <x:c r="J492" s="35" t="str">
        <x:v>PASS</x:v>
      </x:c>
      <x:c r="K492" s="35" t="str">
        <x:v>PASS</x:v>
      </x:c>
      <x:c r="L492" s="35" t="str">
        <x:v>FAIL</x:v>
      </x:c>
      <x:c r="M492" s="35" t="str">
        <x:v>numeric coverage for applicable metric</x:v>
      </x:c>
      <x:c r="N492" s="35" t="str">
        <x:v>Gemini-3.8-flash/Result/JacksonDatabind_88/result.json</x:v>
      </x:c>
      <x:c r="O492" s="39" t="n">
        <x:f>IF(AND(G492="RECORDED",ISNUMBER(H492)),H492,"")</x:f>
        <x:v>64.58</x:v>
      </x:c>
      <x:c r="P492" s="35" t="str">
        <x:v>INCONCLUSIVE</x:v>
      </x:c>
      <x:c r="Q492" s="35" t="str">
        <x:v>Gemini-3.8-flash/Result/JacksonDatabind_88/result.json</x:v>
      </x:c>
    </x:row>
    <x:row r="493">
      <x:c r="A493" s="35" t="str">
        <x:v>gemini</x:v>
      </x:c>
      <x:c r="B493" s="35" t="str">
        <x:v>JacksonDatabind</x:v>
      </x:c>
      <x:c r="C493" s="35" t="str">
        <x:v>Round1</x:v>
      </x:c>
      <x:c r="D493" s="35" t="str">
        <x:v>JacksonDatabind_9</x:v>
      </x:c>
      <x:c r="E493" s="35" t="str">
        <x:v>Line</x:v>
      </x:c>
      <x:c r="F493" s="35"/>
      <x:c r="G493" s="35" t="str">
        <x:v>A</x:v>
      </x:c>
      <x:c r="H493" s="39" t="str">
        <x:f>IF(ISNUMBER('Data'!E493),'Data'!E493*100,"")</x:f>
      </x:c>
      <x:c r="I493" s="35"/>
      <x:c r="J493" s="35" t="str">
        <x:v>PASS</x:v>
      </x:c>
      <x:c r="K493" s="35" t="str">
        <x:v>FAIL</x:v>
      </x:c>
      <x:c r="L493" s="35" t="str">
        <x:v>NOT_RUN</x:v>
      </x:c>
      <x:c r="M493" s="35" t="str">
        <x:v>coverage unavailable or execution/compile failed</x:v>
      </x:c>
      <x:c r="N493" s="35" t="str">
        <x:v>Gemini-3.8-flash/Result/JacksonDatabind_9/result.json</x:v>
      </x:c>
      <x:c r="O493" s="39" t="str">
        <x:f>IF(AND(G493="RECORDED",ISNUMBER(H493)),H493,"")</x:f>
      </x:c>
      <x:c r="P493" s="35" t="str">
        <x:v>NOT_AVAILABLE</x:v>
      </x:c>
      <x:c r="Q493" s="35" t="str">
        <x:v>Gemini-3.8-flash/Result/JacksonDatabind_9/result.json</x:v>
      </x:c>
    </x:row>
    <x:row r="494">
      <x:c r="A494" s="35" t="str">
        <x:v>gemini</x:v>
      </x:c>
      <x:c r="B494" s="35" t="str">
        <x:v>JacksonDatabind</x:v>
      </x:c>
      <x:c r="C494" s="35" t="str">
        <x:v>Round1</x:v>
      </x:c>
      <x:c r="D494" s="35" t="str">
        <x:v>JacksonDatabind_90</x:v>
      </x:c>
      <x:c r="E494" s="35" t="str">
        <x:v>Line</x:v>
      </x:c>
      <x:c r="F494" s="35"/>
      <x:c r="G494" s="35" t="str">
        <x:v>A</x:v>
      </x:c>
      <x:c r="H494" s="39" t="str">
        <x:f>IF(ISNUMBER('Data'!E494),'Data'!E494*100,"")</x:f>
      </x:c>
      <x:c r="I494" s="35"/>
      <x:c r="J494" s="35" t="str">
        <x:v>PASS</x:v>
      </x:c>
      <x:c r="K494" s="35" t="str">
        <x:v>FAIL</x:v>
      </x:c>
      <x:c r="L494" s="35" t="str">
        <x:v>NOT_RUN</x:v>
      </x:c>
      <x:c r="M494" s="35" t="str">
        <x:v>coverage unavailable or execution/compile failed</x:v>
      </x:c>
      <x:c r="N494" s="35" t="str">
        <x:v>Gemini-3.8-flash/Result/JacksonDatabind_90/result.json</x:v>
      </x:c>
      <x:c r="O494" s="39" t="str">
        <x:f>IF(AND(G494="RECORDED",ISNUMBER(H494)),H494,"")</x:f>
      </x:c>
      <x:c r="P494" s="35" t="str">
        <x:v>NOT_AVAILABLE</x:v>
      </x:c>
      <x:c r="Q494" s="35" t="str">
        <x:v>Gemini-3.8-flash/Result/JacksonDatabind_90/result.json</x:v>
      </x:c>
    </x:row>
    <x:row r="495">
      <x:c r="A495" s="35" t="str">
        <x:v>gemini</x:v>
      </x:c>
      <x:c r="B495" s="35" t="str">
        <x:v>JacksonDatabind</x:v>
      </x:c>
      <x:c r="C495" s="35" t="str">
        <x:v>Round1</x:v>
      </x:c>
      <x:c r="D495" s="35" t="str">
        <x:v>JacksonDatabind_91</x:v>
      </x:c>
      <x:c r="E495" s="35" t="str">
        <x:v>Line</x:v>
      </x:c>
      <x:c r="F495" s="35"/>
      <x:c r="G495" s="35" t="str">
        <x:v>A</x:v>
      </x:c>
      <x:c r="H495" s="39" t="str">
        <x:f>IF(ISNUMBER('Data'!E495),'Data'!E495*100,"")</x:f>
      </x:c>
      <x:c r="I495" s="35"/>
      <x:c r="J495" s="35" t="str">
        <x:v>PASS</x:v>
      </x:c>
      <x:c r="K495" s="35" t="str">
        <x:v>FAIL</x:v>
      </x:c>
      <x:c r="L495" s="35" t="str">
        <x:v>NOT_RUN</x:v>
      </x:c>
      <x:c r="M495" s="35" t="str">
        <x:v>coverage unavailable or execution/compile failed</x:v>
      </x:c>
      <x:c r="N495" s="35" t="str">
        <x:v>Gemini-3.8-flash/Result/JacksonDatabind_91/result.json</x:v>
      </x:c>
      <x:c r="O495" s="39" t="str">
        <x:f>IF(AND(G495="RECORDED",ISNUMBER(H495)),H495,"")</x:f>
      </x:c>
      <x:c r="P495" s="35" t="str">
        <x:v>NOT_AVAILABLE</x:v>
      </x:c>
      <x:c r="Q495" s="35" t="str">
        <x:v>Gemini-3.8-flash/Result/JacksonDatabind_91/result.json</x:v>
      </x:c>
    </x:row>
    <x:row r="496">
      <x:c r="A496" s="35" t="str">
        <x:v>gemini</x:v>
      </x:c>
      <x:c r="B496" s="35" t="str">
        <x:v>JacksonDatabind</x:v>
      </x:c>
      <x:c r="C496" s="35" t="str">
        <x:v>Round1</x:v>
      </x:c>
      <x:c r="D496" s="35" t="str">
        <x:v>JacksonDatabind_92</x:v>
      </x:c>
      <x:c r="E496" s="35" t="str">
        <x:v>Line</x:v>
      </x:c>
      <x:c r="F496" s="35"/>
      <x:c r="G496" s="35" t="str">
        <x:v>A</x:v>
      </x:c>
      <x:c r="H496" s="39" t="str">
        <x:f>IF(ISNUMBER('Data'!E496),'Data'!E496*100,"")</x:f>
      </x:c>
      <x:c r="I496" s="35"/>
      <x:c r="J496" s="35" t="str">
        <x:v>PASS</x:v>
      </x:c>
      <x:c r="K496" s="35" t="str">
        <x:v>FAIL</x:v>
      </x:c>
      <x:c r="L496" s="35" t="str">
        <x:v>NOT_RUN</x:v>
      </x:c>
      <x:c r="M496" s="35" t="str">
        <x:v>coverage unavailable or execution/compile failed</x:v>
      </x:c>
      <x:c r="N496" s="35" t="str">
        <x:v>Gemini-3.8-flash/Result/JacksonDatabind_92/result.json</x:v>
      </x:c>
      <x:c r="O496" s="39" t="str">
        <x:f>IF(AND(G496="RECORDED",ISNUMBER(H496)),H496,"")</x:f>
      </x:c>
      <x:c r="P496" s="35" t="str">
        <x:v>NOT_AVAILABLE</x:v>
      </x:c>
      <x:c r="Q496" s="35" t="str">
        <x:v>Gemini-3.8-flash/Result/JacksonDatabind_92/result.json</x:v>
      </x:c>
    </x:row>
    <x:row r="497">
      <x:c r="A497" s="35" t="str">
        <x:v>gemini</x:v>
      </x:c>
      <x:c r="B497" s="35" t="str">
        <x:v>JacksonDatabind</x:v>
      </x:c>
      <x:c r="C497" s="35" t="str">
        <x:v>Round1</x:v>
      </x:c>
      <x:c r="D497" s="35" t="str">
        <x:v>JacksonDatabind_93</x:v>
      </x:c>
      <x:c r="E497" s="35" t="str">
        <x:v>Line</x:v>
      </x:c>
      <x:c r="F497" s="35" t="n">
        <x:v>36</x:v>
      </x:c>
      <x:c r="G497" s="35" t="str">
        <x:v>RECORDED</x:v>
      </x:c>
      <x:c r="H497" s="39" t="n">
        <x:f>IF(ISNUMBER('Data'!E497),'Data'!E497*100,"")</x:f>
        <x:v>100</x:v>
      </x:c>
      <x:c r="I497" s="35" t="str">
        <x:v>PASS</x:v>
      </x:c>
      <x:c r="J497" s="35" t="str">
        <x:v>PASS</x:v>
      </x:c>
      <x:c r="K497" s="35" t="str">
        <x:v>PASS</x:v>
      </x:c>
      <x:c r="L497" s="35" t="str">
        <x:v>FAIL</x:v>
      </x:c>
      <x:c r="M497" s="35" t="str">
        <x:v>numeric coverage for applicable metric</x:v>
      </x:c>
      <x:c r="N497" s="35" t="str">
        <x:v>Gemini-3.8-flash/Result/JacksonDatabind_93/result.json</x:v>
      </x:c>
      <x:c r="O497" s="39" t="n">
        <x:f>IF(AND(G497="RECORDED",ISNUMBER(H497)),H497,"")</x:f>
        <x:v>100</x:v>
      </x:c>
      <x:c r="P497" s="35" t="str">
        <x:v>INCONCLUSIVE</x:v>
      </x:c>
      <x:c r="Q497" s="35" t="str">
        <x:v>Gemini-3.8-flash/Result/JacksonDatabind_93/result.json</x:v>
      </x:c>
    </x:row>
    <x:row r="498">
      <x:c r="A498" s="35" t="str">
        <x:v>gemini</x:v>
      </x:c>
      <x:c r="B498" s="35" t="str">
        <x:v>JacksonDatabind</x:v>
      </x:c>
      <x:c r="C498" s="35" t="str">
        <x:v>Round1</x:v>
      </x:c>
      <x:c r="D498" s="35" t="str">
        <x:v>JacksonDatabind_94</x:v>
      </x:c>
      <x:c r="E498" s="35" t="str">
        <x:v>Line</x:v>
      </x:c>
      <x:c r="F498" s="35" t="n">
        <x:v>35</x:v>
      </x:c>
      <x:c r="G498" s="35" t="str">
        <x:v>RECORDED</x:v>
      </x:c>
      <x:c r="H498" s="39" t="n">
        <x:f>IF(ISNUMBER('Data'!E498),'Data'!E498*100,"")</x:f>
        <x:v>100</x:v>
      </x:c>
      <x:c r="I498" s="35" t="str">
        <x:v>PASS</x:v>
      </x:c>
      <x:c r="J498" s="35" t="str">
        <x:v>PASS</x:v>
      </x:c>
      <x:c r="K498" s="35" t="str">
        <x:v>PASS</x:v>
      </x:c>
      <x:c r="L498" s="35" t="str">
        <x:v>FAIL</x:v>
      </x:c>
      <x:c r="M498" s="35" t="str">
        <x:v>numeric coverage for applicable metric</x:v>
      </x:c>
      <x:c r="N498" s="35" t="str">
        <x:v>Gemini-3.8-flash/Result/JacksonDatabind_94/result.json</x:v>
      </x:c>
      <x:c r="O498" s="39" t="n">
        <x:f>IF(AND(G498="RECORDED",ISNUMBER(H498)),H498,"")</x:f>
        <x:v>100</x:v>
      </x:c>
      <x:c r="P498" s="35" t="str">
        <x:v>INCONCLUSIVE</x:v>
      </x:c>
      <x:c r="Q498" s="35" t="str">
        <x:v>Gemini-3.8-flash/Result/JacksonDatabind_94/result.json</x:v>
      </x:c>
    </x:row>
    <x:row r="499">
      <x:c r="A499" s="35" t="str">
        <x:v>gemini</x:v>
      </x:c>
      <x:c r="B499" s="35" t="str">
        <x:v>JacksonDatabind</x:v>
      </x:c>
      <x:c r="C499" s="35" t="str">
        <x:v>Round1</x:v>
      </x:c>
      <x:c r="D499" s="35" t="str">
        <x:v>JacksonDatabind_95</x:v>
      </x:c>
      <x:c r="E499" s="35" t="str">
        <x:v>Line</x:v>
      </x:c>
      <x:c r="F499" s="35" t="n">
        <x:v>459</x:v>
      </x:c>
      <x:c r="G499" s="35" t="str">
        <x:v>RECORDED</x:v>
      </x:c>
      <x:c r="H499" s="39" t="n">
        <x:f>IF(ISNUMBER('Data'!E499),'Data'!E499*100,"")</x:f>
        <x:v>43.57</x:v>
      </x:c>
      <x:c r="I499" s="35" t="str">
        <x:v>PASS</x:v>
      </x:c>
      <x:c r="J499" s="35" t="str">
        <x:v>PASS</x:v>
      </x:c>
      <x:c r="K499" s="35" t="str">
        <x:v>PASS</x:v>
      </x:c>
      <x:c r="L499" s="35" t="str">
        <x:v>FAIL</x:v>
      </x:c>
      <x:c r="M499" s="35" t="str">
        <x:v>numeric coverage for applicable metric</x:v>
      </x:c>
      <x:c r="N499" s="35" t="str">
        <x:v>Gemini-3.8-flash/Result/JacksonDatabind_95/result.json</x:v>
      </x:c>
      <x:c r="O499" s="39" t="n">
        <x:f>IF(AND(G499="RECORDED",ISNUMBER(H499)),H499,"")</x:f>
        <x:v>43.57</x:v>
      </x:c>
      <x:c r="P499" s="35" t="str">
        <x:v>INCONCLUSIVE</x:v>
      </x:c>
      <x:c r="Q499" s="35" t="str">
        <x:v>Gemini-3.8-flash/Result/JacksonDatabind_95/result.json</x:v>
      </x:c>
    </x:row>
    <x:row r="500">
      <x:c r="A500" s="35" t="str">
        <x:v>gemini</x:v>
      </x:c>
      <x:c r="B500" s="35" t="str">
        <x:v>JacksonDatabind</x:v>
      </x:c>
      <x:c r="C500" s="35" t="str">
        <x:v>Round1</x:v>
      </x:c>
      <x:c r="D500" s="35" t="str">
        <x:v>JacksonDatabind_96</x:v>
      </x:c>
      <x:c r="E500" s="35" t="str">
        <x:v>Line</x:v>
      </x:c>
      <x:c r="F500" s="35"/>
      <x:c r="G500" s="35" t="str">
        <x:v>A</x:v>
      </x:c>
      <x:c r="H500" s="39" t="str">
        <x:f>IF(ISNUMBER('Data'!E500),'Data'!E500*100,"")</x:f>
      </x:c>
      <x:c r="I500" s="35"/>
      <x:c r="J500" s="35" t="str">
        <x:v>PASS</x:v>
      </x:c>
      <x:c r="K500" s="35" t="str">
        <x:v>FAIL</x:v>
      </x:c>
      <x:c r="L500" s="35" t="str">
        <x:v>NOT_RUN</x:v>
      </x:c>
      <x:c r="M500" s="35" t="str">
        <x:v>coverage unavailable or execution/compile failed</x:v>
      </x:c>
      <x:c r="N500" s="35" t="str">
        <x:v>Gemini-3.8-flash/Result/JacksonDatabind_96/result.json</x:v>
      </x:c>
      <x:c r="O500" s="39" t="str">
        <x:f>IF(AND(G500="RECORDED",ISNUMBER(H500)),H500,"")</x:f>
      </x:c>
      <x:c r="P500" s="35" t="str">
        <x:v>NOT_AVAILABLE</x:v>
      </x:c>
      <x:c r="Q500" s="35" t="str">
        <x:v>Gemini-3.8-flash/Result/JacksonDatabind_96/result.json</x:v>
      </x:c>
    </x:row>
    <x:row r="501">
      <x:c r="A501" s="35" t="str">
        <x:v>gemini</x:v>
      </x:c>
      <x:c r="B501" s="35" t="str">
        <x:v>JacksonDatabind</x:v>
      </x:c>
      <x:c r="C501" s="35" t="str">
        <x:v>Round1</x:v>
      </x:c>
      <x:c r="D501" s="35" t="str">
        <x:v>JacksonDatabind_97</x:v>
      </x:c>
      <x:c r="E501" s="35" t="str">
        <x:v>Line</x:v>
      </x:c>
      <x:c r="F501" s="35"/>
      <x:c r="G501" s="35" t="str">
        <x:v>A</x:v>
      </x:c>
      <x:c r="H501" s="39" t="str">
        <x:f>IF(ISNUMBER('Data'!E501),'Data'!E501*100,"")</x:f>
      </x:c>
      <x:c r="I501" s="35"/>
      <x:c r="J501" s="35" t="str">
        <x:v>PASS</x:v>
      </x:c>
      <x:c r="K501" s="35" t="str">
        <x:v>FAIL</x:v>
      </x:c>
      <x:c r="L501" s="35" t="str">
        <x:v>NOT_RUN</x:v>
      </x:c>
      <x:c r="M501" s="35" t="str">
        <x:v>coverage unavailable or execution/compile failed</x:v>
      </x:c>
      <x:c r="N501" s="35" t="str">
        <x:v>Gemini-3.8-flash/Result/JacksonDatabind_97/result.json</x:v>
      </x:c>
      <x:c r="O501" s="39" t="str">
        <x:f>IF(AND(G501="RECORDED",ISNUMBER(H501)),H501,"")</x:f>
      </x:c>
      <x:c r="P501" s="35" t="str">
        <x:v>NOT_AVAILABLE</x:v>
      </x:c>
      <x:c r="Q501" s="35" t="str">
        <x:v>Gemini-3.8-flash/Result/JacksonDatabind_97/result.json</x:v>
      </x:c>
    </x:row>
    <x:row r="502">
      <x:c r="A502" s="35" t="str">
        <x:v>gemini</x:v>
      </x:c>
      <x:c r="B502" s="35" t="str">
        <x:v>JacksonDatabind</x:v>
      </x:c>
      <x:c r="C502" s="35" t="str">
        <x:v>Round1</x:v>
      </x:c>
      <x:c r="D502" s="35" t="str">
        <x:v>JacksonDatabind_98</x:v>
      </x:c>
      <x:c r="E502" s="35" t="str">
        <x:v>Line</x:v>
      </x:c>
      <x:c r="F502" s="35" t="n">
        <x:v>207</x:v>
      </x:c>
      <x:c r="G502" s="35" t="str">
        <x:v>RECORDED</x:v>
      </x:c>
      <x:c r="H502" s="39" t="n">
        <x:f>IF(ISNUMBER('Data'!E502),'Data'!E502*100,"")</x:f>
        <x:v>0</x:v>
      </x:c>
      <x:c r="I502" s="35" t="str">
        <x:v>PASS</x:v>
      </x:c>
      <x:c r="J502" s="35" t="str">
        <x:v>PASS</x:v>
      </x:c>
      <x:c r="K502" s="35" t="str">
        <x:v>PASS</x:v>
      </x:c>
      <x:c r="L502" s="35" t="str">
        <x:v>FAIL</x:v>
      </x:c>
      <x:c r="M502" s="35" t="str">
        <x:v>numeric coverage for applicable metric</x:v>
      </x:c>
      <x:c r="N502" s="35" t="str">
        <x:v>Gemini-3.8-flash/Result/JacksonDatabind_98/result.json</x:v>
      </x:c>
      <x:c r="O502" s="39" t="n">
        <x:f>IF(AND(G502="RECORDED",ISNUMBER(H502)),H502,"")</x:f>
        <x:v>0</x:v>
      </x:c>
      <x:c r="P502" s="35" t="str">
        <x:v>INCONCLUSIVE</x:v>
      </x:c>
      <x:c r="Q502" s="35" t="str">
        <x:v>Gemini-3.8-flash/Result/JacksonDatabind_98/result.json</x:v>
      </x:c>
    </x:row>
    <x:row r="503">
      <x:c r="A503" s="35" t="str">
        <x:v>gemini</x:v>
      </x:c>
      <x:c r="B503" s="35" t="str">
        <x:v>JacksonDatabind</x:v>
      </x:c>
      <x:c r="C503" s="35" t="str">
        <x:v>Round1</x:v>
      </x:c>
      <x:c r="D503" s="35" t="str">
        <x:v>JacksonDatabind_99</x:v>
      </x:c>
      <x:c r="E503" s="35" t="str">
        <x:v>Line</x:v>
      </x:c>
      <x:c r="F503" s="35"/>
      <x:c r="G503" s="35" t="str">
        <x:v>A</x:v>
      </x:c>
      <x:c r="H503" s="39" t="str">
        <x:f>IF(ISNUMBER('Data'!E503),'Data'!E503*100,"")</x:f>
      </x:c>
      <x:c r="I503" s="35"/>
      <x:c r="J503" s="35" t="str">
        <x:v>PASS</x:v>
      </x:c>
      <x:c r="K503" s="35" t="str">
        <x:v>FAIL</x:v>
      </x:c>
      <x:c r="L503" s="35" t="str">
        <x:v>NOT_RUN</x:v>
      </x:c>
      <x:c r="M503" s="35" t="str">
        <x:v>coverage unavailable or execution/compile failed</x:v>
      </x:c>
      <x:c r="N503" s="35" t="str">
        <x:v>Gemini-3.8-flash/Result/JacksonDatabind_99/result.json</x:v>
      </x:c>
      <x:c r="O503" s="39" t="str">
        <x:f>IF(AND(G503="RECORDED",ISNUMBER(H503)),H503,"")</x:f>
      </x:c>
      <x:c r="P503" s="35" t="str">
        <x:v>NOT_AVAILABLE</x:v>
      </x:c>
      <x:c r="Q503" s="35" t="str">
        <x:v>Gemini-3.8-flash/Result/JacksonDatabind_99/result.json</x:v>
      </x:c>
    </x:row>
    <x:row r="504">
      <x:c r="A504" s="35" t="str">
        <x:v>gemini</x:v>
      </x:c>
      <x:c r="B504" s="35" t="str">
        <x:v>JacksonXml</x:v>
      </x:c>
      <x:c r="C504" s="35" t="str">
        <x:v>Round1</x:v>
      </x:c>
      <x:c r="D504" s="35" t="str">
        <x:v>JacksonXml_1</x:v>
      </x:c>
      <x:c r="E504" s="35" t="str">
        <x:v>Line</x:v>
      </x:c>
      <x:c r="F504" s="35" t="n">
        <x:v>294</x:v>
      </x:c>
      <x:c r="G504" s="35" t="str">
        <x:v>RECORDED</x:v>
      </x:c>
      <x:c r="H504" s="39" t="n">
        <x:f>IF(ISNUMBER('Data'!E504),'Data'!E504*100,"")</x:f>
        <x:v>22.79</x:v>
      </x:c>
      <x:c r="I504" s="35" t="str">
        <x:v>PASS</x:v>
      </x:c>
      <x:c r="J504" s="35" t="str">
        <x:v>PASS</x:v>
      </x:c>
      <x:c r="K504" s="35" t="str">
        <x:v>PASS</x:v>
      </x:c>
      <x:c r="L504" s="35" t="str">
        <x:v>PASS</x:v>
      </x:c>
      <x:c r="M504" s="35" t="str">
        <x:v>numeric coverage for applicable metric</x:v>
      </x:c>
      <x:c r="N504" s="35" t="str">
        <x:v>Gemini-3.8-flash/Result/JacksonXml_1/result.json</x:v>
      </x:c>
      <x:c r="O504" s="39" t="n">
        <x:f>IF(AND(G504="RECORDED",ISNUMBER(H504)),H504,"")</x:f>
        <x:v>22.79</x:v>
      </x:c>
      <x:c r="P504" s="35" t="str">
        <x:v>NOT_REVEALING</x:v>
      </x:c>
      <x:c r="Q504" s="35" t="str">
        <x:v>Gemini-3.8-flash/Result/JacksonXml_1/result.json</x:v>
      </x:c>
    </x:row>
    <x:row r="505">
      <x:c r="A505" s="35" t="str">
        <x:v>gemini</x:v>
      </x:c>
      <x:c r="B505" s="35" t="str">
        <x:v>JacksonXml</x:v>
      </x:c>
      <x:c r="C505" s="35" t="str">
        <x:v>Round1</x:v>
      </x:c>
      <x:c r="D505" s="35" t="str">
        <x:v>JacksonXml_2</x:v>
      </x:c>
      <x:c r="E505" s="35" t="str">
        <x:v>Line</x:v>
      </x:c>
      <x:c r="F505" s="35"/>
      <x:c r="G505" s="35" t="str">
        <x:v>A</x:v>
      </x:c>
      <x:c r="H505" s="39" t="str">
        <x:f>IF(ISNUMBER('Data'!E505),'Data'!E505*100,"")</x:f>
      </x:c>
      <x:c r="I505" s="35"/>
      <x:c r="J505" s="35" t="str">
        <x:v>PASS</x:v>
      </x:c>
      <x:c r="K505" s="35" t="str">
        <x:v>FAIL</x:v>
      </x:c>
      <x:c r="L505" s="35" t="str">
        <x:v>NOT_RUN</x:v>
      </x:c>
      <x:c r="M505" s="35" t="str">
        <x:v>coverage unavailable or execution/compile failed</x:v>
      </x:c>
      <x:c r="N505" s="35" t="str">
        <x:v>Gemini-3.8-flash/Result/JacksonXml_2/result.json</x:v>
      </x:c>
      <x:c r="O505" s="39" t="str">
        <x:f>IF(AND(G505="RECORDED",ISNUMBER(H505)),H505,"")</x:f>
      </x:c>
      <x:c r="P505" s="35" t="str">
        <x:v>NOT_AVAILABLE</x:v>
      </x:c>
      <x:c r="Q505" s="35" t="str">
        <x:v>Gemini-3.8-flash/Result/JacksonXml_2/result.json</x:v>
      </x:c>
    </x:row>
    <x:row r="506">
      <x:c r="A506" s="35" t="str">
        <x:v>gemini</x:v>
      </x:c>
      <x:c r="B506" s="35" t="str">
        <x:v>JacksonXml</x:v>
      </x:c>
      <x:c r="C506" s="35" t="str">
        <x:v>Round1</x:v>
      </x:c>
      <x:c r="D506" s="35" t="str">
        <x:v>JacksonXml_3</x:v>
      </x:c>
      <x:c r="E506" s="35" t="str">
        <x:v>Line</x:v>
      </x:c>
      <x:c r="F506" s="35" t="n">
        <x:v>295</x:v>
      </x:c>
      <x:c r="G506" s="35" t="str">
        <x:v>RECORDED</x:v>
      </x:c>
      <x:c r="H506" s="39" t="n">
        <x:f>IF(ISNUMBER('Data'!E506),'Data'!E506*100,"")</x:f>
        <x:v>22.71</x:v>
      </x:c>
      <x:c r="I506" s="35" t="str">
        <x:v>PASS</x:v>
      </x:c>
      <x:c r="J506" s="35" t="str">
        <x:v>PASS</x:v>
      </x:c>
      <x:c r="K506" s="35" t="str">
        <x:v>PASS</x:v>
      </x:c>
      <x:c r="L506" s="35" t="str">
        <x:v>PASS</x:v>
      </x:c>
      <x:c r="M506" s="35" t="str">
        <x:v>numeric coverage for applicable metric</x:v>
      </x:c>
      <x:c r="N506" s="35" t="str">
        <x:v>Gemini-3.8-flash/Result/JacksonXml_3/result.json</x:v>
      </x:c>
      <x:c r="O506" s="39" t="n">
        <x:f>IF(AND(G506="RECORDED",ISNUMBER(H506)),H506,"")</x:f>
        <x:v>22.71</x:v>
      </x:c>
      <x:c r="P506" s="35" t="str">
        <x:v>NOT_REVEALING</x:v>
      </x:c>
      <x:c r="Q506" s="35" t="str">
        <x:v>Gemini-3.8-flash/Result/JacksonXml_3/result.json</x:v>
      </x:c>
    </x:row>
    <x:row r="507">
      <x:c r="A507" s="35" t="str">
        <x:v>gemini</x:v>
      </x:c>
      <x:c r="B507" s="35" t="str">
        <x:v>JacksonXml</x:v>
      </x:c>
      <x:c r="C507" s="35" t="str">
        <x:v>Round1</x:v>
      </x:c>
      <x:c r="D507" s="35" t="str">
        <x:v>JacksonXml_4</x:v>
      </x:c>
      <x:c r="E507" s="35" t="str">
        <x:v>Line</x:v>
      </x:c>
      <x:c r="F507" s="35" t="n">
        <x:v>119</x:v>
      </x:c>
      <x:c r="G507" s="35" t="str">
        <x:v>RECORDED</x:v>
      </x:c>
      <x:c r="H507" s="39" t="n">
        <x:f>IF(ISNUMBER('Data'!E507),'Data'!E507*100,"")</x:f>
        <x:v>27.73</x:v>
      </x:c>
      <x:c r="I507" s="35" t="str">
        <x:v>PASS</x:v>
      </x:c>
      <x:c r="J507" s="35" t="str">
        <x:v>PASS</x:v>
      </x:c>
      <x:c r="K507" s="35" t="str">
        <x:v>PASS</x:v>
      </x:c>
      <x:c r="L507" s="35" t="str">
        <x:v>PASS</x:v>
      </x:c>
      <x:c r="M507" s="35" t="str">
        <x:v>numeric coverage for applicable metric</x:v>
      </x:c>
      <x:c r="N507" s="35" t="str">
        <x:v>Gemini-3.8-flash/Result/JacksonXml_4/result.json</x:v>
      </x:c>
      <x:c r="O507" s="39" t="n">
        <x:f>IF(AND(G507="RECORDED",ISNUMBER(H507)),H507,"")</x:f>
        <x:v>27.73</x:v>
      </x:c>
      <x:c r="P507" s="35" t="str">
        <x:v>NOT_REVEALING</x:v>
      </x:c>
      <x:c r="Q507" s="35" t="str">
        <x:v>Gemini-3.8-flash/Result/JacksonXml_4/result.json</x:v>
      </x:c>
    </x:row>
    <x:row r="508">
      <x:c r="A508" s="35" t="str">
        <x:v>gemini</x:v>
      </x:c>
      <x:c r="B508" s="35" t="str">
        <x:v>JacksonXml</x:v>
      </x:c>
      <x:c r="C508" s="35" t="str">
        <x:v>Round1</x:v>
      </x:c>
      <x:c r="D508" s="35" t="str">
        <x:v>JacksonXml_5</x:v>
      </x:c>
      <x:c r="E508" s="35" t="str">
        <x:v>Line</x:v>
      </x:c>
      <x:c r="F508" s="35" t="n">
        <x:v>96</x:v>
      </x:c>
      <x:c r="G508" s="35" t="str">
        <x:v>RECORDED</x:v>
      </x:c>
      <x:c r="H508" s="39" t="n">
        <x:f>IF(ISNUMBER('Data'!E508),'Data'!E508*100,"")</x:f>
        <x:v>34.38</x:v>
      </x:c>
      <x:c r="I508" s="35" t="str">
        <x:v>PASS</x:v>
      </x:c>
      <x:c r="J508" s="35" t="str">
        <x:v>PASS</x:v>
      </x:c>
      <x:c r="K508" s="35" t="str">
        <x:v>PASS</x:v>
      </x:c>
      <x:c r="L508" s="35" t="str">
        <x:v>PASS</x:v>
      </x:c>
      <x:c r="M508" s="35" t="str">
        <x:v>numeric coverage for applicable metric</x:v>
      </x:c>
      <x:c r="N508" s="35" t="str">
        <x:v>Gemini-3.8-flash/Result/JacksonXml_5/result.json</x:v>
      </x:c>
      <x:c r="O508" s="39" t="n">
        <x:f>IF(AND(G508="RECORDED",ISNUMBER(H508)),H508,"")</x:f>
        <x:v>34.38</x:v>
      </x:c>
      <x:c r="P508" s="35" t="str">
        <x:v>NOT_REVEALING</x:v>
      </x:c>
      <x:c r="Q508" s="35" t="str">
        <x:v>Gemini-3.8-flash/Result/JacksonXml_5/result.json</x:v>
      </x:c>
    </x:row>
    <x:row r="509">
      <x:c r="A509" s="35" t="str">
        <x:v>gemini</x:v>
      </x:c>
      <x:c r="B509" s="35" t="str">
        <x:v>JacksonXml</x:v>
      </x:c>
      <x:c r="C509" s="35" t="str">
        <x:v>Round1</x:v>
      </x:c>
      <x:c r="D509" s="35" t="str">
        <x:v>JacksonXml_6</x:v>
      </x:c>
      <x:c r="E509" s="35" t="str">
        <x:v>Line</x:v>
      </x:c>
      <x:c r="F509" s="35" t="n">
        <x:v>485</x:v>
      </x:c>
      <x:c r="G509" s="35" t="str">
        <x:v>RECORDED</x:v>
      </x:c>
      <x:c r="H509" s="39" t="n">
        <x:f>IF(ISNUMBER('Data'!E509),'Data'!E509*100,"")</x:f>
        <x:v>7.22</x:v>
      </x:c>
      <x:c r="I509" s="35" t="str">
        <x:v>PASS</x:v>
      </x:c>
      <x:c r="J509" s="35" t="str">
        <x:v>PASS</x:v>
      </x:c>
      <x:c r="K509" s="35" t="str">
        <x:v>PASS</x:v>
      </x:c>
      <x:c r="L509" s="35" t="str">
        <x:v>FAIL</x:v>
      </x:c>
      <x:c r="M509" s="35" t="str">
        <x:v>numeric coverage for applicable metric</x:v>
      </x:c>
      <x:c r="N509" s="35" t="str">
        <x:v>Gemini-3.8-flash/Result/JacksonXml_6/result.json</x:v>
      </x:c>
      <x:c r="O509" s="39" t="n">
        <x:f>IF(AND(G509="RECORDED",ISNUMBER(H509)),H509,"")</x:f>
        <x:v>7.22</x:v>
      </x:c>
      <x:c r="P509" s="35" t="str">
        <x:v>INCONCLUSIVE</x:v>
      </x:c>
      <x:c r="Q509" s="35" t="str">
        <x:v>Gemini-3.8-flash/Result/JacksonXml_6/result.json</x:v>
      </x:c>
    </x:row>
    <x:row r="510">
      <x:c r="A510" s="35" t="str">
        <x:v>gemini</x:v>
      </x:c>
      <x:c r="B510" s="35" t="str">
        <x:v>Jsoup</x:v>
      </x:c>
      <x:c r="C510" s="35" t="str">
        <x:v>Round1</x:v>
      </x:c>
      <x:c r="D510" s="35" t="str">
        <x:v>Jsoup_1</x:v>
      </x:c>
      <x:c r="E510" s="35" t="str">
        <x:v>Line</x:v>
      </x:c>
      <x:c r="F510" s="35" t="n">
        <x:v>46</x:v>
      </x:c>
      <x:c r="G510" s="35" t="str">
        <x:v>RECORDED</x:v>
      </x:c>
      <x:c r="H510" s="39" t="n">
        <x:f>IF(ISNUMBER('Data'!E510),'Data'!E510*100,"")</x:f>
        <x:v>100</x:v>
      </x:c>
      <x:c r="I510" s="35" t="str">
        <x:v>PASS</x:v>
      </x:c>
      <x:c r="J510" s="35" t="str">
        <x:v>PASS</x:v>
      </x:c>
      <x:c r="K510" s="35" t="str">
        <x:v>PASS</x:v>
      </x:c>
      <x:c r="L510" s="35" t="str">
        <x:v>PASS</x:v>
      </x:c>
      <x:c r="M510" s="35" t="str">
        <x:v>numeric coverage for applicable metric</x:v>
      </x:c>
      <x:c r="N510" s="35" t="str">
        <x:v>Gemini-3.8-flash/Result/Jsoup_1/result.json</x:v>
      </x:c>
      <x:c r="O510" s="39" t="n">
        <x:f>IF(AND(G510="RECORDED",ISNUMBER(H510)),H510,"")</x:f>
        <x:v>100</x:v>
      </x:c>
      <x:c r="P510" s="35" t="str">
        <x:v>NOT_REVEALING</x:v>
      </x:c>
      <x:c r="Q510" s="35" t="str">
        <x:v>Gemini-3.8-flash/Result/Jsoup_1/result.json</x:v>
      </x:c>
    </x:row>
    <x:row r="511">
      <x:c r="A511" s="35" t="str">
        <x:v>gemini</x:v>
      </x:c>
      <x:c r="B511" s="35" t="str">
        <x:v>Jsoup</x:v>
      </x:c>
      <x:c r="C511" s="35" t="str">
        <x:v>Round1</x:v>
      </x:c>
      <x:c r="D511" s="35" t="str">
        <x:v>Jsoup_10</x:v>
      </x:c>
      <x:c r="E511" s="35" t="str">
        <x:v>Line</x:v>
      </x:c>
      <x:c r="F511" s="35" t="n">
        <x:v>154</x:v>
      </x:c>
      <x:c r="G511" s="35" t="str">
        <x:v>RECORDED</x:v>
      </x:c>
      <x:c r="H511" s="39" t="n">
        <x:f>IF(ISNUMBER('Data'!E511),'Data'!E511*100,"")</x:f>
        <x:v>98.05</x:v>
      </x:c>
      <x:c r="I511" s="35" t="str">
        <x:v>PASS</x:v>
      </x:c>
      <x:c r="J511" s="35" t="str">
        <x:v>PASS</x:v>
      </x:c>
      <x:c r="K511" s="35" t="str">
        <x:v>PASS</x:v>
      </x:c>
      <x:c r="L511" s="35" t="str">
        <x:v>FAIL</x:v>
      </x:c>
      <x:c r="M511" s="35" t="str">
        <x:v>numeric coverage for applicable metric</x:v>
      </x:c>
      <x:c r="N511" s="35" t="str">
        <x:v>Gemini-3.8-flash/Result/Jsoup_10/result.json</x:v>
      </x:c>
      <x:c r="O511" s="39" t="n">
        <x:f>IF(AND(G511="RECORDED",ISNUMBER(H511)),H511,"")</x:f>
        <x:v>98.05</x:v>
      </x:c>
      <x:c r="P511" s="35" t="str">
        <x:v>INCONCLUSIVE</x:v>
      </x:c>
      <x:c r="Q511" s="35" t="str">
        <x:v>Gemini-3.8-flash/Result/Jsoup_10/result.json</x:v>
      </x:c>
    </x:row>
    <x:row r="512">
      <x:c r="A512" s="35" t="str">
        <x:v>gemini</x:v>
      </x:c>
      <x:c r="B512" s="35" t="str">
        <x:v>Jsoup</x:v>
      </x:c>
      <x:c r="C512" s="35" t="str">
        <x:v>Round1</x:v>
      </x:c>
      <x:c r="D512" s="35" t="str">
        <x:v>Jsoup_11</x:v>
      </x:c>
      <x:c r="E512" s="35" t="str">
        <x:v>Line</x:v>
      </x:c>
      <x:c r="F512" s="35" t="n">
        <x:v>198</x:v>
      </x:c>
      <x:c r="G512" s="35" t="str">
        <x:v>RECORDED</x:v>
      </x:c>
      <x:c r="H512" s="39" t="n">
        <x:f>IF(ISNUMBER('Data'!E512),'Data'!E512*100,"")</x:f>
        <x:v>97.47</x:v>
      </x:c>
      <x:c r="I512" s="35" t="str">
        <x:v>PASS</x:v>
      </x:c>
      <x:c r="J512" s="35" t="str">
        <x:v>PASS</x:v>
      </x:c>
      <x:c r="K512" s="35" t="str">
        <x:v>PASS</x:v>
      </x:c>
      <x:c r="L512" s="35" t="str">
        <x:v>FAIL</x:v>
      </x:c>
      <x:c r="M512" s="35" t="str">
        <x:v>numeric coverage for applicable metric</x:v>
      </x:c>
      <x:c r="N512" s="35" t="str">
        <x:v>Gemini-3.8-flash/Result/Jsoup_11/result.json</x:v>
      </x:c>
      <x:c r="O512" s="39" t="n">
        <x:f>IF(AND(G512="RECORDED",ISNUMBER(H512)),H512,"")</x:f>
        <x:v>97.47</x:v>
      </x:c>
      <x:c r="P512" s="35" t="str">
        <x:v>INCONCLUSIVE</x:v>
      </x:c>
      <x:c r="Q512" s="35" t="str">
        <x:v>Gemini-3.8-flash/Result/Jsoup_11/result.json</x:v>
      </x:c>
    </x:row>
    <x:row r="513">
      <x:c r="A513" s="35" t="str">
        <x:v>gemini</x:v>
      </x:c>
      <x:c r="B513" s="35" t="str">
        <x:v>Jsoup</x:v>
      </x:c>
      <x:c r="C513" s="35" t="str">
        <x:v>Round1</x:v>
      </x:c>
      <x:c r="D513" s="35" t="str">
        <x:v>Jsoup_12</x:v>
      </x:c>
      <x:c r="E513" s="35" t="str">
        <x:v>Line</x:v>
      </x:c>
      <x:c r="F513" s="35" t="n">
        <x:v>218</x:v>
      </x:c>
      <x:c r="G513" s="35" t="str">
        <x:v>RECORDED</x:v>
      </x:c>
      <x:c r="H513" s="39" t="n">
        <x:f>IF(ISNUMBER('Data'!E513),'Data'!E513*100,"")</x:f>
        <x:v>97.71</x:v>
      </x:c>
      <x:c r="I513" s="35" t="str">
        <x:v>PASS</x:v>
      </x:c>
      <x:c r="J513" s="35" t="str">
        <x:v>PASS</x:v>
      </x:c>
      <x:c r="K513" s="35" t="str">
        <x:v>PASS</x:v>
      </x:c>
      <x:c r="L513" s="35" t="str">
        <x:v>FAIL</x:v>
      </x:c>
      <x:c r="M513" s="35" t="str">
        <x:v>numeric coverage for applicable metric</x:v>
      </x:c>
      <x:c r="N513" s="35" t="str">
        <x:v>Gemini-3.8-flash/Result/Jsoup_12/result.json</x:v>
      </x:c>
      <x:c r="O513" s="39" t="n">
        <x:f>IF(AND(G513="RECORDED",ISNUMBER(H513)),H513,"")</x:f>
        <x:v>97.71</x:v>
      </x:c>
      <x:c r="P513" s="35" t="str">
        <x:v>INCONCLUSIVE</x:v>
      </x:c>
      <x:c r="Q513" s="35" t="str">
        <x:v>Gemini-3.8-flash/Result/Jsoup_12/result.json</x:v>
      </x:c>
    </x:row>
    <x:row r="514">
      <x:c r="A514" s="35" t="str">
        <x:v>gemini</x:v>
      </x:c>
      <x:c r="B514" s="35" t="str">
        <x:v>Jsoup</x:v>
      </x:c>
      <x:c r="C514" s="35" t="str">
        <x:v>Round1</x:v>
      </x:c>
      <x:c r="D514" s="35" t="str">
        <x:v>Jsoup_13</x:v>
      </x:c>
      <x:c r="E514" s="35" t="str">
        <x:v>Line</x:v>
      </x:c>
      <x:c r="F514" s="35"/>
      <x:c r="G514" s="35" t="str">
        <x:v>A</x:v>
      </x:c>
      <x:c r="H514" s="39" t="str">
        <x:f>IF(ISNUMBER('Data'!E514),'Data'!E514*100,"")</x:f>
      </x:c>
      <x:c r="I514" s="35"/>
      <x:c r="J514" s="35" t="str">
        <x:v>PASS</x:v>
      </x:c>
      <x:c r="K514" s="35" t="str">
        <x:v>FAIL</x:v>
      </x:c>
      <x:c r="L514" s="35" t="str">
        <x:v>NOT_RUN</x:v>
      </x:c>
      <x:c r="M514" s="35" t="str">
        <x:v>coverage unavailable or execution/compile failed</x:v>
      </x:c>
      <x:c r="N514" s="35" t="str">
        <x:v>Gemini-3.8-flash/Result/Jsoup_13/result.json</x:v>
      </x:c>
      <x:c r="O514" s="39" t="str">
        <x:f>IF(AND(G514="RECORDED",ISNUMBER(H514)),H514,"")</x:f>
      </x:c>
      <x:c r="P514" s="35" t="str">
        <x:v>NOT_AVAILABLE</x:v>
      </x:c>
      <x:c r="Q514" s="35" t="str">
        <x:v>Gemini-3.8-flash/Result/Jsoup_13/result.json</x:v>
      </x:c>
    </x:row>
    <x:row r="515">
      <x:c r="A515" s="35" t="str">
        <x:v>gemini</x:v>
      </x:c>
      <x:c r="B515" s="35" t="str">
        <x:v>Jsoup</x:v>
      </x:c>
      <x:c r="C515" s="35" t="str">
        <x:v>Round1</x:v>
      </x:c>
      <x:c r="D515" s="35" t="str">
        <x:v>Jsoup_14</x:v>
      </x:c>
      <x:c r="E515" s="35" t="str">
        <x:v>Line</x:v>
      </x:c>
      <x:c r="F515" s="35"/>
      <x:c r="G515" s="35" t="str">
        <x:v>A</x:v>
      </x:c>
      <x:c r="H515" s="39" t="str">
        <x:f>IF(ISNUMBER('Data'!E515),'Data'!E515*100,"")</x:f>
      </x:c>
      <x:c r="I515" s="35"/>
      <x:c r="J515" s="35" t="str">
        <x:v>PASS</x:v>
      </x:c>
      <x:c r="K515" s="35" t="str">
        <x:v>FAIL</x:v>
      </x:c>
      <x:c r="L515" s="35" t="str">
        <x:v>NOT_RUN</x:v>
      </x:c>
      <x:c r="M515" s="35" t="str">
        <x:v>coverage unavailable or execution/compile failed</x:v>
      </x:c>
      <x:c r="N515" s="35" t="str">
        <x:v>Gemini-3.8-flash/Result/Jsoup_14/result.json</x:v>
      </x:c>
      <x:c r="O515" s="39" t="str">
        <x:f>IF(AND(G515="RECORDED",ISNUMBER(H515)),H515,"")</x:f>
      </x:c>
      <x:c r="P515" s="35" t="str">
        <x:v>NOT_AVAILABLE</x:v>
      </x:c>
      <x:c r="Q515" s="35" t="str">
        <x:v>Gemini-3.8-flash/Result/Jsoup_14/result.json</x:v>
      </x:c>
    </x:row>
    <x:row r="516">
      <x:c r="A516" s="35" t="str">
        <x:v>gemini</x:v>
      </x:c>
      <x:c r="B516" s="35" t="str">
        <x:v>Jsoup</x:v>
      </x:c>
      <x:c r="C516" s="35" t="str">
        <x:v>Round1</x:v>
      </x:c>
      <x:c r="D516" s="35" t="str">
        <x:v>Jsoup_15</x:v>
      </x:c>
      <x:c r="E516" s="35" t="str">
        <x:v>Line</x:v>
      </x:c>
      <x:c r="F516" s="35"/>
      <x:c r="G516" s="35" t="str">
        <x:v>A</x:v>
      </x:c>
      <x:c r="H516" s="39" t="str">
        <x:f>IF(ISNUMBER('Data'!E516),'Data'!E516*100,"")</x:f>
      </x:c>
      <x:c r="I516" s="35"/>
      <x:c r="J516" s="35" t="str">
        <x:v>PASS</x:v>
      </x:c>
      <x:c r="K516" s="35" t="str">
        <x:v>FAIL</x:v>
      </x:c>
      <x:c r="L516" s="35" t="str">
        <x:v>NOT_RUN</x:v>
      </x:c>
      <x:c r="M516" s="35" t="str">
        <x:v>coverage unavailable or execution/compile failed</x:v>
      </x:c>
      <x:c r="N516" s="35" t="str">
        <x:v>Gemini-3.8-flash/Result/Jsoup_15/result.json</x:v>
      </x:c>
      <x:c r="O516" s="39" t="str">
        <x:f>IF(AND(G516="RECORDED",ISNUMBER(H516)),H516,"")</x:f>
      </x:c>
      <x:c r="P516" s="35" t="str">
        <x:v>NOT_AVAILABLE</x:v>
      </x:c>
      <x:c r="Q516" s="35" t="str">
        <x:v>Gemini-3.8-flash/Result/Jsoup_15/result.json</x:v>
      </x:c>
    </x:row>
    <x:row r="517">
      <x:c r="A517" s="35" t="str">
        <x:v>gemini</x:v>
      </x:c>
      <x:c r="B517" s="35" t="str">
        <x:v>Jsoup</x:v>
      </x:c>
      <x:c r="C517" s="35" t="str">
        <x:v>Round1</x:v>
      </x:c>
      <x:c r="D517" s="35" t="str">
        <x:v>Jsoup_16</x:v>
      </x:c>
      <x:c r="E517" s="35" t="str">
        <x:v>Line</x:v>
      </x:c>
      <x:c r="F517" s="35" t="n">
        <x:v>14</x:v>
      </x:c>
      <x:c r="G517" s="35" t="str">
        <x:v>RECORDED</x:v>
      </x:c>
      <x:c r="H517" s="39" t="n">
        <x:f>IF(ISNUMBER('Data'!E517),'Data'!E517*100,"")</x:f>
        <x:v>100</x:v>
      </x:c>
      <x:c r="I517" s="35" t="str">
        <x:v>PASS</x:v>
      </x:c>
      <x:c r="J517" s="35" t="str">
        <x:v>PASS</x:v>
      </x:c>
      <x:c r="K517" s="35" t="str">
        <x:v>PASS</x:v>
      </x:c>
      <x:c r="L517" s="35" t="str">
        <x:v>PASS</x:v>
      </x:c>
      <x:c r="M517" s="35" t="str">
        <x:v>numeric coverage for applicable metric</x:v>
      </x:c>
      <x:c r="N517" s="35" t="str">
        <x:v>Gemini-3.8-flash/Result/Jsoup_16/result.json</x:v>
      </x:c>
      <x:c r="O517" s="39" t="n">
        <x:f>IF(AND(G517="RECORDED",ISNUMBER(H517)),H517,"")</x:f>
        <x:v>100</x:v>
      </x:c>
      <x:c r="P517" s="35" t="str">
        <x:v>INCONCLUSIVE</x:v>
      </x:c>
      <x:c r="Q517" s="35" t="str">
        <x:v>Gemini-3.8-flash/Result/Jsoup_16/result.json</x:v>
      </x:c>
    </x:row>
    <x:row r="518">
      <x:c r="A518" s="35" t="str">
        <x:v>gemini</x:v>
      </x:c>
      <x:c r="B518" s="35" t="str">
        <x:v>Jsoup</x:v>
      </x:c>
      <x:c r="C518" s="35" t="str">
        <x:v>Round1</x:v>
      </x:c>
      <x:c r="D518" s="35" t="str">
        <x:v>Jsoup_17</x:v>
      </x:c>
      <x:c r="E518" s="35" t="str">
        <x:v>Line</x:v>
      </x:c>
      <x:c r="F518" s="35"/>
      <x:c r="G518" s="35" t="str">
        <x:v>A</x:v>
      </x:c>
      <x:c r="H518" s="39" t="str">
        <x:f>IF(ISNUMBER('Data'!E518),'Data'!E518*100,"")</x:f>
      </x:c>
      <x:c r="I518" s="35"/>
      <x:c r="J518" s="35" t="str">
        <x:v>PASS</x:v>
      </x:c>
      <x:c r="K518" s="35" t="str">
        <x:v>FAIL</x:v>
      </x:c>
      <x:c r="L518" s="35" t="str">
        <x:v>NOT_RUN</x:v>
      </x:c>
      <x:c r="M518" s="35" t="str">
        <x:v>coverage unavailable or execution/compile failed</x:v>
      </x:c>
      <x:c r="N518" s="35" t="str">
        <x:v>Gemini-3.8-flash/Result/Jsoup_17/result.json</x:v>
      </x:c>
      <x:c r="O518" s="39" t="str">
        <x:f>IF(AND(G518="RECORDED",ISNUMBER(H518)),H518,"")</x:f>
      </x:c>
      <x:c r="P518" s="35" t="str">
        <x:v>NOT_AVAILABLE</x:v>
      </x:c>
      <x:c r="Q518" s="35" t="str">
        <x:v>Gemini-3.8-flash/Result/Jsoup_17/result.json</x:v>
      </x:c>
    </x:row>
    <x:row r="519">
      <x:c r="A519" s="35" t="str">
        <x:v>gemini</x:v>
      </x:c>
      <x:c r="B519" s="35" t="str">
        <x:v>Jsoup</x:v>
      </x:c>
      <x:c r="C519" s="35" t="str">
        <x:v>Round1</x:v>
      </x:c>
      <x:c r="D519" s="35" t="str">
        <x:v>Jsoup_18</x:v>
      </x:c>
      <x:c r="E519" s="35" t="str">
        <x:v>Line</x:v>
      </x:c>
      <x:c r="F519" s="35" t="n">
        <x:v>97</x:v>
      </x:c>
      <x:c r="G519" s="35" t="str">
        <x:v>RECORDED</x:v>
      </x:c>
      <x:c r="H519" s="39" t="n">
        <x:f>IF(ISNUMBER('Data'!E519),'Data'!E519*100,"")</x:f>
        <x:v>100</x:v>
      </x:c>
      <x:c r="I519" s="35" t="str">
        <x:v>PASS</x:v>
      </x:c>
      <x:c r="J519" s="35" t="str">
        <x:v>PASS</x:v>
      </x:c>
      <x:c r="K519" s="35" t="str">
        <x:v>PASS</x:v>
      </x:c>
      <x:c r="L519" s="35" t="str">
        <x:v>PASS</x:v>
      </x:c>
      <x:c r="M519" s="35" t="str">
        <x:v>numeric coverage for applicable metric</x:v>
      </x:c>
      <x:c r="N519" s="35" t="str">
        <x:v>Gemini-3.8-flash/Result/Jsoup_18/result.json</x:v>
      </x:c>
      <x:c r="O519" s="39" t="n">
        <x:f>IF(AND(G519="RECORDED",ISNUMBER(H519)),H519,"")</x:f>
        <x:v>100</x:v>
      </x:c>
      <x:c r="P519" s="35" t="str">
        <x:v>INCONCLUSIVE</x:v>
      </x:c>
      <x:c r="Q519" s="35" t="str">
        <x:v>Gemini-3.8-flash/Result/Jsoup_18/result.json</x:v>
      </x:c>
    </x:row>
    <x:row r="520">
      <x:c r="A520" s="35" t="str">
        <x:v>gemini</x:v>
      </x:c>
      <x:c r="B520" s="35" t="str">
        <x:v>Jsoup</x:v>
      </x:c>
      <x:c r="C520" s="35" t="str">
        <x:v>Round1</x:v>
      </x:c>
      <x:c r="D520" s="35" t="str">
        <x:v>Jsoup_19</x:v>
      </x:c>
      <x:c r="E520" s="35" t="str">
        <x:v>Line</x:v>
      </x:c>
      <x:c r="F520" s="35" t="n">
        <x:v>147</x:v>
      </x:c>
      <x:c r="G520" s="35" t="str">
        <x:v>RECORDED</x:v>
      </x:c>
      <x:c r="H520" s="39" t="n">
        <x:f>IF(ISNUMBER('Data'!E520),'Data'!E520*100,"")</x:f>
        <x:v>99.32</x:v>
      </x:c>
      <x:c r="I520" s="35" t="str">
        <x:v>PASS</x:v>
      </x:c>
      <x:c r="J520" s="35" t="str">
        <x:v>PASS</x:v>
      </x:c>
      <x:c r="K520" s="35" t="str">
        <x:v>PASS</x:v>
      </x:c>
      <x:c r="L520" s="35" t="str">
        <x:v>FAIL</x:v>
      </x:c>
      <x:c r="M520" s="35" t="str">
        <x:v>numeric coverage for applicable metric</x:v>
      </x:c>
      <x:c r="N520" s="35" t="str">
        <x:v>Gemini-3.8-flash/Result/Jsoup_19/result.json</x:v>
      </x:c>
      <x:c r="O520" s="39" t="n">
        <x:f>IF(AND(G520="RECORDED",ISNUMBER(H520)),H520,"")</x:f>
        <x:v>99.32</x:v>
      </x:c>
      <x:c r="P520" s="35" t="str">
        <x:v>INCONCLUSIVE</x:v>
      </x:c>
      <x:c r="Q520" s="35" t="str">
        <x:v>Gemini-3.8-flash/Result/Jsoup_19/result.json</x:v>
      </x:c>
    </x:row>
    <x:row r="521">
      <x:c r="A521" s="35" t="str">
        <x:v>gemini</x:v>
      </x:c>
      <x:c r="B521" s="35" t="str">
        <x:v>Jsoup</x:v>
      </x:c>
      <x:c r="C521" s="35" t="str">
        <x:v>Round1</x:v>
      </x:c>
      <x:c r="D521" s="35" t="str">
        <x:v>Jsoup_2</x:v>
      </x:c>
      <x:c r="E521" s="35" t="str">
        <x:v>Line</x:v>
      </x:c>
      <x:c r="F521" s="35" t="n">
        <x:v>162</x:v>
      </x:c>
      <x:c r="G521" s="35" t="str">
        <x:v>RECORDED</x:v>
      </x:c>
      <x:c r="H521" s="39" t="n">
        <x:f>IF(ISNUMBER('Data'!E521),'Data'!E521*100,"")</x:f>
        <x:v>98.77</x:v>
      </x:c>
      <x:c r="I521" s="35" t="str">
        <x:v>PASS</x:v>
      </x:c>
      <x:c r="J521" s="35" t="str">
        <x:v>PASS</x:v>
      </x:c>
      <x:c r="K521" s="35" t="str">
        <x:v>PASS</x:v>
      </x:c>
      <x:c r="L521" s="35" t="str">
        <x:v>FAIL</x:v>
      </x:c>
      <x:c r="M521" s="35" t="str">
        <x:v>numeric coverage for applicable metric</x:v>
      </x:c>
      <x:c r="N521" s="35" t="str">
        <x:v>Gemini-3.8-flash/Result/Jsoup_2/result.json</x:v>
      </x:c>
      <x:c r="O521" s="39" t="n">
        <x:f>IF(AND(G521="RECORDED",ISNUMBER(H521)),H521,"")</x:f>
        <x:v>98.77</x:v>
      </x:c>
      <x:c r="P521" s="35" t="str">
        <x:v>INCONCLUSIVE</x:v>
      </x:c>
      <x:c r="Q521" s="35" t="str">
        <x:v>Gemini-3.8-flash/Result/Jsoup_2/result.json</x:v>
      </x:c>
    </x:row>
    <x:row r="522">
      <x:c r="A522" s="35" t="str">
        <x:v>gemini</x:v>
      </x:c>
      <x:c r="B522" s="35" t="str">
        <x:v>Jsoup</x:v>
      </x:c>
      <x:c r="C522" s="35" t="str">
        <x:v>Round1</x:v>
      </x:c>
      <x:c r="D522" s="35" t="str">
        <x:v>Jsoup_20</x:v>
      </x:c>
      <x:c r="E522" s="35" t="str">
        <x:v>Line</x:v>
      </x:c>
      <x:c r="F522" s="35" t="n">
        <x:v>44</x:v>
      </x:c>
      <x:c r="G522" s="35" t="str">
        <x:v>RECORDED</x:v>
      </x:c>
      <x:c r="H522" s="39" t="n">
        <x:f>IF(ISNUMBER('Data'!E522),'Data'!E522*100,"")</x:f>
        <x:v>100</x:v>
      </x:c>
      <x:c r="I522" s="35" t="str">
        <x:v>PASS</x:v>
      </x:c>
      <x:c r="J522" s="35" t="str">
        <x:v>PASS</x:v>
      </x:c>
      <x:c r="K522" s="35" t="str">
        <x:v>PASS</x:v>
      </x:c>
      <x:c r="L522" s="35" t="str">
        <x:v>FAIL</x:v>
      </x:c>
      <x:c r="M522" s="35" t="str">
        <x:v>numeric coverage for applicable metric</x:v>
      </x:c>
      <x:c r="N522" s="35" t="str">
        <x:v>Gemini-3.8-flash/Result/Jsoup_20/result.json</x:v>
      </x:c>
      <x:c r="O522" s="39" t="n">
        <x:f>IF(AND(G522="RECORDED",ISNUMBER(H522)),H522,"")</x:f>
        <x:v>100</x:v>
      </x:c>
      <x:c r="P522" s="35" t="str">
        <x:v>INCONCLUSIVE</x:v>
      </x:c>
      <x:c r="Q522" s="35" t="str">
        <x:v>Gemini-3.8-flash/Result/Jsoup_20/result.json</x:v>
      </x:c>
    </x:row>
    <x:row r="523">
      <x:c r="A523" s="35" t="str">
        <x:v>gemini</x:v>
      </x:c>
      <x:c r="B523" s="35" t="str">
        <x:v>Jsoup</x:v>
      </x:c>
      <x:c r="C523" s="35" t="str">
        <x:v>Round1</x:v>
      </x:c>
      <x:c r="D523" s="35" t="str">
        <x:v>Jsoup_21</x:v>
      </x:c>
      <x:c r="E523" s="35" t="str">
        <x:v>Line</x:v>
      </x:c>
      <x:c r="F523" s="35" t="n">
        <x:v>189</x:v>
      </x:c>
      <x:c r="G523" s="35" t="str">
        <x:v>RECORDED</x:v>
      </x:c>
      <x:c r="H523" s="39" t="n">
        <x:f>IF(ISNUMBER('Data'!E523),'Data'!E523*100,"")</x:f>
        <x:v>97.35</x:v>
      </x:c>
      <x:c r="I523" s="35" t="str">
        <x:v>PASS</x:v>
      </x:c>
      <x:c r="J523" s="35" t="str">
        <x:v>PASS</x:v>
      </x:c>
      <x:c r="K523" s="35" t="str">
        <x:v>PASS</x:v>
      </x:c>
      <x:c r="L523" s="35" t="str">
        <x:v>FAIL</x:v>
      </x:c>
      <x:c r="M523" s="35" t="str">
        <x:v>numeric coverage for applicable metric</x:v>
      </x:c>
      <x:c r="N523" s="35" t="str">
        <x:v>Gemini-3.8-flash/Result/Jsoup_21/result.json</x:v>
      </x:c>
      <x:c r="O523" s="39" t="n">
        <x:f>IF(AND(G523="RECORDED",ISNUMBER(H523)),H523,"")</x:f>
        <x:v>97.35</x:v>
      </x:c>
      <x:c r="P523" s="35" t="str">
        <x:v>INCONCLUSIVE</x:v>
      </x:c>
      <x:c r="Q523" s="35" t="str">
        <x:v>Gemini-3.8-flash/Result/Jsoup_21/result.json</x:v>
      </x:c>
    </x:row>
    <x:row r="524">
      <x:c r="A524" s="35" t="str">
        <x:v>gemini</x:v>
      </x:c>
      <x:c r="B524" s="35" t="str">
        <x:v>Jsoup</x:v>
      </x:c>
      <x:c r="C524" s="35" t="str">
        <x:v>Round1</x:v>
      </x:c>
      <x:c r="D524" s="35" t="str">
        <x:v>Jsoup_22</x:v>
      </x:c>
      <x:c r="E524" s="35" t="str">
        <x:v>Line</x:v>
      </x:c>
      <x:c r="F524" s="35"/>
      <x:c r="G524" s="35" t="str">
        <x:v>A</x:v>
      </x:c>
      <x:c r="H524" s="39" t="str">
        <x:f>IF(ISNUMBER('Data'!E524),'Data'!E524*100,"")</x:f>
      </x:c>
      <x:c r="I524" s="35"/>
      <x:c r="J524" s="35" t="str">
        <x:v>PASS</x:v>
      </x:c>
      <x:c r="K524" s="35" t="str">
        <x:v>FAIL</x:v>
      </x:c>
      <x:c r="L524" s="35" t="str">
        <x:v>NOT_RUN</x:v>
      </x:c>
      <x:c r="M524" s="35" t="str">
        <x:v>coverage unavailable or execution/compile failed</x:v>
      </x:c>
      <x:c r="N524" s="35" t="str">
        <x:v>Gemini-3.8-flash/Result/Jsoup_22/result.json</x:v>
      </x:c>
      <x:c r="O524" s="39" t="str">
        <x:f>IF(AND(G524="RECORDED",ISNUMBER(H524)),H524,"")</x:f>
      </x:c>
      <x:c r="P524" s="35" t="str">
        <x:v>NOT_AVAILABLE</x:v>
      </x:c>
      <x:c r="Q524" s="35" t="str">
        <x:v>Gemini-3.8-flash/Result/Jsoup_22/result.json</x:v>
      </x:c>
    </x:row>
    <x:row r="525">
      <x:c r="A525" s="35" t="str">
        <x:v>gemini</x:v>
      </x:c>
      <x:c r="B525" s="35" t="str">
        <x:v>Jsoup</x:v>
      </x:c>
      <x:c r="C525" s="35" t="str">
        <x:v>Round1</x:v>
      </x:c>
      <x:c r="D525" s="35" t="str">
        <x:v>Jsoup_23</x:v>
      </x:c>
      <x:c r="E525" s="35" t="str">
        <x:v>Line</x:v>
      </x:c>
      <x:c r="F525" s="35" t="n">
        <x:v>217</x:v>
      </x:c>
      <x:c r="G525" s="35" t="str">
        <x:v>RECORDED</x:v>
      </x:c>
      <x:c r="H525" s="39" t="n">
        <x:f>IF(ISNUMBER('Data'!E525),'Data'!E525*100,"")</x:f>
        <x:v>99.54</x:v>
      </x:c>
      <x:c r="I525" s="35" t="str">
        <x:v>PASS</x:v>
      </x:c>
      <x:c r="J525" s="35" t="str">
        <x:v>PASS</x:v>
      </x:c>
      <x:c r="K525" s="35" t="str">
        <x:v>PASS</x:v>
      </x:c>
      <x:c r="L525" s="35" t="str">
        <x:v>FAIL</x:v>
      </x:c>
      <x:c r="M525" s="35" t="str">
        <x:v>numeric coverage for applicable metric</x:v>
      </x:c>
      <x:c r="N525" s="35" t="str">
        <x:v>Gemini-3.8-flash/Result/Jsoup_23/result.json</x:v>
      </x:c>
      <x:c r="O525" s="39" t="n">
        <x:f>IF(AND(G525="RECORDED",ISNUMBER(H525)),H525,"")</x:f>
        <x:v>99.54</x:v>
      </x:c>
      <x:c r="P525" s="35" t="str">
        <x:v>INCONCLUSIVE</x:v>
      </x:c>
      <x:c r="Q525" s="35" t="str">
        <x:v>Gemini-3.8-flash/Result/Jsoup_23/result.json</x:v>
      </x:c>
    </x:row>
    <x:row r="526">
      <x:c r="A526" s="35" t="str">
        <x:v>gemini</x:v>
      </x:c>
      <x:c r="B526" s="35" t="str">
        <x:v>Jsoup</x:v>
      </x:c>
      <x:c r="C526" s="35" t="str">
        <x:v>Round1</x:v>
      </x:c>
      <x:c r="D526" s="35" t="str">
        <x:v>Jsoup_24</x:v>
      </x:c>
      <x:c r="E526" s="35" t="str">
        <x:v>Line</x:v>
      </x:c>
      <x:c r="F526" s="35"/>
      <x:c r="G526" s="35" t="str">
        <x:v>A</x:v>
      </x:c>
      <x:c r="H526" s="39" t="str">
        <x:f>IF(ISNUMBER('Data'!E526),'Data'!E526*100,"")</x:f>
      </x:c>
      <x:c r="I526" s="35"/>
      <x:c r="J526" s="35" t="str">
        <x:v>PASS</x:v>
      </x:c>
      <x:c r="K526" s="35" t="str">
        <x:v>FAIL</x:v>
      </x:c>
      <x:c r="L526" s="35" t="str">
        <x:v>NOT_RUN</x:v>
      </x:c>
      <x:c r="M526" s="35" t="str">
        <x:v>coverage unavailable or execution/compile failed</x:v>
      </x:c>
      <x:c r="N526" s="35" t="str">
        <x:v>Gemini-3.8-flash/Result/Jsoup_24/result.json</x:v>
      </x:c>
      <x:c r="O526" s="39" t="str">
        <x:f>IF(AND(G526="RECORDED",ISNUMBER(H526)),H526,"")</x:f>
      </x:c>
      <x:c r="P526" s="35" t="str">
        <x:v>NOT_AVAILABLE</x:v>
      </x:c>
      <x:c r="Q526" s="35" t="str">
        <x:v>Gemini-3.8-flash/Result/Jsoup_24/result.json</x:v>
      </x:c>
    </x:row>
    <x:row r="527">
      <x:c r="A527" s="35" t="str">
        <x:v>gemini</x:v>
      </x:c>
      <x:c r="B527" s="35" t="str">
        <x:v>Jsoup</x:v>
      </x:c>
      <x:c r="C527" s="35" t="str">
        <x:v>Round1</x:v>
      </x:c>
      <x:c r="D527" s="35" t="str">
        <x:v>Jsoup_25</x:v>
      </x:c>
      <x:c r="E527" s="35" t="str">
        <x:v>Line</x:v>
      </x:c>
      <x:c r="F527" s="35"/>
      <x:c r="G527" s="35" t="str">
        <x:v>A</x:v>
      </x:c>
      <x:c r="H527" s="39" t="str">
        <x:f>IF(ISNUMBER('Data'!E527),'Data'!E527*100,"")</x:f>
      </x:c>
      <x:c r="I527" s="35"/>
      <x:c r="J527" s="35" t="str">
        <x:v>PASS</x:v>
      </x:c>
      <x:c r="K527" s="35" t="str">
        <x:v>FAIL</x:v>
      </x:c>
      <x:c r="L527" s="35" t="str">
        <x:v>NOT_RUN</x:v>
      </x:c>
      <x:c r="M527" s="35" t="str">
        <x:v>coverage unavailable or execution/compile failed</x:v>
      </x:c>
      <x:c r="N527" s="35" t="str">
        <x:v>Gemini-3.8-flash/Result/Jsoup_25/result.json</x:v>
      </x:c>
      <x:c r="O527" s="39" t="str">
        <x:f>IF(AND(G527="RECORDED",ISNUMBER(H527)),H527,"")</x:f>
      </x:c>
      <x:c r="P527" s="35" t="str">
        <x:v>NOT_AVAILABLE</x:v>
      </x:c>
      <x:c r="Q527" s="35" t="str">
        <x:v>Gemini-3.8-flash/Result/Jsoup_25/result.json</x:v>
      </x:c>
    </x:row>
    <x:row r="528">
      <x:c r="A528" s="35" t="str">
        <x:v>gemini</x:v>
      </x:c>
      <x:c r="B528" s="35" t="str">
        <x:v>Jsoup</x:v>
      </x:c>
      <x:c r="C528" s="35" t="str">
        <x:v>Round1</x:v>
      </x:c>
      <x:c r="D528" s="35" t="str">
        <x:v>Jsoup_26</x:v>
      </x:c>
      <x:c r="E528" s="35" t="str">
        <x:v>Line</x:v>
      </x:c>
      <x:c r="F528" s="35" t="n">
        <x:v>49</x:v>
      </x:c>
      <x:c r="G528" s="35" t="str">
        <x:v>RECORDED</x:v>
      </x:c>
      <x:c r="H528" s="39" t="n">
        <x:f>IF(ISNUMBER('Data'!E528),'Data'!E528*100,"")</x:f>
        <x:v>100</x:v>
      </x:c>
      <x:c r="I528" s="35" t="str">
        <x:v>PASS</x:v>
      </x:c>
      <x:c r="J528" s="35" t="str">
        <x:v>PASS</x:v>
      </x:c>
      <x:c r="K528" s="35" t="str">
        <x:v>PASS</x:v>
      </x:c>
      <x:c r="L528" s="35" t="str">
        <x:v>PASS</x:v>
      </x:c>
      <x:c r="M528" s="35" t="str">
        <x:v>numeric coverage for applicable metric</x:v>
      </x:c>
      <x:c r="N528" s="35" t="str">
        <x:v>Gemini-3.8-flash/Result/Jsoup_26/result.json</x:v>
      </x:c>
      <x:c r="O528" s="39" t="n">
        <x:f>IF(AND(G528="RECORDED",ISNUMBER(H528)),H528,"")</x:f>
        <x:v>100</x:v>
      </x:c>
      <x:c r="P528" s="35" t="str">
        <x:v>NOT_REVEALING</x:v>
      </x:c>
      <x:c r="Q528" s="35" t="str">
        <x:v>Gemini-3.8-flash/Result/Jsoup_26/result.json</x:v>
      </x:c>
    </x:row>
    <x:row r="529">
      <x:c r="A529" s="35" t="str">
        <x:v>gemini</x:v>
      </x:c>
      <x:c r="B529" s="35" t="str">
        <x:v>Jsoup</x:v>
      </x:c>
      <x:c r="C529" s="35" t="str">
        <x:v>Round1</x:v>
      </x:c>
      <x:c r="D529" s="35" t="str">
        <x:v>Jsoup_27</x:v>
      </x:c>
      <x:c r="E529" s="35" t="str">
        <x:v>Line</x:v>
      </x:c>
      <x:c r="F529" s="35" t="n">
        <x:v>48</x:v>
      </x:c>
      <x:c r="G529" s="35" t="str">
        <x:v>RECORDED</x:v>
      </x:c>
      <x:c r="H529" s="39" t="n">
        <x:f>IF(ISNUMBER('Data'!E529),'Data'!E529*100,"")</x:f>
        <x:v>100</x:v>
      </x:c>
      <x:c r="I529" s="35" t="str">
        <x:v>PASS</x:v>
      </x:c>
      <x:c r="J529" s="35" t="str">
        <x:v>PASS</x:v>
      </x:c>
      <x:c r="K529" s="35" t="str">
        <x:v>PASS</x:v>
      </x:c>
      <x:c r="L529" s="35" t="str">
        <x:v>FAIL</x:v>
      </x:c>
      <x:c r="M529" s="35" t="str">
        <x:v>numeric coverage for applicable metric</x:v>
      </x:c>
      <x:c r="N529" s="35" t="str">
        <x:v>Gemini-3.8-flash/Result/Jsoup_27/result.json</x:v>
      </x:c>
      <x:c r="O529" s="39" t="n">
        <x:f>IF(AND(G529="RECORDED",ISNUMBER(H529)),H529,"")</x:f>
        <x:v>100</x:v>
      </x:c>
      <x:c r="P529" s="35" t="str">
        <x:v>INCONCLUSIVE</x:v>
      </x:c>
      <x:c r="Q529" s="35" t="str">
        <x:v>Gemini-3.8-flash/Result/Jsoup_27/result.json</x:v>
      </x:c>
    </x:row>
    <x:row r="530">
      <x:c r="A530" s="35" t="str">
        <x:v>gemini</x:v>
      </x:c>
      <x:c r="B530" s="35" t="str">
        <x:v>Jsoup</x:v>
      </x:c>
      <x:c r="C530" s="35" t="str">
        <x:v>Round1</x:v>
      </x:c>
      <x:c r="D530" s="35" t="str">
        <x:v>Jsoup_28</x:v>
      </x:c>
      <x:c r="E530" s="35" t="str">
        <x:v>Line</x:v>
      </x:c>
      <x:c r="F530" s="35"/>
      <x:c r="G530" s="35" t="str">
        <x:v>A</x:v>
      </x:c>
      <x:c r="H530" s="39" t="str">
        <x:f>IF(ISNUMBER('Data'!E530),'Data'!E530*100,"")</x:f>
      </x:c>
      <x:c r="I530" s="35"/>
      <x:c r="J530" s="35" t="str">
        <x:v>PASS</x:v>
      </x:c>
      <x:c r="K530" s="35" t="str">
        <x:v>FAIL</x:v>
      </x:c>
      <x:c r="L530" s="35" t="str">
        <x:v>NOT_RUN</x:v>
      </x:c>
      <x:c r="M530" s="35" t="str">
        <x:v>coverage unavailable or execution/compile failed</x:v>
      </x:c>
      <x:c r="N530" s="35" t="str">
        <x:v>Gemini-3.8-flash/Result/Jsoup_28/result.json</x:v>
      </x:c>
      <x:c r="O530" s="39" t="str">
        <x:f>IF(AND(G530="RECORDED",ISNUMBER(H530)),H530,"")</x:f>
      </x:c>
      <x:c r="P530" s="35" t="str">
        <x:v>NOT_AVAILABLE</x:v>
      </x:c>
      <x:c r="Q530" s="35" t="str">
        <x:v>Gemini-3.8-flash/Result/Jsoup_28/result.json</x:v>
      </x:c>
    </x:row>
    <x:row r="531">
      <x:c r="A531" s="35" t="str">
        <x:v>gemini</x:v>
      </x:c>
      <x:c r="B531" s="35" t="str">
        <x:v>Jsoup</x:v>
      </x:c>
      <x:c r="C531" s="35" t="str">
        <x:v>Round1</x:v>
      </x:c>
      <x:c r="D531" s="35" t="str">
        <x:v>Jsoup_29</x:v>
      </x:c>
      <x:c r="E531" s="35" t="str">
        <x:v>Line</x:v>
      </x:c>
      <x:c r="F531" s="35" t="n">
        <x:v>117</x:v>
      </x:c>
      <x:c r="G531" s="35" t="str">
        <x:v>RECORDED</x:v>
      </x:c>
      <x:c r="H531" s="39" t="n">
        <x:f>IF(ISNUMBER('Data'!E531),'Data'!E531*100,"")</x:f>
        <x:v>96.58</x:v>
      </x:c>
      <x:c r="I531" s="35" t="str">
        <x:v>PASS</x:v>
      </x:c>
      <x:c r="J531" s="35" t="str">
        <x:v>PASS</x:v>
      </x:c>
      <x:c r="K531" s="35" t="str">
        <x:v>PASS</x:v>
      </x:c>
      <x:c r="L531" s="35" t="str">
        <x:v>PASS</x:v>
      </x:c>
      <x:c r="M531" s="35" t="str">
        <x:v>numeric coverage for applicable metric</x:v>
      </x:c>
      <x:c r="N531" s="35" t="str">
        <x:v>Gemini-3.8-flash/Result/Jsoup_29/result.json</x:v>
      </x:c>
      <x:c r="O531" s="39" t="n">
        <x:f>IF(AND(G531="RECORDED",ISNUMBER(H531)),H531,"")</x:f>
        <x:v>96.58</x:v>
      </x:c>
      <x:c r="P531" s="35" t="str">
        <x:v>NOT_REVEALING</x:v>
      </x:c>
      <x:c r="Q531" s="35" t="str">
        <x:v>Gemini-3.8-flash/Result/Jsoup_29/result.json</x:v>
      </x:c>
    </x:row>
    <x:row r="532">
      <x:c r="A532" s="35" t="str">
        <x:v>gemini</x:v>
      </x:c>
      <x:c r="B532" s="35" t="str">
        <x:v>Jsoup</x:v>
      </x:c>
      <x:c r="C532" s="35" t="str">
        <x:v>Round1</x:v>
      </x:c>
      <x:c r="D532" s="35" t="str">
        <x:v>Jsoup_3</x:v>
      </x:c>
      <x:c r="E532" s="35" t="str">
        <x:v>Line</x:v>
      </x:c>
      <x:c r="F532" s="35" t="n">
        <x:v>593</x:v>
      </x:c>
      <x:c r="G532" s="35" t="str">
        <x:v>RECORDED</x:v>
      </x:c>
      <x:c r="H532" s="39" t="n">
        <x:f>IF(ISNUMBER('Data'!E532),'Data'!E532*100,"")</x:f>
        <x:v>93.42</x:v>
      </x:c>
      <x:c r="I532" s="35" t="str">
        <x:v>PASS</x:v>
      </x:c>
      <x:c r="J532" s="35" t="str">
        <x:v>PASS</x:v>
      </x:c>
      <x:c r="K532" s="35" t="str">
        <x:v>PASS</x:v>
      </x:c>
      <x:c r="L532" s="35" t="str">
        <x:v>FAIL</x:v>
      </x:c>
      <x:c r="M532" s="35" t="str">
        <x:v>numeric coverage for applicable metric</x:v>
      </x:c>
      <x:c r="N532" s="35" t="str">
        <x:v>Gemini-3.8-flash/Result/Jsoup_3/result.json</x:v>
      </x:c>
      <x:c r="O532" s="39" t="n">
        <x:f>IF(AND(G532="RECORDED",ISNUMBER(H532)),H532,"")</x:f>
        <x:v>93.42</x:v>
      </x:c>
      <x:c r="P532" s="35" t="str">
        <x:v>INCONCLUSIVE</x:v>
      </x:c>
      <x:c r="Q532" s="35" t="str">
        <x:v>Gemini-3.8-flash/Result/Jsoup_3/result.json</x:v>
      </x:c>
    </x:row>
    <x:row r="533">
      <x:c r="A533" s="35" t="str">
        <x:v>gemini</x:v>
      </x:c>
      <x:c r="B533" s="35" t="str">
        <x:v>Jsoup</x:v>
      </x:c>
      <x:c r="C533" s="35" t="str">
        <x:v>Round1</x:v>
      </x:c>
      <x:c r="D533" s="35" t="str">
        <x:v>Jsoup_30</x:v>
      </x:c>
      <x:c r="E533" s="35" t="str">
        <x:v>Line</x:v>
      </x:c>
      <x:c r="F533" s="35" t="n">
        <x:v>50</x:v>
      </x:c>
      <x:c r="G533" s="35" t="str">
        <x:v>RECORDED</x:v>
      </x:c>
      <x:c r="H533" s="39" t="n">
        <x:f>IF(ISNUMBER('Data'!E533),'Data'!E533*100,"")</x:f>
        <x:v>100</x:v>
      </x:c>
      <x:c r="I533" s="35" t="str">
        <x:v>PASS</x:v>
      </x:c>
      <x:c r="J533" s="35" t="str">
        <x:v>PASS</x:v>
      </x:c>
      <x:c r="K533" s="35" t="str">
        <x:v>PASS</x:v>
      </x:c>
      <x:c r="L533" s="35" t="str">
        <x:v>FAIL</x:v>
      </x:c>
      <x:c r="M533" s="35" t="str">
        <x:v>numeric coverage for applicable metric</x:v>
      </x:c>
      <x:c r="N533" s="35" t="str">
        <x:v>Gemini-3.8-flash/Result/Jsoup_30/result.json</x:v>
      </x:c>
      <x:c r="O533" s="39" t="n">
        <x:f>IF(AND(G533="RECORDED",ISNUMBER(H533)),H533,"")</x:f>
        <x:v>100</x:v>
      </x:c>
      <x:c r="P533" s="35" t="str">
        <x:v>INCONCLUSIVE</x:v>
      </x:c>
      <x:c r="Q533" s="35" t="str">
        <x:v>Gemini-3.8-flash/Result/Jsoup_30/result.json</x:v>
      </x:c>
    </x:row>
    <x:row r="534">
      <x:c r="A534" s="35" t="str">
        <x:v>gemini</x:v>
      </x:c>
      <x:c r="B534" s="35" t="str">
        <x:v>Jsoup</x:v>
      </x:c>
      <x:c r="C534" s="35" t="str">
        <x:v>Round1</x:v>
      </x:c>
      <x:c r="D534" s="35" t="str">
        <x:v>Jsoup_31</x:v>
      </x:c>
      <x:c r="E534" s="35" t="str">
        <x:v>Line</x:v>
      </x:c>
      <x:c r="F534" s="35"/>
      <x:c r="G534" s="35" t="str">
        <x:v>A</x:v>
      </x:c>
      <x:c r="H534" s="39" t="str">
        <x:f>IF(ISNUMBER('Data'!E534),'Data'!E534*100,"")</x:f>
      </x:c>
      <x:c r="I534" s="35"/>
      <x:c r="J534" s="35" t="str">
        <x:v>PASS</x:v>
      </x:c>
      <x:c r="K534" s="35" t="str">
        <x:v>FAIL</x:v>
      </x:c>
      <x:c r="L534" s="35" t="str">
        <x:v>NOT_RUN</x:v>
      </x:c>
      <x:c r="M534" s="35" t="str">
        <x:v>coverage unavailable or execution/compile failed</x:v>
      </x:c>
      <x:c r="N534" s="35" t="str">
        <x:v>Gemini-3.8-flash/Result/Jsoup_31/result.json</x:v>
      </x:c>
      <x:c r="O534" s="39" t="str">
        <x:f>IF(AND(G534="RECORDED",ISNUMBER(H534)),H534,"")</x:f>
      </x:c>
      <x:c r="P534" s="35" t="str">
        <x:v>NOT_AVAILABLE</x:v>
      </x:c>
      <x:c r="Q534" s="35" t="str">
        <x:v>Gemini-3.8-flash/Result/Jsoup_31/result.json</x:v>
      </x:c>
    </x:row>
    <x:row r="535">
      <x:c r="A535" s="35" t="str">
        <x:v>gemini</x:v>
      </x:c>
      <x:c r="B535" s="35" t="str">
        <x:v>Jsoup</x:v>
      </x:c>
      <x:c r="C535" s="35" t="str">
        <x:v>Round1</x:v>
      </x:c>
      <x:c r="D535" s="35" t="str">
        <x:v>Jsoup_32</x:v>
      </x:c>
      <x:c r="E535" s="35" t="str">
        <x:v>Line</x:v>
      </x:c>
      <x:c r="F535" s="35" t="n">
        <x:v>303</x:v>
      </x:c>
      <x:c r="G535" s="35" t="str">
        <x:v>RECORDED</x:v>
      </x:c>
      <x:c r="H535" s="39" t="n">
        <x:f>IF(ISNUMBER('Data'!E535),'Data'!E535*100,"")</x:f>
        <x:v>96.37</x:v>
      </x:c>
      <x:c r="I535" s="35" t="str">
        <x:v>PASS</x:v>
      </x:c>
      <x:c r="J535" s="35" t="str">
        <x:v>PASS</x:v>
      </x:c>
      <x:c r="K535" s="35" t="str">
        <x:v>PASS</x:v>
      </x:c>
      <x:c r="L535" s="35" t="str">
        <x:v>FAIL</x:v>
      </x:c>
      <x:c r="M535" s="35" t="str">
        <x:v>numeric coverage for applicable metric</x:v>
      </x:c>
      <x:c r="N535" s="35" t="str">
        <x:v>Gemini-3.8-flash/Result/Jsoup_32/result.json</x:v>
      </x:c>
      <x:c r="O535" s="39" t="n">
        <x:f>IF(AND(G535="RECORDED",ISNUMBER(H535)),H535,"")</x:f>
        <x:v>96.37</x:v>
      </x:c>
      <x:c r="P535" s="35" t="str">
        <x:v>INCONCLUSIVE</x:v>
      </x:c>
      <x:c r="Q535" s="35" t="str">
        <x:v>Gemini-3.8-flash/Result/Jsoup_32/result.json</x:v>
      </x:c>
    </x:row>
    <x:row r="536">
      <x:c r="A536" s="35" t="str">
        <x:v>gemini</x:v>
      </x:c>
      <x:c r="B536" s="35" t="str">
        <x:v>Jsoup</x:v>
      </x:c>
      <x:c r="C536" s="35" t="str">
        <x:v>Round1</x:v>
      </x:c>
      <x:c r="D536" s="35" t="str">
        <x:v>Jsoup_33</x:v>
      </x:c>
      <x:c r="E536" s="35" t="str">
        <x:v>Line</x:v>
      </x:c>
      <x:c r="F536" s="35"/>
      <x:c r="G536" s="35" t="str">
        <x:v>A</x:v>
      </x:c>
      <x:c r="H536" s="39" t="str">
        <x:f>IF(ISNUMBER('Data'!E536),'Data'!E536*100,"")</x:f>
      </x:c>
      <x:c r="I536" s="35"/>
      <x:c r="J536" s="35" t="str">
        <x:v>PASS</x:v>
      </x:c>
      <x:c r="K536" s="35" t="str">
        <x:v>FAIL</x:v>
      </x:c>
      <x:c r="L536" s="35" t="str">
        <x:v>NOT_RUN</x:v>
      </x:c>
      <x:c r="M536" s="35" t="str">
        <x:v>coverage unavailable or execution/compile failed</x:v>
      </x:c>
      <x:c r="N536" s="35" t="str">
        <x:v>Gemini-3.8-flash/Result/Jsoup_33/result.json</x:v>
      </x:c>
      <x:c r="O536" s="39" t="str">
        <x:f>IF(AND(G536="RECORDED",ISNUMBER(H536)),H536,"")</x:f>
      </x:c>
      <x:c r="P536" s="35" t="str">
        <x:v>NOT_AVAILABLE</x:v>
      </x:c>
      <x:c r="Q536" s="35" t="str">
        <x:v>Gemini-3.8-flash/Result/Jsoup_33/result.json</x:v>
      </x:c>
    </x:row>
    <x:row r="537">
      <x:c r="A537" s="35" t="str">
        <x:v>gemini</x:v>
      </x:c>
      <x:c r="B537" s="35" t="str">
        <x:v>Jsoup</x:v>
      </x:c>
      <x:c r="C537" s="35" t="str">
        <x:v>Round1</x:v>
      </x:c>
      <x:c r="D537" s="35" t="str">
        <x:v>Jsoup_34</x:v>
      </x:c>
      <x:c r="E537" s="35" t="str">
        <x:v>Line</x:v>
      </x:c>
      <x:c r="F537" s="35"/>
      <x:c r="G537" s="35" t="str">
        <x:v>A</x:v>
      </x:c>
      <x:c r="H537" s="39" t="str">
        <x:f>IF(ISNUMBER('Data'!E537),'Data'!E537*100,"")</x:f>
      </x:c>
      <x:c r="I537" s="35"/>
      <x:c r="J537" s="35" t="str">
        <x:v>PASS</x:v>
      </x:c>
      <x:c r="K537" s="35" t="str">
        <x:v>FAIL</x:v>
      </x:c>
      <x:c r="L537" s="35" t="str">
        <x:v>NOT_RUN</x:v>
      </x:c>
      <x:c r="M537" s="35" t="str">
        <x:v>coverage unavailable or execution/compile failed</x:v>
      </x:c>
      <x:c r="N537" s="35" t="str">
        <x:v>Gemini-3.8-flash/Result/Jsoup_34/result.json</x:v>
      </x:c>
      <x:c r="O537" s="39" t="str">
        <x:f>IF(AND(G537="RECORDED",ISNUMBER(H537)),H537,"")</x:f>
      </x:c>
      <x:c r="P537" s="35" t="str">
        <x:v>NOT_AVAILABLE</x:v>
      </x:c>
      <x:c r="Q537" s="35" t="str">
        <x:v>Gemini-3.8-flash/Result/Jsoup_34/result.json</x:v>
      </x:c>
    </x:row>
    <x:row r="538">
      <x:c r="A538" s="35" t="str">
        <x:v>gemini</x:v>
      </x:c>
      <x:c r="B538" s="35" t="str">
        <x:v>Jsoup</x:v>
      </x:c>
      <x:c r="C538" s="35" t="str">
        <x:v>Round1</x:v>
      </x:c>
      <x:c r="D538" s="35" t="str">
        <x:v>Jsoup_35</x:v>
      </x:c>
      <x:c r="E538" s="35" t="str">
        <x:v>Line</x:v>
      </x:c>
      <x:c r="F538" s="35"/>
      <x:c r="G538" s="35" t="str">
        <x:v>A</x:v>
      </x:c>
      <x:c r="H538" s="39" t="str">
        <x:f>IF(ISNUMBER('Data'!E538),'Data'!E538*100,"")</x:f>
      </x:c>
      <x:c r="I538" s="35"/>
      <x:c r="J538" s="35" t="str">
        <x:v>PASS</x:v>
      </x:c>
      <x:c r="K538" s="35" t="str">
        <x:v>FAIL</x:v>
      </x:c>
      <x:c r="L538" s="35" t="str">
        <x:v>NOT_RUN</x:v>
      </x:c>
      <x:c r="M538" s="35" t="str">
        <x:v>coverage unavailable or execution/compile failed</x:v>
      </x:c>
      <x:c r="N538" s="35" t="str">
        <x:v>Gemini-3.8-flash/Result/Jsoup_35/result.json</x:v>
      </x:c>
      <x:c r="O538" s="39" t="str">
        <x:f>IF(AND(G538="RECORDED",ISNUMBER(H538)),H538,"")</x:f>
      </x:c>
      <x:c r="P538" s="35" t="str">
        <x:v>NOT_AVAILABLE</x:v>
      </x:c>
      <x:c r="Q538" s="35" t="str">
        <x:v>Gemini-3.8-flash/Result/Jsoup_35/result.json</x:v>
      </x:c>
    </x:row>
    <x:row r="539">
      <x:c r="A539" s="35" t="str">
        <x:v>gemini</x:v>
      </x:c>
      <x:c r="B539" s="35" t="str">
        <x:v>Jsoup</x:v>
      </x:c>
      <x:c r="C539" s="35" t="str">
        <x:v>Round1</x:v>
      </x:c>
      <x:c r="D539" s="35" t="str">
        <x:v>Jsoup_36</x:v>
      </x:c>
      <x:c r="E539" s="35" t="str">
        <x:v>Line</x:v>
      </x:c>
      <x:c r="F539" s="35"/>
      <x:c r="G539" s="35" t="str">
        <x:v>A</x:v>
      </x:c>
      <x:c r="H539" s="39" t="str">
        <x:f>IF(ISNUMBER('Data'!E539),'Data'!E539*100,"")</x:f>
      </x:c>
      <x:c r="I539" s="35"/>
      <x:c r="J539" s="35" t="str">
        <x:v>PASS</x:v>
      </x:c>
      <x:c r="K539" s="35" t="str">
        <x:v>FAIL</x:v>
      </x:c>
      <x:c r="L539" s="35" t="str">
        <x:v>NOT_RUN</x:v>
      </x:c>
      <x:c r="M539" s="35" t="str">
        <x:v>coverage unavailable or execution/compile failed</x:v>
      </x:c>
      <x:c r="N539" s="35" t="str">
        <x:v>Gemini-3.8-flash/Result/Jsoup_36/result.json</x:v>
      </x:c>
      <x:c r="O539" s="39" t="str">
        <x:f>IF(AND(G539="RECORDED",ISNUMBER(H539)),H539,"")</x:f>
      </x:c>
      <x:c r="P539" s="35" t="str">
        <x:v>NOT_AVAILABLE</x:v>
      </x:c>
      <x:c r="Q539" s="35" t="str">
        <x:v>Gemini-3.8-flash/Result/Jsoup_36/result.json</x:v>
      </x:c>
    </x:row>
    <x:row r="540">
      <x:c r="A540" s="35" t="str">
        <x:v>gemini</x:v>
      </x:c>
      <x:c r="B540" s="35" t="str">
        <x:v>Jsoup</x:v>
      </x:c>
      <x:c r="C540" s="35" t="str">
        <x:v>Round1</x:v>
      </x:c>
      <x:c r="D540" s="35" t="str">
        <x:v>Jsoup_37</x:v>
      </x:c>
      <x:c r="E540" s="35" t="str">
        <x:v>Line</x:v>
      </x:c>
      <x:c r="F540" s="35" t="n">
        <x:v>307</x:v>
      </x:c>
      <x:c r="G540" s="35" t="str">
        <x:v>RECORDED</x:v>
      </x:c>
      <x:c r="H540" s="39" t="n">
        <x:f>IF(ISNUMBER('Data'!E540),'Data'!E540*100,"")</x:f>
        <x:v>96.09</x:v>
      </x:c>
      <x:c r="I540" s="35" t="str">
        <x:v>PASS</x:v>
      </x:c>
      <x:c r="J540" s="35" t="str">
        <x:v>PASS</x:v>
      </x:c>
      <x:c r="K540" s="35" t="str">
        <x:v>PASS</x:v>
      </x:c>
      <x:c r="L540" s="35" t="str">
        <x:v>FAIL</x:v>
      </x:c>
      <x:c r="M540" s="35" t="str">
        <x:v>numeric coverage for applicable metric</x:v>
      </x:c>
      <x:c r="N540" s="35" t="str">
        <x:v>Gemini-3.8-flash/Result/Jsoup_37/result.json</x:v>
      </x:c>
      <x:c r="O540" s="39" t="n">
        <x:f>IF(AND(G540="RECORDED",ISNUMBER(H540)),H540,"")</x:f>
        <x:v>96.09</x:v>
      </x:c>
      <x:c r="P540" s="35" t="str">
        <x:v>INCONCLUSIVE</x:v>
      </x:c>
      <x:c r="Q540" s="35" t="str">
        <x:v>Gemini-3.8-flash/Result/Jsoup_37/result.json</x:v>
      </x:c>
    </x:row>
    <x:row r="541">
      <x:c r="A541" s="35" t="str">
        <x:v>gemini</x:v>
      </x:c>
      <x:c r="B541" s="35" t="str">
        <x:v>Jsoup</x:v>
      </x:c>
      <x:c r="C541" s="35" t="str">
        <x:v>Round1</x:v>
      </x:c>
      <x:c r="D541" s="35" t="str">
        <x:v>Jsoup_38</x:v>
      </x:c>
      <x:c r="E541" s="35" t="str">
        <x:v>Line</x:v>
      </x:c>
      <x:c r="F541" s="35"/>
      <x:c r="G541" s="35" t="str">
        <x:v>A</x:v>
      </x:c>
      <x:c r="H541" s="39" t="str">
        <x:f>IF(ISNUMBER('Data'!E541),'Data'!E541*100,"")</x:f>
      </x:c>
      <x:c r="I541" s="35"/>
      <x:c r="J541" s="35" t="str">
        <x:v>PASS</x:v>
      </x:c>
      <x:c r="K541" s="35" t="str">
        <x:v>FAIL</x:v>
      </x:c>
      <x:c r="L541" s="35" t="str">
        <x:v>NOT_RUN</x:v>
      </x:c>
      <x:c r="M541" s="35" t="str">
        <x:v>coverage unavailable or execution/compile failed</x:v>
      </x:c>
      <x:c r="N541" s="35" t="str">
        <x:v>Gemini-3.8-flash/Result/Jsoup_38/result.json</x:v>
      </x:c>
      <x:c r="O541" s="39" t="str">
        <x:f>IF(AND(G541="RECORDED",ISNUMBER(H541)),H541,"")</x:f>
      </x:c>
      <x:c r="P541" s="35" t="str">
        <x:v>NOT_AVAILABLE</x:v>
      </x:c>
      <x:c r="Q541" s="35" t="str">
        <x:v>Gemini-3.8-flash/Result/Jsoup_38/result.json</x:v>
      </x:c>
    </x:row>
    <x:row r="542">
      <x:c r="A542" s="35" t="str">
        <x:v>gemini</x:v>
      </x:c>
      <x:c r="B542" s="35" t="str">
        <x:v>Jsoup</x:v>
      </x:c>
      <x:c r="C542" s="35" t="str">
        <x:v>Round1</x:v>
      </x:c>
      <x:c r="D542" s="35" t="str">
        <x:v>Jsoup_39</x:v>
      </x:c>
      <x:c r="E542" s="35" t="str">
        <x:v>Line</x:v>
      </x:c>
      <x:c r="F542" s="35" t="n">
        <x:v>75</x:v>
      </x:c>
      <x:c r="G542" s="35" t="str">
        <x:v>RECORDED</x:v>
      </x:c>
      <x:c r="H542" s="39" t="n">
        <x:f>IF(ISNUMBER('Data'!E542),'Data'!E542*100,"")</x:f>
        <x:v>97.33</x:v>
      </x:c>
      <x:c r="I542" s="35" t="str">
        <x:v>PASS</x:v>
      </x:c>
      <x:c r="J542" s="35" t="str">
        <x:v>PASS</x:v>
      </x:c>
      <x:c r="K542" s="35" t="str">
        <x:v>PASS</x:v>
      </x:c>
      <x:c r="L542" s="35" t="str">
        <x:v>PASS</x:v>
      </x:c>
      <x:c r="M542" s="35" t="str">
        <x:v>numeric coverage for applicable metric</x:v>
      </x:c>
      <x:c r="N542" s="35" t="str">
        <x:v>Gemini-3.8-flash/Result/Jsoup_39/result.json</x:v>
      </x:c>
      <x:c r="O542" s="39" t="n">
        <x:f>IF(AND(G542="RECORDED",ISNUMBER(H542)),H542,"")</x:f>
        <x:v>97.33</x:v>
      </x:c>
      <x:c r="P542" s="35" t="str">
        <x:v>NOT_REVEALING</x:v>
      </x:c>
      <x:c r="Q542" s="35" t="str">
        <x:v>Gemini-3.8-flash/Result/Jsoup_39/result.json</x:v>
      </x:c>
    </x:row>
    <x:row r="543">
      <x:c r="A543" s="35" t="str">
        <x:v>gemini</x:v>
      </x:c>
      <x:c r="B543" s="35" t="str">
        <x:v>Jsoup</x:v>
      </x:c>
      <x:c r="C543" s="35" t="str">
        <x:v>Round1</x:v>
      </x:c>
      <x:c r="D543" s="35" t="str">
        <x:v>Jsoup_4</x:v>
      </x:c>
      <x:c r="E543" s="35" t="str">
        <x:v>Line</x:v>
      </x:c>
      <x:c r="F543" s="35"/>
      <x:c r="G543" s="35" t="str">
        <x:v>A</x:v>
      </x:c>
      <x:c r="H543" s="39" t="str">
        <x:f>IF(ISNUMBER('Data'!E543),'Data'!E543*100,"")</x:f>
      </x:c>
      <x:c r="I543" s="35"/>
      <x:c r="J543" s="35" t="str">
        <x:v>PASS</x:v>
      </x:c>
      <x:c r="K543" s="35" t="str">
        <x:v>FAIL</x:v>
      </x:c>
      <x:c r="L543" s="35" t="str">
        <x:v>NOT_RUN</x:v>
      </x:c>
      <x:c r="M543" s="35" t="str">
        <x:v>coverage unavailable or execution/compile failed</x:v>
      </x:c>
      <x:c r="N543" s="35" t="str">
        <x:v>Gemini-3.8-flash/Result/Jsoup_4/result.json</x:v>
      </x:c>
      <x:c r="O543" s="39" t="str">
        <x:f>IF(AND(G543="RECORDED",ISNUMBER(H543)),H543,"")</x:f>
      </x:c>
      <x:c r="P543" s="35" t="str">
        <x:v>NOT_AVAILABLE</x:v>
      </x:c>
      <x:c r="Q543" s="35" t="str">
        <x:v>Gemini-3.8-flash/Result/Jsoup_4/result.json</x:v>
      </x:c>
    </x:row>
    <x:row r="544">
      <x:c r="A544" s="35" t="str">
        <x:v>gemini</x:v>
      </x:c>
      <x:c r="B544" s="35" t="str">
        <x:v>Jsoup</x:v>
      </x:c>
      <x:c r="C544" s="35" t="str">
        <x:v>Round1</x:v>
      </x:c>
      <x:c r="D544" s="35" t="str">
        <x:v>Jsoup_40</x:v>
      </x:c>
      <x:c r="E544" s="35" t="str">
        <x:v>Line</x:v>
      </x:c>
      <x:c r="F544" s="35" t="n">
        <x:v>17</x:v>
      </x:c>
      <x:c r="G544" s="35" t="str">
        <x:v>RECORDED</x:v>
      </x:c>
      <x:c r="H544" s="39" t="n">
        <x:f>IF(ISNUMBER('Data'!E544),'Data'!E544*100,"")</x:f>
        <x:v>100</x:v>
      </x:c>
      <x:c r="I544" s="35" t="str">
        <x:v>PASS</x:v>
      </x:c>
      <x:c r="J544" s="35" t="str">
        <x:v>PASS</x:v>
      </x:c>
      <x:c r="K544" s="35" t="str">
        <x:v>PASS</x:v>
      </x:c>
      <x:c r="L544" s="35" t="str">
        <x:v>FAIL</x:v>
      </x:c>
      <x:c r="M544" s="35" t="str">
        <x:v>numeric coverage for applicable metric</x:v>
      </x:c>
      <x:c r="N544" s="35" t="str">
        <x:v>Gemini-3.8-flash/Result/Jsoup_40/result.json</x:v>
      </x:c>
      <x:c r="O544" s="39" t="n">
        <x:f>IF(AND(G544="RECORDED",ISNUMBER(H544)),H544,"")</x:f>
        <x:v>100</x:v>
      </x:c>
      <x:c r="P544" s="35" t="str">
        <x:v>INCONCLUSIVE</x:v>
      </x:c>
      <x:c r="Q544" s="35" t="str">
        <x:v>Gemini-3.8-flash/Result/Jsoup_40/result.json</x:v>
      </x:c>
    </x:row>
    <x:row r="545">
      <x:c r="A545" s="35" t="str">
        <x:v>gemini</x:v>
      </x:c>
      <x:c r="B545" s="35" t="str">
        <x:v>Jsoup</x:v>
      </x:c>
      <x:c r="C545" s="35" t="str">
        <x:v>Round1</x:v>
      </x:c>
      <x:c r="D545" s="35" t="str">
        <x:v>Jsoup_41</x:v>
      </x:c>
      <x:c r="E545" s="35" t="str">
        <x:v>Line</x:v>
      </x:c>
      <x:c r="F545" s="35"/>
      <x:c r="G545" s="35" t="str">
        <x:v>A</x:v>
      </x:c>
      <x:c r="H545" s="39" t="str">
        <x:f>IF(ISNUMBER('Data'!E545),'Data'!E545*100,"")</x:f>
      </x:c>
      <x:c r="I545" s="35"/>
      <x:c r="J545" s="35" t="str">
        <x:v>PASS</x:v>
      </x:c>
      <x:c r="K545" s="35" t="str">
        <x:v>FAIL</x:v>
      </x:c>
      <x:c r="L545" s="35" t="str">
        <x:v>NOT_RUN</x:v>
      </x:c>
      <x:c r="M545" s="35" t="str">
        <x:v>coverage unavailable or execution/compile failed</x:v>
      </x:c>
      <x:c r="N545" s="35" t="str">
        <x:v>Gemini-3.8-flash/Result/Jsoup_41/result.json</x:v>
      </x:c>
      <x:c r="O545" s="39" t="str">
        <x:f>IF(AND(G545="RECORDED",ISNUMBER(H545)),H545,"")</x:f>
      </x:c>
      <x:c r="P545" s="35" t="str">
        <x:v>NOT_AVAILABLE</x:v>
      </x:c>
      <x:c r="Q545" s="35" t="str">
        <x:v>Gemini-3.8-flash/Result/Jsoup_41/result.json</x:v>
      </x:c>
    </x:row>
    <x:row r="546">
      <x:c r="A546" s="35" t="str">
        <x:v>gemini</x:v>
      </x:c>
      <x:c r="B546" s="35" t="str">
        <x:v>Jsoup</x:v>
      </x:c>
      <x:c r="C546" s="35" t="str">
        <x:v>Round1</x:v>
      </x:c>
      <x:c r="D546" s="35" t="str">
        <x:v>Jsoup_42</x:v>
      </x:c>
      <x:c r="E546" s="35" t="str">
        <x:v>Line</x:v>
      </x:c>
      <x:c r="F546" s="35" t="n">
        <x:v>40</x:v>
      </x:c>
      <x:c r="G546" s="35" t="str">
        <x:v>RECORDED</x:v>
      </x:c>
      <x:c r="H546" s="39" t="n">
        <x:f>IF(ISNUMBER('Data'!E546),'Data'!E546*100,"")</x:f>
        <x:v>100</x:v>
      </x:c>
      <x:c r="I546" s="35" t="str">
        <x:v>PASS</x:v>
      </x:c>
      <x:c r="J546" s="35" t="str">
        <x:v>PASS</x:v>
      </x:c>
      <x:c r="K546" s="35" t="str">
        <x:v>PASS</x:v>
      </x:c>
      <x:c r="L546" s="35" t="str">
        <x:v>PASS</x:v>
      </x:c>
      <x:c r="M546" s="35" t="str">
        <x:v>numeric coverage for applicable metric</x:v>
      </x:c>
      <x:c r="N546" s="35" t="str">
        <x:v>Gemini-3.8-flash/Result/Jsoup_42/result.json</x:v>
      </x:c>
      <x:c r="O546" s="39" t="n">
        <x:f>IF(AND(G546="RECORDED",ISNUMBER(H546)),H546,"")</x:f>
        <x:v>100</x:v>
      </x:c>
      <x:c r="P546" s="35" t="str">
        <x:v>NOT_REVEALING</x:v>
      </x:c>
      <x:c r="Q546" s="35" t="str">
        <x:v>Gemini-3.8-flash/Result/Jsoup_42/result.json</x:v>
      </x:c>
    </x:row>
    <x:row r="547">
      <x:c r="A547" s="35" t="str">
        <x:v>gemini</x:v>
      </x:c>
      <x:c r="B547" s="35" t="str">
        <x:v>Jsoup</x:v>
      </x:c>
      <x:c r="C547" s="35" t="str">
        <x:v>Round1</x:v>
      </x:c>
      <x:c r="D547" s="35" t="str">
        <x:v>Jsoup_43</x:v>
      </x:c>
      <x:c r="E547" s="35" t="str">
        <x:v>Line</x:v>
      </x:c>
      <x:c r="F547" s="35"/>
      <x:c r="G547" s="35" t="str">
        <x:v>A</x:v>
      </x:c>
      <x:c r="H547" s="39" t="str">
        <x:f>IF(ISNUMBER('Data'!E547),'Data'!E547*100,"")</x:f>
      </x:c>
      <x:c r="I547" s="35"/>
      <x:c r="J547" s="35" t="str">
        <x:v>PASS</x:v>
      </x:c>
      <x:c r="K547" s="35" t="str">
        <x:v>FAIL</x:v>
      </x:c>
      <x:c r="L547" s="35" t="str">
        <x:v>NOT_RUN</x:v>
      </x:c>
      <x:c r="M547" s="35" t="str">
        <x:v>coverage unavailable or execution/compile failed</x:v>
      </x:c>
      <x:c r="N547" s="35" t="str">
        <x:v>Gemini-3.8-flash/Result/Jsoup_43/result.json</x:v>
      </x:c>
      <x:c r="O547" s="39" t="str">
        <x:f>IF(AND(G547="RECORDED",ISNUMBER(H547)),H547,"")</x:f>
      </x:c>
      <x:c r="P547" s="35" t="str">
        <x:v>NOT_AVAILABLE</x:v>
      </x:c>
      <x:c r="Q547" s="35" t="str">
        <x:v>Gemini-3.8-flash/Result/Jsoup_43/result.json</x:v>
      </x:c>
    </x:row>
    <x:row r="548">
      <x:c r="A548" s="35" t="str">
        <x:v>gemini</x:v>
      </x:c>
      <x:c r="B548" s="35" t="str">
        <x:v>Jsoup</x:v>
      </x:c>
      <x:c r="C548" s="35" t="str">
        <x:v>Round1</x:v>
      </x:c>
      <x:c r="D548" s="35" t="str">
        <x:v>Jsoup_44</x:v>
      </x:c>
      <x:c r="E548" s="35" t="str">
        <x:v>Line</x:v>
      </x:c>
      <x:c r="F548" s="35"/>
      <x:c r="G548" s="35" t="str">
        <x:v>A</x:v>
      </x:c>
      <x:c r="H548" s="39" t="str">
        <x:f>IF(ISNUMBER('Data'!E548),'Data'!E548*100,"")</x:f>
      </x:c>
      <x:c r="I548" s="35"/>
      <x:c r="J548" s="35" t="str">
        <x:v>PASS</x:v>
      </x:c>
      <x:c r="K548" s="35" t="str">
        <x:v>FAIL</x:v>
      </x:c>
      <x:c r="L548" s="35" t="str">
        <x:v>NOT_RUN</x:v>
      </x:c>
      <x:c r="M548" s="35" t="str">
        <x:v>coverage unavailable or execution/compile failed</x:v>
      </x:c>
      <x:c r="N548" s="35" t="str">
        <x:v>Gemini-3.8-flash/Result/Jsoup_44/result.json</x:v>
      </x:c>
      <x:c r="O548" s="39" t="str">
        <x:f>IF(AND(G548="RECORDED",ISNUMBER(H548)),H548,"")</x:f>
      </x:c>
      <x:c r="P548" s="35" t="str">
        <x:v>NOT_AVAILABLE</x:v>
      </x:c>
      <x:c r="Q548" s="35" t="str">
        <x:v>Gemini-3.8-flash/Result/Jsoup_44/result.json</x:v>
      </x:c>
    </x:row>
    <x:row r="549">
      <x:c r="A549" s="35" t="str">
        <x:v>gemini</x:v>
      </x:c>
      <x:c r="B549" s="35" t="str">
        <x:v>Jsoup</x:v>
      </x:c>
      <x:c r="C549" s="35" t="str">
        <x:v>Round1</x:v>
      </x:c>
      <x:c r="D549" s="35" t="str">
        <x:v>Jsoup_45</x:v>
      </x:c>
      <x:c r="E549" s="35" t="str">
        <x:v>Line</x:v>
      </x:c>
      <x:c r="F549" s="35"/>
      <x:c r="G549" s="35" t="str">
        <x:v>A</x:v>
      </x:c>
      <x:c r="H549" s="39" t="str">
        <x:f>IF(ISNUMBER('Data'!E549),'Data'!E549*100,"")</x:f>
      </x:c>
      <x:c r="I549" s="35"/>
      <x:c r="J549" s="35" t="str">
        <x:v>PASS</x:v>
      </x:c>
      <x:c r="K549" s="35" t="str">
        <x:v>FAIL</x:v>
      </x:c>
      <x:c r="L549" s="35" t="str">
        <x:v>NOT_RUN</x:v>
      </x:c>
      <x:c r="M549" s="35" t="str">
        <x:v>coverage unavailable or execution/compile failed</x:v>
      </x:c>
      <x:c r="N549" s="35" t="str">
        <x:v>Gemini-3.8-flash/Result/Jsoup_45/result.json</x:v>
      </x:c>
      <x:c r="O549" s="39" t="str">
        <x:f>IF(AND(G549="RECORDED",ISNUMBER(H549)),H549,"")</x:f>
      </x:c>
      <x:c r="P549" s="35" t="str">
        <x:v>NOT_AVAILABLE</x:v>
      </x:c>
      <x:c r="Q549" s="35" t="str">
        <x:v>Gemini-3.8-flash/Result/Jsoup_45/result.json</x:v>
      </x:c>
    </x:row>
    <x:row r="550">
      <x:c r="A550" s="35" t="str">
        <x:v>gemini</x:v>
      </x:c>
      <x:c r="B550" s="35" t="str">
        <x:v>Jsoup</x:v>
      </x:c>
      <x:c r="C550" s="35" t="str">
        <x:v>Round1</x:v>
      </x:c>
      <x:c r="D550" s="35" t="str">
        <x:v>Jsoup_46</x:v>
      </x:c>
      <x:c r="E550" s="35" t="str">
        <x:v>Line</x:v>
      </x:c>
      <x:c r="F550" s="35" t="n">
        <x:v>118</x:v>
      </x:c>
      <x:c r="G550" s="35" t="str">
        <x:v>RECORDED</x:v>
      </x:c>
      <x:c r="H550" s="39" t="n">
        <x:f>IF(ISNUMBER('Data'!E550),'Data'!E550*100,"")</x:f>
        <x:v>98.31</x:v>
      </x:c>
      <x:c r="I550" s="35" t="str">
        <x:v>PASS</x:v>
      </x:c>
      <x:c r="J550" s="35" t="str">
        <x:v>PASS</x:v>
      </x:c>
      <x:c r="K550" s="35" t="str">
        <x:v>PASS</x:v>
      </x:c>
      <x:c r="L550" s="35" t="str">
        <x:v>PASS</x:v>
      </x:c>
      <x:c r="M550" s="35" t="str">
        <x:v>numeric coverage for applicable metric</x:v>
      </x:c>
      <x:c r="N550" s="35" t="str">
        <x:v>Gemini-3.8-flash/Result/Jsoup_46/result.json</x:v>
      </x:c>
      <x:c r="O550" s="39" t="n">
        <x:f>IF(AND(G550="RECORDED",ISNUMBER(H550)),H550,"")</x:f>
        <x:v>98.31</x:v>
      </x:c>
      <x:c r="P550" s="35" t="str">
        <x:v>INCONCLUSIVE</x:v>
      </x:c>
      <x:c r="Q550" s="35" t="str">
        <x:v>Gemini-3.8-flash/Result/Jsoup_46/result.json</x:v>
      </x:c>
    </x:row>
    <x:row r="551">
      <x:c r="A551" s="35" t="str">
        <x:v>gemini</x:v>
      </x:c>
      <x:c r="B551" s="35" t="str">
        <x:v>Jsoup</x:v>
      </x:c>
      <x:c r="C551" s="35" t="str">
        <x:v>Round1</x:v>
      </x:c>
      <x:c r="D551" s="35" t="str">
        <x:v>Jsoup_47</x:v>
      </x:c>
      <x:c r="E551" s="35" t="str">
        <x:v>Line</x:v>
      </x:c>
      <x:c r="F551" s="35" t="n">
        <x:v>118</x:v>
      </x:c>
      <x:c r="G551" s="35" t="str">
        <x:v>RECORDED</x:v>
      </x:c>
      <x:c r="H551" s="39" t="n">
        <x:f>IF(ISNUMBER('Data'!E551),'Data'!E551*100,"")</x:f>
        <x:v>97.46</x:v>
      </x:c>
      <x:c r="I551" s="35" t="str">
        <x:v>PASS</x:v>
      </x:c>
      <x:c r="J551" s="35" t="str">
        <x:v>PASS</x:v>
      </x:c>
      <x:c r="K551" s="35" t="str">
        <x:v>PASS</x:v>
      </x:c>
      <x:c r="L551" s="35" t="str">
        <x:v>PASS</x:v>
      </x:c>
      <x:c r="M551" s="35" t="str">
        <x:v>numeric coverage for applicable metric</x:v>
      </x:c>
      <x:c r="N551" s="35" t="str">
        <x:v>Gemini-3.8-flash/Result/Jsoup_47/result.json</x:v>
      </x:c>
      <x:c r="O551" s="39" t="n">
        <x:f>IF(AND(G551="RECORDED",ISNUMBER(H551)),H551,"")</x:f>
        <x:v>97.46</x:v>
      </x:c>
      <x:c r="P551" s="35" t="str">
        <x:v>NOT_REVEALING</x:v>
      </x:c>
      <x:c r="Q551" s="35" t="str">
        <x:v>Gemini-3.8-flash/Result/Jsoup_47/result.json</x:v>
      </x:c>
    </x:row>
    <x:row r="552">
      <x:c r="A552" s="35" t="str">
        <x:v>gemini</x:v>
      </x:c>
      <x:c r="B552" s="35" t="str">
        <x:v>Jsoup</x:v>
      </x:c>
      <x:c r="C552" s="35" t="str">
        <x:v>Round1</x:v>
      </x:c>
      <x:c r="D552" s="35" t="str">
        <x:v>Jsoup_48</x:v>
      </x:c>
      <x:c r="E552" s="35" t="str">
        <x:v>Line</x:v>
      </x:c>
      <x:c r="F552" s="35" t="n">
        <x:v>469</x:v>
      </x:c>
      <x:c r="G552" s="35" t="str">
        <x:v>RECORDED</x:v>
      </x:c>
      <x:c r="H552" s="39" t="n">
        <x:f>IF(ISNUMBER('Data'!E552),'Data'!E552*100,"")</x:f>
        <x:v>50.32</x:v>
      </x:c>
      <x:c r="I552" s="35" t="str">
        <x:v>PASS</x:v>
      </x:c>
      <x:c r="J552" s="35" t="str">
        <x:v>PASS</x:v>
      </x:c>
      <x:c r="K552" s="35" t="str">
        <x:v>PASS</x:v>
      </x:c>
      <x:c r="L552" s="35" t="str">
        <x:v>FAIL</x:v>
      </x:c>
      <x:c r="M552" s="35" t="str">
        <x:v>numeric coverage for applicable metric</x:v>
      </x:c>
      <x:c r="N552" s="35" t="str">
        <x:v>Gemini-3.8-flash/Result/Jsoup_48/result.json</x:v>
      </x:c>
      <x:c r="O552" s="39" t="n">
        <x:f>IF(AND(G552="RECORDED",ISNUMBER(H552)),H552,"")</x:f>
        <x:v>50.32</x:v>
      </x:c>
      <x:c r="P552" s="35" t="str">
        <x:v>INCONCLUSIVE</x:v>
      </x:c>
      <x:c r="Q552" s="35" t="str">
        <x:v>Gemini-3.8-flash/Result/Jsoup_48/result.json</x:v>
      </x:c>
    </x:row>
    <x:row r="553">
      <x:c r="A553" s="35" t="str">
        <x:v>gemini</x:v>
      </x:c>
      <x:c r="B553" s="35" t="str">
        <x:v>Jsoup</x:v>
      </x:c>
      <x:c r="C553" s="35" t="str">
        <x:v>Round1</x:v>
      </x:c>
      <x:c r="D553" s="35" t="str">
        <x:v>Jsoup_49</x:v>
      </x:c>
      <x:c r="E553" s="35" t="str">
        <x:v>Line</x:v>
      </x:c>
      <x:c r="F553" s="35"/>
      <x:c r="G553" s="35" t="str">
        <x:v>A</x:v>
      </x:c>
      <x:c r="H553" s="39" t="str">
        <x:f>IF(ISNUMBER('Data'!E553),'Data'!E553*100,"")</x:f>
      </x:c>
      <x:c r="I553" s="35"/>
      <x:c r="J553" s="35" t="str">
        <x:v>PASS</x:v>
      </x:c>
      <x:c r="K553" s="35" t="str">
        <x:v>FAIL</x:v>
      </x:c>
      <x:c r="L553" s="35" t="str">
        <x:v>NOT_RUN</x:v>
      </x:c>
      <x:c r="M553" s="35" t="str">
        <x:v>coverage unavailable or execution/compile failed</x:v>
      </x:c>
      <x:c r="N553" s="35" t="str">
        <x:v>Gemini-3.8-flash/Result/Jsoup_49/result.json</x:v>
      </x:c>
      <x:c r="O553" s="39" t="str">
        <x:f>IF(AND(G553="RECORDED",ISNUMBER(H553)),H553,"")</x:f>
      </x:c>
      <x:c r="P553" s="35" t="str">
        <x:v>NOT_AVAILABLE</x:v>
      </x:c>
      <x:c r="Q553" s="35" t="str">
        <x:v>Gemini-3.8-flash/Result/Jsoup_49/result.json</x:v>
      </x:c>
    </x:row>
    <x:row r="554">
      <x:c r="A554" s="35" t="str">
        <x:v>gemini</x:v>
      </x:c>
      <x:c r="B554" s="35" t="str">
        <x:v>Jsoup</x:v>
      </x:c>
      <x:c r="C554" s="35" t="str">
        <x:v>Round1</x:v>
      </x:c>
      <x:c r="D554" s="35" t="str">
        <x:v>Jsoup_5</x:v>
      </x:c>
      <x:c r="E554" s="35" t="str">
        <x:v>Line</x:v>
      </x:c>
      <x:c r="F554" s="35" t="n">
        <x:v>172</x:v>
      </x:c>
      <x:c r="G554" s="35" t="str">
        <x:v>RECORDED</x:v>
      </x:c>
      <x:c r="H554" s="39" t="n">
        <x:f>IF(ISNUMBER('Data'!E554),'Data'!E554*100,"")</x:f>
        <x:v>98.84</x:v>
      </x:c>
      <x:c r="I554" s="35" t="str">
        <x:v>PASS</x:v>
      </x:c>
      <x:c r="J554" s="35" t="str">
        <x:v>PASS</x:v>
      </x:c>
      <x:c r="K554" s="35" t="str">
        <x:v>PASS</x:v>
      </x:c>
      <x:c r="L554" s="35" t="str">
        <x:v>FAIL</x:v>
      </x:c>
      <x:c r="M554" s="35" t="str">
        <x:v>numeric coverage for applicable metric</x:v>
      </x:c>
      <x:c r="N554" s="35" t="str">
        <x:v>Gemini-3.8-flash/Result/Jsoup_5/result.json</x:v>
      </x:c>
      <x:c r="O554" s="39" t="n">
        <x:f>IF(AND(G554="RECORDED",ISNUMBER(H554)),H554,"")</x:f>
        <x:v>98.84</x:v>
      </x:c>
      <x:c r="P554" s="35" t="str">
        <x:v>INCONCLUSIVE</x:v>
      </x:c>
      <x:c r="Q554" s="35" t="str">
        <x:v>Gemini-3.8-flash/Result/Jsoup_5/result.json</x:v>
      </x:c>
    </x:row>
    <x:row r="555">
      <x:c r="A555" s="35" t="str">
        <x:v>gemini</x:v>
      </x:c>
      <x:c r="B555" s="35" t="str">
        <x:v>Jsoup</x:v>
      </x:c>
      <x:c r="C555" s="35" t="str">
        <x:v>Round1</x:v>
      </x:c>
      <x:c r="D555" s="35" t="str">
        <x:v>Jsoup_50</x:v>
      </x:c>
      <x:c r="E555" s="35" t="str">
        <x:v>Line</x:v>
      </x:c>
      <x:c r="F555" s="35"/>
      <x:c r="G555" s="35" t="str">
        <x:v>A</x:v>
      </x:c>
      <x:c r="H555" s="39" t="str">
        <x:f>IF(ISNUMBER('Data'!E555),'Data'!E555*100,"")</x:f>
      </x:c>
      <x:c r="I555" s="35"/>
      <x:c r="J555" s="35" t="str">
        <x:v>PASS</x:v>
      </x:c>
      <x:c r="K555" s="35" t="str">
        <x:v>FAIL</x:v>
      </x:c>
      <x:c r="L555" s="35" t="str">
        <x:v>NOT_RUN</x:v>
      </x:c>
      <x:c r="M555" s="35" t="str">
        <x:v>coverage unavailable or execution/compile failed</x:v>
      </x:c>
      <x:c r="N555" s="35" t="str">
        <x:v>Gemini-3.8-flash/Result/Jsoup_50/result.json</x:v>
      </x:c>
      <x:c r="O555" s="39" t="str">
        <x:f>IF(AND(G555="RECORDED",ISNUMBER(H555)),H555,"")</x:f>
      </x:c>
      <x:c r="P555" s="35" t="str">
        <x:v>NOT_AVAILABLE</x:v>
      </x:c>
      <x:c r="Q555" s="35" t="str">
        <x:v>Gemini-3.8-flash/Result/Jsoup_50/result.json</x:v>
      </x:c>
    </x:row>
    <x:row r="556">
      <x:c r="A556" s="35" t="str">
        <x:v>gemini</x:v>
      </x:c>
      <x:c r="B556" s="35" t="str">
        <x:v>Jsoup</x:v>
      </x:c>
      <x:c r="C556" s="35" t="str">
        <x:v>Round1</x:v>
      </x:c>
      <x:c r="D556" s="35" t="str">
        <x:v>Jsoup_51</x:v>
      </x:c>
      <x:c r="E556" s="35" t="str">
        <x:v>Line</x:v>
      </x:c>
      <x:c r="F556" s="35" t="n">
        <x:v>195</x:v>
      </x:c>
      <x:c r="G556" s="35" t="str">
        <x:v>RECORDED</x:v>
      </x:c>
      <x:c r="H556" s="39" t="n">
        <x:f>IF(ISNUMBER('Data'!E556),'Data'!E556*100,"")</x:f>
        <x:v>100</x:v>
      </x:c>
      <x:c r="I556" s="35" t="str">
        <x:v>PASS</x:v>
      </x:c>
      <x:c r="J556" s="35" t="str">
        <x:v>PASS</x:v>
      </x:c>
      <x:c r="K556" s="35" t="str">
        <x:v>PASS</x:v>
      </x:c>
      <x:c r="L556" s="35" t="str">
        <x:v>FAIL</x:v>
      </x:c>
      <x:c r="M556" s="35" t="str">
        <x:v>numeric coverage for applicable metric</x:v>
      </x:c>
      <x:c r="N556" s="35" t="str">
        <x:v>Gemini-3.8-flash/Result/Jsoup_51/result.json</x:v>
      </x:c>
      <x:c r="O556" s="39" t="n">
        <x:f>IF(AND(G556="RECORDED",ISNUMBER(H556)),H556,"")</x:f>
        <x:v>100</x:v>
      </x:c>
      <x:c r="P556" s="35" t="str">
        <x:v>INCONCLUSIVE</x:v>
      </x:c>
      <x:c r="Q556" s="35" t="str">
        <x:v>Gemini-3.8-flash/Result/Jsoup_51/result.json</x:v>
      </x:c>
    </x:row>
    <x:row r="557">
      <x:c r="A557" s="35" t="str">
        <x:v>gemini</x:v>
      </x:c>
      <x:c r="B557" s="35" t="str">
        <x:v>Jsoup</x:v>
      </x:c>
      <x:c r="C557" s="35" t="str">
        <x:v>Round1</x:v>
      </x:c>
      <x:c r="D557" s="35" t="str">
        <x:v>Jsoup_52</x:v>
      </x:c>
      <x:c r="E557" s="35" t="str">
        <x:v>Line</x:v>
      </x:c>
      <x:c r="F557" s="35"/>
      <x:c r="G557" s="35" t="str">
        <x:v>A</x:v>
      </x:c>
      <x:c r="H557" s="39" t="str">
        <x:f>IF(ISNUMBER('Data'!E557),'Data'!E557*100,"")</x:f>
      </x:c>
      <x:c r="I557" s="35"/>
      <x:c r="J557" s="35" t="str">
        <x:v>PASS</x:v>
      </x:c>
      <x:c r="K557" s="35" t="str">
        <x:v>FAIL</x:v>
      </x:c>
      <x:c r="L557" s="35" t="str">
        <x:v>NOT_RUN</x:v>
      </x:c>
      <x:c r="M557" s="35" t="str">
        <x:v>coverage unavailable or execution/compile failed</x:v>
      </x:c>
      <x:c r="N557" s="35" t="str">
        <x:v>Gemini-3.8-flash/Result/Jsoup_52/result.json</x:v>
      </x:c>
      <x:c r="O557" s="39" t="str">
        <x:f>IF(AND(G557="RECORDED",ISNUMBER(H557)),H557,"")</x:f>
      </x:c>
      <x:c r="P557" s="35" t="str">
        <x:v>NOT_AVAILABLE</x:v>
      </x:c>
      <x:c r="Q557" s="35" t="str">
        <x:v>Gemini-3.8-flash/Result/Jsoup_52/result.json</x:v>
      </x:c>
    </x:row>
    <x:row r="558">
      <x:c r="A558" s="35" t="str">
        <x:v>gemini</x:v>
      </x:c>
      <x:c r="B558" s="35" t="str">
        <x:v>Jsoup</x:v>
      </x:c>
      <x:c r="C558" s="35" t="str">
        <x:v>Round1</x:v>
      </x:c>
      <x:c r="D558" s="35" t="str">
        <x:v>Jsoup_53</x:v>
      </x:c>
      <x:c r="E558" s="35" t="str">
        <x:v>Line</x:v>
      </x:c>
      <x:c r="F558" s="35" t="n">
        <x:v>130</x:v>
      </x:c>
      <x:c r="G558" s="35" t="str">
        <x:v>RECORDED</x:v>
      </x:c>
      <x:c r="H558" s="39" t="n">
        <x:f>IF(ISNUMBER('Data'!E558),'Data'!E558*100,"")</x:f>
        <x:v>99.23</x:v>
      </x:c>
      <x:c r="I558" s="35" t="str">
        <x:v>PASS</x:v>
      </x:c>
      <x:c r="J558" s="35" t="str">
        <x:v>PASS</x:v>
      </x:c>
      <x:c r="K558" s="35" t="str">
        <x:v>PASS</x:v>
      </x:c>
      <x:c r="L558" s="35" t="str">
        <x:v>FAIL</x:v>
      </x:c>
      <x:c r="M558" s="35" t="str">
        <x:v>numeric coverage for applicable metric</x:v>
      </x:c>
      <x:c r="N558" s="35" t="str">
        <x:v>Gemini-3.8-flash/Result/Jsoup_53/result.json</x:v>
      </x:c>
      <x:c r="O558" s="39" t="n">
        <x:f>IF(AND(G558="RECORDED",ISNUMBER(H558)),H558,"")</x:f>
        <x:v>99.23</x:v>
      </x:c>
      <x:c r="P558" s="35" t="str">
        <x:v>INCONCLUSIVE</x:v>
      </x:c>
      <x:c r="Q558" s="35" t="str">
        <x:v>Gemini-3.8-flash/Result/Jsoup_53/result.json</x:v>
      </x:c>
    </x:row>
    <x:row r="559">
      <x:c r="A559" s="35" t="str">
        <x:v>gemini</x:v>
      </x:c>
      <x:c r="B559" s="35" t="str">
        <x:v>Jsoup</x:v>
      </x:c>
      <x:c r="C559" s="35" t="str">
        <x:v>Round1</x:v>
      </x:c>
      <x:c r="D559" s="35" t="str">
        <x:v>Jsoup_54</x:v>
      </x:c>
      <x:c r="E559" s="35" t="str">
        <x:v>Line</x:v>
      </x:c>
      <x:c r="F559" s="35" t="n">
        <x:v>71</x:v>
      </x:c>
      <x:c r="G559" s="35" t="str">
        <x:v>RECORDED</x:v>
      </x:c>
      <x:c r="H559" s="39" t="n">
        <x:f>IF(ISNUMBER('Data'!E559),'Data'!E559*100,"")</x:f>
        <x:v>100</x:v>
      </x:c>
      <x:c r="I559" s="35" t="str">
        <x:v>PASS</x:v>
      </x:c>
      <x:c r="J559" s="35" t="str">
        <x:v>PASS</x:v>
      </x:c>
      <x:c r="K559" s="35" t="str">
        <x:v>PASS</x:v>
      </x:c>
      <x:c r="L559" s="35" t="str">
        <x:v>FAIL</x:v>
      </x:c>
      <x:c r="M559" s="35" t="str">
        <x:v>numeric coverage for applicable metric</x:v>
      </x:c>
      <x:c r="N559" s="35" t="str">
        <x:v>Gemini-3.8-flash/Result/Jsoup_54/result.json</x:v>
      </x:c>
      <x:c r="O559" s="39" t="n">
        <x:f>IF(AND(G559="RECORDED",ISNUMBER(H559)),H559,"")</x:f>
        <x:v>100</x:v>
      </x:c>
      <x:c r="P559" s="35" t="str">
        <x:v>INCONCLUSIVE</x:v>
      </x:c>
      <x:c r="Q559" s="35" t="str">
        <x:v>Gemini-3.8-flash/Result/Jsoup_54/result.json</x:v>
      </x:c>
    </x:row>
    <x:row r="560">
      <x:c r="A560" s="35" t="str">
        <x:v>gemini</x:v>
      </x:c>
      <x:c r="B560" s="35" t="str">
        <x:v>Jsoup</x:v>
      </x:c>
      <x:c r="C560" s="35" t="str">
        <x:v>Round1</x:v>
      </x:c>
      <x:c r="D560" s="35" t="str">
        <x:v>Jsoup_55</x:v>
      </x:c>
      <x:c r="E560" s="35" t="str">
        <x:v>Line</x:v>
      </x:c>
      <x:c r="F560" s="35"/>
      <x:c r="G560" s="35" t="str">
        <x:v>A</x:v>
      </x:c>
      <x:c r="H560" s="39" t="str">
        <x:f>IF(ISNUMBER('Data'!E560),'Data'!E560*100,"")</x:f>
      </x:c>
      <x:c r="I560" s="35"/>
      <x:c r="J560" s="35" t="str">
        <x:v>PASS</x:v>
      </x:c>
      <x:c r="K560" s="35" t="str">
        <x:v>FAIL</x:v>
      </x:c>
      <x:c r="L560" s="35" t="str">
        <x:v>NOT_RUN</x:v>
      </x:c>
      <x:c r="M560" s="35" t="str">
        <x:v>coverage unavailable or execution/compile failed</x:v>
      </x:c>
      <x:c r="N560" s="35" t="str">
        <x:v>Gemini-3.8-flash/Result/Jsoup_55/result.json</x:v>
      </x:c>
      <x:c r="O560" s="39" t="str">
        <x:f>IF(AND(G560="RECORDED",ISNUMBER(H560)),H560,"")</x:f>
      </x:c>
      <x:c r="P560" s="35" t="str">
        <x:v>NOT_AVAILABLE</x:v>
      </x:c>
      <x:c r="Q560" s="35" t="str">
        <x:v>Gemini-3.8-flash/Result/Jsoup_55/result.json</x:v>
      </x:c>
    </x:row>
    <x:row r="561">
      <x:c r="A561" s="35" t="str">
        <x:v>gemini</x:v>
      </x:c>
      <x:c r="B561" s="35" t="str">
        <x:v>Jsoup</x:v>
      </x:c>
      <x:c r="C561" s="35" t="str">
        <x:v>Round1</x:v>
      </x:c>
      <x:c r="D561" s="35" t="str">
        <x:v>Jsoup_56</x:v>
      </x:c>
      <x:c r="E561" s="35" t="str">
        <x:v>Line</x:v>
      </x:c>
      <x:c r="F561" s="35"/>
      <x:c r="G561" s="35" t="str">
        <x:v>A</x:v>
      </x:c>
      <x:c r="H561" s="39" t="str">
        <x:f>IF(ISNUMBER('Data'!E561),'Data'!E561*100,"")</x:f>
      </x:c>
      <x:c r="I561" s="35"/>
      <x:c r="J561" s="35" t="str">
        <x:v>PASS</x:v>
      </x:c>
      <x:c r="K561" s="35" t="str">
        <x:v>FAIL</x:v>
      </x:c>
      <x:c r="L561" s="35" t="str">
        <x:v>NOT_RUN</x:v>
      </x:c>
      <x:c r="M561" s="35" t="str">
        <x:v>coverage unavailable or execution/compile failed</x:v>
      </x:c>
      <x:c r="N561" s="35" t="str">
        <x:v>Gemini-3.8-flash/Result/Jsoup_56/result.json</x:v>
      </x:c>
      <x:c r="O561" s="39" t="str">
        <x:f>IF(AND(G561="RECORDED",ISNUMBER(H561)),H561,"")</x:f>
      </x:c>
      <x:c r="P561" s="35" t="str">
        <x:v>NOT_AVAILABLE</x:v>
      </x:c>
      <x:c r="Q561" s="35" t="str">
        <x:v>Gemini-3.8-flash/Result/Jsoup_56/result.json</x:v>
      </x:c>
    </x:row>
    <x:row r="562">
      <x:c r="A562" s="35" t="str">
        <x:v>gemini</x:v>
      </x:c>
      <x:c r="B562" s="35" t="str">
        <x:v>Jsoup</x:v>
      </x:c>
      <x:c r="C562" s="35" t="str">
        <x:v>Round1</x:v>
      </x:c>
      <x:c r="D562" s="35" t="str">
        <x:v>Jsoup_57</x:v>
      </x:c>
      <x:c r="E562" s="35" t="str">
        <x:v>Line</x:v>
      </x:c>
      <x:c r="F562" s="35" t="n">
        <x:v>127</x:v>
      </x:c>
      <x:c r="G562" s="35" t="str">
        <x:v>RECORDED</x:v>
      </x:c>
      <x:c r="H562" s="39" t="n">
        <x:f>IF(ISNUMBER('Data'!E562),'Data'!E562*100,"")</x:f>
        <x:v>96.85</x:v>
      </x:c>
      <x:c r="I562" s="35" t="str">
        <x:v>PASS</x:v>
      </x:c>
      <x:c r="J562" s="35" t="str">
        <x:v>PASS</x:v>
      </x:c>
      <x:c r="K562" s="35" t="str">
        <x:v>PASS</x:v>
      </x:c>
      <x:c r="L562" s="35" t="str">
        <x:v>PASS</x:v>
      </x:c>
      <x:c r="M562" s="35" t="str">
        <x:v>numeric coverage for applicable metric</x:v>
      </x:c>
      <x:c r="N562" s="35" t="str">
        <x:v>Gemini-3.8-flash/Result/Jsoup_57/result.json</x:v>
      </x:c>
      <x:c r="O562" s="39" t="n">
        <x:f>IF(AND(G562="RECORDED",ISNUMBER(H562)),H562,"")</x:f>
        <x:v>96.85</x:v>
      </x:c>
      <x:c r="P562" s="35" t="str">
        <x:v>NOT_REVEALING</x:v>
      </x:c>
      <x:c r="Q562" s="35" t="str">
        <x:v>Gemini-3.8-flash/Result/Jsoup_57/result.json</x:v>
      </x:c>
    </x:row>
    <x:row r="563">
      <x:c r="A563" s="35" t="str">
        <x:v>gemini</x:v>
      </x:c>
      <x:c r="B563" s="35" t="str">
        <x:v>Jsoup</x:v>
      </x:c>
      <x:c r="C563" s="35" t="str">
        <x:v>Round1</x:v>
      </x:c>
      <x:c r="D563" s="35" t="str">
        <x:v>Jsoup_58</x:v>
      </x:c>
      <x:c r="E563" s="35" t="str">
        <x:v>Line</x:v>
      </x:c>
      <x:c r="F563" s="35" t="n">
        <x:v>127</x:v>
      </x:c>
      <x:c r="G563" s="35" t="str">
        <x:v>RECORDED</x:v>
      </x:c>
      <x:c r="H563" s="39" t="n">
        <x:f>IF(ISNUMBER('Data'!E563),'Data'!E563*100,"")</x:f>
        <x:v>100</x:v>
      </x:c>
      <x:c r="I563" s="35" t="str">
        <x:v>PASS</x:v>
      </x:c>
      <x:c r="J563" s="35" t="str">
        <x:v>PASS</x:v>
      </x:c>
      <x:c r="K563" s="35" t="str">
        <x:v>PASS</x:v>
      </x:c>
      <x:c r="L563" s="35" t="str">
        <x:v>FAIL</x:v>
      </x:c>
      <x:c r="M563" s="35" t="str">
        <x:v>numeric coverage for applicable metric</x:v>
      </x:c>
      <x:c r="N563" s="35" t="str">
        <x:v>Gemini-3.8-flash/Result/Jsoup_58/result.json</x:v>
      </x:c>
      <x:c r="O563" s="39" t="n">
        <x:f>IF(AND(G563="RECORDED",ISNUMBER(H563)),H563,"")</x:f>
        <x:v>100</x:v>
      </x:c>
      <x:c r="P563" s="35" t="str">
        <x:v>INCONCLUSIVE</x:v>
      </x:c>
      <x:c r="Q563" s="35" t="str">
        <x:v>Gemini-3.8-flash/Result/Jsoup_58/result.json</x:v>
      </x:c>
    </x:row>
    <x:row r="564">
      <x:c r="A564" s="35" t="str">
        <x:v>gemini</x:v>
      </x:c>
      <x:c r="B564" s="35" t="str">
        <x:v>Jsoup</x:v>
      </x:c>
      <x:c r="C564" s="35" t="str">
        <x:v>Round1</x:v>
      </x:c>
      <x:c r="D564" s="35" t="str">
        <x:v>Jsoup_59</x:v>
      </x:c>
      <x:c r="E564" s="35" t="str">
        <x:v>Line</x:v>
      </x:c>
      <x:c r="F564" s="35" t="n">
        <x:v>160</x:v>
      </x:c>
      <x:c r="G564" s="35" t="str">
        <x:v>RECORDED</x:v>
      </x:c>
      <x:c r="H564" s="39" t="n">
        <x:f>IF(ISNUMBER('Data'!E564),'Data'!E564*100,"")</x:f>
        <x:v>91.25</x:v>
      </x:c>
      <x:c r="I564" s="35" t="str">
        <x:v>PASS</x:v>
      </x:c>
      <x:c r="J564" s="35" t="str">
        <x:v>PASS</x:v>
      </x:c>
      <x:c r="K564" s="35" t="str">
        <x:v>PASS</x:v>
      </x:c>
      <x:c r="L564" s="35" t="str">
        <x:v>FAIL</x:v>
      </x:c>
      <x:c r="M564" s="35" t="str">
        <x:v>numeric coverage for applicable metric</x:v>
      </x:c>
      <x:c r="N564" s="35" t="str">
        <x:v>Gemini-3.8-flash/Result/Jsoup_59/result.json</x:v>
      </x:c>
      <x:c r="O564" s="39" t="n">
        <x:f>IF(AND(G564="RECORDED",ISNUMBER(H564)),H564,"")</x:f>
        <x:v>91.25</x:v>
      </x:c>
      <x:c r="P564" s="35" t="str">
        <x:v>INCONCLUSIVE</x:v>
      </x:c>
      <x:c r="Q564" s="35" t="str">
        <x:v>Gemini-3.8-flash/Result/Jsoup_59/result.json</x:v>
      </x:c>
    </x:row>
    <x:row r="565">
      <x:c r="A565" s="35" t="str">
        <x:v>gemini</x:v>
      </x:c>
      <x:c r="B565" s="35" t="str">
        <x:v>Jsoup</x:v>
      </x:c>
      <x:c r="C565" s="35" t="str">
        <x:v>Round1</x:v>
      </x:c>
      <x:c r="D565" s="35" t="str">
        <x:v>Jsoup_6</x:v>
      </x:c>
      <x:c r="E565" s="35" t="str">
        <x:v>Line</x:v>
      </x:c>
      <x:c r="F565" s="35"/>
      <x:c r="G565" s="35" t="str">
        <x:v>A</x:v>
      </x:c>
      <x:c r="H565" s="39" t="str">
        <x:f>IF(ISNUMBER('Data'!E565),'Data'!E565*100,"")</x:f>
      </x:c>
      <x:c r="I565" s="35"/>
      <x:c r="J565" s="35" t="str">
        <x:v>PASS</x:v>
      </x:c>
      <x:c r="K565" s="35" t="str">
        <x:v>FAIL</x:v>
      </x:c>
      <x:c r="L565" s="35" t="str">
        <x:v>NOT_RUN</x:v>
      </x:c>
      <x:c r="M565" s="35" t="str">
        <x:v>coverage unavailable or execution/compile failed</x:v>
      </x:c>
      <x:c r="N565" s="35" t="str">
        <x:v>Gemini-3.8-flash/Result/Jsoup_6/result.json</x:v>
      </x:c>
      <x:c r="O565" s="39" t="str">
        <x:f>IF(AND(G565="RECORDED",ISNUMBER(H565)),H565,"")</x:f>
      </x:c>
      <x:c r="P565" s="35" t="str">
        <x:v>NOT_AVAILABLE</x:v>
      </x:c>
      <x:c r="Q565" s="35" t="str">
        <x:v>Gemini-3.8-flash/Result/Jsoup_6/result.json</x:v>
      </x:c>
    </x:row>
    <x:row r="566">
      <x:c r="A566" s="35" t="str">
        <x:v>gemini</x:v>
      </x:c>
      <x:c r="B566" s="35" t="str">
        <x:v>Jsoup</x:v>
      </x:c>
      <x:c r="C566" s="35" t="str">
        <x:v>Round1</x:v>
      </x:c>
      <x:c r="D566" s="35" t="str">
        <x:v>Jsoup_60</x:v>
      </x:c>
      <x:c r="E566" s="35" t="str">
        <x:v>Line</x:v>
      </x:c>
      <x:c r="F566" s="35" t="n">
        <x:v>365</x:v>
      </x:c>
      <x:c r="G566" s="35" t="str">
        <x:v>RECORDED</x:v>
      </x:c>
      <x:c r="H566" s="39" t="n">
        <x:f>IF(ISNUMBER('Data'!E566),'Data'!E566*100,"")</x:f>
        <x:v>98.9</x:v>
      </x:c>
      <x:c r="I566" s="35" t="str">
        <x:v>PASS</x:v>
      </x:c>
      <x:c r="J566" s="35" t="str">
        <x:v>PASS</x:v>
      </x:c>
      <x:c r="K566" s="35" t="str">
        <x:v>PASS</x:v>
      </x:c>
      <x:c r="L566" s="35" t="str">
        <x:v>FAIL</x:v>
      </x:c>
      <x:c r="M566" s="35" t="str">
        <x:v>numeric coverage for applicable metric</x:v>
      </x:c>
      <x:c r="N566" s="35" t="str">
        <x:v>Gemini-3.8-flash/Result/Jsoup_60/result.json</x:v>
      </x:c>
      <x:c r="O566" s="39" t="n">
        <x:f>IF(AND(G566="RECORDED",ISNUMBER(H566)),H566,"")</x:f>
        <x:v>98.9</x:v>
      </x:c>
      <x:c r="P566" s="35" t="str">
        <x:v>INCONCLUSIVE</x:v>
      </x:c>
      <x:c r="Q566" s="35" t="str">
        <x:v>Gemini-3.8-flash/Result/Jsoup_60/result.json</x:v>
      </x:c>
    </x:row>
    <x:row r="567">
      <x:c r="A567" s="35" t="str">
        <x:v>gemini</x:v>
      </x:c>
      <x:c r="B567" s="35" t="str">
        <x:v>Jsoup</x:v>
      </x:c>
      <x:c r="C567" s="35" t="str">
        <x:v>Round1</x:v>
      </x:c>
      <x:c r="D567" s="35" t="str">
        <x:v>Jsoup_61</x:v>
      </x:c>
      <x:c r="E567" s="35" t="str">
        <x:v>Line</x:v>
      </x:c>
      <x:c r="F567" s="35"/>
      <x:c r="G567" s="35" t="str">
        <x:v>A</x:v>
      </x:c>
      <x:c r="H567" s="39" t="str">
        <x:f>IF(ISNUMBER('Data'!E567),'Data'!E567*100,"")</x:f>
      </x:c>
      <x:c r="I567" s="35"/>
      <x:c r="J567" s="35" t="str">
        <x:v>PASS</x:v>
      </x:c>
      <x:c r="K567" s="35" t="str">
        <x:v>FAIL</x:v>
      </x:c>
      <x:c r="L567" s="35" t="str">
        <x:v>NOT_RUN</x:v>
      </x:c>
      <x:c r="M567" s="35" t="str">
        <x:v>coverage unavailable or execution/compile failed</x:v>
      </x:c>
      <x:c r="N567" s="35" t="str">
        <x:v>Gemini-3.8-flash/Result/Jsoup_61/result.json</x:v>
      </x:c>
      <x:c r="O567" s="39" t="str">
        <x:f>IF(AND(G567="RECORDED",ISNUMBER(H567)),H567,"")</x:f>
      </x:c>
      <x:c r="P567" s="35" t="str">
        <x:v>NOT_AVAILABLE</x:v>
      </x:c>
      <x:c r="Q567" s="35" t="str">
        <x:v>Gemini-3.8-flash/Result/Jsoup_61/result.json</x:v>
      </x:c>
    </x:row>
    <x:row r="568">
      <x:c r="A568" s="35" t="str">
        <x:v>gemini</x:v>
      </x:c>
      <x:c r="B568" s="35" t="str">
        <x:v>Jsoup</x:v>
      </x:c>
      <x:c r="C568" s="35" t="str">
        <x:v>Round1</x:v>
      </x:c>
      <x:c r="D568" s="35" t="str">
        <x:v>Jsoup_62</x:v>
      </x:c>
      <x:c r="E568" s="35" t="str">
        <x:v>Line</x:v>
      </x:c>
      <x:c r="F568" s="35"/>
      <x:c r="G568" s="35" t="str">
        <x:v>A</x:v>
      </x:c>
      <x:c r="H568" s="39" t="str">
        <x:f>IF(ISNUMBER('Data'!E568),'Data'!E568*100,"")</x:f>
      </x:c>
      <x:c r="I568" s="35"/>
      <x:c r="J568" s="35" t="str">
        <x:v>PASS</x:v>
      </x:c>
      <x:c r="K568" s="35" t="str">
        <x:v>FAIL</x:v>
      </x:c>
      <x:c r="L568" s="35" t="str">
        <x:v>NOT_RUN</x:v>
      </x:c>
      <x:c r="M568" s="35" t="str">
        <x:v>coverage unavailable or execution/compile failed</x:v>
      </x:c>
      <x:c r="N568" s="35" t="str">
        <x:v>Gemini-3.8-flash/Result/Jsoup_62/result.json</x:v>
      </x:c>
      <x:c r="O568" s="39" t="str">
        <x:f>IF(AND(G568="RECORDED",ISNUMBER(H568)),H568,"")</x:f>
      </x:c>
      <x:c r="P568" s="35" t="str">
        <x:v>NOT_AVAILABLE</x:v>
      </x:c>
      <x:c r="Q568" s="35" t="str">
        <x:v>Gemini-3.8-flash/Result/Jsoup_62/result.json</x:v>
      </x:c>
    </x:row>
    <x:row r="569">
      <x:c r="A569" s="35" t="str">
        <x:v>gemini</x:v>
      </x:c>
      <x:c r="B569" s="35" t="str">
        <x:v>Jsoup</x:v>
      </x:c>
      <x:c r="C569" s="35" t="str">
        <x:v>Round1</x:v>
      </x:c>
      <x:c r="D569" s="35" t="str">
        <x:v>Jsoup_63</x:v>
      </x:c>
      <x:c r="E569" s="35" t="str">
        <x:v>Line</x:v>
      </x:c>
      <x:c r="F569" s="35"/>
      <x:c r="G569" s="35" t="str">
        <x:v>A</x:v>
      </x:c>
      <x:c r="H569" s="39" t="str">
        <x:f>IF(ISNUMBER('Data'!E569),'Data'!E569*100,"")</x:f>
      </x:c>
      <x:c r="I569" s="35"/>
      <x:c r="J569" s="35" t="str">
        <x:v>PASS</x:v>
      </x:c>
      <x:c r="K569" s="35" t="str">
        <x:v>FAIL</x:v>
      </x:c>
      <x:c r="L569" s="35" t="str">
        <x:v>NOT_RUN</x:v>
      </x:c>
      <x:c r="M569" s="35" t="str">
        <x:v>coverage unavailable or execution/compile failed</x:v>
      </x:c>
      <x:c r="N569" s="35" t="str">
        <x:v>Gemini-3.8-flash/Result/Jsoup_63/result.json</x:v>
      </x:c>
      <x:c r="O569" s="39" t="str">
        <x:f>IF(AND(G569="RECORDED",ISNUMBER(H569)),H569,"")</x:f>
      </x:c>
      <x:c r="P569" s="35" t="str">
        <x:v>NOT_AVAILABLE</x:v>
      </x:c>
      <x:c r="Q569" s="35" t="str">
        <x:v>Gemini-3.8-flash/Result/Jsoup_63/result.json</x:v>
      </x:c>
    </x:row>
    <x:row r="570">
      <x:c r="A570" s="35" t="str">
        <x:v>gemini</x:v>
      </x:c>
      <x:c r="B570" s="35" t="str">
        <x:v>Jsoup</x:v>
      </x:c>
      <x:c r="C570" s="35" t="str">
        <x:v>Round1</x:v>
      </x:c>
      <x:c r="D570" s="35" t="str">
        <x:v>Jsoup_64</x:v>
      </x:c>
      <x:c r="E570" s="35" t="str">
        <x:v>Line</x:v>
      </x:c>
      <x:c r="F570" s="35"/>
      <x:c r="G570" s="35" t="str">
        <x:v>A</x:v>
      </x:c>
      <x:c r="H570" s="39" t="str">
        <x:f>IF(ISNUMBER('Data'!E570),'Data'!E570*100,"")</x:f>
      </x:c>
      <x:c r="I570" s="35"/>
      <x:c r="J570" s="35" t="str">
        <x:v>PASS</x:v>
      </x:c>
      <x:c r="K570" s="35" t="str">
        <x:v>FAIL</x:v>
      </x:c>
      <x:c r="L570" s="35" t="str">
        <x:v>NOT_RUN</x:v>
      </x:c>
      <x:c r="M570" s="35" t="str">
        <x:v>coverage unavailable or execution/compile failed</x:v>
      </x:c>
      <x:c r="N570" s="35" t="str">
        <x:v>Gemini-3.8-flash/Result/Jsoup_64/result.json</x:v>
      </x:c>
      <x:c r="O570" s="39" t="str">
        <x:f>IF(AND(G570="RECORDED",ISNUMBER(H570)),H570,"")</x:f>
      </x:c>
      <x:c r="P570" s="35" t="str">
        <x:v>NOT_AVAILABLE</x:v>
      </x:c>
      <x:c r="Q570" s="35" t="str">
        <x:v>Gemini-3.8-flash/Result/Jsoup_64/result.json</x:v>
      </x:c>
    </x:row>
    <x:row r="571">
      <x:c r="A571" s="35" t="str">
        <x:v>gemini</x:v>
      </x:c>
      <x:c r="B571" s="35" t="str">
        <x:v>Jsoup</x:v>
      </x:c>
      <x:c r="C571" s="35" t="str">
        <x:v>Round1</x:v>
      </x:c>
      <x:c r="D571" s="35" t="str">
        <x:v>Jsoup_65</x:v>
      </x:c>
      <x:c r="E571" s="35" t="str">
        <x:v>Line</x:v>
      </x:c>
      <x:c r="F571" s="35"/>
      <x:c r="G571" s="35" t="str">
        <x:v>A</x:v>
      </x:c>
      <x:c r="H571" s="39" t="str">
        <x:f>IF(ISNUMBER('Data'!E571),'Data'!E571*100,"")</x:f>
      </x:c>
      <x:c r="I571" s="35"/>
      <x:c r="J571" s="35" t="str">
        <x:v>PASS</x:v>
      </x:c>
      <x:c r="K571" s="35" t="str">
        <x:v>FAIL</x:v>
      </x:c>
      <x:c r="L571" s="35" t="str">
        <x:v>NOT_RUN</x:v>
      </x:c>
      <x:c r="M571" s="35" t="str">
        <x:v>coverage unavailable or execution/compile failed</x:v>
      </x:c>
      <x:c r="N571" s="35" t="str">
        <x:v>Gemini-3.8-flash/Result/Jsoup_65/result.json</x:v>
      </x:c>
      <x:c r="O571" s="39" t="str">
        <x:f>IF(AND(G571="RECORDED",ISNUMBER(H571)),H571,"")</x:f>
      </x:c>
      <x:c r="P571" s="35" t="str">
        <x:v>NOT_AVAILABLE</x:v>
      </x:c>
      <x:c r="Q571" s="35" t="str">
        <x:v>Gemini-3.8-flash/Result/Jsoup_65/result.json</x:v>
      </x:c>
    </x:row>
    <x:row r="572">
      <x:c r="A572" s="35" t="str">
        <x:v>gemini</x:v>
      </x:c>
      <x:c r="B572" s="35" t="str">
        <x:v>Jsoup</x:v>
      </x:c>
      <x:c r="C572" s="35" t="str">
        <x:v>Round1</x:v>
      </x:c>
      <x:c r="D572" s="35" t="str">
        <x:v>Jsoup_66</x:v>
      </x:c>
      <x:c r="E572" s="35" t="str">
        <x:v>Line</x:v>
      </x:c>
      <x:c r="F572" s="35" t="n">
        <x:v>390</x:v>
      </x:c>
      <x:c r="G572" s="35" t="str">
        <x:v>RECORDED</x:v>
      </x:c>
      <x:c r="H572" s="39" t="n">
        <x:f>IF(ISNUMBER('Data'!E572),'Data'!E572*100,"")</x:f>
        <x:v>93.08</x:v>
      </x:c>
      <x:c r="I572" s="35" t="str">
        <x:v>PASS</x:v>
      </x:c>
      <x:c r="J572" s="35" t="str">
        <x:v>PASS</x:v>
      </x:c>
      <x:c r="K572" s="35" t="str">
        <x:v>PASS</x:v>
      </x:c>
      <x:c r="L572" s="35" t="str">
        <x:v>FAIL</x:v>
      </x:c>
      <x:c r="M572" s="35" t="str">
        <x:v>numeric coverage for applicable metric</x:v>
      </x:c>
      <x:c r="N572" s="35" t="str">
        <x:v>Gemini-3.8-flash/Result/Jsoup_66/result.json</x:v>
      </x:c>
      <x:c r="O572" s="39" t="n">
        <x:f>IF(AND(G572="RECORDED",ISNUMBER(H572)),H572,"")</x:f>
        <x:v>93.08</x:v>
      </x:c>
      <x:c r="P572" s="35" t="str">
        <x:v>INCONCLUSIVE</x:v>
      </x:c>
      <x:c r="Q572" s="35" t="str">
        <x:v>Gemini-3.8-flash/Result/Jsoup_66/result.json</x:v>
      </x:c>
    </x:row>
    <x:row r="573">
      <x:c r="A573" s="35" t="str">
        <x:v>gemini</x:v>
      </x:c>
      <x:c r="B573" s="35" t="str">
        <x:v>Jsoup</x:v>
      </x:c>
      <x:c r="C573" s="35" t="str">
        <x:v>Round1</x:v>
      </x:c>
      <x:c r="D573" s="35" t="str">
        <x:v>Jsoup_67</x:v>
      </x:c>
      <x:c r="E573" s="35" t="str">
        <x:v>Line</x:v>
      </x:c>
      <x:c r="F573" s="35"/>
      <x:c r="G573" s="35" t="str">
        <x:v>A</x:v>
      </x:c>
      <x:c r="H573" s="39" t="str">
        <x:f>IF(ISNUMBER('Data'!E573),'Data'!E573*100,"")</x:f>
      </x:c>
      <x:c r="I573" s="35"/>
      <x:c r="J573" s="35" t="str">
        <x:v>PASS</x:v>
      </x:c>
      <x:c r="K573" s="35" t="str">
        <x:v>FAIL</x:v>
      </x:c>
      <x:c r="L573" s="35" t="str">
        <x:v>NOT_RUN</x:v>
      </x:c>
      <x:c r="M573" s="35" t="str">
        <x:v>No saved Java source containing a JUnit test method</x:v>
      </x:c>
      <x:c r="N573" s="35" t="str">
        <x:v>Gemini-3.8-flash/Result/Jsoup_67/result.json</x:v>
      </x:c>
      <x:c r="O573" s="39" t="str">
        <x:f>IF(AND(G573="RECORDED",ISNUMBER(H573)),H573,"")</x:f>
      </x:c>
      <x:c r="P573" s="35" t="str">
        <x:v>FAIL</x:v>
      </x:c>
      <x:c r="Q573" s="35" t="str">
        <x:v>Gemini-3.8-flash/Result/Jsoup_67/result.json</x:v>
      </x:c>
    </x:row>
    <x:row r="574">
      <x:c r="A574" s="35" t="str">
        <x:v>gemini</x:v>
      </x:c>
      <x:c r="B574" s="35" t="str">
        <x:v>Jsoup</x:v>
      </x:c>
      <x:c r="C574" s="35" t="str">
        <x:v>Round1</x:v>
      </x:c>
      <x:c r="D574" s="35" t="str">
        <x:v>Jsoup_68</x:v>
      </x:c>
      <x:c r="E574" s="35" t="str">
        <x:v>Line</x:v>
      </x:c>
      <x:c r="F574" s="35"/>
      <x:c r="G574" s="35" t="str">
        <x:v>A</x:v>
      </x:c>
      <x:c r="H574" s="39" t="str">
        <x:f>IF(ISNUMBER('Data'!E574),'Data'!E574*100,"")</x:f>
      </x:c>
      <x:c r="I574" s="35"/>
      <x:c r="J574" s="35" t="str">
        <x:v>PASS</x:v>
      </x:c>
      <x:c r="K574" s="35" t="str">
        <x:v>FAIL</x:v>
      </x:c>
      <x:c r="L574" s="35" t="str">
        <x:v>NOT_RUN</x:v>
      </x:c>
      <x:c r="M574" s="35" t="str">
        <x:v>coverage unavailable or execution/compile failed</x:v>
      </x:c>
      <x:c r="N574" s="35" t="str">
        <x:v>Gemini-3.8-flash/Result/Jsoup_68/result.json</x:v>
      </x:c>
      <x:c r="O574" s="39" t="str">
        <x:f>IF(AND(G574="RECORDED",ISNUMBER(H574)),H574,"")</x:f>
      </x:c>
      <x:c r="P574" s="35" t="str">
        <x:v>NOT_AVAILABLE</x:v>
      </x:c>
      <x:c r="Q574" s="35" t="str">
        <x:v>Gemini-3.8-flash/Result/Jsoup_68/result.json</x:v>
      </x:c>
    </x:row>
    <x:row r="575">
      <x:c r="A575" s="35" t="str">
        <x:v>gemini</x:v>
      </x:c>
      <x:c r="B575" s="35" t="str">
        <x:v>Jsoup</x:v>
      </x:c>
      <x:c r="C575" s="35" t="str">
        <x:v>Round1</x:v>
      </x:c>
      <x:c r="D575" s="35" t="str">
        <x:v>Jsoup_69</x:v>
      </x:c>
      <x:c r="E575" s="35" t="str">
        <x:v>Line</x:v>
      </x:c>
      <x:c r="F575" s="35" t="n">
        <x:v>39</x:v>
      </x:c>
      <x:c r="G575" s="35" t="str">
        <x:v>RECORDED</x:v>
      </x:c>
      <x:c r="H575" s="39" t="n">
        <x:f>IF(ISNUMBER('Data'!E575),'Data'!E575*100,"")</x:f>
        <x:v>100</x:v>
      </x:c>
      <x:c r="I575" s="35" t="str">
        <x:v>PASS</x:v>
      </x:c>
      <x:c r="J575" s="35" t="str">
        <x:v>PASS</x:v>
      </x:c>
      <x:c r="K575" s="35" t="str">
        <x:v>PASS</x:v>
      </x:c>
      <x:c r="L575" s="35" t="str">
        <x:v>PASS</x:v>
      </x:c>
      <x:c r="M575" s="35" t="str">
        <x:v>numeric coverage for applicable metric</x:v>
      </x:c>
      <x:c r="N575" s="35" t="str">
        <x:v>Gemini-3.8-flash/Result/Jsoup_69/result.json</x:v>
      </x:c>
      <x:c r="O575" s="39" t="n">
        <x:f>IF(AND(G575="RECORDED",ISNUMBER(H575)),H575,"")</x:f>
        <x:v>100</x:v>
      </x:c>
      <x:c r="P575" s="35" t="str">
        <x:v>NOT_REVEALING</x:v>
      </x:c>
      <x:c r="Q575" s="35" t="str">
        <x:v>Gemini-3.8-flash/Result/Jsoup_69/result.json</x:v>
      </x:c>
    </x:row>
    <x:row r="576">
      <x:c r="A576" s="35" t="str">
        <x:v>gemini</x:v>
      </x:c>
      <x:c r="B576" s="35" t="str">
        <x:v>Jsoup</x:v>
      </x:c>
      <x:c r="C576" s="35" t="str">
        <x:v>Round1</x:v>
      </x:c>
      <x:c r="D576" s="35" t="str">
        <x:v>Jsoup_7</x:v>
      </x:c>
      <x:c r="E576" s="35" t="str">
        <x:v>Line</x:v>
      </x:c>
      <x:c r="F576" s="35"/>
      <x:c r="G576" s="35" t="str">
        <x:v>A</x:v>
      </x:c>
      <x:c r="H576" s="39" t="str">
        <x:f>IF(ISNUMBER('Data'!E576),'Data'!E576*100,"")</x:f>
      </x:c>
      <x:c r="I576" s="35"/>
      <x:c r="J576" s="35" t="str">
        <x:v>PASS</x:v>
      </x:c>
      <x:c r="K576" s="35" t="str">
        <x:v>FAIL</x:v>
      </x:c>
      <x:c r="L576" s="35" t="str">
        <x:v>NOT_RUN</x:v>
      </x:c>
      <x:c r="M576" s="35" t="str">
        <x:v>coverage unavailable or execution/compile failed</x:v>
      </x:c>
      <x:c r="N576" s="35" t="str">
        <x:v>Gemini-3.8-flash/Result/Jsoup_7/result.json</x:v>
      </x:c>
      <x:c r="O576" s="39" t="str">
        <x:f>IF(AND(G576="RECORDED",ISNUMBER(H576)),H576,"")</x:f>
      </x:c>
      <x:c r="P576" s="35" t="str">
        <x:v>NOT_AVAILABLE</x:v>
      </x:c>
      <x:c r="Q576" s="35" t="str">
        <x:v>Gemini-3.8-flash/Result/Jsoup_7/result.json</x:v>
      </x:c>
    </x:row>
    <x:row r="577">
      <x:c r="A577" s="35" t="str">
        <x:v>gemini</x:v>
      </x:c>
      <x:c r="B577" s="35" t="str">
        <x:v>Jsoup</x:v>
      </x:c>
      <x:c r="C577" s="35" t="str">
        <x:v>Round1</x:v>
      </x:c>
      <x:c r="D577" s="35" t="str">
        <x:v>Jsoup_70</x:v>
      </x:c>
      <x:c r="E577" s="35" t="str">
        <x:v>Line</x:v>
      </x:c>
      <x:c r="F577" s="35" t="n">
        <x:v>394</x:v>
      </x:c>
      <x:c r="G577" s="35" t="str">
        <x:v>RECORDED</x:v>
      </x:c>
      <x:c r="H577" s="39" t="n">
        <x:f>IF(ISNUMBER('Data'!E577),'Data'!E577*100,"")</x:f>
        <x:v>96.19</x:v>
      </x:c>
      <x:c r="I577" s="35" t="str">
        <x:v>PASS</x:v>
      </x:c>
      <x:c r="J577" s="35" t="str">
        <x:v>PASS</x:v>
      </x:c>
      <x:c r="K577" s="35" t="str">
        <x:v>PASS</x:v>
      </x:c>
      <x:c r="L577" s="35" t="str">
        <x:v>FAIL</x:v>
      </x:c>
      <x:c r="M577" s="35" t="str">
        <x:v>numeric coverage for applicable metric</x:v>
      </x:c>
      <x:c r="N577" s="35" t="str">
        <x:v>Gemini-3.8-flash/Result/Jsoup_70/result.json</x:v>
      </x:c>
      <x:c r="O577" s="39" t="n">
        <x:f>IF(AND(G577="RECORDED",ISNUMBER(H577)),H577,"")</x:f>
        <x:v>96.19</x:v>
      </x:c>
      <x:c r="P577" s="35" t="str">
        <x:v>INCONCLUSIVE</x:v>
      </x:c>
      <x:c r="Q577" s="35" t="str">
        <x:v>Gemini-3.8-flash/Result/Jsoup_70/result.json</x:v>
      </x:c>
    </x:row>
    <x:row r="578">
      <x:c r="A578" s="35" t="str">
        <x:v>gemini</x:v>
      </x:c>
      <x:c r="B578" s="35" t="str">
        <x:v>Jsoup</x:v>
      </x:c>
      <x:c r="C578" s="35" t="str">
        <x:v>Round1</x:v>
      </x:c>
      <x:c r="D578" s="35" t="str">
        <x:v>Jsoup_71</x:v>
      </x:c>
      <x:c r="E578" s="35" t="str">
        <x:v>Line</x:v>
      </x:c>
      <x:c r="F578" s="35"/>
      <x:c r="G578" s="35" t="str">
        <x:v>A</x:v>
      </x:c>
      <x:c r="H578" s="39" t="str">
        <x:f>IF(ISNUMBER('Data'!E578),'Data'!E578*100,"")</x:f>
      </x:c>
      <x:c r="I578" s="35"/>
      <x:c r="J578" s="35" t="str">
        <x:v>PASS</x:v>
      </x:c>
      <x:c r="K578" s="35" t="str">
        <x:v>FAIL</x:v>
      </x:c>
      <x:c r="L578" s="35" t="str">
        <x:v>NOT_RUN</x:v>
      </x:c>
      <x:c r="M578" s="35" t="str">
        <x:v>coverage unavailable or execution/compile failed</x:v>
      </x:c>
      <x:c r="N578" s="35" t="str">
        <x:v>Gemini-3.8-flash/Result/Jsoup_71/result.json</x:v>
      </x:c>
      <x:c r="O578" s="39" t="str">
        <x:f>IF(AND(G578="RECORDED",ISNUMBER(H578)),H578,"")</x:f>
      </x:c>
      <x:c r="P578" s="35" t="str">
        <x:v>NOT_AVAILABLE</x:v>
      </x:c>
      <x:c r="Q578" s="35" t="str">
        <x:v>Gemini-3.8-flash/Result/Jsoup_71/result.json</x:v>
      </x:c>
    </x:row>
    <x:row r="579">
      <x:c r="A579" s="35" t="str">
        <x:v>gemini</x:v>
      </x:c>
      <x:c r="B579" s="35" t="str">
        <x:v>Jsoup</x:v>
      </x:c>
      <x:c r="C579" s="35" t="str">
        <x:v>Round1</x:v>
      </x:c>
      <x:c r="D579" s="35" t="str">
        <x:v>Jsoup_72</x:v>
      </x:c>
      <x:c r="E579" s="35" t="str">
        <x:v>Line</x:v>
      </x:c>
      <x:c r="F579" s="35" t="n">
        <x:v>228</x:v>
      </x:c>
      <x:c r="G579" s="35" t="str">
        <x:v>RECORDED</x:v>
      </x:c>
      <x:c r="H579" s="39" t="n">
        <x:f>IF(ISNUMBER('Data'!E579),'Data'!E579*100,"")</x:f>
        <x:v>98.68</x:v>
      </x:c>
      <x:c r="I579" s="35" t="str">
        <x:v>PASS</x:v>
      </x:c>
      <x:c r="J579" s="35" t="str">
        <x:v>PASS</x:v>
      </x:c>
      <x:c r="K579" s="35" t="str">
        <x:v>PASS</x:v>
      </x:c>
      <x:c r="L579" s="35" t="str">
        <x:v>FAIL</x:v>
      </x:c>
      <x:c r="M579" s="35" t="str">
        <x:v>numeric coverage for applicable metric</x:v>
      </x:c>
      <x:c r="N579" s="35" t="str">
        <x:v>Gemini-3.8-flash/Result/Jsoup_72/result.json</x:v>
      </x:c>
      <x:c r="O579" s="39" t="n">
        <x:f>IF(AND(G579="RECORDED",ISNUMBER(H579)),H579,"")</x:f>
        <x:v>98.68</x:v>
      </x:c>
      <x:c r="P579" s="35" t="str">
        <x:v>INCONCLUSIVE</x:v>
      </x:c>
      <x:c r="Q579" s="35" t="str">
        <x:v>Gemini-3.8-flash/Result/Jsoup_72/result.json</x:v>
      </x:c>
    </x:row>
    <x:row r="580">
      <x:c r="A580" s="35" t="str">
        <x:v>gemini</x:v>
      </x:c>
      <x:c r="B580" s="35" t="str">
        <x:v>Jsoup</x:v>
      </x:c>
      <x:c r="C580" s="35" t="str">
        <x:v>Round1</x:v>
      </x:c>
      <x:c r="D580" s="35" t="str">
        <x:v>Jsoup_73</x:v>
      </x:c>
      <x:c r="E580" s="35" t="str">
        <x:v>Line</x:v>
      </x:c>
      <x:c r="F580" s="35"/>
      <x:c r="G580" s="35" t="str">
        <x:v>A</x:v>
      </x:c>
      <x:c r="H580" s="39" t="str">
        <x:f>IF(ISNUMBER('Data'!E580),'Data'!E580*100,"")</x:f>
      </x:c>
      <x:c r="I580" s="35"/>
      <x:c r="J580" s="35" t="str">
        <x:v>PASS</x:v>
      </x:c>
      <x:c r="K580" s="35" t="str">
        <x:v>FAIL</x:v>
      </x:c>
      <x:c r="L580" s="35" t="str">
        <x:v>NOT_RUN</x:v>
      </x:c>
      <x:c r="M580" s="35" t="str">
        <x:v>coverage unavailable or execution/compile failed</x:v>
      </x:c>
      <x:c r="N580" s="35" t="str">
        <x:v>Gemini-3.8-flash/Result/Jsoup_73/result.json</x:v>
      </x:c>
      <x:c r="O580" s="39" t="str">
        <x:f>IF(AND(G580="RECORDED",ISNUMBER(H580)),H580,"")</x:f>
      </x:c>
      <x:c r="P580" s="35" t="str">
        <x:v>NOT_AVAILABLE</x:v>
      </x:c>
      <x:c r="Q580" s="35" t="str">
        <x:v>Gemini-3.8-flash/Result/Jsoup_73/result.json</x:v>
      </x:c>
    </x:row>
    <x:row r="581">
      <x:c r="A581" s="35" t="str">
        <x:v>gemini</x:v>
      </x:c>
      <x:c r="B581" s="35" t="str">
        <x:v>Jsoup</x:v>
      </x:c>
      <x:c r="C581" s="35" t="str">
        <x:v>Round1</x:v>
      </x:c>
      <x:c r="D581" s="35" t="str">
        <x:v>Jsoup_74</x:v>
      </x:c>
      <x:c r="E581" s="35" t="str">
        <x:v>Line</x:v>
      </x:c>
      <x:c r="F581" s="35" t="n">
        <x:v>83</x:v>
      </x:c>
      <x:c r="G581" s="35" t="str">
        <x:v>RECORDED</x:v>
      </x:c>
      <x:c r="H581" s="39" t="n">
        <x:f>IF(ISNUMBER('Data'!E581),'Data'!E581*100,"")</x:f>
        <x:v>100</x:v>
      </x:c>
      <x:c r="I581" s="35" t="str">
        <x:v>PASS</x:v>
      </x:c>
      <x:c r="J581" s="35" t="str">
        <x:v>PASS</x:v>
      </x:c>
      <x:c r="K581" s="35" t="str">
        <x:v>PASS</x:v>
      </x:c>
      <x:c r="L581" s="35" t="str">
        <x:v>FAIL</x:v>
      </x:c>
      <x:c r="M581" s="35" t="str">
        <x:v>numeric coverage for applicable metric</x:v>
      </x:c>
      <x:c r="N581" s="35" t="str">
        <x:v>Gemini-3.8-flash/Result/Jsoup_74/result.json</x:v>
      </x:c>
      <x:c r="O581" s="39" t="n">
        <x:f>IF(AND(G581="RECORDED",ISNUMBER(H581)),H581,"")</x:f>
        <x:v>100</x:v>
      </x:c>
      <x:c r="P581" s="35" t="str">
        <x:v>INCONCLUSIVE</x:v>
      </x:c>
      <x:c r="Q581" s="35" t="str">
        <x:v>Gemini-3.8-flash/Result/Jsoup_74/result.json</x:v>
      </x:c>
    </x:row>
    <x:row r="582">
      <x:c r="A582" s="35" t="str">
        <x:v>gemini</x:v>
      </x:c>
      <x:c r="B582" s="35" t="str">
        <x:v>Jsoup</x:v>
      </x:c>
      <x:c r="C582" s="35" t="str">
        <x:v>Round1</x:v>
      </x:c>
      <x:c r="D582" s="35" t="str">
        <x:v>Jsoup_75</x:v>
      </x:c>
      <x:c r="E582" s="35" t="str">
        <x:v>Line</x:v>
      </x:c>
      <x:c r="F582" s="35" t="n">
        <x:v>168</x:v>
      </x:c>
      <x:c r="G582" s="35" t="str">
        <x:v>RECORDED</x:v>
      </x:c>
      <x:c r="H582" s="39" t="n">
        <x:f>IF(ISNUMBER('Data'!E582),'Data'!E582*100,"")</x:f>
        <x:v>97.02</x:v>
      </x:c>
      <x:c r="I582" s="35" t="str">
        <x:v>PASS</x:v>
      </x:c>
      <x:c r="J582" s="35" t="str">
        <x:v>PASS</x:v>
      </x:c>
      <x:c r="K582" s="35" t="str">
        <x:v>PASS</x:v>
      </x:c>
      <x:c r="L582" s="35" t="str">
        <x:v>FAIL</x:v>
      </x:c>
      <x:c r="M582" s="35" t="str">
        <x:v>numeric coverage for applicable metric</x:v>
      </x:c>
      <x:c r="N582" s="35" t="str">
        <x:v>Gemini-3.8-flash/Result/Jsoup_75/result.json</x:v>
      </x:c>
      <x:c r="O582" s="39" t="n">
        <x:f>IF(AND(G582="RECORDED",ISNUMBER(H582)),H582,"")</x:f>
        <x:v>97.02</x:v>
      </x:c>
      <x:c r="P582" s="35" t="str">
        <x:v>INCONCLUSIVE</x:v>
      </x:c>
      <x:c r="Q582" s="35" t="str">
        <x:v>Gemini-3.8-flash/Result/Jsoup_75/result.json</x:v>
      </x:c>
    </x:row>
    <x:row r="583">
      <x:c r="A583" s="35" t="str">
        <x:v>gemini</x:v>
      </x:c>
      <x:c r="B583" s="35" t="str">
        <x:v>Jsoup</x:v>
      </x:c>
      <x:c r="C583" s="35" t="str">
        <x:v>Round1</x:v>
      </x:c>
      <x:c r="D583" s="35" t="str">
        <x:v>Jsoup_76</x:v>
      </x:c>
      <x:c r="E583" s="35" t="str">
        <x:v>Line</x:v>
      </x:c>
      <x:c r="F583" s="35"/>
      <x:c r="G583" s="35" t="str">
        <x:v>A</x:v>
      </x:c>
      <x:c r="H583" s="39" t="str">
        <x:f>IF(ISNUMBER('Data'!E583),'Data'!E583*100,"")</x:f>
      </x:c>
      <x:c r="I583" s="35"/>
      <x:c r="J583" s="35" t="str">
        <x:v>PASS</x:v>
      </x:c>
      <x:c r="K583" s="35" t="str">
        <x:v>FAIL</x:v>
      </x:c>
      <x:c r="L583" s="35" t="str">
        <x:v>NOT_RUN</x:v>
      </x:c>
      <x:c r="M583" s="35" t="str">
        <x:v>coverage unavailable or execution/compile failed</x:v>
      </x:c>
      <x:c r="N583" s="35" t="str">
        <x:v>Gemini-3.8-flash/Result/Jsoup_76/result.json</x:v>
      </x:c>
      <x:c r="O583" s="39" t="str">
        <x:f>IF(AND(G583="RECORDED",ISNUMBER(H583)),H583,"")</x:f>
      </x:c>
      <x:c r="P583" s="35" t="str">
        <x:v>NOT_AVAILABLE</x:v>
      </x:c>
      <x:c r="Q583" s="35" t="str">
        <x:v>Gemini-3.8-flash/Result/Jsoup_76/result.json</x:v>
      </x:c>
    </x:row>
    <x:row r="584">
      <x:c r="A584" s="35" t="str">
        <x:v>gemini</x:v>
      </x:c>
      <x:c r="B584" s="35" t="str">
        <x:v>Jsoup</x:v>
      </x:c>
      <x:c r="C584" s="35" t="str">
        <x:v>Round1</x:v>
      </x:c>
      <x:c r="D584" s="35" t="str">
        <x:v>Jsoup_77</x:v>
      </x:c>
      <x:c r="E584" s="35" t="str">
        <x:v>Line</x:v>
      </x:c>
      <x:c r="F584" s="35"/>
      <x:c r="G584" s="35" t="str">
        <x:v>A</x:v>
      </x:c>
      <x:c r="H584" s="39" t="str">
        <x:f>IF(ISNUMBER('Data'!E584),'Data'!E584*100,"")</x:f>
      </x:c>
      <x:c r="I584" s="35"/>
      <x:c r="J584" s="35" t="str">
        <x:v>PASS</x:v>
      </x:c>
      <x:c r="K584" s="35" t="str">
        <x:v>FAIL</x:v>
      </x:c>
      <x:c r="L584" s="35" t="str">
        <x:v>NOT_RUN</x:v>
      </x:c>
      <x:c r="M584" s="35" t="str">
        <x:v>coverage unavailable or execution/compile failed</x:v>
      </x:c>
      <x:c r="N584" s="35" t="str">
        <x:v>Gemini-3.8-flash/Result/Jsoup_77/result.json</x:v>
      </x:c>
      <x:c r="O584" s="39" t="str">
        <x:f>IF(AND(G584="RECORDED",ISNUMBER(H584)),H584,"")</x:f>
      </x:c>
      <x:c r="P584" s="35" t="str">
        <x:v>NOT_AVAILABLE</x:v>
      </x:c>
      <x:c r="Q584" s="35" t="str">
        <x:v>Gemini-3.8-flash/Result/Jsoup_77/result.json</x:v>
      </x:c>
    </x:row>
    <x:row r="585">
      <x:c r="A585" s="35" t="str">
        <x:v>gemini</x:v>
      </x:c>
      <x:c r="B585" s="35" t="str">
        <x:v>Jsoup</x:v>
      </x:c>
      <x:c r="C585" s="35" t="str">
        <x:v>Round1</x:v>
      </x:c>
      <x:c r="D585" s="35" t="str">
        <x:v>Jsoup_78</x:v>
      </x:c>
      <x:c r="E585" s="35" t="str">
        <x:v>Line</x:v>
      </x:c>
      <x:c r="F585" s="35" t="n">
        <x:v>109</x:v>
      </x:c>
      <x:c r="G585" s="35" t="str">
        <x:v>RECORDED</x:v>
      </x:c>
      <x:c r="H585" s="39" t="n">
        <x:f>IF(ISNUMBER('Data'!E585),'Data'!E585*100,"")</x:f>
        <x:v>97.25</x:v>
      </x:c>
      <x:c r="I585" s="35" t="str">
        <x:v>PASS</x:v>
      </x:c>
      <x:c r="J585" s="35" t="str">
        <x:v>PASS</x:v>
      </x:c>
      <x:c r="K585" s="35" t="str">
        <x:v>PASS</x:v>
      </x:c>
      <x:c r="L585" s="35" t="str">
        <x:v>PASS</x:v>
      </x:c>
      <x:c r="M585" s="35" t="str">
        <x:v>numeric coverage for applicable metric</x:v>
      </x:c>
      <x:c r="N585" s="35" t="str">
        <x:v>Gemini-3.8-flash/Result/Jsoup_78/result.json</x:v>
      </x:c>
      <x:c r="O585" s="39" t="n">
        <x:f>IF(AND(G585="RECORDED",ISNUMBER(H585)),H585,"")</x:f>
        <x:v>97.25</x:v>
      </x:c>
      <x:c r="P585" s="35" t="str">
        <x:v>NOT_REVEALING</x:v>
      </x:c>
      <x:c r="Q585" s="35" t="str">
        <x:v>Gemini-3.8-flash/Result/Jsoup_78/result.json</x:v>
      </x:c>
    </x:row>
    <x:row r="586">
      <x:c r="A586" s="35" t="str">
        <x:v>gemini</x:v>
      </x:c>
      <x:c r="B586" s="35" t="str">
        <x:v>Jsoup</x:v>
      </x:c>
      <x:c r="C586" s="35" t="str">
        <x:v>Round1</x:v>
      </x:c>
      <x:c r="D586" s="35" t="str">
        <x:v>Jsoup_79</x:v>
      </x:c>
      <x:c r="E586" s="35" t="str">
        <x:v>Line</x:v>
      </x:c>
      <x:c r="F586" s="35" t="n">
        <x:v>33</x:v>
      </x:c>
      <x:c r="G586" s="35" t="str">
        <x:v>RECORDED</x:v>
      </x:c>
      <x:c r="H586" s="39" t="n">
        <x:f>IF(ISNUMBER('Data'!E586),'Data'!E586*100,"")</x:f>
        <x:v>100</x:v>
      </x:c>
      <x:c r="I586" s="35" t="str">
        <x:v>PASS</x:v>
      </x:c>
      <x:c r="J586" s="35" t="str">
        <x:v>PASS</x:v>
      </x:c>
      <x:c r="K586" s="35" t="str">
        <x:v>PASS</x:v>
      </x:c>
      <x:c r="L586" s="35" t="str">
        <x:v>PASS</x:v>
      </x:c>
      <x:c r="M586" s="35" t="str">
        <x:v>numeric coverage for applicable metric</x:v>
      </x:c>
      <x:c r="N586" s="35" t="str">
        <x:v>Gemini-3.8-flash/Result/Jsoup_79/result.json</x:v>
      </x:c>
      <x:c r="O586" s="39" t="n">
        <x:f>IF(AND(G586="RECORDED",ISNUMBER(H586)),H586,"")</x:f>
        <x:v>100</x:v>
      </x:c>
      <x:c r="P586" s="35" t="str">
        <x:v>INCONCLUSIVE</x:v>
      </x:c>
      <x:c r="Q586" s="35" t="str">
        <x:v>Gemini-3.8-flash/Result/Jsoup_79/result.json</x:v>
      </x:c>
    </x:row>
    <x:row r="587">
      <x:c r="A587" s="35" t="str">
        <x:v>gemini</x:v>
      </x:c>
      <x:c r="B587" s="35" t="str">
        <x:v>Jsoup</x:v>
      </x:c>
      <x:c r="C587" s="35" t="str">
        <x:v>Round1</x:v>
      </x:c>
      <x:c r="D587" s="35" t="str">
        <x:v>Jsoup_8</x:v>
      </x:c>
      <x:c r="E587" s="35" t="str">
        <x:v>Line</x:v>
      </x:c>
      <x:c r="F587" s="35"/>
      <x:c r="G587" s="35" t="str">
        <x:v>A</x:v>
      </x:c>
      <x:c r="H587" s="39" t="str">
        <x:f>IF(ISNUMBER('Data'!E587),'Data'!E587*100,"")</x:f>
      </x:c>
      <x:c r="I587" s="35"/>
      <x:c r="J587" s="35" t="str">
        <x:v>PASS</x:v>
      </x:c>
      <x:c r="K587" s="35" t="str">
        <x:v>FAIL</x:v>
      </x:c>
      <x:c r="L587" s="35" t="str">
        <x:v>NOT_RUN</x:v>
      </x:c>
      <x:c r="M587" s="35" t="str">
        <x:v>coverage unavailable or execution/compile failed</x:v>
      </x:c>
      <x:c r="N587" s="35" t="str">
        <x:v>Gemini-3.8-flash/Result/Jsoup_8/result.json</x:v>
      </x:c>
      <x:c r="O587" s="39" t="str">
        <x:f>IF(AND(G587="RECORDED",ISNUMBER(H587)),H587,"")</x:f>
      </x:c>
      <x:c r="P587" s="35" t="str">
        <x:v>NOT_AVAILABLE</x:v>
      </x:c>
      <x:c r="Q587" s="35" t="str">
        <x:v>Gemini-3.8-flash/Result/Jsoup_8/result.json</x:v>
      </x:c>
    </x:row>
    <x:row r="588">
      <x:c r="A588" s="35" t="str">
        <x:v>gemini</x:v>
      </x:c>
      <x:c r="B588" s="35" t="str">
        <x:v>Jsoup</x:v>
      </x:c>
      <x:c r="C588" s="35" t="str">
        <x:v>Round1</x:v>
      </x:c>
      <x:c r="D588" s="35" t="str">
        <x:v>Jsoup_80</x:v>
      </x:c>
      <x:c r="E588" s="35" t="str">
        <x:v>Line</x:v>
      </x:c>
      <x:c r="F588" s="35"/>
      <x:c r="G588" s="35" t="str">
        <x:v>A</x:v>
      </x:c>
      <x:c r="H588" s="39" t="str">
        <x:f>IF(ISNUMBER('Data'!E588),'Data'!E588*100,"")</x:f>
      </x:c>
      <x:c r="I588" s="35"/>
      <x:c r="J588" s="35" t="str">
        <x:v>PASS</x:v>
      </x:c>
      <x:c r="K588" s="35" t="str">
        <x:v>FAIL</x:v>
      </x:c>
      <x:c r="L588" s="35" t="str">
        <x:v>NOT_RUN</x:v>
      </x:c>
      <x:c r="M588" s="35" t="str">
        <x:v>coverage unavailable or execution/compile failed</x:v>
      </x:c>
      <x:c r="N588" s="35" t="str">
        <x:v>Gemini-3.8-flash/Result/Jsoup_80/result.json</x:v>
      </x:c>
      <x:c r="O588" s="39" t="str">
        <x:f>IF(AND(G588="RECORDED",ISNUMBER(H588)),H588,"")</x:f>
      </x:c>
      <x:c r="P588" s="35" t="str">
        <x:v>NOT_AVAILABLE</x:v>
      </x:c>
      <x:c r="Q588" s="35" t="str">
        <x:v>Gemini-3.8-flash/Result/Jsoup_80/result.json</x:v>
      </x:c>
    </x:row>
    <x:row r="589">
      <x:c r="A589" s="35" t="str">
        <x:v>gemini</x:v>
      </x:c>
      <x:c r="B589" s="35" t="str">
        <x:v>Jsoup</x:v>
      </x:c>
      <x:c r="C589" s="35" t="str">
        <x:v>Round1</x:v>
      </x:c>
      <x:c r="D589" s="35" t="str">
        <x:v>Jsoup_81</x:v>
      </x:c>
      <x:c r="E589" s="35" t="str">
        <x:v>Line</x:v>
      </x:c>
      <x:c r="F589" s="35" t="n">
        <x:v>117</x:v>
      </x:c>
      <x:c r="G589" s="35" t="str">
        <x:v>RECORDED</x:v>
      </x:c>
      <x:c r="H589" s="39" t="n">
        <x:f>IF(ISNUMBER('Data'!E589),'Data'!E589*100,"")</x:f>
        <x:v>95.73</x:v>
      </x:c>
      <x:c r="I589" s="35" t="str">
        <x:v>PASS</x:v>
      </x:c>
      <x:c r="J589" s="35" t="str">
        <x:v>PASS</x:v>
      </x:c>
      <x:c r="K589" s="35" t="str">
        <x:v>PASS</x:v>
      </x:c>
      <x:c r="L589" s="35" t="str">
        <x:v>FAIL</x:v>
      </x:c>
      <x:c r="M589" s="35" t="str">
        <x:v>numeric coverage for applicable metric</x:v>
      </x:c>
      <x:c r="N589" s="35" t="str">
        <x:v>Gemini-3.8-flash/Result/Jsoup_81/result.json</x:v>
      </x:c>
      <x:c r="O589" s="39" t="n">
        <x:f>IF(AND(G589="RECORDED",ISNUMBER(H589)),H589,"")</x:f>
        <x:v>95.73</x:v>
      </x:c>
      <x:c r="P589" s="35" t="str">
        <x:v>INCONCLUSIVE</x:v>
      </x:c>
      <x:c r="Q589" s="35" t="str">
        <x:v>Gemini-3.8-flash/Result/Jsoup_81/result.json</x:v>
      </x:c>
    </x:row>
    <x:row r="590">
      <x:c r="A590" s="35" t="str">
        <x:v>gemini</x:v>
      </x:c>
      <x:c r="B590" s="35" t="str">
        <x:v>Jsoup</x:v>
      </x:c>
      <x:c r="C590" s="35" t="str">
        <x:v>Round1</x:v>
      </x:c>
      <x:c r="D590" s="35" t="str">
        <x:v>Jsoup_82</x:v>
      </x:c>
      <x:c r="E590" s="35" t="str">
        <x:v>Line</x:v>
      </x:c>
      <x:c r="F590" s="35" t="n">
        <x:v>113</x:v>
      </x:c>
      <x:c r="G590" s="35" t="str">
        <x:v>RECORDED</x:v>
      </x:c>
      <x:c r="H590" s="39" t="n">
        <x:f>IF(ISNUMBER('Data'!E590),'Data'!E590*100,"")</x:f>
        <x:v>96.46</x:v>
      </x:c>
      <x:c r="I590" s="35" t="str">
        <x:v>PASS</x:v>
      </x:c>
      <x:c r="J590" s="35" t="str">
        <x:v>PASS</x:v>
      </x:c>
      <x:c r="K590" s="35" t="str">
        <x:v>PASS</x:v>
      </x:c>
      <x:c r="L590" s="35" t="str">
        <x:v>FAIL</x:v>
      </x:c>
      <x:c r="M590" s="35" t="str">
        <x:v>numeric coverage for applicable metric</x:v>
      </x:c>
      <x:c r="N590" s="35" t="str">
        <x:v>Gemini-3.8-flash/Result/Jsoup_82/result.json</x:v>
      </x:c>
      <x:c r="O590" s="39" t="n">
        <x:f>IF(AND(G590="RECORDED",ISNUMBER(H590)),H590,"")</x:f>
        <x:v>96.46</x:v>
      </x:c>
      <x:c r="P590" s="35" t="str">
        <x:v>INCONCLUSIVE</x:v>
      </x:c>
      <x:c r="Q590" s="35" t="str">
        <x:v>Gemini-3.8-flash/Result/Jsoup_82/result.json</x:v>
      </x:c>
    </x:row>
    <x:row r="591">
      <x:c r="A591" s="35" t="str">
        <x:v>gemini</x:v>
      </x:c>
      <x:c r="B591" s="35" t="str">
        <x:v>Jsoup</x:v>
      </x:c>
      <x:c r="C591" s="35" t="str">
        <x:v>Round1</x:v>
      </x:c>
      <x:c r="D591" s="35" t="str">
        <x:v>Jsoup_83</x:v>
      </x:c>
      <x:c r="E591" s="35" t="str">
        <x:v>Line</x:v>
      </x:c>
      <x:c r="F591" s="35"/>
      <x:c r="G591" s="35" t="str">
        <x:v>A</x:v>
      </x:c>
      <x:c r="H591" s="39" t="str">
        <x:f>IF(ISNUMBER('Data'!E591),'Data'!E591*100,"")</x:f>
      </x:c>
      <x:c r="I591" s="35"/>
      <x:c r="J591" s="35" t="str">
        <x:v>PASS</x:v>
      </x:c>
      <x:c r="K591" s="35" t="str">
        <x:v>FAIL</x:v>
      </x:c>
      <x:c r="L591" s="35" t="str">
        <x:v>NOT_RUN</x:v>
      </x:c>
      <x:c r="M591" s="35" t="str">
        <x:v>coverage unavailable or execution/compile failed</x:v>
      </x:c>
      <x:c r="N591" s="35" t="str">
        <x:v>Gemini-3.8-flash/Result/Jsoup_83/result.json</x:v>
      </x:c>
      <x:c r="O591" s="39" t="str">
        <x:f>IF(AND(G591="RECORDED",ISNUMBER(H591)),H591,"")</x:f>
      </x:c>
      <x:c r="P591" s="35" t="str">
        <x:v>NOT_AVAILABLE</x:v>
      </x:c>
      <x:c r="Q591" s="35" t="str">
        <x:v>Gemini-3.8-flash/Result/Jsoup_83/result.json</x:v>
      </x:c>
    </x:row>
    <x:row r="592">
      <x:c r="A592" s="35" t="str">
        <x:v>gemini</x:v>
      </x:c>
      <x:c r="B592" s="35" t="str">
        <x:v>Jsoup</x:v>
      </x:c>
      <x:c r="C592" s="35" t="str">
        <x:v>Round1</x:v>
      </x:c>
      <x:c r="D592" s="35" t="str">
        <x:v>Jsoup_84</x:v>
      </x:c>
      <x:c r="E592" s="35" t="str">
        <x:v>Line</x:v>
      </x:c>
      <x:c r="F592" s="35" t="n">
        <x:v>76</x:v>
      </x:c>
      <x:c r="G592" s="35" t="str">
        <x:v>RECORDED</x:v>
      </x:c>
      <x:c r="H592" s="39" t="n">
        <x:f>IF(ISNUMBER('Data'!E592),'Data'!E592*100,"")</x:f>
        <x:v>97.37</x:v>
      </x:c>
      <x:c r="I592" s="35" t="str">
        <x:v>PASS</x:v>
      </x:c>
      <x:c r="J592" s="35" t="str">
        <x:v>PASS</x:v>
      </x:c>
      <x:c r="K592" s="35" t="str">
        <x:v>PASS</x:v>
      </x:c>
      <x:c r="L592" s="35" t="str">
        <x:v>FAIL</x:v>
      </x:c>
      <x:c r="M592" s="35" t="str">
        <x:v>numeric coverage for applicable metric</x:v>
      </x:c>
      <x:c r="N592" s="35" t="str">
        <x:v>Gemini-3.8-flash/Result/Jsoup_84/result.json</x:v>
      </x:c>
      <x:c r="O592" s="39" t="n">
        <x:f>IF(AND(G592="RECORDED",ISNUMBER(H592)),H592,"")</x:f>
        <x:v>97.37</x:v>
      </x:c>
      <x:c r="P592" s="35" t="str">
        <x:v>INCONCLUSIVE</x:v>
      </x:c>
      <x:c r="Q592" s="35" t="str">
        <x:v>Gemini-3.8-flash/Result/Jsoup_84/result.json</x:v>
      </x:c>
    </x:row>
    <x:row r="593">
      <x:c r="A593" s="35" t="str">
        <x:v>gemini</x:v>
      </x:c>
      <x:c r="B593" s="35" t="str">
        <x:v>Jsoup</x:v>
      </x:c>
      <x:c r="C593" s="35" t="str">
        <x:v>Round1</x:v>
      </x:c>
      <x:c r="D593" s="35" t="str">
        <x:v>Jsoup_85</x:v>
      </x:c>
      <x:c r="E593" s="35" t="str">
        <x:v>Line</x:v>
      </x:c>
      <x:c r="F593" s="35" t="n">
        <x:v>65</x:v>
      </x:c>
      <x:c r="G593" s="35" t="str">
        <x:v>RECORDED</x:v>
      </x:c>
      <x:c r="H593" s="39" t="n">
        <x:f>IF(ISNUMBER('Data'!E593),'Data'!E593*100,"")</x:f>
        <x:v>89.23</x:v>
      </x:c>
      <x:c r="I593" s="35" t="str">
        <x:v>PASS</x:v>
      </x:c>
      <x:c r="J593" s="35" t="str">
        <x:v>PASS</x:v>
      </x:c>
      <x:c r="K593" s="35" t="str">
        <x:v>PASS</x:v>
      </x:c>
      <x:c r="L593" s="35" t="str">
        <x:v>PASS</x:v>
      </x:c>
      <x:c r="M593" s="35" t="str">
        <x:v>numeric coverage for applicable metric</x:v>
      </x:c>
      <x:c r="N593" s="35" t="str">
        <x:v>Gemini-3.8-flash/Result/Jsoup_85/result.json</x:v>
      </x:c>
      <x:c r="O593" s="39" t="n">
        <x:f>IF(AND(G593="RECORDED",ISNUMBER(H593)),H593,"")</x:f>
        <x:v>89.23</x:v>
      </x:c>
      <x:c r="P593" s="35" t="str">
        <x:v>NOT_REVEALING</x:v>
      </x:c>
      <x:c r="Q593" s="35" t="str">
        <x:v>Gemini-3.8-flash/Result/Jsoup_85/result.json</x:v>
      </x:c>
    </x:row>
    <x:row r="594">
      <x:c r="A594" s="35" t="str">
        <x:v>gemini</x:v>
      </x:c>
      <x:c r="B594" s="35" t="str">
        <x:v>Jsoup</x:v>
      </x:c>
      <x:c r="C594" s="35" t="str">
        <x:v>Round1</x:v>
      </x:c>
      <x:c r="D594" s="35" t="str">
        <x:v>Jsoup_86</x:v>
      </x:c>
      <x:c r="E594" s="35" t="str">
        <x:v>Line</x:v>
      </x:c>
      <x:c r="F594" s="35"/>
      <x:c r="G594" s="35" t="str">
        <x:v>A</x:v>
      </x:c>
      <x:c r="H594" s="39" t="str">
        <x:f>IF(ISNUMBER('Data'!E594),'Data'!E594*100,"")</x:f>
      </x:c>
      <x:c r="I594" s="35"/>
      <x:c r="J594" s="35" t="str">
        <x:v>PASS</x:v>
      </x:c>
      <x:c r="K594" s="35" t="str">
        <x:v>FAIL</x:v>
      </x:c>
      <x:c r="L594" s="35" t="str">
        <x:v>NOT_RUN</x:v>
      </x:c>
      <x:c r="M594" s="35" t="str">
        <x:v>coverage unavailable or execution/compile failed</x:v>
      </x:c>
      <x:c r="N594" s="35" t="str">
        <x:v>Gemini-3.8-flash/Result/Jsoup_86/result.json</x:v>
      </x:c>
      <x:c r="O594" s="39" t="str">
        <x:f>IF(AND(G594="RECORDED",ISNUMBER(H594)),H594,"")</x:f>
      </x:c>
      <x:c r="P594" s="35" t="str">
        <x:v>NOT_AVAILABLE</x:v>
      </x:c>
      <x:c r="Q594" s="35" t="str">
        <x:v>Gemini-3.8-flash/Result/Jsoup_86/result.json</x:v>
      </x:c>
    </x:row>
    <x:row r="595">
      <x:c r="A595" s="35" t="str">
        <x:v>gemini</x:v>
      </x:c>
      <x:c r="B595" s="35" t="str">
        <x:v>Jsoup</x:v>
      </x:c>
      <x:c r="C595" s="35" t="str">
        <x:v>Round1</x:v>
      </x:c>
      <x:c r="D595" s="35" t="str">
        <x:v>Jsoup_87</x:v>
      </x:c>
      <x:c r="E595" s="35" t="str">
        <x:v>Line</x:v>
      </x:c>
      <x:c r="F595" s="35"/>
      <x:c r="G595" s="35" t="str">
        <x:v>A</x:v>
      </x:c>
      <x:c r="H595" s="39" t="str">
        <x:f>IF(ISNUMBER('Data'!E595),'Data'!E595*100,"")</x:f>
      </x:c>
      <x:c r="I595" s="35"/>
      <x:c r="J595" s="35" t="str">
        <x:v>PASS</x:v>
      </x:c>
      <x:c r="K595" s="35" t="str">
        <x:v>FAIL</x:v>
      </x:c>
      <x:c r="L595" s="35" t="str">
        <x:v>NOT_RUN</x:v>
      </x:c>
      <x:c r="M595" s="35" t="str">
        <x:v>coverage unavailable or execution/compile failed</x:v>
      </x:c>
      <x:c r="N595" s="35" t="str">
        <x:v>Gemini-3.8-flash/Result/Jsoup_87/result.json</x:v>
      </x:c>
      <x:c r="O595" s="39" t="str">
        <x:f>IF(AND(G595="RECORDED",ISNUMBER(H595)),H595,"")</x:f>
      </x:c>
      <x:c r="P595" s="35" t="str">
        <x:v>NOT_AVAILABLE</x:v>
      </x:c>
      <x:c r="Q595" s="35" t="str">
        <x:v>Gemini-3.8-flash/Result/Jsoup_87/result.json</x:v>
      </x:c>
    </x:row>
    <x:row r="596">
      <x:c r="A596" s="35" t="str">
        <x:v>gemini</x:v>
      </x:c>
      <x:c r="B596" s="35" t="str">
        <x:v>Jsoup</x:v>
      </x:c>
      <x:c r="C596" s="35" t="str">
        <x:v>Round1</x:v>
      </x:c>
      <x:c r="D596" s="35" t="str">
        <x:v>Jsoup_88</x:v>
      </x:c>
      <x:c r="E596" s="35" t="str">
        <x:v>Line</x:v>
      </x:c>
      <x:c r="F596" s="35" t="n">
        <x:v>66</x:v>
      </x:c>
      <x:c r="G596" s="35" t="str">
        <x:v>RECORDED</x:v>
      </x:c>
      <x:c r="H596" s="39" t="n">
        <x:f>IF(ISNUMBER('Data'!E596),'Data'!E596*100,"")</x:f>
        <x:v>89.39</x:v>
      </x:c>
      <x:c r="I596" s="35" t="str">
        <x:v>PASS</x:v>
      </x:c>
      <x:c r="J596" s="35" t="str">
        <x:v>PASS</x:v>
      </x:c>
      <x:c r="K596" s="35" t="str">
        <x:v>PASS</x:v>
      </x:c>
      <x:c r="L596" s="35" t="str">
        <x:v>PASS</x:v>
      </x:c>
      <x:c r="M596" s="35" t="str">
        <x:v>numeric coverage for applicable metric</x:v>
      </x:c>
      <x:c r="N596" s="35" t="str">
        <x:v>Gemini-3.8-flash/Result/Jsoup_88/result.json</x:v>
      </x:c>
      <x:c r="O596" s="39" t="n">
        <x:f>IF(AND(G596="RECORDED",ISNUMBER(H596)),H596,"")</x:f>
        <x:v>89.39</x:v>
      </x:c>
      <x:c r="P596" s="35" t="str">
        <x:v>NOT_REVEALING</x:v>
      </x:c>
      <x:c r="Q596" s="35" t="str">
        <x:v>Gemini-3.8-flash/Result/Jsoup_88/result.json</x:v>
      </x:c>
    </x:row>
    <x:row r="597">
      <x:c r="A597" s="35" t="str">
        <x:v>gemini</x:v>
      </x:c>
      <x:c r="B597" s="35" t="str">
        <x:v>Jsoup</x:v>
      </x:c>
      <x:c r="C597" s="35" t="str">
        <x:v>Round1</x:v>
      </x:c>
      <x:c r="D597" s="35" t="str">
        <x:v>Jsoup_89</x:v>
      </x:c>
      <x:c r="E597" s="35" t="str">
        <x:v>Line</x:v>
      </x:c>
      <x:c r="F597" s="35" t="n">
        <x:v>66</x:v>
      </x:c>
      <x:c r="G597" s="35" t="str">
        <x:v>RECORDED</x:v>
      </x:c>
      <x:c r="H597" s="39" t="n">
        <x:f>IF(ISNUMBER('Data'!E597),'Data'!E597*100,"")</x:f>
        <x:v>89.39</x:v>
      </x:c>
      <x:c r="I597" s="35" t="str">
        <x:v>PASS</x:v>
      </x:c>
      <x:c r="J597" s="35" t="str">
        <x:v>PASS</x:v>
      </x:c>
      <x:c r="K597" s="35" t="str">
        <x:v>PASS</x:v>
      </x:c>
      <x:c r="L597" s="35" t="str">
        <x:v>PASS</x:v>
      </x:c>
      <x:c r="M597" s="35" t="str">
        <x:v>numeric coverage for applicable metric</x:v>
      </x:c>
      <x:c r="N597" s="35" t="str">
        <x:v>Gemini-3.8-flash/Result/Jsoup_89/result.json</x:v>
      </x:c>
      <x:c r="O597" s="39" t="n">
        <x:f>IF(AND(G597="RECORDED",ISNUMBER(H597)),H597,"")</x:f>
        <x:v>89.39</x:v>
      </x:c>
      <x:c r="P597" s="35" t="str">
        <x:v>NOT_REVEALING</x:v>
      </x:c>
      <x:c r="Q597" s="35" t="str">
        <x:v>Gemini-3.8-flash/Result/Jsoup_89/result.json</x:v>
      </x:c>
    </x:row>
    <x:row r="598">
      <x:c r="A598" s="35" t="str">
        <x:v>gemini</x:v>
      </x:c>
      <x:c r="B598" s="35" t="str">
        <x:v>Jsoup</x:v>
      </x:c>
      <x:c r="C598" s="35" t="str">
        <x:v>Round1</x:v>
      </x:c>
      <x:c r="D598" s="35" t="str">
        <x:v>Jsoup_9</x:v>
      </x:c>
      <x:c r="E598" s="35" t="str">
        <x:v>Line</x:v>
      </x:c>
      <x:c r="F598" s="35"/>
      <x:c r="G598" s="35" t="str">
        <x:v>A</x:v>
      </x:c>
      <x:c r="H598" s="39" t="str">
        <x:f>IF(ISNUMBER('Data'!E598),'Data'!E598*100,"")</x:f>
      </x:c>
      <x:c r="I598" s="35"/>
      <x:c r="J598" s="35" t="str">
        <x:v>PASS</x:v>
      </x:c>
      <x:c r="K598" s="35" t="str">
        <x:v>FAIL</x:v>
      </x:c>
      <x:c r="L598" s="35" t="str">
        <x:v>NOT_RUN</x:v>
      </x:c>
      <x:c r="M598" s="35" t="str">
        <x:v>coverage unavailable or execution/compile failed</x:v>
      </x:c>
      <x:c r="N598" s="35" t="str">
        <x:v>Gemini-3.8-flash/Result/Jsoup_9/result.json</x:v>
      </x:c>
      <x:c r="O598" s="39" t="str">
        <x:f>IF(AND(G598="RECORDED",ISNUMBER(H598)),H598,"")</x:f>
      </x:c>
      <x:c r="P598" s="35" t="str">
        <x:v>NOT_AVAILABLE</x:v>
      </x:c>
      <x:c r="Q598" s="35" t="str">
        <x:v>Gemini-3.8-flash/Result/Jsoup_9/result.json</x:v>
      </x:c>
    </x:row>
    <x:row r="599">
      <x:c r="A599" s="35" t="str">
        <x:v>gemini</x:v>
      </x:c>
      <x:c r="B599" s="35" t="str">
        <x:v>Jsoup</x:v>
      </x:c>
      <x:c r="C599" s="35" t="str">
        <x:v>Round1</x:v>
      </x:c>
      <x:c r="D599" s="35" t="str">
        <x:v>Jsoup_90</x:v>
      </x:c>
      <x:c r="E599" s="35" t="str">
        <x:v>Line</x:v>
      </x:c>
      <x:c r="F599" s="35" t="n">
        <x:v>596</x:v>
      </x:c>
      <x:c r="G599" s="35" t="str">
        <x:v>RECORDED</x:v>
      </x:c>
      <x:c r="H599" s="39" t="n">
        <x:f>IF(ISNUMBER('Data'!E599),'Data'!E599*100,"")</x:f>
        <x:v>55.03</x:v>
      </x:c>
      <x:c r="I599" s="35" t="str">
        <x:v>PASS</x:v>
      </x:c>
      <x:c r="J599" s="35" t="str">
        <x:v>PASS</x:v>
      </x:c>
      <x:c r="K599" s="35" t="str">
        <x:v>PASS</x:v>
      </x:c>
      <x:c r="L599" s="35" t="str">
        <x:v>PASS</x:v>
      </x:c>
      <x:c r="M599" s="35" t="str">
        <x:v>numeric coverage for applicable metric</x:v>
      </x:c>
      <x:c r="N599" s="35" t="str">
        <x:v>Gemini-3.8-flash/Result/Jsoup_90/result.json</x:v>
      </x:c>
      <x:c r="O599" s="39" t="n">
        <x:f>IF(AND(G599="RECORDED",ISNUMBER(H599)),H599,"")</x:f>
        <x:v>55.03</x:v>
      </x:c>
      <x:c r="P599" s="35" t="str">
        <x:v>NOT_REVEALING</x:v>
      </x:c>
      <x:c r="Q599" s="35" t="str">
        <x:v>Gemini-3.8-flash/Result/Jsoup_90/result.json</x:v>
      </x:c>
    </x:row>
    <x:row r="600">
      <x:c r="A600" s="35" t="str">
        <x:v>gemini</x:v>
      </x:c>
      <x:c r="B600" s="35" t="str">
        <x:v>Jsoup</x:v>
      </x:c>
      <x:c r="C600" s="35" t="str">
        <x:v>Round1</x:v>
      </x:c>
      <x:c r="D600" s="35" t="str">
        <x:v>Jsoup_91</x:v>
      </x:c>
      <x:c r="E600" s="35" t="str">
        <x:v>Line</x:v>
      </x:c>
      <x:c r="F600" s="35" t="n">
        <x:v>249</x:v>
      </x:c>
      <x:c r="G600" s="35" t="str">
        <x:v>RECORDED</x:v>
      </x:c>
      <x:c r="H600" s="39" t="n">
        <x:f>IF(ISNUMBER('Data'!E600),'Data'!E600*100,"")</x:f>
        <x:v>99.2</x:v>
      </x:c>
      <x:c r="I600" s="35" t="str">
        <x:v>PASS</x:v>
      </x:c>
      <x:c r="J600" s="35" t="str">
        <x:v>PASS</x:v>
      </x:c>
      <x:c r="K600" s="35" t="str">
        <x:v>PASS</x:v>
      </x:c>
      <x:c r="L600" s="35" t="str">
        <x:v>PASS</x:v>
      </x:c>
      <x:c r="M600" s="35" t="str">
        <x:v>numeric coverage for applicable metric</x:v>
      </x:c>
      <x:c r="N600" s="35" t="str">
        <x:v>Gemini-3.8-flash/Result/Jsoup_91/result.json</x:v>
      </x:c>
      <x:c r="O600" s="39" t="n">
        <x:f>IF(AND(G600="RECORDED",ISNUMBER(H600)),H600,"")</x:f>
        <x:v>99.2</x:v>
      </x:c>
      <x:c r="P600" s="35" t="str">
        <x:v>NOT_REVEALING</x:v>
      </x:c>
      <x:c r="Q600" s="35" t="str">
        <x:v>Gemini-3.8-flash/Result/Jsoup_91/result.json</x:v>
      </x:c>
    </x:row>
    <x:row r="601">
      <x:c r="A601" s="35" t="str">
        <x:v>gemini</x:v>
      </x:c>
      <x:c r="B601" s="35" t="str">
        <x:v>Jsoup</x:v>
      </x:c>
      <x:c r="C601" s="35" t="str">
        <x:v>Round1</x:v>
      </x:c>
      <x:c r="D601" s="35" t="str">
        <x:v>Jsoup_92</x:v>
      </x:c>
      <x:c r="E601" s="35" t="str">
        <x:v>Line</x:v>
      </x:c>
      <x:c r="F601" s="35"/>
      <x:c r="G601" s="35" t="str">
        <x:v>A</x:v>
      </x:c>
      <x:c r="H601" s="39" t="str">
        <x:f>IF(ISNUMBER('Data'!E601),'Data'!E601*100,"")</x:f>
      </x:c>
      <x:c r="I601" s="35"/>
      <x:c r="J601" s="35" t="str">
        <x:v>PASS</x:v>
      </x:c>
      <x:c r="K601" s="35" t="str">
        <x:v>FAIL</x:v>
      </x:c>
      <x:c r="L601" s="35" t="str">
        <x:v>NOT_RUN</x:v>
      </x:c>
      <x:c r="M601" s="35" t="str">
        <x:v>coverage unavailable or execution/compile failed</x:v>
      </x:c>
      <x:c r="N601" s="35" t="str">
        <x:v>Gemini-3.8-flash/Result/Jsoup_92/result.json</x:v>
      </x:c>
      <x:c r="O601" s="39" t="str">
        <x:f>IF(AND(G601="RECORDED",ISNUMBER(H601)),H601,"")</x:f>
      </x:c>
      <x:c r="P601" s="35" t="str">
        <x:v>NOT_AVAILABLE</x:v>
      </x:c>
      <x:c r="Q601" s="35" t="str">
        <x:v>Gemini-3.8-flash/Result/Jsoup_92/result.json</x:v>
      </x:c>
    </x:row>
    <x:row r="602">
      <x:c r="A602" s="35" t="str">
        <x:v>gemini</x:v>
      </x:c>
      <x:c r="B602" s="35" t="str">
        <x:v>Jsoup</x:v>
      </x:c>
      <x:c r="C602" s="35" t="str">
        <x:v>Round1</x:v>
      </x:c>
      <x:c r="D602" s="35" t="str">
        <x:v>Jsoup_93</x:v>
      </x:c>
      <x:c r="E602" s="35" t="str">
        <x:v>Line</x:v>
      </x:c>
      <x:c r="F602" s="35" t="n">
        <x:v>42</x:v>
      </x:c>
      <x:c r="G602" s="35" t="str">
        <x:v>RECORDED</x:v>
      </x:c>
      <x:c r="H602" s="39" t="n">
        <x:f>IF(ISNUMBER('Data'!E602),'Data'!E602*100,"")</x:f>
        <x:v>100</x:v>
      </x:c>
      <x:c r="I602" s="35" t="str">
        <x:v>PASS</x:v>
      </x:c>
      <x:c r="J602" s="35" t="str">
        <x:v>PASS</x:v>
      </x:c>
      <x:c r="K602" s="35" t="str">
        <x:v>PASS</x:v>
      </x:c>
      <x:c r="L602" s="35" t="str">
        <x:v>PASS</x:v>
      </x:c>
      <x:c r="M602" s="35" t="str">
        <x:v>numeric coverage for applicable metric</x:v>
      </x:c>
      <x:c r="N602" s="35" t="str">
        <x:v>Gemini-3.8-flash/Result/Jsoup_93/result.json</x:v>
      </x:c>
      <x:c r="O602" s="39" t="n">
        <x:f>IF(AND(G602="RECORDED",ISNUMBER(H602)),H602,"")</x:f>
        <x:v>100</x:v>
      </x:c>
      <x:c r="P602" s="35" t="str">
        <x:v>NOT_REVEALING</x:v>
      </x:c>
      <x:c r="Q602" s="35" t="str">
        <x:v>Gemini-3.8-flash/Result/Jsoup_93/result.json</x:v>
      </x:c>
    </x:row>
    <x:row r="603">
      <x:c r="A603" s="35" t="str">
        <x:v>gemini</x:v>
      </x:c>
      <x:c r="B603" s="35" t="str">
        <x:v>JxPath</x:v>
      </x:c>
      <x:c r="C603" s="35" t="str">
        <x:v>Round1</x:v>
      </x:c>
      <x:c r="D603" s="35" t="str">
        <x:v>JxPath_1</x:v>
      </x:c>
      <x:c r="E603" s="35" t="str">
        <x:v>Line</x:v>
      </x:c>
      <x:c r="F603" s="35" t="n">
        <x:v>773</x:v>
      </x:c>
      <x:c r="G603" s="35" t="str">
        <x:v>RECORDED</x:v>
      </x:c>
      <x:c r="H603" s="39" t="n">
        <x:f>IF(ISNUMBER('Data'!E603),'Data'!E603*100,"")</x:f>
        <x:v>26.780000000000005</x:v>
      </x:c>
      <x:c r="I603" s="35" t="str">
        <x:v>PASS</x:v>
      </x:c>
      <x:c r="J603" s="35" t="str">
        <x:v>PASS</x:v>
      </x:c>
      <x:c r="K603" s="35" t="str">
        <x:v>PASS</x:v>
      </x:c>
      <x:c r="L603" s="35" t="str">
        <x:v>FAIL</x:v>
      </x:c>
      <x:c r="M603" s="35" t="str">
        <x:v>numeric coverage for applicable metric</x:v>
      </x:c>
      <x:c r="N603" s="35" t="str">
        <x:v>Gemini-3.8-flash/Result/JxPath_1/result.json</x:v>
      </x:c>
      <x:c r="O603" s="39" t="n">
        <x:f>IF(AND(G603="RECORDED",ISNUMBER(H603)),H603,"")</x:f>
        <x:v>26.780000000000005</x:v>
      </x:c>
      <x:c r="P603" s="35" t="str">
        <x:v>INCONCLUSIVE</x:v>
      </x:c>
      <x:c r="Q603" s="35" t="str">
        <x:v>Gemini-3.8-flash/Result/JxPath_1/result.json</x:v>
      </x:c>
    </x:row>
    <x:row r="604">
      <x:c r="A604" s="35" t="str">
        <x:v>gemini</x:v>
      </x:c>
      <x:c r="B604" s="35" t="str">
        <x:v>JxPath</x:v>
      </x:c>
      <x:c r="C604" s="35" t="str">
        <x:v>Round1</x:v>
      </x:c>
      <x:c r="D604" s="35" t="str">
        <x:v>JxPath_10</x:v>
      </x:c>
      <x:c r="E604" s="35" t="str">
        <x:v>Line</x:v>
      </x:c>
      <x:c r="F604" s="35"/>
      <x:c r="G604" s="35" t="str">
        <x:v>A</x:v>
      </x:c>
      <x:c r="H604" s="39" t="str">
        <x:f>IF(ISNUMBER('Data'!E604),'Data'!E604*100,"")</x:f>
      </x:c>
      <x:c r="I604" s="35"/>
      <x:c r="J604" s="35" t="str">
        <x:v>PASS</x:v>
      </x:c>
      <x:c r="K604" s="35" t="str">
        <x:v>FAIL</x:v>
      </x:c>
      <x:c r="L604" s="35" t="str">
        <x:v>NOT_RUN</x:v>
      </x:c>
      <x:c r="M604" s="35" t="str">
        <x:v>coverage unavailable or execution/compile failed</x:v>
      </x:c>
      <x:c r="N604" s="35" t="str">
        <x:v>Gemini-3.8-flash/Result/JxPath_10/result.json</x:v>
      </x:c>
      <x:c r="O604" s="39" t="str">
        <x:f>IF(AND(G604="RECORDED",ISNUMBER(H604)),H604,"")</x:f>
      </x:c>
      <x:c r="P604" s="35" t="str">
        <x:v>NOT_AVAILABLE</x:v>
      </x:c>
      <x:c r="Q604" s="35" t="str">
        <x:v>Gemini-3.8-flash/Result/JxPath_10/result.json</x:v>
      </x:c>
    </x:row>
    <x:row r="605">
      <x:c r="A605" s="35" t="str">
        <x:v>gemini</x:v>
      </x:c>
      <x:c r="B605" s="35" t="str">
        <x:v>JxPath</x:v>
      </x:c>
      <x:c r="C605" s="35" t="str">
        <x:v>Round1</x:v>
      </x:c>
      <x:c r="D605" s="35" t="str">
        <x:v>JxPath_11</x:v>
      </x:c>
      <x:c r="E605" s="35" t="str">
        <x:v>Line</x:v>
      </x:c>
      <x:c r="F605" s="35" t="n">
        <x:v>110</x:v>
      </x:c>
      <x:c r="G605" s="35" t="str">
        <x:v>RECORDED</x:v>
      </x:c>
      <x:c r="H605" s="39" t="n">
        <x:f>IF(ISNUMBER('Data'!E605),'Data'!E605*100,"")</x:f>
        <x:v>40</x:v>
      </x:c>
      <x:c r="I605" s="35" t="str">
        <x:v>PASS</x:v>
      </x:c>
      <x:c r="J605" s="35" t="str">
        <x:v>PASS</x:v>
      </x:c>
      <x:c r="K605" s="35" t="str">
        <x:v>PASS</x:v>
      </x:c>
      <x:c r="L605" s="35" t="str">
        <x:v>FAIL</x:v>
      </x:c>
      <x:c r="M605" s="35" t="str">
        <x:v>numeric coverage for applicable metric</x:v>
      </x:c>
      <x:c r="N605" s="35" t="str">
        <x:v>Gemini-3.8-flash/Result/JxPath_11/result.json</x:v>
      </x:c>
      <x:c r="O605" s="39" t="n">
        <x:f>IF(AND(G605="RECORDED",ISNUMBER(H605)),H605,"")</x:f>
        <x:v>40</x:v>
      </x:c>
      <x:c r="P605" s="35" t="str">
        <x:v>INCONCLUSIVE</x:v>
      </x:c>
      <x:c r="Q605" s="35" t="str">
        <x:v>Gemini-3.8-flash/Result/JxPath_11/result.json</x:v>
      </x:c>
    </x:row>
    <x:row r="606">
      <x:c r="A606" s="35" t="str">
        <x:v>gemini</x:v>
      </x:c>
      <x:c r="B606" s="35" t="str">
        <x:v>JxPath</x:v>
      </x:c>
      <x:c r="C606" s="35" t="str">
        <x:v>Round1</x:v>
      </x:c>
      <x:c r="D606" s="35" t="str">
        <x:v>JxPath_12</x:v>
      </x:c>
      <x:c r="E606" s="35" t="str">
        <x:v>Line</x:v>
      </x:c>
      <x:c r="F606" s="35"/>
      <x:c r="G606" s="35" t="str">
        <x:v>A</x:v>
      </x:c>
      <x:c r="H606" s="39" t="str">
        <x:f>IF(ISNUMBER('Data'!E606),'Data'!E606*100,"")</x:f>
      </x:c>
      <x:c r="I606" s="35"/>
      <x:c r="J606" s="35" t="str">
        <x:v>PASS</x:v>
      </x:c>
      <x:c r="K606" s="35" t="str">
        <x:v>FAIL</x:v>
      </x:c>
      <x:c r="L606" s="35" t="str">
        <x:v>NOT_RUN</x:v>
      </x:c>
      <x:c r="M606" s="35" t="str">
        <x:v>coverage unavailable or execution/compile failed</x:v>
      </x:c>
      <x:c r="N606" s="35" t="str">
        <x:v>Gemini-3.8-flash/Result/JxPath_12/result.json</x:v>
      </x:c>
      <x:c r="O606" s="39" t="str">
        <x:f>IF(AND(G606="RECORDED",ISNUMBER(H606)),H606,"")</x:f>
      </x:c>
      <x:c r="P606" s="35" t="str">
        <x:v>NOT_AVAILABLE</x:v>
      </x:c>
      <x:c r="Q606" s="35" t="str">
        <x:v>Gemini-3.8-flash/Result/JxPath_12/result.json</x:v>
      </x:c>
    </x:row>
    <x:row r="607">
      <x:c r="A607" s="35" t="str">
        <x:v>gemini</x:v>
      </x:c>
      <x:c r="B607" s="35" t="str">
        <x:v>JxPath</x:v>
      </x:c>
      <x:c r="C607" s="35" t="str">
        <x:v>Round1</x:v>
      </x:c>
      <x:c r="D607" s="35" t="str">
        <x:v>JxPath_13</x:v>
      </x:c>
      <x:c r="E607" s="35" t="str">
        <x:v>Line</x:v>
      </x:c>
      <x:c r="F607" s="35"/>
      <x:c r="G607" s="35" t="str">
        <x:v>A</x:v>
      </x:c>
      <x:c r="H607" s="39" t="str">
        <x:f>IF(ISNUMBER('Data'!E607),'Data'!E607*100,"")</x:f>
      </x:c>
      <x:c r="I607" s="35"/>
      <x:c r="J607" s="35" t="str">
        <x:v>PASS</x:v>
      </x:c>
      <x:c r="K607" s="35" t="str">
        <x:v>FAIL</x:v>
      </x:c>
      <x:c r="L607" s="35" t="str">
        <x:v>NOT_RUN</x:v>
      </x:c>
      <x:c r="M607" s="35" t="str">
        <x:v>coverage unavailable or execution/compile failed</x:v>
      </x:c>
      <x:c r="N607" s="35" t="str">
        <x:v>Gemini-3.8-flash/Result/JxPath_13/result.json</x:v>
      </x:c>
      <x:c r="O607" s="39" t="str">
        <x:f>IF(AND(G607="RECORDED",ISNUMBER(H607)),H607,"")</x:f>
      </x:c>
      <x:c r="P607" s="35" t="str">
        <x:v>NOT_AVAILABLE</x:v>
      </x:c>
      <x:c r="Q607" s="35" t="str">
        <x:v>Gemini-3.8-flash/Result/JxPath_13/result.json</x:v>
      </x:c>
    </x:row>
    <x:row r="608">
      <x:c r="A608" s="35" t="str">
        <x:v>gemini</x:v>
      </x:c>
      <x:c r="B608" s="35" t="str">
        <x:v>JxPath</x:v>
      </x:c>
      <x:c r="C608" s="35" t="str">
        <x:v>Round1</x:v>
      </x:c>
      <x:c r="D608" s="35" t="str">
        <x:v>JxPath_14</x:v>
      </x:c>
      <x:c r="E608" s="35" t="str">
        <x:v>Line</x:v>
      </x:c>
      <x:c r="F608" s="35"/>
      <x:c r="G608" s="35" t="str">
        <x:v>A</x:v>
      </x:c>
      <x:c r="H608" s="39" t="str">
        <x:f>IF(ISNUMBER('Data'!E608),'Data'!E608*100,"")</x:f>
      </x:c>
      <x:c r="I608" s="35"/>
      <x:c r="J608" s="35" t="str">
        <x:v>PASS</x:v>
      </x:c>
      <x:c r="K608" s="35" t="str">
        <x:v>FAIL</x:v>
      </x:c>
      <x:c r="L608" s="35" t="str">
        <x:v>NOT_RUN</x:v>
      </x:c>
      <x:c r="M608" s="35" t="str">
        <x:v>coverage unavailable or execution/compile failed</x:v>
      </x:c>
      <x:c r="N608" s="35" t="str">
        <x:v>Gemini-3.8-flash/Result/JxPath_14/result.json</x:v>
      </x:c>
      <x:c r="O608" s="39" t="str">
        <x:f>IF(AND(G608="RECORDED",ISNUMBER(H608)),H608,"")</x:f>
      </x:c>
      <x:c r="P608" s="35" t="str">
        <x:v>NOT_AVAILABLE</x:v>
      </x:c>
      <x:c r="Q608" s="35" t="str">
        <x:v>Gemini-3.8-flash/Result/JxPath_14/result.json</x:v>
      </x:c>
    </x:row>
    <x:row r="609">
      <x:c r="A609" s="35" t="str">
        <x:v>gemini</x:v>
      </x:c>
      <x:c r="B609" s="35" t="str">
        <x:v>JxPath</x:v>
      </x:c>
      <x:c r="C609" s="35" t="str">
        <x:v>Round1</x:v>
      </x:c>
      <x:c r="D609" s="35" t="str">
        <x:v>JxPath_15</x:v>
      </x:c>
      <x:c r="E609" s="35" t="str">
        <x:v>Line</x:v>
      </x:c>
      <x:c r="F609" s="35" t="n">
        <x:v>18</x:v>
      </x:c>
      <x:c r="G609" s="35" t="str">
        <x:v>RECORDED</x:v>
      </x:c>
      <x:c r="H609" s="39" t="n">
        <x:f>IF(ISNUMBER('Data'!E609),'Data'!E609*100,"")</x:f>
        <x:v>100</x:v>
      </x:c>
      <x:c r="I609" s="35" t="str">
        <x:v>PASS</x:v>
      </x:c>
      <x:c r="J609" s="35" t="str">
        <x:v>PASS</x:v>
      </x:c>
      <x:c r="K609" s="35" t="str">
        <x:v>PASS</x:v>
      </x:c>
      <x:c r="L609" s="35" t="str">
        <x:v>FAIL</x:v>
      </x:c>
      <x:c r="M609" s="35" t="str">
        <x:v>numeric coverage for applicable metric</x:v>
      </x:c>
      <x:c r="N609" s="35" t="str">
        <x:v>Gemini-3.8-flash/Result/JxPath_15/result.json</x:v>
      </x:c>
      <x:c r="O609" s="39" t="n">
        <x:f>IF(AND(G609="RECORDED",ISNUMBER(H609)),H609,"")</x:f>
        <x:v>100</x:v>
      </x:c>
      <x:c r="P609" s="35" t="str">
        <x:v>INCONCLUSIVE</x:v>
      </x:c>
      <x:c r="Q609" s="35" t="str">
        <x:v>Gemini-3.8-flash/Result/JxPath_15/result.json</x:v>
      </x:c>
    </x:row>
    <x:row r="610">
      <x:c r="A610" s="35" t="str">
        <x:v>gemini</x:v>
      </x:c>
      <x:c r="B610" s="35" t="str">
        <x:v>JxPath</x:v>
      </x:c>
      <x:c r="C610" s="35" t="str">
        <x:v>Round1</x:v>
      </x:c>
      <x:c r="D610" s="35" t="str">
        <x:v>JxPath_16</x:v>
      </x:c>
      <x:c r="E610" s="35" t="str">
        <x:v>Line</x:v>
      </x:c>
      <x:c r="F610" s="35"/>
      <x:c r="G610" s="35" t="str">
        <x:v>A</x:v>
      </x:c>
      <x:c r="H610" s="39" t="str">
        <x:f>IF(ISNUMBER('Data'!E610),'Data'!E610*100,"")</x:f>
      </x:c>
      <x:c r="I610" s="35"/>
      <x:c r="J610" s="35" t="str">
        <x:v>PASS</x:v>
      </x:c>
      <x:c r="K610" s="35" t="str">
        <x:v>FAIL</x:v>
      </x:c>
      <x:c r="L610" s="35" t="str">
        <x:v>NOT_RUN</x:v>
      </x:c>
      <x:c r="M610" s="35" t="str">
        <x:v>coverage unavailable or execution/compile failed</x:v>
      </x:c>
      <x:c r="N610" s="35" t="str">
        <x:v>Gemini-3.8-flash/Result/JxPath_16/result.json</x:v>
      </x:c>
      <x:c r="O610" s="39" t="str">
        <x:f>IF(AND(G610="RECORDED",ISNUMBER(H610)),H610,"")</x:f>
      </x:c>
      <x:c r="P610" s="35" t="str">
        <x:v>NOT_AVAILABLE</x:v>
      </x:c>
      <x:c r="Q610" s="35" t="str">
        <x:v>Gemini-3.8-flash/Result/JxPath_16/result.json</x:v>
      </x:c>
    </x:row>
    <x:row r="611">
      <x:c r="A611" s="35" t="str">
        <x:v>gemini</x:v>
      </x:c>
      <x:c r="B611" s="35" t="str">
        <x:v>JxPath</x:v>
      </x:c>
      <x:c r="C611" s="35" t="str">
        <x:v>Round1</x:v>
      </x:c>
      <x:c r="D611" s="35" t="str">
        <x:v>JxPath_17</x:v>
      </x:c>
      <x:c r="E611" s="35" t="str">
        <x:v>Line</x:v>
      </x:c>
      <x:c r="F611" s="35" t="n">
        <x:v>113</x:v>
      </x:c>
      <x:c r="G611" s="35" t="str">
        <x:v>RECORDED</x:v>
      </x:c>
      <x:c r="H611" s="39" t="n">
        <x:f>IF(ISNUMBER('Data'!E611),'Data'!E611*100,"")</x:f>
        <x:v>41.59</x:v>
      </x:c>
      <x:c r="I611" s="35" t="str">
        <x:v>PASS</x:v>
      </x:c>
      <x:c r="J611" s="35" t="str">
        <x:v>PASS</x:v>
      </x:c>
      <x:c r="K611" s="35" t="str">
        <x:v>PASS</x:v>
      </x:c>
      <x:c r="L611" s="35" t="str">
        <x:v>FAIL</x:v>
      </x:c>
      <x:c r="M611" s="35" t="str">
        <x:v>numeric coverage for applicable metric</x:v>
      </x:c>
      <x:c r="N611" s="35" t="str">
        <x:v>Gemini-3.8-flash/Result/JxPath_17/result.json</x:v>
      </x:c>
      <x:c r="O611" s="39" t="n">
        <x:f>IF(AND(G611="RECORDED",ISNUMBER(H611)),H611,"")</x:f>
        <x:v>41.59</x:v>
      </x:c>
      <x:c r="P611" s="35" t="str">
        <x:v>INCONCLUSIVE</x:v>
      </x:c>
      <x:c r="Q611" s="35" t="str">
        <x:v>Gemini-3.8-flash/Result/JxPath_17/result.json</x:v>
      </x:c>
    </x:row>
    <x:row r="612">
      <x:c r="A612" s="35" t="str">
        <x:v>gemini</x:v>
      </x:c>
      <x:c r="B612" s="35" t="str">
        <x:v>JxPath</x:v>
      </x:c>
      <x:c r="C612" s="35" t="str">
        <x:v>Round1</x:v>
      </x:c>
      <x:c r="D612" s="35" t="str">
        <x:v>JxPath_18</x:v>
      </x:c>
      <x:c r="E612" s="35" t="str">
        <x:v>Line</x:v>
      </x:c>
      <x:c r="F612" s="35" t="n">
        <x:v>29</x:v>
      </x:c>
      <x:c r="G612" s="35" t="str">
        <x:v>RECORDED</x:v>
      </x:c>
      <x:c r="H612" s="39" t="n">
        <x:f>IF(ISNUMBER('Data'!E612),'Data'!E612*100,"")</x:f>
        <x:v>100</x:v>
      </x:c>
      <x:c r="I612" s="35" t="str">
        <x:v>PASS</x:v>
      </x:c>
      <x:c r="J612" s="35" t="str">
        <x:v>PASS</x:v>
      </x:c>
      <x:c r="K612" s="35" t="str">
        <x:v>PASS</x:v>
      </x:c>
      <x:c r="L612" s="35" t="str">
        <x:v>FAIL</x:v>
      </x:c>
      <x:c r="M612" s="35" t="str">
        <x:v>numeric coverage for applicable metric</x:v>
      </x:c>
      <x:c r="N612" s="35" t="str">
        <x:v>Gemini-3.8-flash/Result/JxPath_18/result.json</x:v>
      </x:c>
      <x:c r="O612" s="39" t="n">
        <x:f>IF(AND(G612="RECORDED",ISNUMBER(H612)),H612,"")</x:f>
        <x:v>100</x:v>
      </x:c>
      <x:c r="P612" s="35" t="str">
        <x:v>INCONCLUSIVE</x:v>
      </x:c>
      <x:c r="Q612" s="35" t="str">
        <x:v>Gemini-3.8-flash/Result/JxPath_18/result.json</x:v>
      </x:c>
    </x:row>
    <x:row r="613">
      <x:c r="A613" s="35" t="str">
        <x:v>gemini</x:v>
      </x:c>
      <x:c r="B613" s="35" t="str">
        <x:v>JxPath</x:v>
      </x:c>
      <x:c r="C613" s="35" t="str">
        <x:v>Round1</x:v>
      </x:c>
      <x:c r="D613" s="35" t="str">
        <x:v>JxPath_19</x:v>
      </x:c>
      <x:c r="E613" s="35" t="str">
        <x:v>Line</x:v>
      </x:c>
      <x:c r="F613" s="35"/>
      <x:c r="G613" s="35" t="str">
        <x:v>A</x:v>
      </x:c>
      <x:c r="H613" s="39" t="str">
        <x:f>IF(ISNUMBER('Data'!E613),'Data'!E613*100,"")</x:f>
      </x:c>
      <x:c r="I613" s="35"/>
      <x:c r="J613" s="35" t="str">
        <x:v>PASS</x:v>
      </x:c>
      <x:c r="K613" s="35" t="str">
        <x:v>FAIL</x:v>
      </x:c>
      <x:c r="L613" s="35" t="str">
        <x:v>NOT_RUN</x:v>
      </x:c>
      <x:c r="M613" s="35" t="str">
        <x:v>coverage unavailable or execution/compile failed</x:v>
      </x:c>
      <x:c r="N613" s="35" t="str">
        <x:v>Gemini-3.8-flash/Result/JxPath_19/result.json</x:v>
      </x:c>
      <x:c r="O613" s="39" t="str">
        <x:f>IF(AND(G613="RECORDED",ISNUMBER(H613)),H613,"")</x:f>
      </x:c>
      <x:c r="P613" s="35" t="str">
        <x:v>NOT_AVAILABLE</x:v>
      </x:c>
      <x:c r="Q613" s="35" t="str">
        <x:v>Gemini-3.8-flash/Result/JxPath_19/result.json</x:v>
      </x:c>
    </x:row>
    <x:row r="614">
      <x:c r="A614" s="35" t="str">
        <x:v>gemini</x:v>
      </x:c>
      <x:c r="B614" s="35" t="str">
        <x:v>JxPath</x:v>
      </x:c>
      <x:c r="C614" s="35" t="str">
        <x:v>Round1</x:v>
      </x:c>
      <x:c r="D614" s="35" t="str">
        <x:v>JxPath_2</x:v>
      </x:c>
      <x:c r="E614" s="35" t="str">
        <x:v>Line</x:v>
      </x:c>
      <x:c r="F614" s="35" t="n">
        <x:v>38</x:v>
      </x:c>
      <x:c r="G614" s="35" t="str">
        <x:v>RECORDED</x:v>
      </x:c>
      <x:c r="H614" s="39" t="n">
        <x:f>IF(ISNUMBER('Data'!E614),'Data'!E614*100,"")</x:f>
        <x:v>94.74</x:v>
      </x:c>
      <x:c r="I614" s="35" t="str">
        <x:v>PASS</x:v>
      </x:c>
      <x:c r="J614" s="35" t="str">
        <x:v>PASS</x:v>
      </x:c>
      <x:c r="K614" s="35" t="str">
        <x:v>PASS</x:v>
      </x:c>
      <x:c r="L614" s="35" t="str">
        <x:v>FAIL</x:v>
      </x:c>
      <x:c r="M614" s="35" t="str">
        <x:v>numeric coverage for applicable metric</x:v>
      </x:c>
      <x:c r="N614" s="35" t="str">
        <x:v>Gemini-3.8-flash/Result/JxPath_2/result.json</x:v>
      </x:c>
      <x:c r="O614" s="39" t="n">
        <x:f>IF(AND(G614="RECORDED",ISNUMBER(H614)),H614,"")</x:f>
        <x:v>94.74</x:v>
      </x:c>
      <x:c r="P614" s="35" t="str">
        <x:v>INCONCLUSIVE</x:v>
      </x:c>
      <x:c r="Q614" s="35" t="str">
        <x:v>Gemini-3.8-flash/Result/JxPath_2/result.json</x:v>
      </x:c>
    </x:row>
    <x:row r="615">
      <x:c r="A615" s="35" t="str">
        <x:v>gemini</x:v>
      </x:c>
      <x:c r="B615" s="35" t="str">
        <x:v>JxPath</x:v>
      </x:c>
      <x:c r="C615" s="35" t="str">
        <x:v>Round1</x:v>
      </x:c>
      <x:c r="D615" s="35" t="str">
        <x:v>JxPath_20</x:v>
      </x:c>
      <x:c r="E615" s="35" t="str">
        <x:v>Line</x:v>
      </x:c>
      <x:c r="F615" s="35"/>
      <x:c r="G615" s="35" t="str">
        <x:v>A</x:v>
      </x:c>
      <x:c r="H615" s="39" t="str">
        <x:f>IF(ISNUMBER('Data'!E615),'Data'!E615*100,"")</x:f>
      </x:c>
      <x:c r="I615" s="35"/>
      <x:c r="J615" s="35" t="str">
        <x:v>PASS</x:v>
      </x:c>
      <x:c r="K615" s="35" t="str">
        <x:v>FAIL</x:v>
      </x:c>
      <x:c r="L615" s="35" t="str">
        <x:v>NOT_RUN</x:v>
      </x:c>
      <x:c r="M615" s="35" t="str">
        <x:v>coverage unavailable or execution/compile failed</x:v>
      </x:c>
      <x:c r="N615" s="35" t="str">
        <x:v>Gemini-3.8-flash/Result/JxPath_20/result.json</x:v>
      </x:c>
      <x:c r="O615" s="39" t="str">
        <x:f>IF(AND(G615="RECORDED",ISNUMBER(H615)),H615,"")</x:f>
      </x:c>
      <x:c r="P615" s="35" t="str">
        <x:v>NOT_AVAILABLE</x:v>
      </x:c>
      <x:c r="Q615" s="35" t="str">
        <x:v>Gemini-3.8-flash/Result/JxPath_20/result.json</x:v>
      </x:c>
    </x:row>
    <x:row r="616">
      <x:c r="A616" s="35" t="str">
        <x:v>gemini</x:v>
      </x:c>
      <x:c r="B616" s="35" t="str">
        <x:v>JxPath</x:v>
      </x:c>
      <x:c r="C616" s="35" t="str">
        <x:v>Round1</x:v>
      </x:c>
      <x:c r="D616" s="35" t="str">
        <x:v>JxPath_21</x:v>
      </x:c>
      <x:c r="E616" s="35" t="str">
        <x:v>Line</x:v>
      </x:c>
      <x:c r="F616" s="35" t="n">
        <x:v>70</x:v>
      </x:c>
      <x:c r="G616" s="35" t="str">
        <x:v>RECORDED</x:v>
      </x:c>
      <x:c r="H616" s="39" t="n">
        <x:f>IF(ISNUMBER('Data'!E616),'Data'!E616*100,"")</x:f>
        <x:v>58.57</x:v>
      </x:c>
      <x:c r="I616" s="35" t="str">
        <x:v>PASS</x:v>
      </x:c>
      <x:c r="J616" s="35" t="str">
        <x:v>PASS</x:v>
      </x:c>
      <x:c r="K616" s="35" t="str">
        <x:v>PASS</x:v>
      </x:c>
      <x:c r="L616" s="35" t="str">
        <x:v>FAIL</x:v>
      </x:c>
      <x:c r="M616" s="35" t="str">
        <x:v>numeric coverage for applicable metric</x:v>
      </x:c>
      <x:c r="N616" s="35" t="str">
        <x:v>Gemini-3.8-flash/Result/JxPath_21/result.json</x:v>
      </x:c>
      <x:c r="O616" s="39" t="n">
        <x:f>IF(AND(G616="RECORDED",ISNUMBER(H616)),H616,"")</x:f>
        <x:v>58.57</x:v>
      </x:c>
      <x:c r="P616" s="35" t="str">
        <x:v>INCONCLUSIVE</x:v>
      </x:c>
      <x:c r="Q616" s="35" t="str">
        <x:v>Gemini-3.8-flash/Result/JxPath_21/result.json</x:v>
      </x:c>
    </x:row>
    <x:row r="617">
      <x:c r="A617" s="35" t="str">
        <x:v>gemini</x:v>
      </x:c>
      <x:c r="B617" s="35" t="str">
        <x:v>JxPath</x:v>
      </x:c>
      <x:c r="C617" s="35" t="str">
        <x:v>Round1</x:v>
      </x:c>
      <x:c r="D617" s="35" t="str">
        <x:v>JxPath_22</x:v>
      </x:c>
      <x:c r="E617" s="35" t="str">
        <x:v>Line</x:v>
      </x:c>
      <x:c r="F617" s="35" t="n">
        <x:v>354</x:v>
      </x:c>
      <x:c r="G617" s="35" t="str">
        <x:v>RECORDED</x:v>
      </x:c>
      <x:c r="H617" s="39" t="n">
        <x:f>IF(ISNUMBER('Data'!E617),'Data'!E617*100,"")</x:f>
        <x:v>0</x:v>
      </x:c>
      <x:c r="I617" s="35" t="str">
        <x:v>PASS</x:v>
      </x:c>
      <x:c r="J617" s="35" t="str">
        <x:v>PASS</x:v>
      </x:c>
      <x:c r="K617" s="35" t="str">
        <x:v>PASS</x:v>
      </x:c>
      <x:c r="L617" s="35" t="str">
        <x:v>FAIL</x:v>
      </x:c>
      <x:c r="M617" s="35" t="str">
        <x:v>numeric coverage for applicable metric</x:v>
      </x:c>
      <x:c r="N617" s="35" t="str">
        <x:v>Gemini-3.8-flash/Result/JxPath_22/result.json</x:v>
      </x:c>
      <x:c r="O617" s="39" t="n">
        <x:f>IF(AND(G617="RECORDED",ISNUMBER(H617)),H617,"")</x:f>
        <x:v>0</x:v>
      </x:c>
      <x:c r="P617" s="35" t="str">
        <x:v>INCONCLUSIVE</x:v>
      </x:c>
      <x:c r="Q617" s="35" t="str">
        <x:v>Gemini-3.8-flash/Result/JxPath_22/result.json</x:v>
      </x:c>
    </x:row>
    <x:row r="618">
      <x:c r="A618" s="35" t="str">
        <x:v>gemini</x:v>
      </x:c>
      <x:c r="B618" s="35" t="str">
        <x:v>JxPath</x:v>
      </x:c>
      <x:c r="C618" s="35" t="str">
        <x:v>Round1</x:v>
      </x:c>
      <x:c r="D618" s="35" t="str">
        <x:v>JxPath_3</x:v>
      </x:c>
      <x:c r="E618" s="35" t="str">
        <x:v>Line</x:v>
      </x:c>
      <x:c r="F618" s="35"/>
      <x:c r="G618" s="35" t="str">
        <x:v>A</x:v>
      </x:c>
      <x:c r="H618" s="39" t="str">
        <x:f>IF(ISNUMBER('Data'!E618),'Data'!E618*100,"")</x:f>
      </x:c>
      <x:c r="I618" s="35"/>
      <x:c r="J618" s="35" t="str">
        <x:v>PASS</x:v>
      </x:c>
      <x:c r="K618" s="35" t="str">
        <x:v>FAIL</x:v>
      </x:c>
      <x:c r="L618" s="35" t="str">
        <x:v>NOT_RUN</x:v>
      </x:c>
      <x:c r="M618" s="35" t="str">
        <x:v>coverage unavailable or execution/compile failed</x:v>
      </x:c>
      <x:c r="N618" s="35" t="str">
        <x:v>Gemini-3.8-flash/Result/JxPath_3/result.json</x:v>
      </x:c>
      <x:c r="O618" s="39" t="str">
        <x:f>IF(AND(G618="RECORDED",ISNUMBER(H618)),H618,"")</x:f>
      </x:c>
      <x:c r="P618" s="35" t="str">
        <x:v>NOT_AVAILABLE</x:v>
      </x:c>
      <x:c r="Q618" s="35" t="str">
        <x:v>Gemini-3.8-flash/Result/JxPath_3/result.json</x:v>
      </x:c>
    </x:row>
    <x:row r="619">
      <x:c r="A619" s="35" t="str">
        <x:v>gemini</x:v>
      </x:c>
      <x:c r="B619" s="35" t="str">
        <x:v>JxPath</x:v>
      </x:c>
      <x:c r="C619" s="35" t="str">
        <x:v>Round1</x:v>
      </x:c>
      <x:c r="D619" s="35" t="str">
        <x:v>JxPath_4</x:v>
      </x:c>
      <x:c r="E619" s="35" t="str">
        <x:v>Line</x:v>
      </x:c>
      <x:c r="F619" s="35"/>
      <x:c r="G619" s="35" t="str">
        <x:v>A</x:v>
      </x:c>
      <x:c r="H619" s="39" t="str">
        <x:f>IF(ISNUMBER('Data'!E619),'Data'!E619*100,"")</x:f>
      </x:c>
      <x:c r="I619" s="35"/>
      <x:c r="J619" s="35" t="str">
        <x:v>PASS</x:v>
      </x:c>
      <x:c r="K619" s="35" t="str">
        <x:v>FAIL</x:v>
      </x:c>
      <x:c r="L619" s="35" t="str">
        <x:v>NOT_RUN</x:v>
      </x:c>
      <x:c r="M619" s="35" t="str">
        <x:v>coverage unavailable or execution/compile failed</x:v>
      </x:c>
      <x:c r="N619" s="35" t="str">
        <x:v>Gemini-3.8-flash/Result/JxPath_4/result.json</x:v>
      </x:c>
      <x:c r="O619" s="39" t="str">
        <x:f>IF(AND(G619="RECORDED",ISNUMBER(H619)),H619,"")</x:f>
      </x:c>
      <x:c r="P619" s="35" t="str">
        <x:v>NOT_AVAILABLE</x:v>
      </x:c>
      <x:c r="Q619" s="35" t="str">
        <x:v>Gemini-3.8-flash/Result/JxPath_4/result.json</x:v>
      </x:c>
    </x:row>
    <x:row r="620">
      <x:c r="A620" s="35" t="str">
        <x:v>gemini</x:v>
      </x:c>
      <x:c r="B620" s="35" t="str">
        <x:v>JxPath</x:v>
      </x:c>
      <x:c r="C620" s="35" t="str">
        <x:v>Round1</x:v>
      </x:c>
      <x:c r="D620" s="35" t="str">
        <x:v>JxPath_5</x:v>
      </x:c>
      <x:c r="E620" s="35" t="str">
        <x:v>Line</x:v>
      </x:c>
      <x:c r="F620" s="35"/>
      <x:c r="G620" s="35" t="str">
        <x:v>A</x:v>
      </x:c>
      <x:c r="H620" s="39" t="str">
        <x:f>IF(ISNUMBER('Data'!E620),'Data'!E620*100,"")</x:f>
      </x:c>
      <x:c r="I620" s="35"/>
      <x:c r="J620" s="35" t="str">
        <x:v>PASS</x:v>
      </x:c>
      <x:c r="K620" s="35" t="str">
        <x:v>FAIL</x:v>
      </x:c>
      <x:c r="L620" s="35" t="str">
        <x:v>NOT_RUN</x:v>
      </x:c>
      <x:c r="M620" s="35" t="str">
        <x:v>coverage unavailable or execution/compile failed</x:v>
      </x:c>
      <x:c r="N620" s="35" t="str">
        <x:v>Gemini-3.8-flash/Result/JxPath_5/result.json</x:v>
      </x:c>
      <x:c r="O620" s="39" t="str">
        <x:f>IF(AND(G620="RECORDED",ISNUMBER(H620)),H620,"")</x:f>
      </x:c>
      <x:c r="P620" s="35" t="str">
        <x:v>NOT_AVAILABLE</x:v>
      </x:c>
      <x:c r="Q620" s="35" t="str">
        <x:v>Gemini-3.8-flash/Result/JxPath_5/result.json</x:v>
      </x:c>
    </x:row>
    <x:row r="621">
      <x:c r="A621" s="35" t="str">
        <x:v>gemini</x:v>
      </x:c>
      <x:c r="B621" s="35" t="str">
        <x:v>JxPath</x:v>
      </x:c>
      <x:c r="C621" s="35" t="str">
        <x:v>Round1</x:v>
      </x:c>
      <x:c r="D621" s="35" t="str">
        <x:v>JxPath_6</x:v>
      </x:c>
      <x:c r="E621" s="35" t="str">
        <x:v>Line</x:v>
      </x:c>
      <x:c r="F621" s="35"/>
      <x:c r="G621" s="35" t="str">
        <x:v>A</x:v>
      </x:c>
      <x:c r="H621" s="39" t="str">
        <x:f>IF(ISNUMBER('Data'!E621),'Data'!E621*100,"")</x:f>
      </x:c>
      <x:c r="I621" s="35"/>
      <x:c r="J621" s="35" t="str">
        <x:v>PASS</x:v>
      </x:c>
      <x:c r="K621" s="35" t="str">
        <x:v>FAIL</x:v>
      </x:c>
      <x:c r="L621" s="35" t="str">
        <x:v>NOT_RUN</x:v>
      </x:c>
      <x:c r="M621" s="35" t="str">
        <x:v>coverage unavailable or execution/compile failed</x:v>
      </x:c>
      <x:c r="N621" s="35" t="str">
        <x:v>Gemini-3.8-flash/Result/JxPath_6/result.json</x:v>
      </x:c>
      <x:c r="O621" s="39" t="str">
        <x:f>IF(AND(G621="RECORDED",ISNUMBER(H621)),H621,"")</x:f>
      </x:c>
      <x:c r="P621" s="35" t="str">
        <x:v>NOT_AVAILABLE</x:v>
      </x:c>
      <x:c r="Q621" s="35" t="str">
        <x:v>Gemini-3.8-flash/Result/JxPath_6/result.json</x:v>
      </x:c>
    </x:row>
    <x:row r="622">
      <x:c r="A622" s="35" t="str">
        <x:v>gemini</x:v>
      </x:c>
      <x:c r="B622" s="35" t="str">
        <x:v>JxPath</x:v>
      </x:c>
      <x:c r="C622" s="35" t="str">
        <x:v>Round1</x:v>
      </x:c>
      <x:c r="D622" s="35" t="str">
        <x:v>JxPath_7</x:v>
      </x:c>
      <x:c r="E622" s="35" t="str">
        <x:v>Line</x:v>
      </x:c>
      <x:c r="F622" s="35"/>
      <x:c r="G622" s="35" t="str">
        <x:v>A</x:v>
      </x:c>
      <x:c r="H622" s="39" t="str">
        <x:f>IF(ISNUMBER('Data'!E622),'Data'!E622*100,"")</x:f>
      </x:c>
      <x:c r="I622" s="35"/>
      <x:c r="J622" s="35" t="str">
        <x:v>PASS</x:v>
      </x:c>
      <x:c r="K622" s="35" t="str">
        <x:v>FAIL</x:v>
      </x:c>
      <x:c r="L622" s="35" t="str">
        <x:v>NOT_RUN</x:v>
      </x:c>
      <x:c r="M622" s="35" t="str">
        <x:v>coverage unavailable or execution/compile failed</x:v>
      </x:c>
      <x:c r="N622" s="35" t="str">
        <x:v>Gemini-3.8-flash/Result/JxPath_7/result.json</x:v>
      </x:c>
      <x:c r="O622" s="39" t="str">
        <x:f>IF(AND(G622="RECORDED",ISNUMBER(H622)),H622,"")</x:f>
      </x:c>
      <x:c r="P622" s="35" t="str">
        <x:v>NOT_AVAILABLE</x:v>
      </x:c>
      <x:c r="Q622" s="35" t="str">
        <x:v>Gemini-3.8-flash/Result/JxPath_7/result.json</x:v>
      </x:c>
    </x:row>
    <x:row r="623">
      <x:c r="A623" s="35" t="str">
        <x:v>gemini</x:v>
      </x:c>
      <x:c r="B623" s="35" t="str">
        <x:v>JxPath</x:v>
      </x:c>
      <x:c r="C623" s="35" t="str">
        <x:v>Round1</x:v>
      </x:c>
      <x:c r="D623" s="35" t="str">
        <x:v>JxPath_8</x:v>
      </x:c>
      <x:c r="E623" s="35" t="str">
        <x:v>Line</x:v>
      </x:c>
      <x:c r="F623" s="35"/>
      <x:c r="G623" s="35" t="str">
        <x:v>A</x:v>
      </x:c>
      <x:c r="H623" s="39" t="str">
        <x:f>IF(ISNUMBER('Data'!E623),'Data'!E623*100,"")</x:f>
      </x:c>
      <x:c r="I623" s="35"/>
      <x:c r="J623" s="35" t="str">
        <x:v>PASS</x:v>
      </x:c>
      <x:c r="K623" s="35" t="str">
        <x:v>FAIL</x:v>
      </x:c>
      <x:c r="L623" s="35" t="str">
        <x:v>NOT_RUN</x:v>
      </x:c>
      <x:c r="M623" s="35" t="str">
        <x:v>coverage unavailable or execution/compile failed</x:v>
      </x:c>
      <x:c r="N623" s="35" t="str">
        <x:v>Gemini-3.8-flash/Result/JxPath_8/result.json</x:v>
      </x:c>
      <x:c r="O623" s="39" t="str">
        <x:f>IF(AND(G623="RECORDED",ISNUMBER(H623)),H623,"")</x:f>
      </x:c>
      <x:c r="P623" s="35" t="str">
        <x:v>NOT_AVAILABLE</x:v>
      </x:c>
      <x:c r="Q623" s="35" t="str">
        <x:v>Gemini-3.8-flash/Result/JxPath_8/result.json</x:v>
      </x:c>
    </x:row>
    <x:row r="624">
      <x:c r="A624" s="35" t="str">
        <x:v>gemini</x:v>
      </x:c>
      <x:c r="B624" s="35" t="str">
        <x:v>JxPath</x:v>
      </x:c>
      <x:c r="C624" s="35" t="str">
        <x:v>Round1</x:v>
      </x:c>
      <x:c r="D624" s="35" t="str">
        <x:v>JxPath_9</x:v>
      </x:c>
      <x:c r="E624" s="35" t="str">
        <x:v>Line</x:v>
      </x:c>
      <x:c r="F624" s="35"/>
      <x:c r="G624" s="35" t="str">
        <x:v>A</x:v>
      </x:c>
      <x:c r="H624" s="39" t="str">
        <x:f>IF(ISNUMBER('Data'!E624),'Data'!E624*100,"")</x:f>
      </x:c>
      <x:c r="I624" s="35"/>
      <x:c r="J624" s="35" t="str">
        <x:v>PASS</x:v>
      </x:c>
      <x:c r="K624" s="35" t="str">
        <x:v>FAIL</x:v>
      </x:c>
      <x:c r="L624" s="35" t="str">
        <x:v>NOT_RUN</x:v>
      </x:c>
      <x:c r="M624" s="35" t="str">
        <x:v>coverage unavailable or execution/compile failed</x:v>
      </x:c>
      <x:c r="N624" s="35" t="str">
        <x:v>Gemini-3.8-flash/Result/JxPath_9/result.json</x:v>
      </x:c>
      <x:c r="O624" s="39" t="str">
        <x:f>IF(AND(G624="RECORDED",ISNUMBER(H624)),H624,"")</x:f>
      </x:c>
      <x:c r="P624" s="35" t="str">
        <x:v>NOT_AVAILABLE</x:v>
      </x:c>
      <x:c r="Q624" s="35" t="str">
        <x:v>Gemini-3.8-flash/Result/JxPath_9/result.json</x:v>
      </x:c>
    </x:row>
    <x:row r="625">
      <x:c r="A625" s="35" t="str">
        <x:v>gemini</x:v>
      </x:c>
      <x:c r="B625" s="35" t="str">
        <x:v>Lang</x:v>
      </x:c>
      <x:c r="C625" s="35" t="str">
        <x:v>Round1</x:v>
      </x:c>
      <x:c r="D625" s="35" t="str">
        <x:v>Lang_1</x:v>
      </x:c>
      <x:c r="E625" s="35" t="str">
        <x:v>Line</x:v>
      </x:c>
      <x:c r="F625" s="35" t="n">
        <x:v>375</x:v>
      </x:c>
      <x:c r="G625" s="35" t="str">
        <x:v>RECORDED</x:v>
      </x:c>
      <x:c r="H625" s="39" t="n">
        <x:f>IF(ISNUMBER('Data'!E625),'Data'!E625*100,"")</x:f>
        <x:v>97.33</x:v>
      </x:c>
      <x:c r="I625" s="35" t="str">
        <x:v>PASS</x:v>
      </x:c>
      <x:c r="J625" s="35" t="str">
        <x:v>PASS</x:v>
      </x:c>
      <x:c r="K625" s="35" t="str">
        <x:v>PASS</x:v>
      </x:c>
      <x:c r="L625" s="35" t="str">
        <x:v>FAIL</x:v>
      </x:c>
      <x:c r="M625" s="35" t="str">
        <x:v>numeric coverage for applicable metric</x:v>
      </x:c>
      <x:c r="N625" s="35" t="str">
        <x:v>Gemini-3.8-flash/Result/Lang_1/result.json</x:v>
      </x:c>
      <x:c r="O625" s="39" t="n">
        <x:f>IF(AND(G625="RECORDED",ISNUMBER(H625)),H625,"")</x:f>
        <x:v>97.33</x:v>
      </x:c>
      <x:c r="P625" s="35" t="str">
        <x:v>INCONCLUSIVE</x:v>
      </x:c>
      <x:c r="Q625" s="35" t="str">
        <x:v>Gemini-3.8-flash/Result/Lang_1/result.json</x:v>
      </x:c>
    </x:row>
    <x:row r="626">
      <x:c r="A626" s="35" t="str">
        <x:v>gemini</x:v>
      </x:c>
      <x:c r="B626" s="35" t="str">
        <x:v>Lang</x:v>
      </x:c>
      <x:c r="C626" s="35" t="str">
        <x:v>Round1</x:v>
      </x:c>
      <x:c r="D626" s="35" t="str">
        <x:v>Lang_10</x:v>
      </x:c>
      <x:c r="E626" s="35" t="str">
        <x:v>Line</x:v>
      </x:c>
      <x:c r="F626" s="35"/>
      <x:c r="G626" s="35" t="str">
        <x:v>A</x:v>
      </x:c>
      <x:c r="H626" s="39" t="str">
        <x:f>IF(ISNUMBER('Data'!E626),'Data'!E626*100,"")</x:f>
      </x:c>
      <x:c r="I626" s="35"/>
      <x:c r="J626" s="35" t="str">
        <x:v>PASS</x:v>
      </x:c>
      <x:c r="K626" s="35" t="str">
        <x:v>FAIL</x:v>
      </x:c>
      <x:c r="L626" s="35" t="str">
        <x:v>NOT_RUN</x:v>
      </x:c>
      <x:c r="M626" s="35" t="str">
        <x:v>coverage unavailable or execution/compile failed</x:v>
      </x:c>
      <x:c r="N626" s="35" t="str">
        <x:v>Gemini-3.8-flash/Result/Lang_10/result.json</x:v>
      </x:c>
      <x:c r="O626" s="39" t="str">
        <x:f>IF(AND(G626="RECORDED",ISNUMBER(H626)),H626,"")</x:f>
      </x:c>
      <x:c r="P626" s="35" t="str">
        <x:v>NOT_AVAILABLE</x:v>
      </x:c>
      <x:c r="Q626" s="35" t="str">
        <x:v>Gemini-3.8-flash/Result/Lang_10/result.json</x:v>
      </x:c>
    </x:row>
    <x:row r="627">
      <x:c r="A627" s="35" t="str">
        <x:v>gemini</x:v>
      </x:c>
      <x:c r="B627" s="35" t="str">
        <x:v>Lang</x:v>
      </x:c>
      <x:c r="C627" s="35" t="str">
        <x:v>Round1</x:v>
      </x:c>
      <x:c r="D627" s="35" t="str">
        <x:v>Lang_11</x:v>
      </x:c>
      <x:c r="E627" s="35" t="str">
        <x:v>Line</x:v>
      </x:c>
      <x:c r="F627" s="35" t="n">
        <x:v>56</x:v>
      </x:c>
      <x:c r="G627" s="35" t="str">
        <x:v>RECORDED</x:v>
      </x:c>
      <x:c r="H627" s="39" t="n">
        <x:f>IF(ISNUMBER('Data'!E627),'Data'!E627*100,"")</x:f>
        <x:v>100</x:v>
      </x:c>
      <x:c r="I627" s="35" t="str">
        <x:v>PASS</x:v>
      </x:c>
      <x:c r="J627" s="35" t="str">
        <x:v>PASS</x:v>
      </x:c>
      <x:c r="K627" s="35" t="str">
        <x:v>PASS</x:v>
      </x:c>
      <x:c r="L627" s="35" t="str">
        <x:v>PASS</x:v>
      </x:c>
      <x:c r="M627" s="35" t="str">
        <x:v>numeric coverage for applicable metric</x:v>
      </x:c>
      <x:c r="N627" s="35" t="str">
        <x:v>Gemini-3.8-flash/Result/Lang_11/result.json</x:v>
      </x:c>
      <x:c r="O627" s="39" t="n">
        <x:f>IF(AND(G627="RECORDED",ISNUMBER(H627)),H627,"")</x:f>
        <x:v>100</x:v>
      </x:c>
      <x:c r="P627" s="35" t="str">
        <x:v>NOT_REVEALING</x:v>
      </x:c>
      <x:c r="Q627" s="35" t="str">
        <x:v>Gemini-3.8-flash/Result/Lang_11/result.json</x:v>
      </x:c>
    </x:row>
    <x:row r="628">
      <x:c r="A628" s="35" t="str">
        <x:v>gemini</x:v>
      </x:c>
      <x:c r="B628" s="35" t="str">
        <x:v>Lang</x:v>
      </x:c>
      <x:c r="C628" s="35" t="str">
        <x:v>Round1</x:v>
      </x:c>
      <x:c r="D628" s="35" t="str">
        <x:v>Lang_12</x:v>
      </x:c>
      <x:c r="E628" s="35" t="str">
        <x:v>Line</x:v>
      </x:c>
      <x:c r="F628" s="35" t="n">
        <x:v>52</x:v>
      </x:c>
      <x:c r="G628" s="35" t="str">
        <x:v>RECORDED</x:v>
      </x:c>
      <x:c r="H628" s="39" t="n">
        <x:f>IF(ISNUMBER('Data'!E628),'Data'!E628*100,"")</x:f>
        <x:v>100</x:v>
      </x:c>
      <x:c r="I628" s="35" t="str">
        <x:v>PASS</x:v>
      </x:c>
      <x:c r="J628" s="35" t="str">
        <x:v>PASS</x:v>
      </x:c>
      <x:c r="K628" s="35" t="str">
        <x:v>PASS</x:v>
      </x:c>
      <x:c r="L628" s="35" t="str">
        <x:v>FAIL</x:v>
      </x:c>
      <x:c r="M628" s="35" t="str">
        <x:v>numeric coverage for applicable metric</x:v>
      </x:c>
      <x:c r="N628" s="35" t="str">
        <x:v>Gemini-3.8-flash/Result/Lang_12/result.json</x:v>
      </x:c>
      <x:c r="O628" s="39" t="n">
        <x:f>IF(AND(G628="RECORDED",ISNUMBER(H628)),H628,"")</x:f>
        <x:v>100</x:v>
      </x:c>
      <x:c r="P628" s="35" t="str">
        <x:v>INCONCLUSIVE</x:v>
      </x:c>
      <x:c r="Q628" s="35" t="str">
        <x:v>Gemini-3.8-flash/Result/Lang_12/result.json</x:v>
      </x:c>
    </x:row>
    <x:row r="629">
      <x:c r="A629" s="35" t="str">
        <x:v>gemini</x:v>
      </x:c>
      <x:c r="B629" s="35" t="str">
        <x:v>Lang</x:v>
      </x:c>
      <x:c r="C629" s="35" t="str">
        <x:v>Round1</x:v>
      </x:c>
      <x:c r="D629" s="35" t="str">
        <x:v>Lang_13</x:v>
      </x:c>
      <x:c r="E629" s="35" t="str">
        <x:v>Line</x:v>
      </x:c>
      <x:c r="F629" s="35" t="n">
        <x:v>64</x:v>
      </x:c>
      <x:c r="G629" s="35" t="str">
        <x:v>RECORDED</x:v>
      </x:c>
      <x:c r="H629" s="39" t="n">
        <x:f>IF(ISNUMBER('Data'!E629),'Data'!E629*100,"")</x:f>
        <x:v>96.88</x:v>
      </x:c>
      <x:c r="I629" s="35" t="str">
        <x:v>PASS</x:v>
      </x:c>
      <x:c r="J629" s="35" t="str">
        <x:v>PASS</x:v>
      </x:c>
      <x:c r="K629" s="35" t="str">
        <x:v>PASS</x:v>
      </x:c>
      <x:c r="L629" s="35" t="str">
        <x:v>PASS</x:v>
      </x:c>
      <x:c r="M629" s="35" t="str">
        <x:v>numeric coverage for applicable metric</x:v>
      </x:c>
      <x:c r="N629" s="35" t="str">
        <x:v>Gemini-3.8-flash/Result/Lang_13/result.json</x:v>
      </x:c>
      <x:c r="O629" s="39" t="n">
        <x:f>IF(AND(G629="RECORDED",ISNUMBER(H629)),H629,"")</x:f>
        <x:v>96.88</x:v>
      </x:c>
      <x:c r="P629" s="35" t="str">
        <x:v>NOT_REVEALING</x:v>
      </x:c>
      <x:c r="Q629" s="35" t="str">
        <x:v>Gemini-3.8-flash/Result/Lang_13/result.json</x:v>
      </x:c>
    </x:row>
    <x:row r="630">
      <x:c r="A630" s="35" t="str">
        <x:v>gemini</x:v>
      </x:c>
      <x:c r="B630" s="35" t="str">
        <x:v>Lang</x:v>
      </x:c>
      <x:c r="C630" s="35" t="str">
        <x:v>Round1</x:v>
      </x:c>
      <x:c r="D630" s="35" t="str">
        <x:v>Lang_14</x:v>
      </x:c>
      <x:c r="E630" s="35" t="str">
        <x:v>Line</x:v>
      </x:c>
      <x:c r="F630" s="35" t="n">
        <x:v>1292</x:v>
      </x:c>
      <x:c r="G630" s="35" t="str">
        <x:v>RECORDED</x:v>
      </x:c>
      <x:c r="H630" s="39" t="n">
        <x:f>IF(ISNUMBER('Data'!E630),'Data'!E630*100,"")</x:f>
        <x:v>84.29</x:v>
      </x:c>
      <x:c r="I630" s="35" t="str">
        <x:v>PASS</x:v>
      </x:c>
      <x:c r="J630" s="35" t="str">
        <x:v>PASS</x:v>
      </x:c>
      <x:c r="K630" s="35" t="str">
        <x:v>PASS</x:v>
      </x:c>
      <x:c r="L630" s="35" t="str">
        <x:v>FAIL</x:v>
      </x:c>
      <x:c r="M630" s="35" t="str">
        <x:v>numeric coverage for applicable metric</x:v>
      </x:c>
      <x:c r="N630" s="35" t="str">
        <x:v>Gemini-3.8-flash/Result/Lang_14/result.json</x:v>
      </x:c>
      <x:c r="O630" s="39" t="n">
        <x:f>IF(AND(G630="RECORDED",ISNUMBER(H630)),H630,"")</x:f>
        <x:v>84.29</x:v>
      </x:c>
      <x:c r="P630" s="35" t="str">
        <x:v>INCONCLUSIVE</x:v>
      </x:c>
      <x:c r="Q630" s="35" t="str">
        <x:v>Gemini-3.8-flash/Result/Lang_14/result.json</x:v>
      </x:c>
    </x:row>
    <x:row r="631">
      <x:c r="A631" s="35" t="str">
        <x:v>gemini</x:v>
      </x:c>
      <x:c r="B631" s="35" t="str">
        <x:v>Lang</x:v>
      </x:c>
      <x:c r="C631" s="35" t="str">
        <x:v>Round1</x:v>
      </x:c>
      <x:c r="D631" s="35" t="str">
        <x:v>Lang_15</x:v>
      </x:c>
      <x:c r="E631" s="35" t="str">
        <x:v>Line</x:v>
      </x:c>
      <x:c r="F631" s="35" t="n">
        <x:v>299</x:v>
      </x:c>
      <x:c r="G631" s="35" t="str">
        <x:v>RECORDED</x:v>
      </x:c>
      <x:c r="H631" s="39" t="n">
        <x:f>IF(ISNUMBER('Data'!E631),'Data'!E631*100,"")</x:f>
        <x:v>88.63</x:v>
      </x:c>
      <x:c r="I631" s="35" t="str">
        <x:v>PASS</x:v>
      </x:c>
      <x:c r="J631" s="35" t="str">
        <x:v>PASS</x:v>
      </x:c>
      <x:c r="K631" s="35" t="str">
        <x:v>PASS</x:v>
      </x:c>
      <x:c r="L631" s="35" t="str">
        <x:v>FAIL</x:v>
      </x:c>
      <x:c r="M631" s="35" t="str">
        <x:v>numeric coverage for applicable metric</x:v>
      </x:c>
      <x:c r="N631" s="35" t="str">
        <x:v>Gemini-3.8-flash/Result/Lang_15/result.json</x:v>
      </x:c>
      <x:c r="O631" s="39" t="n">
        <x:f>IF(AND(G631="RECORDED",ISNUMBER(H631)),H631,"")</x:f>
        <x:v>88.63</x:v>
      </x:c>
      <x:c r="P631" s="35" t="str">
        <x:v>INCONCLUSIVE</x:v>
      </x:c>
      <x:c r="Q631" s="35" t="str">
        <x:v>Gemini-3.8-flash/Result/Lang_15/result.json</x:v>
      </x:c>
    </x:row>
    <x:row r="632">
      <x:c r="A632" s="35" t="str">
        <x:v>gemini</x:v>
      </x:c>
      <x:c r="B632" s="35" t="str">
        <x:v>Lang</x:v>
      </x:c>
      <x:c r="C632" s="35" t="str">
        <x:v>Round1</x:v>
      </x:c>
      <x:c r="D632" s="35" t="str">
        <x:v>Lang_16</x:v>
      </x:c>
      <x:c r="E632" s="35" t="str">
        <x:v>Line</x:v>
      </x:c>
      <x:c r="F632" s="35"/>
      <x:c r="G632" s="35" t="str">
        <x:v>A</x:v>
      </x:c>
      <x:c r="H632" s="39" t="str">
        <x:f>IF(ISNUMBER('Data'!E632),'Data'!E632*100,"")</x:f>
      </x:c>
      <x:c r="I632" s="35"/>
      <x:c r="J632" s="35" t="str">
        <x:v>PASS</x:v>
      </x:c>
      <x:c r="K632" s="35" t="str">
        <x:v>FAIL</x:v>
      </x:c>
      <x:c r="L632" s="35" t="str">
        <x:v>NOT_RUN</x:v>
      </x:c>
      <x:c r="M632" s="35" t="str">
        <x:v>coverage unavailable or execution/compile failed</x:v>
      </x:c>
      <x:c r="N632" s="35" t="str">
        <x:v>Gemini-3.8-flash/Result/Lang_16/result.json</x:v>
      </x:c>
      <x:c r="O632" s="39" t="str">
        <x:f>IF(AND(G632="RECORDED",ISNUMBER(H632)),H632,"")</x:f>
      </x:c>
      <x:c r="P632" s="35" t="str">
        <x:v>NOT_AVAILABLE</x:v>
      </x:c>
      <x:c r="Q632" s="35" t="str">
        <x:v>Gemini-3.8-flash/Result/Lang_16/result.json</x:v>
      </x:c>
    </x:row>
    <x:row r="633">
      <x:c r="A633" s="35" t="str">
        <x:v>gemini</x:v>
      </x:c>
      <x:c r="B633" s="35" t="str">
        <x:v>Lang</x:v>
      </x:c>
      <x:c r="C633" s="35" t="str">
        <x:v>Round1</x:v>
      </x:c>
      <x:c r="D633" s="35" t="str">
        <x:v>Lang_17</x:v>
      </x:c>
      <x:c r="E633" s="35" t="str">
        <x:v>Line</x:v>
      </x:c>
      <x:c r="F633" s="35" t="n">
        <x:v>33</x:v>
      </x:c>
      <x:c r="G633" s="35" t="str">
        <x:v>RECORDED</x:v>
      </x:c>
      <x:c r="H633" s="39" t="n">
        <x:f>IF(ISNUMBER('Data'!E633),'Data'!E633*100,"")</x:f>
        <x:v>100</x:v>
      </x:c>
      <x:c r="I633" s="35" t="str">
        <x:v>PASS</x:v>
      </x:c>
      <x:c r="J633" s="35" t="str">
        <x:v>PASS</x:v>
      </x:c>
      <x:c r="K633" s="35" t="str">
        <x:v>PASS</x:v>
      </x:c>
      <x:c r="L633" s="35" t="str">
        <x:v>FAIL</x:v>
      </x:c>
      <x:c r="M633" s="35" t="str">
        <x:v>numeric coverage for applicable metric</x:v>
      </x:c>
      <x:c r="N633" s="35" t="str">
        <x:v>Gemini-3.8-flash/Result/Lang_17/result.json</x:v>
      </x:c>
      <x:c r="O633" s="39" t="n">
        <x:f>IF(AND(G633="RECORDED",ISNUMBER(H633)),H633,"")</x:f>
        <x:v>100</x:v>
      </x:c>
      <x:c r="P633" s="35" t="str">
        <x:v>INCONCLUSIVE</x:v>
      </x:c>
      <x:c r="Q633" s="35" t="str">
        <x:v>Gemini-3.8-flash/Result/Lang_17/result.json</x:v>
      </x:c>
    </x:row>
    <x:row r="634">
      <x:c r="A634" s="35" t="str">
        <x:v>gemini</x:v>
      </x:c>
      <x:c r="B634" s="35" t="str">
        <x:v>Lang</x:v>
      </x:c>
      <x:c r="C634" s="35" t="str">
        <x:v>Round1</x:v>
      </x:c>
      <x:c r="D634" s="35" t="str">
        <x:v>Lang_19</x:v>
      </x:c>
      <x:c r="E634" s="35" t="str">
        <x:v>Line</x:v>
      </x:c>
      <x:c r="F634" s="35" t="n">
        <x:v>27</x:v>
      </x:c>
      <x:c r="G634" s="35" t="str">
        <x:v>RECORDED</x:v>
      </x:c>
      <x:c r="H634" s="39" t="n">
        <x:f>IF(ISNUMBER('Data'!E634),'Data'!E634*100,"")</x:f>
        <x:v>100</x:v>
      </x:c>
      <x:c r="I634" s="35" t="str">
        <x:v>PASS</x:v>
      </x:c>
      <x:c r="J634" s="35" t="str">
        <x:v>PASS</x:v>
      </x:c>
      <x:c r="K634" s="35" t="str">
        <x:v>PASS</x:v>
      </x:c>
      <x:c r="L634" s="35" t="str">
        <x:v>PASS</x:v>
      </x:c>
      <x:c r="M634" s="35" t="str">
        <x:v>numeric coverage for applicable metric</x:v>
      </x:c>
      <x:c r="N634" s="35" t="str">
        <x:v>Gemini-3.8-flash/Result/Lang_19/result.json</x:v>
      </x:c>
      <x:c r="O634" s="39" t="n">
        <x:f>IF(AND(G634="RECORDED",ISNUMBER(H634)),H634,"")</x:f>
        <x:v>100</x:v>
      </x:c>
      <x:c r="P634" s="35" t="str">
        <x:v>INCONCLUSIVE</x:v>
      </x:c>
      <x:c r="Q634" s="35" t="str">
        <x:v>Gemini-3.8-flash/Result/Lang_19/result.json</x:v>
      </x:c>
    </x:row>
    <x:row r="635">
      <x:c r="A635" s="35" t="str">
        <x:v>gemini</x:v>
      </x:c>
      <x:c r="B635" s="35" t="str">
        <x:v>Lang</x:v>
      </x:c>
      <x:c r="C635" s="35" t="str">
        <x:v>Round1</x:v>
      </x:c>
      <x:c r="D635" s="35" t="str">
        <x:v>Lang_20</x:v>
      </x:c>
      <x:c r="E635" s="35" t="str">
        <x:v>Line</x:v>
      </x:c>
      <x:c r="F635" s="35" t="n">
        <x:v>1298</x:v>
      </x:c>
      <x:c r="G635" s="35" t="str">
        <x:v>RECORDED</x:v>
      </x:c>
      <x:c r="H635" s="39" t="n">
        <x:f>IF(ISNUMBER('Data'!E635),'Data'!E635*100,"")</x:f>
        <x:v>91.45</x:v>
      </x:c>
      <x:c r="I635" s="35" t="str">
        <x:v>PASS</x:v>
      </x:c>
      <x:c r="J635" s="35" t="str">
        <x:v>PASS</x:v>
      </x:c>
      <x:c r="K635" s="35" t="str">
        <x:v>PASS</x:v>
      </x:c>
      <x:c r="L635" s="35" t="str">
        <x:v>FAIL</x:v>
      </x:c>
      <x:c r="M635" s="35" t="str">
        <x:v>numeric coverage for applicable metric</x:v>
      </x:c>
      <x:c r="N635" s="35" t="str">
        <x:v>Gemini-3.8-flash/Result/Lang_20/result.json</x:v>
      </x:c>
      <x:c r="O635" s="39" t="n">
        <x:f>IF(AND(G635="RECORDED",ISNUMBER(H635)),H635,"")</x:f>
        <x:v>91.45</x:v>
      </x:c>
      <x:c r="P635" s="35" t="str">
        <x:v>INCONCLUSIVE</x:v>
      </x:c>
      <x:c r="Q635" s="35" t="str">
        <x:v>Gemini-3.8-flash/Result/Lang_20/result.json</x:v>
      </x:c>
    </x:row>
    <x:row r="636">
      <x:c r="A636" s="35" t="str">
        <x:v>gemini</x:v>
      </x:c>
      <x:c r="B636" s="35" t="str">
        <x:v>Lang</x:v>
      </x:c>
      <x:c r="C636" s="35" t="str">
        <x:v>Round1</x:v>
      </x:c>
      <x:c r="D636" s="35" t="str">
        <x:v>Lang_21</x:v>
      </x:c>
      <x:c r="E636" s="35" t="str">
        <x:v>Line</x:v>
      </x:c>
      <x:c r="F636" s="35" t="n">
        <x:v>319</x:v>
      </x:c>
      <x:c r="G636" s="35" t="str">
        <x:v>RECORDED</x:v>
      </x:c>
      <x:c r="H636" s="39" t="n">
        <x:f>IF(ISNUMBER('Data'!E636),'Data'!E636*100,"")</x:f>
        <x:v>98.12</x:v>
      </x:c>
      <x:c r="I636" s="35" t="str">
        <x:v>PASS</x:v>
      </x:c>
      <x:c r="J636" s="35" t="str">
        <x:v>PASS</x:v>
      </x:c>
      <x:c r="K636" s="35" t="str">
        <x:v>PASS</x:v>
      </x:c>
      <x:c r="L636" s="35" t="str">
        <x:v>PASS</x:v>
      </x:c>
      <x:c r="M636" s="35" t="str">
        <x:v>numeric coverage for applicable metric</x:v>
      </x:c>
      <x:c r="N636" s="35" t="str">
        <x:v>Gemini-3.8-flash/Result/Lang_21/result.json</x:v>
      </x:c>
      <x:c r="O636" s="39" t="n">
        <x:f>IF(AND(G636="RECORDED",ISNUMBER(H636)),H636,"")</x:f>
        <x:v>98.12</x:v>
      </x:c>
      <x:c r="P636" s="35" t="str">
        <x:v>NOT_REVEALING</x:v>
      </x:c>
      <x:c r="Q636" s="35" t="str">
        <x:v>Gemini-3.8-flash/Result/Lang_21/result.json</x:v>
      </x:c>
    </x:row>
    <x:row r="637">
      <x:c r="A637" s="35" t="str">
        <x:v>gemini</x:v>
      </x:c>
      <x:c r="B637" s="35" t="str">
        <x:v>Lang</x:v>
      </x:c>
      <x:c r="C637" s="35" t="str">
        <x:v>Round1</x:v>
      </x:c>
      <x:c r="D637" s="35" t="str">
        <x:v>Lang_22</x:v>
      </x:c>
      <x:c r="E637" s="35" t="str">
        <x:v>Line</x:v>
      </x:c>
      <x:c r="F637" s="35" t="n">
        <x:v>278</x:v>
      </x:c>
      <x:c r="G637" s="35" t="str">
        <x:v>RECORDED</x:v>
      </x:c>
      <x:c r="H637" s="39" t="n">
        <x:f>IF(ISNUMBER('Data'!E637),'Data'!E637*100,"")</x:f>
        <x:v>97.12</x:v>
      </x:c>
      <x:c r="I637" s="35" t="str">
        <x:v>PASS</x:v>
      </x:c>
      <x:c r="J637" s="35" t="str">
        <x:v>PASS</x:v>
      </x:c>
      <x:c r="K637" s="35" t="str">
        <x:v>PASS</x:v>
      </x:c>
      <x:c r="L637" s="35" t="str">
        <x:v>FAIL</x:v>
      </x:c>
      <x:c r="M637" s="35" t="str">
        <x:v>numeric coverage for applicable metric</x:v>
      </x:c>
      <x:c r="N637" s="35" t="str">
        <x:v>Gemini-3.8-flash/Result/Lang_22/result.json</x:v>
      </x:c>
      <x:c r="O637" s="39" t="n">
        <x:f>IF(AND(G637="RECORDED",ISNUMBER(H637)),H637,"")</x:f>
        <x:v>97.12</x:v>
      </x:c>
      <x:c r="P637" s="35" t="str">
        <x:v>INCONCLUSIVE</x:v>
      </x:c>
      <x:c r="Q637" s="35" t="str">
        <x:v>Gemini-3.8-flash/Result/Lang_22/result.json</x:v>
      </x:c>
    </x:row>
    <x:row r="638">
      <x:c r="A638" s="35" t="str">
        <x:v>gemini</x:v>
      </x:c>
      <x:c r="B638" s="35" t="str">
        <x:v>Lang</x:v>
      </x:c>
      <x:c r="C638" s="35" t="str">
        <x:v>Round1</x:v>
      </x:c>
      <x:c r="D638" s="35" t="str">
        <x:v>Lang_23</x:v>
      </x:c>
      <x:c r="E638" s="35" t="str">
        <x:v>Line</x:v>
      </x:c>
      <x:c r="F638" s="35" t="n">
        <x:v>167</x:v>
      </x:c>
      <x:c r="G638" s="35" t="str">
        <x:v>RECORDED</x:v>
      </x:c>
      <x:c r="H638" s="39" t="n">
        <x:f>IF(ISNUMBER('Data'!E638),'Data'!E638*100,"")</x:f>
        <x:v>93.41</x:v>
      </x:c>
      <x:c r="I638" s="35" t="str">
        <x:v>PASS</x:v>
      </x:c>
      <x:c r="J638" s="35" t="str">
        <x:v>PASS</x:v>
      </x:c>
      <x:c r="K638" s="35" t="str">
        <x:v>PASS</x:v>
      </x:c>
      <x:c r="L638" s="35" t="str">
        <x:v>FAIL</x:v>
      </x:c>
      <x:c r="M638" s="35" t="str">
        <x:v>numeric coverage for applicable metric</x:v>
      </x:c>
      <x:c r="N638" s="35" t="str">
        <x:v>Gemini-3.8-flash/Result/Lang_23/result.json</x:v>
      </x:c>
      <x:c r="O638" s="39" t="n">
        <x:f>IF(AND(G638="RECORDED",ISNUMBER(H638)),H638,"")</x:f>
        <x:v>93.41</x:v>
      </x:c>
      <x:c r="P638" s="35" t="str">
        <x:v>INCONCLUSIVE</x:v>
      </x:c>
      <x:c r="Q638" s="35" t="str">
        <x:v>Gemini-3.8-flash/Result/Lang_23/result.json</x:v>
      </x:c>
    </x:row>
    <x:row r="639">
      <x:c r="A639" s="35" t="str">
        <x:v>gemini</x:v>
      </x:c>
      <x:c r="B639" s="35" t="str">
        <x:v>Lang</x:v>
      </x:c>
      <x:c r="C639" s="35" t="str">
        <x:v>Round1</x:v>
      </x:c>
      <x:c r="D639" s="35" t="str">
        <x:v>Lang_24</x:v>
      </x:c>
      <x:c r="E639" s="35" t="str">
        <x:v>Line</x:v>
      </x:c>
      <x:c r="F639" s="35" t="n">
        <x:v>376</x:v>
      </x:c>
      <x:c r="G639" s="35" t="str">
        <x:v>RECORDED</x:v>
      </x:c>
      <x:c r="H639" s="39" t="n">
        <x:f>IF(ISNUMBER('Data'!E639),'Data'!E639*100,"")</x:f>
        <x:v>98.14</x:v>
      </x:c>
      <x:c r="I639" s="35" t="str">
        <x:v>PASS</x:v>
      </x:c>
      <x:c r="J639" s="35" t="str">
        <x:v>PASS</x:v>
      </x:c>
      <x:c r="K639" s="35" t="str">
        <x:v>PASS</x:v>
      </x:c>
      <x:c r="L639" s="35" t="str">
        <x:v>FAIL</x:v>
      </x:c>
      <x:c r="M639" s="35" t="str">
        <x:v>numeric coverage for applicable metric</x:v>
      </x:c>
      <x:c r="N639" s="35" t="str">
        <x:v>Gemini-3.8-flash/Result/Lang_24/result.json</x:v>
      </x:c>
      <x:c r="O639" s="39" t="n">
        <x:f>IF(AND(G639="RECORDED",ISNUMBER(H639)),H639,"")</x:f>
        <x:v>98.14</x:v>
      </x:c>
      <x:c r="P639" s="35" t="str">
        <x:v>INCONCLUSIVE</x:v>
      </x:c>
      <x:c r="Q639" s="35" t="str">
        <x:v>Gemini-3.8-flash/Result/Lang_24/result.json</x:v>
      </x:c>
    </x:row>
    <x:row r="640">
      <x:c r="A640" s="35" t="str">
        <x:v>gemini</x:v>
      </x:c>
      <x:c r="B640" s="35" t="str">
        <x:v>Lang</x:v>
      </x:c>
      <x:c r="C640" s="35" t="str">
        <x:v>Round1</x:v>
      </x:c>
      <x:c r="D640" s="35" t="str">
        <x:v>Lang_26</x:v>
      </x:c>
      <x:c r="E640" s="35" t="str">
        <x:v>Line</x:v>
      </x:c>
      <x:c r="F640" s="35"/>
      <x:c r="G640" s="35" t="str">
        <x:v>A</x:v>
      </x:c>
      <x:c r="H640" s="39" t="str">
        <x:f>IF(ISNUMBER('Data'!E640),'Data'!E640*100,"")</x:f>
      </x:c>
      <x:c r="I640" s="35"/>
      <x:c r="J640" s="35" t="str">
        <x:v>PASS</x:v>
      </x:c>
      <x:c r="K640" s="35" t="str">
        <x:v>FAIL</x:v>
      </x:c>
      <x:c r="L640" s="35" t="str">
        <x:v>NOT_RUN</x:v>
      </x:c>
      <x:c r="M640" s="35" t="str">
        <x:v>coverage unavailable or execution/compile failed</x:v>
      </x:c>
      <x:c r="N640" s="35" t="str">
        <x:v>Gemini-3.8-flash/Result/Lang_26/result.json</x:v>
      </x:c>
      <x:c r="O640" s="39" t="str">
        <x:f>IF(AND(G640="RECORDED",ISNUMBER(H640)),H640,"")</x:f>
      </x:c>
      <x:c r="P640" s="35" t="str">
        <x:v>NOT_AVAILABLE</x:v>
      </x:c>
      <x:c r="Q640" s="35" t="str">
        <x:v>Gemini-3.8-flash/Result/Lang_26/result.json</x:v>
      </x:c>
    </x:row>
    <x:row r="641">
      <x:c r="A641" s="35" t="str">
        <x:v>gemini</x:v>
      </x:c>
      <x:c r="B641" s="35" t="str">
        <x:v>Lang</x:v>
      </x:c>
      <x:c r="C641" s="35" t="str">
        <x:v>Round1</x:v>
      </x:c>
      <x:c r="D641" s="35" t="str">
        <x:v>Lang_27</x:v>
      </x:c>
      <x:c r="E641" s="35" t="str">
        <x:v>Line</x:v>
      </x:c>
      <x:c r="F641" s="35" t="n">
        <x:v>374</x:v>
      </x:c>
      <x:c r="G641" s="35" t="str">
        <x:v>RECORDED</x:v>
      </x:c>
      <x:c r="H641" s="39" t="n">
        <x:f>IF(ISNUMBER('Data'!E641),'Data'!E641*100,"")</x:f>
        <x:v>95.99</x:v>
      </x:c>
      <x:c r="I641" s="35" t="str">
        <x:v>PASS</x:v>
      </x:c>
      <x:c r="J641" s="35" t="str">
        <x:v>PASS</x:v>
      </x:c>
      <x:c r="K641" s="35" t="str">
        <x:v>PASS</x:v>
      </x:c>
      <x:c r="L641" s="35" t="str">
        <x:v>FAIL</x:v>
      </x:c>
      <x:c r="M641" s="35" t="str">
        <x:v>numeric coverage for applicable metric</x:v>
      </x:c>
      <x:c r="N641" s="35" t="str">
        <x:v>Gemini-3.8-flash/Result/Lang_27/result.json</x:v>
      </x:c>
      <x:c r="O641" s="39" t="n">
        <x:f>IF(AND(G641="RECORDED",ISNUMBER(H641)),H641,"")</x:f>
        <x:v>95.99</x:v>
      </x:c>
      <x:c r="P641" s="35" t="str">
        <x:v>INCONCLUSIVE</x:v>
      </x:c>
      <x:c r="Q641" s="35" t="str">
        <x:v>Gemini-3.8-flash/Result/Lang_27/result.json</x:v>
      </x:c>
    </x:row>
    <x:row r="642">
      <x:c r="A642" s="35" t="str">
        <x:v>gemini</x:v>
      </x:c>
      <x:c r="B642" s="35" t="str">
        <x:v>Lang</x:v>
      </x:c>
      <x:c r="C642" s="35" t="str">
        <x:v>Round1</x:v>
      </x:c>
      <x:c r="D642" s="35" t="str">
        <x:v>Lang_28</x:v>
      </x:c>
      <x:c r="E642" s="35" t="str">
        <x:v>Line</x:v>
      </x:c>
      <x:c r="F642" s="35" t="n">
        <x:v>20</x:v>
      </x:c>
      <x:c r="G642" s="35" t="str">
        <x:v>RECORDED</x:v>
      </x:c>
      <x:c r="H642" s="39" t="n">
        <x:f>IF(ISNUMBER('Data'!E642),'Data'!E642*100,"")</x:f>
        <x:v>100</x:v>
      </x:c>
      <x:c r="I642" s="35" t="str">
        <x:v>PASS</x:v>
      </x:c>
      <x:c r="J642" s="35" t="str">
        <x:v>PASS</x:v>
      </x:c>
      <x:c r="K642" s="35" t="str">
        <x:v>PASS</x:v>
      </x:c>
      <x:c r="L642" s="35" t="str">
        <x:v>PASS</x:v>
      </x:c>
      <x:c r="M642" s="35" t="str">
        <x:v>numeric coverage for applicable metric</x:v>
      </x:c>
      <x:c r="N642" s="35" t="str">
        <x:v>Gemini-3.8-flash/Result/Lang_28/result.json</x:v>
      </x:c>
      <x:c r="O642" s="39" t="n">
        <x:f>IF(AND(G642="RECORDED",ISNUMBER(H642)),H642,"")</x:f>
        <x:v>100</x:v>
      </x:c>
      <x:c r="P642" s="35" t="str">
        <x:v>NOT_REVEALING</x:v>
      </x:c>
      <x:c r="Q642" s="35" t="str">
        <x:v>Gemini-3.8-flash/Result/Lang_28/result.json</x:v>
      </x:c>
    </x:row>
    <x:row r="643">
      <x:c r="A643" s="35" t="str">
        <x:v>gemini</x:v>
      </x:c>
      <x:c r="B643" s="35" t="str">
        <x:v>Lang</x:v>
      </x:c>
      <x:c r="C643" s="35" t="str">
        <x:v>Round1</x:v>
      </x:c>
      <x:c r="D643" s="35" t="str">
        <x:v>Lang_29</x:v>
      </x:c>
      <x:c r="E643" s="35" t="str">
        <x:v>Line</x:v>
      </x:c>
      <x:c r="F643" s="35"/>
      <x:c r="G643" s="35" t="str">
        <x:v>A</x:v>
      </x:c>
      <x:c r="H643" s="39" t="str">
        <x:f>IF(ISNUMBER('Data'!E643),'Data'!E643*100,"")</x:f>
      </x:c>
      <x:c r="I643" s="35"/>
      <x:c r="J643" s="35" t="str">
        <x:v>PASS</x:v>
      </x:c>
      <x:c r="K643" s="35" t="str">
        <x:v>FAIL</x:v>
      </x:c>
      <x:c r="L643" s="35" t="str">
        <x:v>NOT_RUN</x:v>
      </x:c>
      <x:c r="M643" s="35" t="str">
        <x:v>coverage unavailable or execution/compile failed</x:v>
      </x:c>
      <x:c r="N643" s="35" t="str">
        <x:v>Gemini-3.8-flash/Result/Lang_29/result.json</x:v>
      </x:c>
      <x:c r="O643" s="39" t="str">
        <x:f>IF(AND(G643="RECORDED",ISNUMBER(H643)),H643,"")</x:f>
      </x:c>
      <x:c r="P643" s="35" t="str">
        <x:v>NOT_AVAILABLE</x:v>
      </x:c>
      <x:c r="Q643" s="35" t="str">
        <x:v>Gemini-3.8-flash/Result/Lang_29/result.json</x:v>
      </x:c>
    </x:row>
    <x:row r="644">
      <x:c r="A644" s="35" t="str">
        <x:v>gemini</x:v>
      </x:c>
      <x:c r="B644" s="35" t="str">
        <x:v>Lang</x:v>
      </x:c>
      <x:c r="C644" s="35" t="str">
        <x:v>Round1</x:v>
      </x:c>
      <x:c r="D644" s="35" t="str">
        <x:v>Lang_3</x:v>
      </x:c>
      <x:c r="E644" s="35" t="str">
        <x:v>Line</x:v>
      </x:c>
      <x:c r="F644" s="35" t="n">
        <x:v>373</x:v>
      </x:c>
      <x:c r="G644" s="35" t="str">
        <x:v>RECORDED</x:v>
      </x:c>
      <x:c r="H644" s="39" t="n">
        <x:f>IF(ISNUMBER('Data'!E644),'Data'!E644*100,"")</x:f>
        <x:v>94.91</x:v>
      </x:c>
      <x:c r="I644" s="35" t="str">
        <x:v>PASS</x:v>
      </x:c>
      <x:c r="J644" s="35" t="str">
        <x:v>PASS</x:v>
      </x:c>
      <x:c r="K644" s="35" t="str">
        <x:v>PASS</x:v>
      </x:c>
      <x:c r="L644" s="35" t="str">
        <x:v>FAIL</x:v>
      </x:c>
      <x:c r="M644" s="35" t="str">
        <x:v>numeric coverage for applicable metric</x:v>
      </x:c>
      <x:c r="N644" s="35" t="str">
        <x:v>Gemini-3.8-flash/Result/Lang_3/result.json</x:v>
      </x:c>
      <x:c r="O644" s="39" t="n">
        <x:f>IF(AND(G644="RECORDED",ISNUMBER(H644)),H644,"")</x:f>
        <x:v>94.91</x:v>
      </x:c>
      <x:c r="P644" s="35" t="str">
        <x:v>INCONCLUSIVE</x:v>
      </x:c>
      <x:c r="Q644" s="35" t="str">
        <x:v>Gemini-3.8-flash/Result/Lang_3/result.json</x:v>
      </x:c>
    </x:row>
    <x:row r="645">
      <x:c r="A645" s="35" t="str">
        <x:v>gemini</x:v>
      </x:c>
      <x:c r="B645" s="35" t="str">
        <x:v>Lang</x:v>
      </x:c>
      <x:c r="C645" s="35" t="str">
        <x:v>Round1</x:v>
      </x:c>
      <x:c r="D645" s="35" t="str">
        <x:v>Lang_30</x:v>
      </x:c>
      <x:c r="E645" s="35" t="str">
        <x:v>Line</x:v>
      </x:c>
      <x:c r="F645" s="35"/>
      <x:c r="G645" s="35" t="str">
        <x:v>A</x:v>
      </x:c>
      <x:c r="H645" s="39" t="str">
        <x:f>IF(ISNUMBER('Data'!E645),'Data'!E645*100,"")</x:f>
      </x:c>
      <x:c r="I645" s="35"/>
      <x:c r="J645" s="35" t="str">
        <x:v>PASS</x:v>
      </x:c>
      <x:c r="K645" s="35" t="str">
        <x:v>FAIL</x:v>
      </x:c>
      <x:c r="L645" s="35" t="str">
        <x:v>NOT_RUN</x:v>
      </x:c>
      <x:c r="M645" s="35" t="str">
        <x:v>coverage unavailable or execution/compile failed</x:v>
      </x:c>
      <x:c r="N645" s="35" t="str">
        <x:v>Gemini-3.8-flash/Result/Lang_30/result.json</x:v>
      </x:c>
      <x:c r="O645" s="39" t="str">
        <x:f>IF(AND(G645="RECORDED",ISNUMBER(H645)),H645,"")</x:f>
      </x:c>
      <x:c r="P645" s="35" t="str">
        <x:v>NOT_AVAILABLE</x:v>
      </x:c>
      <x:c r="Q645" s="35" t="str">
        <x:v>Gemini-3.8-flash/Result/Lang_30/result.json</x:v>
      </x:c>
    </x:row>
    <x:row r="646">
      <x:c r="A646" s="35" t="str">
        <x:v>gemini</x:v>
      </x:c>
      <x:c r="B646" s="35" t="str">
        <x:v>Lang</x:v>
      </x:c>
      <x:c r="C646" s="35" t="str">
        <x:v>Round1</x:v>
      </x:c>
      <x:c r="D646" s="35" t="str">
        <x:v>Lang_31</x:v>
      </x:c>
      <x:c r="E646" s="35" t="str">
        <x:v>Line</x:v>
      </x:c>
      <x:c r="F646" s="35"/>
      <x:c r="G646" s="35" t="str">
        <x:v>A</x:v>
      </x:c>
      <x:c r="H646" s="39" t="str">
        <x:f>IF(ISNUMBER('Data'!E646),'Data'!E646*100,"")</x:f>
      </x:c>
      <x:c r="I646" s="35"/>
      <x:c r="J646" s="35" t="str">
        <x:v>PASS</x:v>
      </x:c>
      <x:c r="K646" s="35" t="str">
        <x:v>FAIL</x:v>
      </x:c>
      <x:c r="L646" s="35" t="str">
        <x:v>NOT_RUN</x:v>
      </x:c>
      <x:c r="M646" s="35" t="str">
        <x:v>coverage unavailable or execution/compile failed</x:v>
      </x:c>
      <x:c r="N646" s="35" t="str">
        <x:v>Gemini-3.8-flash/Result/Lang_31/result.json</x:v>
      </x:c>
      <x:c r="O646" s="39" t="str">
        <x:f>IF(AND(G646="RECORDED",ISNUMBER(H646)),H646,"")</x:f>
      </x:c>
      <x:c r="P646" s="35" t="str">
        <x:v>NOT_AVAILABLE</x:v>
      </x:c>
      <x:c r="Q646" s="35" t="str">
        <x:v>Gemini-3.8-flash/Result/Lang_31/result.json</x:v>
      </x:c>
    </x:row>
    <x:row r="647">
      <x:c r="A647" s="35" t="str">
        <x:v>gemini</x:v>
      </x:c>
      <x:c r="B647" s="35" t="str">
        <x:v>Lang</x:v>
      </x:c>
      <x:c r="C647" s="35" t="str">
        <x:v>Round1</x:v>
      </x:c>
      <x:c r="D647" s="35" t="str">
        <x:v>Lang_32</x:v>
      </x:c>
      <x:c r="E647" s="35" t="str">
        <x:v>Line</x:v>
      </x:c>
      <x:c r="F647" s="35" t="n">
        <x:v>146</x:v>
      </x:c>
      <x:c r="G647" s="35" t="str">
        <x:v>RECORDED</x:v>
      </x:c>
      <x:c r="H647" s="39" t="n">
        <x:f>IF(ISNUMBER('Data'!E647),'Data'!E647*100,"")</x:f>
        <x:v>43.84</x:v>
      </x:c>
      <x:c r="I647" s="35" t="str">
        <x:v>PASS</x:v>
      </x:c>
      <x:c r="J647" s="35" t="str">
        <x:v>PASS</x:v>
      </x:c>
      <x:c r="K647" s="35" t="str">
        <x:v>PASS</x:v>
      </x:c>
      <x:c r="L647" s="35" t="str">
        <x:v>PASS</x:v>
      </x:c>
      <x:c r="M647" s="35" t="str">
        <x:v>numeric coverage for applicable metric</x:v>
      </x:c>
      <x:c r="N647" s="35" t="str">
        <x:v>Gemini-3.8-flash/Result/Lang_32/result.json</x:v>
      </x:c>
      <x:c r="O647" s="39" t="n">
        <x:f>IF(AND(G647="RECORDED",ISNUMBER(H647)),H647,"")</x:f>
        <x:v>43.84</x:v>
      </x:c>
      <x:c r="P647" s="35" t="str">
        <x:v>NOT_REVEALING</x:v>
      </x:c>
      <x:c r="Q647" s="35" t="str">
        <x:v>Gemini-3.8-flash/Result/Lang_32/result.json</x:v>
      </x:c>
    </x:row>
    <x:row r="648">
      <x:c r="A648" s="35" t="str">
        <x:v>gemini</x:v>
      </x:c>
      <x:c r="B648" s="35" t="str">
        <x:v>Lang</x:v>
      </x:c>
      <x:c r="C648" s="35" t="str">
        <x:v>Round1</x:v>
      </x:c>
      <x:c r="D648" s="35" t="str">
        <x:v>Lang_33</x:v>
      </x:c>
      <x:c r="E648" s="35" t="str">
        <x:v>Line</x:v>
      </x:c>
      <x:c r="F648" s="35" t="n">
        <x:v>286</x:v>
      </x:c>
      <x:c r="G648" s="35" t="str">
        <x:v>RECORDED</x:v>
      </x:c>
      <x:c r="H648" s="39" t="n">
        <x:f>IF(ISNUMBER('Data'!E648),'Data'!E648*100,"")</x:f>
        <x:v>26.22</x:v>
      </x:c>
      <x:c r="I648" s="35" t="str">
        <x:v>PASS</x:v>
      </x:c>
      <x:c r="J648" s="35" t="str">
        <x:v>PASS</x:v>
      </x:c>
      <x:c r="K648" s="35" t="str">
        <x:v>PASS</x:v>
      </x:c>
      <x:c r="L648" s="35" t="str">
        <x:v>FAIL</x:v>
      </x:c>
      <x:c r="M648" s="35" t="str">
        <x:v>numeric coverage for applicable metric</x:v>
      </x:c>
      <x:c r="N648" s="35" t="str">
        <x:v>Gemini-3.8-flash/Result/Lang_33/result.json</x:v>
      </x:c>
      <x:c r="O648" s="39" t="n">
        <x:f>IF(AND(G648="RECORDED",ISNUMBER(H648)),H648,"")</x:f>
        <x:v>26.22</x:v>
      </x:c>
      <x:c r="P648" s="35" t="str">
        <x:v>INCONCLUSIVE</x:v>
      </x:c>
      <x:c r="Q648" s="35" t="str">
        <x:v>Gemini-3.8-flash/Result/Lang_33/result.json</x:v>
      </x:c>
    </x:row>
    <x:row r="649">
      <x:c r="A649" s="35" t="str">
        <x:v>gemini</x:v>
      </x:c>
      <x:c r="B649" s="35" t="str">
        <x:v>Lang</x:v>
      </x:c>
      <x:c r="C649" s="35" t="str">
        <x:v>Round1</x:v>
      </x:c>
      <x:c r="D649" s="35" t="str">
        <x:v>Lang_34</x:v>
      </x:c>
      <x:c r="E649" s="35" t="str">
        <x:v>Line</x:v>
      </x:c>
      <x:c r="F649" s="35" t="n">
        <x:v>515</x:v>
      </x:c>
      <x:c r="G649" s="35" t="str">
        <x:v>RECORDED</x:v>
      </x:c>
      <x:c r="H649" s="39" t="n">
        <x:f>IF(ISNUMBER('Data'!E649),'Data'!E649*100,"")</x:f>
        <x:v>32.62</x:v>
      </x:c>
      <x:c r="I649" s="35" t="str">
        <x:v>PASS</x:v>
      </x:c>
      <x:c r="J649" s="35" t="str">
        <x:v>PASS</x:v>
      </x:c>
      <x:c r="K649" s="35" t="str">
        <x:v>PASS</x:v>
      </x:c>
      <x:c r="L649" s="35" t="str">
        <x:v>PASS</x:v>
      </x:c>
      <x:c r="M649" s="35" t="str">
        <x:v>numeric coverage for applicable metric</x:v>
      </x:c>
      <x:c r="N649" s="35" t="str">
        <x:v>Gemini-3.8-flash/Result/Lang_34/result.json</x:v>
      </x:c>
      <x:c r="O649" s="39" t="n">
        <x:f>IF(AND(G649="RECORDED",ISNUMBER(H649)),H649,"")</x:f>
        <x:v>32.62</x:v>
      </x:c>
      <x:c r="P649" s="35" t="str">
        <x:v>NOT_REVEALING</x:v>
      </x:c>
      <x:c r="Q649" s="35" t="str">
        <x:v>Gemini-3.8-flash/Result/Lang_34/result.json</x:v>
      </x:c>
    </x:row>
    <x:row r="650">
      <x:c r="A650" s="35" t="str">
        <x:v>gemini</x:v>
      </x:c>
      <x:c r="B650" s="35" t="str">
        <x:v>Lang</x:v>
      </x:c>
      <x:c r="C650" s="35" t="str">
        <x:v>Round1</x:v>
      </x:c>
      <x:c r="D650" s="35" t="str">
        <x:v>Lang_35</x:v>
      </x:c>
      <x:c r="E650" s="35" t="str">
        <x:v>Line</x:v>
      </x:c>
      <x:c r="F650" s="35" t="n">
        <x:v>964</x:v>
      </x:c>
      <x:c r="G650" s="35" t="str">
        <x:v>RECORDED</x:v>
      </x:c>
      <x:c r="H650" s="39" t="n">
        <x:f>IF(ISNUMBER('Data'!E650),'Data'!E650*100,"")</x:f>
        <x:v>7.57</x:v>
      </x:c>
      <x:c r="I650" s="35" t="str">
        <x:v>PASS</x:v>
      </x:c>
      <x:c r="J650" s="35" t="str">
        <x:v>PASS</x:v>
      </x:c>
      <x:c r="K650" s="35" t="str">
        <x:v>PASS</x:v>
      </x:c>
      <x:c r="L650" s="35" t="str">
        <x:v>PASS</x:v>
      </x:c>
      <x:c r="M650" s="35" t="str">
        <x:v>numeric coverage for applicable metric</x:v>
      </x:c>
      <x:c r="N650" s="35" t="str">
        <x:v>Gemini-3.8-flash/Result/Lang_35/result.json</x:v>
      </x:c>
      <x:c r="O650" s="39" t="n">
        <x:f>IF(AND(G650="RECORDED",ISNUMBER(H650)),H650,"")</x:f>
        <x:v>7.57</x:v>
      </x:c>
      <x:c r="P650" s="35" t="str">
        <x:v>NOT_REVEALING</x:v>
      </x:c>
      <x:c r="Q650" s="35" t="str">
        <x:v>Gemini-3.8-flash/Result/Lang_35/result.json</x:v>
      </x:c>
    </x:row>
    <x:row r="651">
      <x:c r="A651" s="35" t="str">
        <x:v>gemini</x:v>
      </x:c>
      <x:c r="B651" s="35" t="str">
        <x:v>Lang</x:v>
      </x:c>
      <x:c r="C651" s="35" t="str">
        <x:v>Round1</x:v>
      </x:c>
      <x:c r="D651" s="35" t="str">
        <x:v>Lang_36</x:v>
      </x:c>
      <x:c r="E651" s="35" t="str">
        <x:v>Line</x:v>
      </x:c>
      <x:c r="F651" s="35" t="n">
        <x:v>370</x:v>
      </x:c>
      <x:c r="G651" s="35" t="str">
        <x:v>RECORDED</x:v>
      </x:c>
      <x:c r="H651" s="39" t="n">
        <x:f>IF(ISNUMBER('Data'!E651),'Data'!E651*100,"")</x:f>
        <x:v>44.59</x:v>
      </x:c>
      <x:c r="I651" s="35" t="str">
        <x:v>PASS</x:v>
      </x:c>
      <x:c r="J651" s="35" t="str">
        <x:v>PASS</x:v>
      </x:c>
      <x:c r="K651" s="35" t="str">
        <x:v>PASS</x:v>
      </x:c>
      <x:c r="L651" s="35" t="str">
        <x:v>FAIL</x:v>
      </x:c>
      <x:c r="M651" s="35" t="str">
        <x:v>numeric coverage for applicable metric</x:v>
      </x:c>
      <x:c r="N651" s="35" t="str">
        <x:v>Gemini-3.8-flash/Result/Lang_36/result.json</x:v>
      </x:c>
      <x:c r="O651" s="39" t="n">
        <x:f>IF(AND(G651="RECORDED",ISNUMBER(H651)),H651,"")</x:f>
        <x:v>44.59</x:v>
      </x:c>
      <x:c r="P651" s="35" t="str">
        <x:v>INCONCLUSIVE</x:v>
      </x:c>
      <x:c r="Q651" s="35" t="str">
        <x:v>Gemini-3.8-flash/Result/Lang_36/result.json</x:v>
      </x:c>
    </x:row>
    <x:row r="652">
      <x:c r="A652" s="35" t="str">
        <x:v>gemini</x:v>
      </x:c>
      <x:c r="B652" s="35" t="str">
        <x:v>Lang</x:v>
      </x:c>
      <x:c r="C652" s="35" t="str">
        <x:v>Round1</x:v>
      </x:c>
      <x:c r="D652" s="35" t="str">
        <x:v>Lang_37</x:v>
      </x:c>
      <x:c r="E652" s="35" t="str">
        <x:v>Line</x:v>
      </x:c>
      <x:c r="F652" s="35" t="n">
        <x:v>951</x:v>
      </x:c>
      <x:c r="G652" s="35" t="str">
        <x:v>RECORDED</x:v>
      </x:c>
      <x:c r="H652" s="39" t="n">
        <x:f>IF(ISNUMBER('Data'!E652),'Data'!E652*100,"")</x:f>
        <x:v>7.470000000000001</x:v>
      </x:c>
      <x:c r="I652" s="35" t="str">
        <x:v>PASS</x:v>
      </x:c>
      <x:c r="J652" s="35" t="str">
        <x:v>PASS</x:v>
      </x:c>
      <x:c r="K652" s="35" t="str">
        <x:v>PASS</x:v>
      </x:c>
      <x:c r="L652" s="35" t="str">
        <x:v>PASS</x:v>
      </x:c>
      <x:c r="M652" s="35" t="str">
        <x:v>numeric coverage for applicable metric</x:v>
      </x:c>
      <x:c r="N652" s="35" t="str">
        <x:v>Gemini-3.8-flash/Result/Lang_37/result.json</x:v>
      </x:c>
      <x:c r="O652" s="39" t="n">
        <x:f>IF(AND(G652="RECORDED",ISNUMBER(H652)),H652,"")</x:f>
        <x:v>7.470000000000001</x:v>
      </x:c>
      <x:c r="P652" s="35" t="str">
        <x:v>NOT_REVEALING</x:v>
      </x:c>
      <x:c r="Q652" s="35" t="str">
        <x:v>Gemini-3.8-flash/Result/Lang_37/result.json</x:v>
      </x:c>
    </x:row>
    <x:row r="653">
      <x:c r="A653" s="35" t="str">
        <x:v>gemini</x:v>
      </x:c>
      <x:c r="B653" s="35" t="str">
        <x:v>Lang</x:v>
      </x:c>
      <x:c r="C653" s="35" t="str">
        <x:v>Round1</x:v>
      </x:c>
      <x:c r="D653" s="35" t="str">
        <x:v>Lang_38</x:v>
      </x:c>
      <x:c r="E653" s="35" t="str">
        <x:v>Line</x:v>
      </x:c>
      <x:c r="F653" s="35"/>
      <x:c r="G653" s="35" t="str">
        <x:v>A</x:v>
      </x:c>
      <x:c r="H653" s="39" t="str">
        <x:f>IF(ISNUMBER('Data'!E653),'Data'!E653*100,"")</x:f>
      </x:c>
      <x:c r="I653" s="35"/>
      <x:c r="J653" s="35" t="str">
        <x:v>PASS</x:v>
      </x:c>
      <x:c r="K653" s="35" t="str">
        <x:v>FAIL</x:v>
      </x:c>
      <x:c r="L653" s="35" t="str">
        <x:v>NOT_RUN</x:v>
      </x:c>
      <x:c r="M653" s="35" t="str">
        <x:v>coverage unavailable or execution/compile failed</x:v>
      </x:c>
      <x:c r="N653" s="35" t="str">
        <x:v>Gemini-3.8-flash/Result/Lang_38/result.json</x:v>
      </x:c>
      <x:c r="O653" s="39" t="str">
        <x:f>IF(AND(G653="RECORDED",ISNUMBER(H653)),H653,"")</x:f>
      </x:c>
      <x:c r="P653" s="35" t="str">
        <x:v>NOT_AVAILABLE</x:v>
      </x:c>
      <x:c r="Q653" s="35" t="str">
        <x:v>Gemini-3.8-flash/Result/Lang_38/result.json</x:v>
      </x:c>
    </x:row>
    <x:row r="654">
      <x:c r="A654" s="35" t="str">
        <x:v>gemini</x:v>
      </x:c>
      <x:c r="B654" s="35" t="str">
        <x:v>Lang</x:v>
      </x:c>
      <x:c r="C654" s="35" t="str">
        <x:v>Round1</x:v>
      </x:c>
      <x:c r="D654" s="35" t="str">
        <x:v>Lang_39</x:v>
      </x:c>
      <x:c r="E654" s="35" t="str">
        <x:v>Line</x:v>
      </x:c>
      <x:c r="F654" s="35"/>
      <x:c r="G654" s="35" t="str">
        <x:v>A</x:v>
      </x:c>
      <x:c r="H654" s="39" t="str">
        <x:f>IF(ISNUMBER('Data'!E654),'Data'!E654*100,"")</x:f>
      </x:c>
      <x:c r="I654" s="35"/>
      <x:c r="J654" s="35" t="str">
        <x:v>PASS</x:v>
      </x:c>
      <x:c r="K654" s="35" t="str">
        <x:v>FAIL</x:v>
      </x:c>
      <x:c r="L654" s="35" t="str">
        <x:v>NOT_RUN</x:v>
      </x:c>
      <x:c r="M654" s="35" t="str">
        <x:v>coverage unavailable or execution/compile failed</x:v>
      </x:c>
      <x:c r="N654" s="35" t="str">
        <x:v>Gemini-3.8-flash/Result/Lang_39/result.json</x:v>
      </x:c>
      <x:c r="O654" s="39" t="str">
        <x:f>IF(AND(G654="RECORDED",ISNUMBER(H654)),H654,"")</x:f>
      </x:c>
      <x:c r="P654" s="35" t="str">
        <x:v>NOT_AVAILABLE</x:v>
      </x:c>
      <x:c r="Q654" s="35" t="str">
        <x:v>Gemini-3.8-flash/Result/Lang_39/result.json</x:v>
      </x:c>
    </x:row>
    <x:row r="655">
      <x:c r="A655" s="35" t="str">
        <x:v>gemini</x:v>
      </x:c>
      <x:c r="B655" s="35" t="str">
        <x:v>Lang</x:v>
      </x:c>
      <x:c r="C655" s="35" t="str">
        <x:v>Round1</x:v>
      </x:c>
      <x:c r="D655" s="35" t="str">
        <x:v>Lang_4</x:v>
      </x:c>
      <x:c r="E655" s="35" t="str">
        <x:v>Line</x:v>
      </x:c>
      <x:c r="F655" s="35" t="n">
        <x:v>25</x:v>
      </x:c>
      <x:c r="G655" s="35" t="str">
        <x:v>RECORDED</x:v>
      </x:c>
      <x:c r="H655" s="39" t="n">
        <x:f>IF(ISNUMBER('Data'!E655),'Data'!E655*100,"")</x:f>
        <x:v>100</x:v>
      </x:c>
      <x:c r="I655" s="35" t="str">
        <x:v>PASS</x:v>
      </x:c>
      <x:c r="J655" s="35" t="str">
        <x:v>PASS</x:v>
      </x:c>
      <x:c r="K655" s="35" t="str">
        <x:v>PASS</x:v>
      </x:c>
      <x:c r="L655" s="35" t="str">
        <x:v>PASS</x:v>
      </x:c>
      <x:c r="M655" s="35" t="str">
        <x:v>numeric coverage for applicable metric</x:v>
      </x:c>
      <x:c r="N655" s="35" t="str">
        <x:v>Gemini-3.8-flash/Result/Lang_4/result.json</x:v>
      </x:c>
      <x:c r="O655" s="39" t="n">
        <x:f>IF(AND(G655="RECORDED",ISNUMBER(H655)),H655,"")</x:f>
        <x:v>100</x:v>
      </x:c>
      <x:c r="P655" s="35" t="str">
        <x:v>NOT_REVEALING</x:v>
      </x:c>
      <x:c r="Q655" s="35" t="str">
        <x:v>Gemini-3.8-flash/Result/Lang_4/result.json</x:v>
      </x:c>
    </x:row>
    <x:row r="656">
      <x:c r="A656" s="35" t="str">
        <x:v>gemini</x:v>
      </x:c>
      <x:c r="B656" s="35" t="str">
        <x:v>Lang</x:v>
      </x:c>
      <x:c r="C656" s="35" t="str">
        <x:v>Round1</x:v>
      </x:c>
      <x:c r="D656" s="35" t="str">
        <x:v>Lang_40</x:v>
      </x:c>
      <x:c r="E656" s="35" t="str">
        <x:v>Line</x:v>
      </x:c>
      <x:c r="F656" s="35" t="n">
        <x:v>1096</x:v>
      </x:c>
      <x:c r="G656" s="35" t="str">
        <x:v>RECORDED</x:v>
      </x:c>
      <x:c r="H656" s="39" t="n">
        <x:f>IF(ISNUMBER('Data'!E656),'Data'!E656*100,"")</x:f>
        <x:v>6.02</x:v>
      </x:c>
      <x:c r="I656" s="35" t="str">
        <x:v>PASS</x:v>
      </x:c>
      <x:c r="J656" s="35" t="str">
        <x:v>PASS</x:v>
      </x:c>
      <x:c r="K656" s="35" t="str">
        <x:v>PASS</x:v>
      </x:c>
      <x:c r="L656" s="35" t="str">
        <x:v>PASS</x:v>
      </x:c>
      <x:c r="M656" s="35" t="str">
        <x:v>numeric coverage for applicable metric</x:v>
      </x:c>
      <x:c r="N656" s="35" t="str">
        <x:v>Gemini-3.8-flash/Result/Lang_40/result.json</x:v>
      </x:c>
      <x:c r="O656" s="39" t="n">
        <x:f>IF(AND(G656="RECORDED",ISNUMBER(H656)),H656,"")</x:f>
        <x:v>6.02</x:v>
      </x:c>
      <x:c r="P656" s="35" t="str">
        <x:v>NOT_REVEALING</x:v>
      </x:c>
      <x:c r="Q656" s="35" t="str">
        <x:v>Gemini-3.8-flash/Result/Lang_40/result.json</x:v>
      </x:c>
    </x:row>
    <x:row r="657">
      <x:c r="A657" s="35" t="str">
        <x:v>gemini</x:v>
      </x:c>
      <x:c r="B657" s="35" t="str">
        <x:v>Lang</x:v>
      </x:c>
      <x:c r="C657" s="35" t="str">
        <x:v>Round1</x:v>
      </x:c>
      <x:c r="D657" s="35" t="str">
        <x:v>Lang_41</x:v>
      </x:c>
      <x:c r="E657" s="35" t="str">
        <x:v>Line</x:v>
      </x:c>
      <x:c r="F657" s="35" t="n">
        <x:v>273</x:v>
      </x:c>
      <x:c r="G657" s="35" t="str">
        <x:v>RECORDED</x:v>
      </x:c>
      <x:c r="H657" s="39" t="n">
        <x:f>IF(ISNUMBER('Data'!E657),'Data'!E657*100,"")</x:f>
        <x:v>21.61</x:v>
      </x:c>
      <x:c r="I657" s="35" t="str">
        <x:v>PASS</x:v>
      </x:c>
      <x:c r="J657" s="35" t="str">
        <x:v>PASS</x:v>
      </x:c>
      <x:c r="K657" s="35" t="str">
        <x:v>PASS</x:v>
      </x:c>
      <x:c r="L657" s="35" t="str">
        <x:v>FAIL</x:v>
      </x:c>
      <x:c r="M657" s="35" t="str">
        <x:v>numeric coverage for applicable metric</x:v>
      </x:c>
      <x:c r="N657" s="35" t="str">
        <x:v>Gemini-3.8-flash/Result/Lang_41/result.json</x:v>
      </x:c>
      <x:c r="O657" s="39" t="n">
        <x:f>IF(AND(G657="RECORDED",ISNUMBER(H657)),H657,"")</x:f>
        <x:v>21.61</x:v>
      </x:c>
      <x:c r="P657" s="35" t="str">
        <x:v>INCONCLUSIVE</x:v>
      </x:c>
      <x:c r="Q657" s="35" t="str">
        <x:v>Gemini-3.8-flash/Result/Lang_41/result.json</x:v>
      </x:c>
    </x:row>
    <x:row r="658">
      <x:c r="A658" s="35" t="str">
        <x:v>gemini</x:v>
      </x:c>
      <x:c r="B658" s="35" t="str">
        <x:v>Lang</x:v>
      </x:c>
      <x:c r="C658" s="35" t="str">
        <x:v>Round1</x:v>
      </x:c>
      <x:c r="D658" s="35" t="str">
        <x:v>Lang_42</x:v>
      </x:c>
      <x:c r="E658" s="35" t="str">
        <x:v>Line</x:v>
      </x:c>
      <x:c r="F658" s="35" t="n">
        <x:v>207</x:v>
      </x:c>
      <x:c r="G658" s="35" t="str">
        <x:v>RECORDED</x:v>
      </x:c>
      <x:c r="H658" s="39" t="n">
        <x:f>IF(ISNUMBER('Data'!E658),'Data'!E658*100,"")</x:f>
        <x:v>43.96</x:v>
      </x:c>
      <x:c r="I658" s="35" t="str">
        <x:v>PASS</x:v>
      </x:c>
      <x:c r="J658" s="35" t="str">
        <x:v>PASS</x:v>
      </x:c>
      <x:c r="K658" s="35" t="str">
        <x:v>PASS</x:v>
      </x:c>
      <x:c r="L658" s="35" t="str">
        <x:v>PASS</x:v>
      </x:c>
      <x:c r="M658" s="35" t="str">
        <x:v>numeric coverage for applicable metric</x:v>
      </x:c>
      <x:c r="N658" s="35" t="str">
        <x:v>Gemini-3.8-flash/Result/Lang_42/result.json</x:v>
      </x:c>
      <x:c r="O658" s="39" t="n">
        <x:f>IF(AND(G658="RECORDED",ISNUMBER(H658)),H658,"")</x:f>
        <x:v>43.96</x:v>
      </x:c>
      <x:c r="P658" s="35" t="str">
        <x:v>NOT_REVEALING</x:v>
      </x:c>
      <x:c r="Q658" s="35" t="str">
        <x:v>Gemini-3.8-flash/Result/Lang_42/result.json</x:v>
      </x:c>
    </x:row>
    <x:row r="659">
      <x:c r="A659" s="35" t="str">
        <x:v>gemini</x:v>
      </x:c>
      <x:c r="B659" s="35" t="str">
        <x:v>Lang</x:v>
      </x:c>
      <x:c r="C659" s="35" t="str">
        <x:v>Round1</x:v>
      </x:c>
      <x:c r="D659" s="35" t="str">
        <x:v>Lang_43</x:v>
      </x:c>
      <x:c r="E659" s="35" t="str">
        <x:v>Line</x:v>
      </x:c>
      <x:c r="F659" s="35" t="n">
        <x:v>166</x:v>
      </x:c>
      <x:c r="G659" s="35" t="str">
        <x:v>RECORDED</x:v>
      </x:c>
      <x:c r="H659" s="39" t="n">
        <x:f>IF(ISNUMBER('Data'!E659),'Data'!E659*100,"")</x:f>
        <x:v>41.57</x:v>
      </x:c>
      <x:c r="I659" s="35" t="str">
        <x:v>PASS</x:v>
      </x:c>
      <x:c r="J659" s="35" t="str">
        <x:v>PASS</x:v>
      </x:c>
      <x:c r="K659" s="35" t="str">
        <x:v>PASS</x:v>
      </x:c>
      <x:c r="L659" s="35" t="str">
        <x:v>PASS</x:v>
      </x:c>
      <x:c r="M659" s="35" t="str">
        <x:v>numeric coverage for applicable metric</x:v>
      </x:c>
      <x:c r="N659" s="35" t="str">
        <x:v>Gemini-3.8-flash/Result/Lang_43/result.json</x:v>
      </x:c>
      <x:c r="O659" s="39" t="n">
        <x:f>IF(AND(G659="RECORDED",ISNUMBER(H659)),H659,"")</x:f>
        <x:v>41.57</x:v>
      </x:c>
      <x:c r="P659" s="35" t="str">
        <x:v>NOT_REVEALING</x:v>
      </x:c>
      <x:c r="Q659" s="35" t="str">
        <x:v>Gemini-3.8-flash/Result/Lang_43/result.json</x:v>
      </x:c>
    </x:row>
    <x:row r="660">
      <x:c r="A660" s="35" t="str">
        <x:v>gemini</x:v>
      </x:c>
      <x:c r="B660" s="35" t="str">
        <x:v>Lang</x:v>
      </x:c>
      <x:c r="C660" s="35" t="str">
        <x:v>Round1</x:v>
      </x:c>
      <x:c r="D660" s="35" t="str">
        <x:v>Lang_44</x:v>
      </x:c>
      <x:c r="E660" s="35" t="str">
        <x:v>Line</x:v>
      </x:c>
      <x:c r="F660" s="35" t="n">
        <x:v>190</x:v>
      </x:c>
      <x:c r="G660" s="35" t="str">
        <x:v>RECORDED</x:v>
      </x:c>
      <x:c r="H660" s="39" t="n">
        <x:f>IF(ISNUMBER('Data'!E660),'Data'!E660*100,"")</x:f>
        <x:v>40</x:v>
      </x:c>
      <x:c r="I660" s="35" t="str">
        <x:v>PASS</x:v>
      </x:c>
      <x:c r="J660" s="35" t="str">
        <x:v>PASS</x:v>
      </x:c>
      <x:c r="K660" s="35" t="str">
        <x:v>PASS</x:v>
      </x:c>
      <x:c r="L660" s="35" t="str">
        <x:v>PASS</x:v>
      </x:c>
      <x:c r="M660" s="35" t="str">
        <x:v>numeric coverage for applicable metric</x:v>
      </x:c>
      <x:c r="N660" s="35" t="str">
        <x:v>Gemini-3.8-flash/Result/Lang_44/result.json</x:v>
      </x:c>
      <x:c r="O660" s="39" t="n">
        <x:f>IF(AND(G660="RECORDED",ISNUMBER(H660)),H660,"")</x:f>
        <x:v>40</x:v>
      </x:c>
      <x:c r="P660" s="35" t="str">
        <x:v>NOT_REVEALING</x:v>
      </x:c>
      <x:c r="Q660" s="35" t="str">
        <x:v>Gemini-3.8-flash/Result/Lang_44/result.json</x:v>
      </x:c>
    </x:row>
    <x:row r="661">
      <x:c r="A661" s="35" t="str">
        <x:v>gemini</x:v>
      </x:c>
      <x:c r="B661" s="35" t="str">
        <x:v>Lang</x:v>
      </x:c>
      <x:c r="C661" s="35" t="str">
        <x:v>Round1</x:v>
      </x:c>
      <x:c r="D661" s="35" t="str">
        <x:v>Lang_45</x:v>
      </x:c>
      <x:c r="E661" s="35" t="str">
        <x:v>Line</x:v>
      </x:c>
      <x:c r="F661" s="35"/>
      <x:c r="G661" s="35" t="str">
        <x:v>A</x:v>
      </x:c>
      <x:c r="H661" s="39" t="str">
        <x:f>IF(ISNUMBER('Data'!E661),'Data'!E661*100,"")</x:f>
      </x:c>
      <x:c r="I661" s="35"/>
      <x:c r="J661" s="35" t="str">
        <x:v>PASS</x:v>
      </x:c>
      <x:c r="K661" s="35" t="str">
        <x:v>FAIL</x:v>
      </x:c>
      <x:c r="L661" s="35" t="str">
        <x:v>NOT_RUN</x:v>
      </x:c>
      <x:c r="M661" s="35" t="str">
        <x:v>coverage unavailable or execution/compile failed</x:v>
      </x:c>
      <x:c r="N661" s="35" t="str">
        <x:v>Gemini-3.8-flash/Result/Lang_45/result.json</x:v>
      </x:c>
      <x:c r="O661" s="39" t="str">
        <x:f>IF(AND(G661="RECORDED",ISNUMBER(H661)),H661,"")</x:f>
      </x:c>
      <x:c r="P661" s="35" t="str">
        <x:v>NOT_AVAILABLE</x:v>
      </x:c>
      <x:c r="Q661" s="35" t="str">
        <x:v>Gemini-3.8-flash/Result/Lang_45/result.json</x:v>
      </x:c>
    </x:row>
    <x:row r="662">
      <x:c r="A662" s="35" t="str">
        <x:v>gemini</x:v>
      </x:c>
      <x:c r="B662" s="35" t="str">
        <x:v>Lang</x:v>
      </x:c>
      <x:c r="C662" s="35" t="str">
        <x:v>Round1</x:v>
      </x:c>
      <x:c r="D662" s="35" t="str">
        <x:v>Lang_46</x:v>
      </x:c>
      <x:c r="E662" s="35" t="str">
        <x:v>Line</x:v>
      </x:c>
      <x:c r="F662" s="35"/>
      <x:c r="G662" s="35" t="str">
        <x:v>A</x:v>
      </x:c>
      <x:c r="H662" s="39" t="str">
        <x:f>IF(ISNUMBER('Data'!E662),'Data'!E662*100,"")</x:f>
      </x:c>
      <x:c r="I662" s="35"/>
      <x:c r="J662" s="35" t="str">
        <x:v>PASS</x:v>
      </x:c>
      <x:c r="K662" s="35" t="str">
        <x:v>FAIL</x:v>
      </x:c>
      <x:c r="L662" s="35" t="str">
        <x:v>NOT_RUN</x:v>
      </x:c>
      <x:c r="M662" s="35" t="str">
        <x:v>coverage unavailable or execution/compile failed</x:v>
      </x:c>
      <x:c r="N662" s="35" t="str">
        <x:v>Gemini-3.8-flash/Result/Lang_46/result.json</x:v>
      </x:c>
      <x:c r="O662" s="39" t="str">
        <x:f>IF(AND(G662="RECORDED",ISNUMBER(H662)),H662,"")</x:f>
      </x:c>
      <x:c r="P662" s="35" t="str">
        <x:v>NOT_AVAILABLE</x:v>
      </x:c>
      <x:c r="Q662" s="35" t="str">
        <x:v>Gemini-3.8-flash/Result/Lang_46/result.json</x:v>
      </x:c>
    </x:row>
    <x:row r="663">
      <x:c r="A663" s="35" t="str">
        <x:v>gemini</x:v>
      </x:c>
      <x:c r="B663" s="35" t="str">
        <x:v>Lang</x:v>
      </x:c>
      <x:c r="C663" s="35" t="str">
        <x:v>Round1</x:v>
      </x:c>
      <x:c r="D663" s="35" t="str">
        <x:v>Lang_47</x:v>
      </x:c>
      <x:c r="E663" s="35" t="str">
        <x:v>Line</x:v>
      </x:c>
      <x:c r="F663" s="35" t="n">
        <x:v>696</x:v>
      </x:c>
      <x:c r="G663" s="35" t="str">
        <x:v>RECORDED</x:v>
      </x:c>
      <x:c r="H663" s="39" t="n">
        <x:f>IF(ISNUMBER('Data'!E663),'Data'!E663*100,"")</x:f>
        <x:v>6.47</x:v>
      </x:c>
      <x:c r="I663" s="35" t="str">
        <x:v>PASS</x:v>
      </x:c>
      <x:c r="J663" s="35" t="str">
        <x:v>PASS</x:v>
      </x:c>
      <x:c r="K663" s="35" t="str">
        <x:v>PASS</x:v>
      </x:c>
      <x:c r="L663" s="35" t="str">
        <x:v>PASS</x:v>
      </x:c>
      <x:c r="M663" s="35" t="str">
        <x:v>numeric coverage for applicable metric</x:v>
      </x:c>
      <x:c r="N663" s="35" t="str">
        <x:v>Gemini-3.8-flash/Result/Lang_47/result.json</x:v>
      </x:c>
      <x:c r="O663" s="39" t="n">
        <x:f>IF(AND(G663="RECORDED",ISNUMBER(H663)),H663,"")</x:f>
        <x:v>6.47</x:v>
      </x:c>
      <x:c r="P663" s="35" t="str">
        <x:v>NOT_REVEALING</x:v>
      </x:c>
      <x:c r="Q663" s="35" t="str">
        <x:v>Gemini-3.8-flash/Result/Lang_47/result.json</x:v>
      </x:c>
    </x:row>
    <x:row r="664">
      <x:c r="A664" s="35" t="str">
        <x:v>gemini</x:v>
      </x:c>
      <x:c r="B664" s="35" t="str">
        <x:v>Lang</x:v>
      </x:c>
      <x:c r="C664" s="35" t="str">
        <x:v>Round1</x:v>
      </x:c>
      <x:c r="D664" s="35" t="str">
        <x:v>Lang_49</x:v>
      </x:c>
      <x:c r="E664" s="35" t="str">
        <x:v>Line</x:v>
      </x:c>
      <x:c r="F664" s="35" t="n">
        <x:v>276</x:v>
      </x:c>
      <x:c r="G664" s="35" t="str">
        <x:v>RECORDED</x:v>
      </x:c>
      <x:c r="H664" s="39" t="n">
        <x:f>IF(ISNUMBER('Data'!E664),'Data'!E664*100,"")</x:f>
        <x:v>34.42</x:v>
      </x:c>
      <x:c r="I664" s="35" t="str">
        <x:v>PASS</x:v>
      </x:c>
      <x:c r="J664" s="35" t="str">
        <x:v>PASS</x:v>
      </x:c>
      <x:c r="K664" s="35" t="str">
        <x:v>PASS</x:v>
      </x:c>
      <x:c r="L664" s="35" t="str">
        <x:v>PASS</x:v>
      </x:c>
      <x:c r="M664" s="35" t="str">
        <x:v>numeric coverage for applicable metric</x:v>
      </x:c>
      <x:c r="N664" s="35" t="str">
        <x:v>Gemini-3.8-flash/Result/Lang_49/result.json</x:v>
      </x:c>
      <x:c r="O664" s="39" t="n">
        <x:f>IF(AND(G664="RECORDED",ISNUMBER(H664)),H664,"")</x:f>
        <x:v>34.42</x:v>
      </x:c>
      <x:c r="P664" s="35" t="str">
        <x:v>NOT_REVEALING</x:v>
      </x:c>
      <x:c r="Q664" s="35" t="str">
        <x:v>Gemini-3.8-flash/Result/Lang_49/result.json</x:v>
      </x:c>
    </x:row>
    <x:row r="665">
      <x:c r="A665" s="35" t="str">
        <x:v>gemini</x:v>
      </x:c>
      <x:c r="B665" s="35" t="str">
        <x:v>Lang</x:v>
      </x:c>
      <x:c r="C665" s="35" t="str">
        <x:v>Round1</x:v>
      </x:c>
      <x:c r="D665" s="35" t="str">
        <x:v>Lang_5</x:v>
      </x:c>
      <x:c r="E665" s="35" t="str">
        <x:v>Line</x:v>
      </x:c>
      <x:c r="F665" s="35" t="n">
        <x:v>82</x:v>
      </x:c>
      <x:c r="G665" s="35" t="str">
        <x:v>RECORDED</x:v>
      </x:c>
      <x:c r="H665" s="39" t="n">
        <x:f>IF(ISNUMBER('Data'!E665),'Data'!E665*100,"")</x:f>
        <x:v>100</x:v>
      </x:c>
      <x:c r="I665" s="35" t="str">
        <x:v>PASS</x:v>
      </x:c>
      <x:c r="J665" s="35" t="str">
        <x:v>PASS</x:v>
      </x:c>
      <x:c r="K665" s="35" t="str">
        <x:v>PASS</x:v>
      </x:c>
      <x:c r="L665" s="35" t="str">
        <x:v>PASS</x:v>
      </x:c>
      <x:c r="M665" s="35" t="str">
        <x:v>numeric coverage for applicable metric</x:v>
      </x:c>
      <x:c r="N665" s="35" t="str">
        <x:v>Gemini-3.8-flash/Result/Lang_5/result.json</x:v>
      </x:c>
      <x:c r="O665" s="39" t="n">
        <x:f>IF(AND(G665="RECORDED",ISNUMBER(H665)),H665,"")</x:f>
        <x:v>100</x:v>
      </x:c>
      <x:c r="P665" s="35" t="str">
        <x:v>NOT_REVEALING</x:v>
      </x:c>
      <x:c r="Q665" s="35" t="str">
        <x:v>Gemini-3.8-flash/Result/Lang_5/result.json</x:v>
      </x:c>
    </x:row>
    <x:row r="666">
      <x:c r="A666" s="35" t="str">
        <x:v>gemini</x:v>
      </x:c>
      <x:c r="B666" s="35" t="str">
        <x:v>Lang</x:v>
      </x:c>
      <x:c r="C666" s="35" t="str">
        <x:v>Round1</x:v>
      </x:c>
      <x:c r="D666" s="35" t="str">
        <x:v>Lang_50</x:v>
      </x:c>
      <x:c r="E666" s="35" t="str">
        <x:v>Line</x:v>
      </x:c>
      <x:c r="F666" s="35"/>
      <x:c r="G666" s="35" t="str">
        <x:v>A</x:v>
      </x:c>
      <x:c r="H666" s="39" t="str">
        <x:f>IF(ISNUMBER('Data'!E666),'Data'!E666*100,"")</x:f>
      </x:c>
      <x:c r="I666" s="35"/>
      <x:c r="J666" s="35" t="str">
        <x:v>PASS</x:v>
      </x:c>
      <x:c r="K666" s="35" t="str">
        <x:v>FAIL</x:v>
      </x:c>
      <x:c r="L666" s="35" t="str">
        <x:v>NOT_RUN</x:v>
      </x:c>
      <x:c r="M666" s="35" t="str">
        <x:v>coverage unavailable or execution/compile failed</x:v>
      </x:c>
      <x:c r="N666" s="35" t="str">
        <x:v>Gemini-3.8-flash/Result/Lang_50/result.json</x:v>
      </x:c>
      <x:c r="O666" s="39" t="str">
        <x:f>IF(AND(G666="RECORDED",ISNUMBER(H666)),H666,"")</x:f>
      </x:c>
      <x:c r="P666" s="35" t="str">
        <x:v>NOT_AVAILABLE</x:v>
      </x:c>
      <x:c r="Q666" s="35" t="str">
        <x:v>Gemini-3.8-flash/Result/Lang_50/result.json</x:v>
      </x:c>
    </x:row>
    <x:row r="667">
      <x:c r="A667" s="35" t="str">
        <x:v>gemini</x:v>
      </x:c>
      <x:c r="B667" s="35" t="str">
        <x:v>Lang</x:v>
      </x:c>
      <x:c r="C667" s="35" t="str">
        <x:v>Round1</x:v>
      </x:c>
      <x:c r="D667" s="35" t="str">
        <x:v>Lang_51</x:v>
      </x:c>
      <x:c r="E667" s="35" t="str">
        <x:v>Line</x:v>
      </x:c>
      <x:c r="F667" s="35" t="n">
        <x:v>171</x:v>
      </x:c>
      <x:c r="G667" s="35" t="str">
        <x:v>RECORDED</x:v>
      </x:c>
      <x:c r="H667" s="39" t="n">
        <x:f>IF(ISNUMBER('Data'!E667),'Data'!E667*100,"")</x:f>
        <x:v>15.2</x:v>
      </x:c>
      <x:c r="I667" s="35" t="str">
        <x:v>PASS</x:v>
      </x:c>
      <x:c r="J667" s="35" t="str">
        <x:v>PASS</x:v>
      </x:c>
      <x:c r="K667" s="35" t="str">
        <x:v>PASS</x:v>
      </x:c>
      <x:c r="L667" s="35" t="str">
        <x:v>PASS</x:v>
      </x:c>
      <x:c r="M667" s="35" t="str">
        <x:v>numeric coverage for applicable metric</x:v>
      </x:c>
      <x:c r="N667" s="35" t="str">
        <x:v>Gemini-3.8-flash/Result/Lang_51/result.json</x:v>
      </x:c>
      <x:c r="O667" s="39" t="n">
        <x:f>IF(AND(G667="RECORDED",ISNUMBER(H667)),H667,"")</x:f>
        <x:v>15.2</x:v>
      </x:c>
      <x:c r="P667" s="35" t="str">
        <x:v>NOT_REVEALING</x:v>
      </x:c>
      <x:c r="Q667" s="35" t="str">
        <x:v>Gemini-3.8-flash/Result/Lang_51/result.json</x:v>
      </x:c>
    </x:row>
    <x:row r="668">
      <x:c r="A668" s="35" t="str">
        <x:v>gemini</x:v>
      </x:c>
      <x:c r="B668" s="35" t="str">
        <x:v>Lang</x:v>
      </x:c>
      <x:c r="C668" s="35" t="str">
        <x:v>Round1</x:v>
      </x:c>
      <x:c r="D668" s="35" t="str">
        <x:v>Lang_52</x:v>
      </x:c>
      <x:c r="E668" s="35" t="str">
        <x:v>Line</x:v>
      </x:c>
      <x:c r="F668" s="35"/>
      <x:c r="G668" s="35" t="str">
        <x:v>A</x:v>
      </x:c>
      <x:c r="H668" s="39" t="str">
        <x:f>IF(ISNUMBER('Data'!E668),'Data'!E668*100,"")</x:f>
      </x:c>
      <x:c r="I668" s="35"/>
      <x:c r="J668" s="35" t="str">
        <x:v>PASS</x:v>
      </x:c>
      <x:c r="K668" s="35" t="str">
        <x:v>FAIL</x:v>
      </x:c>
      <x:c r="L668" s="35" t="str">
        <x:v>NOT_RUN</x:v>
      </x:c>
      <x:c r="M668" s="35" t="str">
        <x:v>coverage unavailable or execution/compile failed</x:v>
      </x:c>
      <x:c r="N668" s="35" t="str">
        <x:v>Gemini-3.8-flash/Result/Lang_52/result.json</x:v>
      </x:c>
      <x:c r="O668" s="39" t="str">
        <x:f>IF(AND(G668="RECORDED",ISNUMBER(H668)),H668,"")</x:f>
      </x:c>
      <x:c r="P668" s="35" t="str">
        <x:v>NOT_AVAILABLE</x:v>
      </x:c>
      <x:c r="Q668" s="35" t="str">
        <x:v>Gemini-3.8-flash/Result/Lang_52/result.json</x:v>
      </x:c>
    </x:row>
    <x:row r="669">
      <x:c r="A669" s="35" t="str">
        <x:v>gemini</x:v>
      </x:c>
      <x:c r="B669" s="35" t="str">
        <x:v>Lang</x:v>
      </x:c>
      <x:c r="C669" s="35" t="str">
        <x:v>Round1</x:v>
      </x:c>
      <x:c r="D669" s="35" t="str">
        <x:v>Lang_53</x:v>
      </x:c>
      <x:c r="E669" s="35" t="str">
        <x:v>Line</x:v>
      </x:c>
      <x:c r="F669" s="35" t="n">
        <x:v>217</x:v>
      </x:c>
      <x:c r="G669" s="35" t="str">
        <x:v>RECORDED</x:v>
      </x:c>
      <x:c r="H669" s="39" t="n">
        <x:f>IF(ISNUMBER('Data'!E669),'Data'!E669*100,"")</x:f>
        <x:v>32.26</x:v>
      </x:c>
      <x:c r="I669" s="35" t="str">
        <x:v>PASS</x:v>
      </x:c>
      <x:c r="J669" s="35" t="str">
        <x:v>PASS</x:v>
      </x:c>
      <x:c r="K669" s="35" t="str">
        <x:v>PASS</x:v>
      </x:c>
      <x:c r="L669" s="35" t="str">
        <x:v>PASS</x:v>
      </x:c>
      <x:c r="M669" s="35" t="str">
        <x:v>numeric coverage for applicable metric</x:v>
      </x:c>
      <x:c r="N669" s="35" t="str">
        <x:v>Gemini-3.8-flash/Result/Lang_53/result.json</x:v>
      </x:c>
      <x:c r="O669" s="39" t="n">
        <x:f>IF(AND(G669="RECORDED",ISNUMBER(H669)),H669,"")</x:f>
        <x:v>32.26</x:v>
      </x:c>
      <x:c r="P669" s="35" t="str">
        <x:v>NOT_REVEALING</x:v>
      </x:c>
      <x:c r="Q669" s="35" t="str">
        <x:v>Gemini-3.8-flash/Result/Lang_53/result.json</x:v>
      </x:c>
    </x:row>
    <x:row r="670">
      <x:c r="A670" s="35" t="str">
        <x:v>gemini</x:v>
      </x:c>
      <x:c r="B670" s="35" t="str">
        <x:v>Lang</x:v>
      </x:c>
      <x:c r="C670" s="35" t="str">
        <x:v>Round1</x:v>
      </x:c>
      <x:c r="D670" s="35" t="str">
        <x:v>Lang_54</x:v>
      </x:c>
      <x:c r="E670" s="35" t="str">
        <x:v>Line</x:v>
      </x:c>
      <x:c r="F670" s="35" t="n">
        <x:v>79</x:v>
      </x:c>
      <x:c r="G670" s="35" t="str">
        <x:v>RECORDED</x:v>
      </x:c>
      <x:c r="H670" s="39" t="n">
        <x:f>IF(ISNUMBER('Data'!E670),'Data'!E670*100,"")</x:f>
        <x:v>43.04</x:v>
      </x:c>
      <x:c r="I670" s="35" t="str">
        <x:v>PASS</x:v>
      </x:c>
      <x:c r="J670" s="35" t="str">
        <x:v>PASS</x:v>
      </x:c>
      <x:c r="K670" s="35" t="str">
        <x:v>PASS</x:v>
      </x:c>
      <x:c r="L670" s="35" t="str">
        <x:v>PASS</x:v>
      </x:c>
      <x:c r="M670" s="35" t="str">
        <x:v>numeric coverage for applicable metric</x:v>
      </x:c>
      <x:c r="N670" s="35" t="str">
        <x:v>Gemini-3.8-flash/Result/Lang_54/result.json</x:v>
      </x:c>
      <x:c r="O670" s="39" t="n">
        <x:f>IF(AND(G670="RECORDED",ISNUMBER(H670)),H670,"")</x:f>
        <x:v>43.04</x:v>
      </x:c>
      <x:c r="P670" s="35" t="str">
        <x:v>NOT_REVEALING</x:v>
      </x:c>
      <x:c r="Q670" s="35" t="str">
        <x:v>Gemini-3.8-flash/Result/Lang_54/result.json</x:v>
      </x:c>
    </x:row>
    <x:row r="671">
      <x:c r="A671" s="35" t="str">
        <x:v>gemini</x:v>
      </x:c>
      <x:c r="B671" s="35" t="str">
        <x:v>Lang</x:v>
      </x:c>
      <x:c r="C671" s="35" t="str">
        <x:v>Round1</x:v>
      </x:c>
      <x:c r="D671" s="35" t="str">
        <x:v>Lang_55</x:v>
      </x:c>
      <x:c r="E671" s="35" t="str">
        <x:v>Line</x:v>
      </x:c>
      <x:c r="F671" s="35" t="n">
        <x:v>57</x:v>
      </x:c>
      <x:c r="G671" s="35" t="str">
        <x:v>RECORDED</x:v>
      </x:c>
      <x:c r="H671" s="39" t="n">
        <x:f>IF(ISNUMBER('Data'!E671),'Data'!E671*100,"")</x:f>
        <x:v>77.19</x:v>
      </x:c>
      <x:c r="I671" s="35" t="str">
        <x:v>PASS</x:v>
      </x:c>
      <x:c r="J671" s="35" t="str">
        <x:v>PASS</x:v>
      </x:c>
      <x:c r="K671" s="35" t="str">
        <x:v>PASS</x:v>
      </x:c>
      <x:c r="L671" s="35" t="str">
        <x:v>PASS</x:v>
      </x:c>
      <x:c r="M671" s="35" t="str">
        <x:v>numeric coverage for applicable metric</x:v>
      </x:c>
      <x:c r="N671" s="35" t="str">
        <x:v>Gemini-3.8-flash/Result/Lang_55/result.json</x:v>
      </x:c>
      <x:c r="O671" s="39" t="n">
        <x:f>IF(AND(G671="RECORDED",ISNUMBER(H671)),H671,"")</x:f>
        <x:v>77.19</x:v>
      </x:c>
      <x:c r="P671" s="35" t="str">
        <x:v>NOT_REVEALING</x:v>
      </x:c>
      <x:c r="Q671" s="35" t="str">
        <x:v>Gemini-3.8-flash/Result/Lang_55/result.json</x:v>
      </x:c>
    </x:row>
    <x:row r="672">
      <x:c r="A672" s="35" t="str">
        <x:v>gemini</x:v>
      </x:c>
      <x:c r="B672" s="35" t="str">
        <x:v>Lang</x:v>
      </x:c>
      <x:c r="C672" s="35" t="str">
        <x:v>Round1</x:v>
      </x:c>
      <x:c r="D672" s="35" t="str">
        <x:v>Lang_56</x:v>
      </x:c>
      <x:c r="E672" s="35" t="str">
        <x:v>Line</x:v>
      </x:c>
      <x:c r="F672" s="35"/>
      <x:c r="G672" s="35" t="str">
        <x:v>A</x:v>
      </x:c>
      <x:c r="H672" s="39" t="str">
        <x:f>IF(ISNUMBER('Data'!E672),'Data'!E672*100,"")</x:f>
      </x:c>
      <x:c r="I672" s="35"/>
      <x:c r="J672" s="35" t="str">
        <x:v>PASS</x:v>
      </x:c>
      <x:c r="K672" s="35" t="str">
        <x:v>FAIL</x:v>
      </x:c>
      <x:c r="L672" s="35" t="str">
        <x:v>NOT_RUN</x:v>
      </x:c>
      <x:c r="M672" s="35" t="str">
        <x:v>coverage unavailable or execution/compile failed</x:v>
      </x:c>
      <x:c r="N672" s="35" t="str">
        <x:v>Gemini-3.8-flash/Result/Lang_56/result.json</x:v>
      </x:c>
      <x:c r="O672" s="39" t="str">
        <x:f>IF(AND(G672="RECORDED",ISNUMBER(H672)),H672,"")</x:f>
      </x:c>
      <x:c r="P672" s="35" t="str">
        <x:v>NOT_AVAILABLE</x:v>
      </x:c>
      <x:c r="Q672" s="35" t="str">
        <x:v>Gemini-3.8-flash/Result/Lang_56/result.json</x:v>
      </x:c>
    </x:row>
    <x:row r="673">
      <x:c r="A673" s="35" t="str">
        <x:v>gemini</x:v>
      </x:c>
      <x:c r="B673" s="35" t="str">
        <x:v>Lang</x:v>
      </x:c>
      <x:c r="C673" s="35" t="str">
        <x:v>Round1</x:v>
      </x:c>
      <x:c r="D673" s="35" t="str">
        <x:v>Lang_57</x:v>
      </x:c>
      <x:c r="E673" s="35" t="str">
        <x:v>Line</x:v>
      </x:c>
      <x:c r="F673" s="35" t="n">
        <x:v>79</x:v>
      </x:c>
      <x:c r="G673" s="35" t="str">
        <x:v>RECORDED</x:v>
      </x:c>
      <x:c r="H673" s="39" t="n">
        <x:f>IF(ISNUMBER('Data'!E673),'Data'!E673*100,"")</x:f>
        <x:v>41.77</x:v>
      </x:c>
      <x:c r="I673" s="35" t="str">
        <x:v>PASS</x:v>
      </x:c>
      <x:c r="J673" s="35" t="str">
        <x:v>PASS</x:v>
      </x:c>
      <x:c r="K673" s="35" t="str">
        <x:v>PASS</x:v>
      </x:c>
      <x:c r="L673" s="35" t="str">
        <x:v>FAIL</x:v>
      </x:c>
      <x:c r="M673" s="35" t="str">
        <x:v>numeric coverage for applicable metric</x:v>
      </x:c>
      <x:c r="N673" s="35" t="str">
        <x:v>Gemini-3.8-flash/Result/Lang_57/result.json</x:v>
      </x:c>
      <x:c r="O673" s="39" t="n">
        <x:f>IF(AND(G673="RECORDED",ISNUMBER(H673)),H673,"")</x:f>
        <x:v>41.77</x:v>
      </x:c>
      <x:c r="P673" s="35" t="str">
        <x:v>REVEALING</x:v>
      </x:c>
      <x:c r="Q673" s="35" t="str">
        <x:v>Gemini-3.8-flash/Result/Lang_57/result.json</x:v>
      </x:c>
    </x:row>
    <x:row r="674">
      <x:c r="A674" s="35" t="str">
        <x:v>gemini</x:v>
      </x:c>
      <x:c r="B674" s="35" t="str">
        <x:v>Lang</x:v>
      </x:c>
      <x:c r="C674" s="35" t="str">
        <x:v>Round1</x:v>
      </x:c>
      <x:c r="D674" s="35" t="str">
        <x:v>Lang_58</x:v>
      </x:c>
      <x:c r="E674" s="35" t="str">
        <x:v>Line</x:v>
      </x:c>
      <x:c r="F674" s="35" t="n">
        <x:v>435</x:v>
      </x:c>
      <x:c r="G674" s="35" t="str">
        <x:v>RECORDED</x:v>
      </x:c>
      <x:c r="H674" s="39" t="n">
        <x:f>IF(ISNUMBER('Data'!E674),'Data'!E674*100,"")</x:f>
        <x:v>23.45</x:v>
      </x:c>
      <x:c r="I674" s="35" t="str">
        <x:v>PASS</x:v>
      </x:c>
      <x:c r="J674" s="35" t="str">
        <x:v>PASS</x:v>
      </x:c>
      <x:c r="K674" s="35" t="str">
        <x:v>PASS</x:v>
      </x:c>
      <x:c r="L674" s="35" t="str">
        <x:v>PASS</x:v>
      </x:c>
      <x:c r="M674" s="35" t="str">
        <x:v>numeric coverage for applicable metric</x:v>
      </x:c>
      <x:c r="N674" s="35" t="str">
        <x:v>Gemini-3.8-flash/Result/Lang_58/result.json</x:v>
      </x:c>
      <x:c r="O674" s="39" t="n">
        <x:f>IF(AND(G674="RECORDED",ISNUMBER(H674)),H674,"")</x:f>
        <x:v>23.45</x:v>
      </x:c>
      <x:c r="P674" s="35" t="str">
        <x:v>NOT_REVEALING</x:v>
      </x:c>
      <x:c r="Q674" s="35" t="str">
        <x:v>Gemini-3.8-flash/Result/Lang_58/result.json</x:v>
      </x:c>
    </x:row>
    <x:row r="675">
      <x:c r="A675" s="35" t="str">
        <x:v>gemini</x:v>
      </x:c>
      <x:c r="B675" s="35" t="str">
        <x:v>Lang</x:v>
      </x:c>
      <x:c r="C675" s="35" t="str">
        <x:v>Round1</x:v>
      </x:c>
      <x:c r="D675" s="35" t="str">
        <x:v>Lang_59</x:v>
      </x:c>
      <x:c r="E675" s="35" t="str">
        <x:v>Line</x:v>
      </x:c>
      <x:c r="F675" s="35" t="n">
        <x:v>656</x:v>
      </x:c>
      <x:c r="G675" s="35" t="str">
        <x:v>RECORDED</x:v>
      </x:c>
      <x:c r="H675" s="39" t="n">
        <x:f>IF(ISNUMBER('Data'!E675),'Data'!E675*100,"")</x:f>
        <x:v>6.860000000000001</x:v>
      </x:c>
      <x:c r="I675" s="35" t="str">
        <x:v>PASS</x:v>
      </x:c>
      <x:c r="J675" s="35" t="str">
        <x:v>PASS</x:v>
      </x:c>
      <x:c r="K675" s="35" t="str">
        <x:v>PASS</x:v>
      </x:c>
      <x:c r="L675" s="35" t="str">
        <x:v>PASS</x:v>
      </x:c>
      <x:c r="M675" s="35" t="str">
        <x:v>numeric coverage for applicable metric</x:v>
      </x:c>
      <x:c r="N675" s="35" t="str">
        <x:v>Gemini-3.8-flash/Result/Lang_59/result.json</x:v>
      </x:c>
      <x:c r="O675" s="39" t="n">
        <x:f>IF(AND(G675="RECORDED",ISNUMBER(H675)),H675,"")</x:f>
        <x:v>6.860000000000001</x:v>
      </x:c>
      <x:c r="P675" s="35" t="str">
        <x:v>NOT_REVEALING</x:v>
      </x:c>
      <x:c r="Q675" s="35" t="str">
        <x:v>Gemini-3.8-flash/Result/Lang_59/result.json</x:v>
      </x:c>
    </x:row>
    <x:row r="676">
      <x:c r="A676" s="35" t="str">
        <x:v>gemini</x:v>
      </x:c>
      <x:c r="B676" s="35" t="str">
        <x:v>Lang</x:v>
      </x:c>
      <x:c r="C676" s="35" t="str">
        <x:v>Round1</x:v>
      </x:c>
      <x:c r="D676" s="35" t="str">
        <x:v>Lang_6</x:v>
      </x:c>
      <x:c r="E676" s="35" t="str">
        <x:v>Line</x:v>
      </x:c>
      <x:c r="F676" s="35" t="n">
        <x:v>30</x:v>
      </x:c>
      <x:c r="G676" s="35" t="str">
        <x:v>RECORDED</x:v>
      </x:c>
      <x:c r="H676" s="39" t="n">
        <x:f>IF(ISNUMBER('Data'!E676),'Data'!E676*100,"")</x:f>
        <x:v>100</x:v>
      </x:c>
      <x:c r="I676" s="35" t="str">
        <x:v>PASS</x:v>
      </x:c>
      <x:c r="J676" s="35" t="str">
        <x:v>PASS</x:v>
      </x:c>
      <x:c r="K676" s="35" t="str">
        <x:v>PASS</x:v>
      </x:c>
      <x:c r="L676" s="35" t="str">
        <x:v>PASS</x:v>
      </x:c>
      <x:c r="M676" s="35" t="str">
        <x:v>numeric coverage for applicable metric</x:v>
      </x:c>
      <x:c r="N676" s="35" t="str">
        <x:v>Gemini-3.8-flash/Result/Lang_6/result.json</x:v>
      </x:c>
      <x:c r="O676" s="39" t="n">
        <x:f>IF(AND(G676="RECORDED",ISNUMBER(H676)),H676,"")</x:f>
        <x:v>100</x:v>
      </x:c>
      <x:c r="P676" s="35" t="str">
        <x:v>INCONCLUSIVE</x:v>
      </x:c>
      <x:c r="Q676" s="35" t="str">
        <x:v>Gemini-3.8-flash/Result/Lang_6/result.json</x:v>
      </x:c>
    </x:row>
    <x:row r="677">
      <x:c r="A677" s="35" t="str">
        <x:v>gemini</x:v>
      </x:c>
      <x:c r="B677" s="35" t="str">
        <x:v>Lang</x:v>
      </x:c>
      <x:c r="C677" s="35" t="str">
        <x:v>Round1</x:v>
      </x:c>
      <x:c r="D677" s="35" t="str">
        <x:v>Lang_60</x:v>
      </x:c>
      <x:c r="E677" s="35" t="str">
        <x:v>Line</x:v>
      </x:c>
      <x:c r="F677" s="35" t="n">
        <x:v>656</x:v>
      </x:c>
      <x:c r="G677" s="35" t="str">
        <x:v>RECORDED</x:v>
      </x:c>
      <x:c r="H677" s="39" t="n">
        <x:f>IF(ISNUMBER('Data'!E677),'Data'!E677*100,"")</x:f>
        <x:v>6.860000000000001</x:v>
      </x:c>
      <x:c r="I677" s="35" t="str">
        <x:v>PASS</x:v>
      </x:c>
      <x:c r="J677" s="35" t="str">
        <x:v>PASS</x:v>
      </x:c>
      <x:c r="K677" s="35" t="str">
        <x:v>PASS</x:v>
      </x:c>
      <x:c r="L677" s="35" t="str">
        <x:v>PASS</x:v>
      </x:c>
      <x:c r="M677" s="35" t="str">
        <x:v>numeric coverage for applicable metric</x:v>
      </x:c>
      <x:c r="N677" s="35" t="str">
        <x:v>Gemini-3.8-flash/Result/Lang_60/result.json</x:v>
      </x:c>
      <x:c r="O677" s="39" t="n">
        <x:f>IF(AND(G677="RECORDED",ISNUMBER(H677)),H677,"")</x:f>
        <x:v>6.860000000000001</x:v>
      </x:c>
      <x:c r="P677" s="35" t="str">
        <x:v>NOT_REVEALING</x:v>
      </x:c>
      <x:c r="Q677" s="35" t="str">
        <x:v>Gemini-3.8-flash/Result/Lang_60/result.json</x:v>
      </x:c>
    </x:row>
    <x:row r="678">
      <x:c r="A678" s="35" t="str">
        <x:v>gemini</x:v>
      </x:c>
      <x:c r="B678" s="35" t="str">
        <x:v>Lang</x:v>
      </x:c>
      <x:c r="C678" s="35" t="str">
        <x:v>Round1</x:v>
      </x:c>
      <x:c r="D678" s="35" t="str">
        <x:v>Lang_61</x:v>
      </x:c>
      <x:c r="E678" s="35" t="str">
        <x:v>Line</x:v>
      </x:c>
      <x:c r="F678" s="35" t="n">
        <x:v>656</x:v>
      </x:c>
      <x:c r="G678" s="35" t="str">
        <x:v>RECORDED</x:v>
      </x:c>
      <x:c r="H678" s="39" t="n">
        <x:f>IF(ISNUMBER('Data'!E678),'Data'!E678*100,"")</x:f>
        <x:v>6.860000000000001</x:v>
      </x:c>
      <x:c r="I678" s="35" t="str">
        <x:v>PASS</x:v>
      </x:c>
      <x:c r="J678" s="35" t="str">
        <x:v>PASS</x:v>
      </x:c>
      <x:c r="K678" s="35" t="str">
        <x:v>PASS</x:v>
      </x:c>
      <x:c r="L678" s="35" t="str">
        <x:v>PASS</x:v>
      </x:c>
      <x:c r="M678" s="35" t="str">
        <x:v>numeric coverage for applicable metric</x:v>
      </x:c>
      <x:c r="N678" s="35" t="str">
        <x:v>Gemini-3.8-flash/Result/Lang_61/result.json</x:v>
      </x:c>
      <x:c r="O678" s="39" t="n">
        <x:f>IF(AND(G678="RECORDED",ISNUMBER(H678)),H678,"")</x:f>
        <x:v>6.860000000000001</x:v>
      </x:c>
      <x:c r="P678" s="35" t="str">
        <x:v>NOT_REVEALING</x:v>
      </x:c>
      <x:c r="Q678" s="35" t="str">
        <x:v>Gemini-3.8-flash/Result/Lang_61/result.json</x:v>
      </x:c>
    </x:row>
    <x:row r="679">
      <x:c r="A679" s="35" t="str">
        <x:v>gemini</x:v>
      </x:c>
      <x:c r="B679" s="35" t="str">
        <x:v>Lang</x:v>
      </x:c>
      <x:c r="C679" s="35" t="str">
        <x:v>Round1</x:v>
      </x:c>
      <x:c r="D679" s="35" t="str">
        <x:v>Lang_62</x:v>
      </x:c>
      <x:c r="E679" s="35" t="str">
        <x:v>Line</x:v>
      </x:c>
      <x:c r="F679" s="35" t="n">
        <x:v>241</x:v>
      </x:c>
      <x:c r="G679" s="35" t="str">
        <x:v>RECORDED</x:v>
      </x:c>
      <x:c r="H679" s="39" t="n">
        <x:f>IF(ISNUMBER('Data'!E679),'Data'!E679*100,"")</x:f>
        <x:v>32.78</x:v>
      </x:c>
      <x:c r="I679" s="35" t="str">
        <x:v>PASS</x:v>
      </x:c>
      <x:c r="J679" s="35" t="str">
        <x:v>PASS</x:v>
      </x:c>
      <x:c r="K679" s="35" t="str">
        <x:v>PASS</x:v>
      </x:c>
      <x:c r="L679" s="35" t="str">
        <x:v>PASS</x:v>
      </x:c>
      <x:c r="M679" s="35" t="str">
        <x:v>numeric coverage for applicable metric</x:v>
      </x:c>
      <x:c r="N679" s="35" t="str">
        <x:v>Gemini-3.8-flash/Result/Lang_62/result.json</x:v>
      </x:c>
      <x:c r="O679" s="39" t="n">
        <x:f>IF(AND(G679="RECORDED",ISNUMBER(H679)),H679,"")</x:f>
        <x:v>32.78</x:v>
      </x:c>
      <x:c r="P679" s="35" t="str">
        <x:v>NOT_REVEALING</x:v>
      </x:c>
      <x:c r="Q679" s="35" t="str">
        <x:v>Gemini-3.8-flash/Result/Lang_62/result.json</x:v>
      </x:c>
    </x:row>
    <x:row r="680">
      <x:c r="A680" s="35" t="str">
        <x:v>gemini</x:v>
      </x:c>
      <x:c r="B680" s="35" t="str">
        <x:v>Lang</x:v>
      </x:c>
      <x:c r="C680" s="35" t="str">
        <x:v>Round1</x:v>
      </x:c>
      <x:c r="D680" s="35" t="str">
        <x:v>Lang_63</x:v>
      </x:c>
      <x:c r="E680" s="35" t="str">
        <x:v>Line</x:v>
      </x:c>
      <x:c r="F680" s="35" t="n">
        <x:v>252</x:v>
      </x:c>
      <x:c r="G680" s="35" t="str">
        <x:v>RECORDED</x:v>
      </x:c>
      <x:c r="H680" s="39" t="n">
        <x:f>IF(ISNUMBER('Data'!E680),'Data'!E680*100,"")</x:f>
        <x:v>53.17000000000001</x:v>
      </x:c>
      <x:c r="I680" s="35" t="str">
        <x:v>PASS</x:v>
      </x:c>
      <x:c r="J680" s="35" t="str">
        <x:v>PASS</x:v>
      </x:c>
      <x:c r="K680" s="35" t="str">
        <x:v>PASS</x:v>
      </x:c>
      <x:c r="L680" s="35" t="str">
        <x:v>PASS</x:v>
      </x:c>
      <x:c r="M680" s="35" t="str">
        <x:v>numeric coverage for applicable metric</x:v>
      </x:c>
      <x:c r="N680" s="35" t="str">
        <x:v>Gemini-3.8-flash/Result/Lang_63/result.json</x:v>
      </x:c>
      <x:c r="O680" s="39" t="n">
        <x:f>IF(AND(G680="RECORDED",ISNUMBER(H680)),H680,"")</x:f>
        <x:v>53.17000000000001</x:v>
      </x:c>
      <x:c r="P680" s="35" t="str">
        <x:v>NOT_REVEALING</x:v>
      </x:c>
      <x:c r="Q680" s="35" t="str">
        <x:v>Gemini-3.8-flash/Result/Lang_63/result.json</x:v>
      </x:c>
    </x:row>
    <x:row r="681">
      <x:c r="A681" s="35" t="str">
        <x:v>gemini</x:v>
      </x:c>
      <x:c r="B681" s="35" t="str">
        <x:v>Lang</x:v>
      </x:c>
      <x:c r="C681" s="35" t="str">
        <x:v>Round1</x:v>
      </x:c>
      <x:c r="D681" s="35" t="str">
        <x:v>Lang_64</x:v>
      </x:c>
      <x:c r="E681" s="35" t="str">
        <x:v>Line</x:v>
      </x:c>
      <x:c r="F681" s="35" t="n">
        <x:v>18</x:v>
      </x:c>
      <x:c r="G681" s="35" t="str">
        <x:v>RECORDED</x:v>
      </x:c>
      <x:c r="H681" s="39" t="n">
        <x:f>IF(ISNUMBER('Data'!E681),'Data'!E681*100,"")</x:f>
        <x:v>66.67</x:v>
      </x:c>
      <x:c r="I681" s="35" t="str">
        <x:v>PASS</x:v>
      </x:c>
      <x:c r="J681" s="35" t="str">
        <x:v>PASS</x:v>
      </x:c>
      <x:c r="K681" s="35" t="str">
        <x:v>PASS</x:v>
      </x:c>
      <x:c r="L681" s="35" t="str">
        <x:v>PASS</x:v>
      </x:c>
      <x:c r="M681" s="35" t="str">
        <x:v>numeric coverage for applicable metric</x:v>
      </x:c>
      <x:c r="N681" s="35" t="str">
        <x:v>Gemini-3.8-flash/Result/Lang_64/result.json</x:v>
      </x:c>
      <x:c r="O681" s="39" t="n">
        <x:f>IF(AND(G681="RECORDED",ISNUMBER(H681)),H681,"")</x:f>
        <x:v>66.67</x:v>
      </x:c>
      <x:c r="P681" s="35" t="str">
        <x:v>NOT_REVEALING</x:v>
      </x:c>
      <x:c r="Q681" s="35" t="str">
        <x:v>Gemini-3.8-flash/Result/Lang_64/result.json</x:v>
      </x:c>
    </x:row>
    <x:row r="682">
      <x:c r="A682" s="35" t="str">
        <x:v>gemini</x:v>
      </x:c>
      <x:c r="B682" s="35" t="str">
        <x:v>Lang</x:v>
      </x:c>
      <x:c r="C682" s="35" t="str">
        <x:v>Round1</x:v>
      </x:c>
      <x:c r="D682" s="35" t="str">
        <x:v>Lang_65</x:v>
      </x:c>
      <x:c r="E682" s="35" t="str">
        <x:v>Line</x:v>
      </x:c>
      <x:c r="F682" s="35" t="n">
        <x:v>195</x:v>
      </x:c>
      <x:c r="G682" s="35" t="str">
        <x:v>RECORDED</x:v>
      </x:c>
      <x:c r="H682" s="39" t="n">
        <x:f>IF(ISNUMBER('Data'!E682),'Data'!E682*100,"")</x:f>
        <x:v>26.150000000000002</x:v>
      </x:c>
      <x:c r="I682" s="35" t="str">
        <x:v>PASS</x:v>
      </x:c>
      <x:c r="J682" s="35" t="str">
        <x:v>PASS</x:v>
      </x:c>
      <x:c r="K682" s="35" t="str">
        <x:v>PASS</x:v>
      </x:c>
      <x:c r="L682" s="35" t="str">
        <x:v>PASS</x:v>
      </x:c>
      <x:c r="M682" s="35" t="str">
        <x:v>numeric coverage for applicable metric</x:v>
      </x:c>
      <x:c r="N682" s="35" t="str">
        <x:v>Gemini-3.8-flash/Result/Lang_65/result.json</x:v>
      </x:c>
      <x:c r="O682" s="39" t="n">
        <x:f>IF(AND(G682="RECORDED",ISNUMBER(H682)),H682,"")</x:f>
        <x:v>26.150000000000002</x:v>
      </x:c>
      <x:c r="P682" s="35" t="str">
        <x:v>NOT_REVEALING</x:v>
      </x:c>
      <x:c r="Q682" s="35" t="str">
        <x:v>Gemini-3.8-flash/Result/Lang_65/result.json</x:v>
      </x:c>
    </x:row>
    <x:row r="683">
      <x:c r="A683" s="35" t="str">
        <x:v>gemini</x:v>
      </x:c>
      <x:c r="B683" s="35" t="str">
        <x:v>Lang</x:v>
      </x:c>
      <x:c r="C683" s="35" t="str">
        <x:v>Round1</x:v>
      </x:c>
      <x:c r="D683" s="35" t="str">
        <x:v>Lang_7</x:v>
      </x:c>
      <x:c r="E683" s="35" t="str">
        <x:v>Line</x:v>
      </x:c>
      <x:c r="F683" s="35" t="n">
        <x:v>380</x:v>
      </x:c>
      <x:c r="G683" s="35" t="str">
        <x:v>RECORDED</x:v>
      </x:c>
      <x:c r="H683" s="39" t="n">
        <x:f>IF(ISNUMBER('Data'!E683),'Data'!E683*100,"")</x:f>
        <x:v>95.53</x:v>
      </x:c>
      <x:c r="I683" s="35" t="str">
        <x:v>PASS</x:v>
      </x:c>
      <x:c r="J683" s="35" t="str">
        <x:v>PASS</x:v>
      </x:c>
      <x:c r="K683" s="35" t="str">
        <x:v>PASS</x:v>
      </x:c>
      <x:c r="L683" s="35" t="str">
        <x:v>FAIL</x:v>
      </x:c>
      <x:c r="M683" s="35" t="str">
        <x:v>numeric coverage for applicable metric</x:v>
      </x:c>
      <x:c r="N683" s="35" t="str">
        <x:v>Gemini-3.8-flash/Result/Lang_7/result.json</x:v>
      </x:c>
      <x:c r="O683" s="39" t="n">
        <x:f>IF(AND(G683="RECORDED",ISNUMBER(H683)),H683,"")</x:f>
        <x:v>95.53</x:v>
      </x:c>
      <x:c r="P683" s="35" t="str">
        <x:v>INCONCLUSIVE</x:v>
      </x:c>
      <x:c r="Q683" s="35" t="str">
        <x:v>Gemini-3.8-flash/Result/Lang_7/result.json</x:v>
      </x:c>
    </x:row>
    <x:row r="684">
      <x:c r="A684" s="35" t="str">
        <x:v>gemini</x:v>
      </x:c>
      <x:c r="B684" s="35" t="str">
        <x:v>Lang</x:v>
      </x:c>
      <x:c r="C684" s="35" t="str">
        <x:v>Round1</x:v>
      </x:c>
      <x:c r="D684" s="35" t="str">
        <x:v>Lang_8</x:v>
      </x:c>
      <x:c r="E684" s="35" t="str">
        <x:v>Line</x:v>
      </x:c>
      <x:c r="F684" s="35" t="n">
        <x:v>337</x:v>
      </x:c>
      <x:c r="G684" s="35" t="str">
        <x:v>RECORDED</x:v>
      </x:c>
      <x:c r="H684" s="39" t="n">
        <x:f>IF(ISNUMBER('Data'!E684),'Data'!E684*100,"")</x:f>
        <x:v>97.33</x:v>
      </x:c>
      <x:c r="I684" s="35" t="str">
        <x:v>PASS</x:v>
      </x:c>
      <x:c r="J684" s="35" t="str">
        <x:v>PASS</x:v>
      </x:c>
      <x:c r="K684" s="35" t="str">
        <x:v>PASS</x:v>
      </x:c>
      <x:c r="L684" s="35" t="str">
        <x:v>FAIL</x:v>
      </x:c>
      <x:c r="M684" s="35" t="str">
        <x:v>numeric coverage for applicable metric</x:v>
      </x:c>
      <x:c r="N684" s="35" t="str">
        <x:v>Gemini-3.8-flash/Result/Lang_8/result.json</x:v>
      </x:c>
      <x:c r="O684" s="39" t="n">
        <x:f>IF(AND(G684="RECORDED",ISNUMBER(H684)),H684,"")</x:f>
        <x:v>97.33</x:v>
      </x:c>
      <x:c r="P684" s="35" t="str">
        <x:v>INCONCLUSIVE</x:v>
      </x:c>
      <x:c r="Q684" s="35" t="str">
        <x:v>Gemini-3.8-flash/Result/Lang_8/result.json</x:v>
      </x:c>
    </x:row>
    <x:row r="685">
      <x:c r="A685" s="35" t="str">
        <x:v>gemini</x:v>
      </x:c>
      <x:c r="B685" s="35" t="str">
        <x:v>Lang</x:v>
      </x:c>
      <x:c r="C685" s="35" t="str">
        <x:v>Round1</x:v>
      </x:c>
      <x:c r="D685" s="35" t="str">
        <x:v>Lang_9</x:v>
      </x:c>
      <x:c r="E685" s="35" t="str">
        <x:v>Line</x:v>
      </x:c>
      <x:c r="F685" s="35"/>
      <x:c r="G685" s="35" t="str">
        <x:v>A</x:v>
      </x:c>
      <x:c r="H685" s="39" t="str">
        <x:f>IF(ISNUMBER('Data'!E685),'Data'!E685*100,"")</x:f>
      </x:c>
      <x:c r="I685" s="35"/>
      <x:c r="J685" s="35" t="str">
        <x:v>PASS</x:v>
      </x:c>
      <x:c r="K685" s="35" t="str">
        <x:v>FAIL</x:v>
      </x:c>
      <x:c r="L685" s="35" t="str">
        <x:v>NOT_RUN</x:v>
      </x:c>
      <x:c r="M685" s="35" t="str">
        <x:v>coverage unavailable or execution/compile failed</x:v>
      </x:c>
      <x:c r="N685" s="35" t="str">
        <x:v>Gemini-3.8-flash/Result/Lang_9/result.json</x:v>
      </x:c>
      <x:c r="O685" s="39" t="str">
        <x:f>IF(AND(G685="RECORDED",ISNUMBER(H685)),H685,"")</x:f>
      </x:c>
      <x:c r="P685" s="35" t="str">
        <x:v>NOT_AVAILABLE</x:v>
      </x:c>
      <x:c r="Q685" s="35" t="str">
        <x:v>Gemini-3.8-flash/Result/Lang_9/result.json</x:v>
      </x:c>
    </x:row>
    <x:row r="686">
      <x:c r="A686" s="35" t="str">
        <x:v>gemini</x:v>
      </x:c>
      <x:c r="B686" s="35" t="str">
        <x:v>Math</x:v>
      </x:c>
      <x:c r="C686" s="35" t="str">
        <x:v>Round1</x:v>
      </x:c>
      <x:c r="D686" s="35" t="str">
        <x:v>Math_1</x:v>
      </x:c>
      <x:c r="E686" s="35" t="str">
        <x:v>Line</x:v>
      </x:c>
      <x:c r="F686" s="35" t="n">
        <x:v>425</x:v>
      </x:c>
      <x:c r="G686" s="35" t="str">
        <x:v>RECORDED</x:v>
      </x:c>
      <x:c r="H686" s="39" t="n">
        <x:f>IF(ISNUMBER('Data'!E686),'Data'!E686*100,"")</x:f>
        <x:v>37.18</x:v>
      </x:c>
      <x:c r="I686" s="35" t="str">
        <x:v>PASS</x:v>
      </x:c>
      <x:c r="J686" s="35" t="str">
        <x:v>PASS</x:v>
      </x:c>
      <x:c r="K686" s="35" t="str">
        <x:v>PASS</x:v>
      </x:c>
      <x:c r="L686" s="35" t="str">
        <x:v>PASS</x:v>
      </x:c>
      <x:c r="M686" s="35" t="str">
        <x:v>numeric coverage for applicable metric</x:v>
      </x:c>
      <x:c r="N686" s="35" t="str">
        <x:v>Gemini-3.8-flash/Result/Math_1/result.json</x:v>
      </x:c>
      <x:c r="O686" s="39" t="n">
        <x:f>IF(AND(G686="RECORDED",ISNUMBER(H686)),H686,"")</x:f>
        <x:v>37.18</x:v>
      </x:c>
      <x:c r="P686" s="35" t="str">
        <x:v>NOT_REVEALING</x:v>
      </x:c>
      <x:c r="Q686" s="35" t="str">
        <x:v>Gemini-3.8-flash/Result/Math_1/result.json</x:v>
      </x:c>
    </x:row>
    <x:row r="687">
      <x:c r="A687" s="35" t="str">
        <x:v>gemini</x:v>
      </x:c>
      <x:c r="B687" s="35" t="str">
        <x:v>Math</x:v>
      </x:c>
      <x:c r="C687" s="35" t="str">
        <x:v>Round1</x:v>
      </x:c>
      <x:c r="D687" s="35" t="str">
        <x:v>Math_10</x:v>
      </x:c>
      <x:c r="E687" s="35" t="str">
        <x:v>Line</x:v>
      </x:c>
      <x:c r="F687" s="35" t="n">
        <x:v>553</x:v>
      </x:c>
      <x:c r="G687" s="35" t="str">
        <x:v>RECORDED</x:v>
      </x:c>
      <x:c r="H687" s="39" t="n">
        <x:f>IF(ISNUMBER('Data'!E687),'Data'!E687*100,"")</x:f>
        <x:v>0.18</x:v>
      </x:c>
      <x:c r="I687" s="35" t="str">
        <x:v>PASS</x:v>
      </x:c>
      <x:c r="J687" s="35" t="str">
        <x:v>PASS</x:v>
      </x:c>
      <x:c r="K687" s="35" t="str">
        <x:v>PASS</x:v>
      </x:c>
      <x:c r="L687" s="35" t="str">
        <x:v>PASS</x:v>
      </x:c>
      <x:c r="M687" s="35" t="str">
        <x:v>numeric coverage for applicable metric</x:v>
      </x:c>
      <x:c r="N687" s="35" t="str">
        <x:v>Gemini-3.8-flash/Result/Math_10/result.json</x:v>
      </x:c>
      <x:c r="O687" s="39" t="n">
        <x:f>IF(AND(G687="RECORDED",ISNUMBER(H687)),H687,"")</x:f>
        <x:v>0.18</x:v>
      </x:c>
      <x:c r="P687" s="35" t="str">
        <x:v>NOT_REVEALING</x:v>
      </x:c>
      <x:c r="Q687" s="35" t="str">
        <x:v>Gemini-3.8-flash/Result/Math_10/result.json</x:v>
      </x:c>
    </x:row>
    <x:row r="688">
      <x:c r="A688" s="35" t="str">
        <x:v>gemini</x:v>
      </x:c>
      <x:c r="B688" s="35" t="str">
        <x:v>Math</x:v>
      </x:c>
      <x:c r="C688" s="35" t="str">
        <x:v>Round1</x:v>
      </x:c>
      <x:c r="D688" s="35" t="str">
        <x:v>Math_100</x:v>
      </x:c>
      <x:c r="E688" s="35" t="str">
        <x:v>Line</x:v>
      </x:c>
      <x:c r="F688" s="35" t="n">
        <x:v>73</x:v>
      </x:c>
      <x:c r="G688" s="35" t="str">
        <x:v>RECORDED</x:v>
      </x:c>
      <x:c r="H688" s="39" t="n">
        <x:f>IF(ISNUMBER('Data'!E688),'Data'!E688*100,"")</x:f>
        <x:v>0</x:v>
      </x:c>
      <x:c r="I688" s="35" t="str">
        <x:v>PASS</x:v>
      </x:c>
      <x:c r="J688" s="35" t="str">
        <x:v>PASS</x:v>
      </x:c>
      <x:c r="K688" s="35" t="str">
        <x:v>PASS</x:v>
      </x:c>
      <x:c r="L688" s="35" t="str">
        <x:v>PASS</x:v>
      </x:c>
      <x:c r="M688" s="35" t="str">
        <x:v>numeric coverage for applicable metric</x:v>
      </x:c>
      <x:c r="N688" s="35" t="str">
        <x:v>Gemini-3.8-flash/Result/Math_100/result.json</x:v>
      </x:c>
      <x:c r="O688" s="39" t="n">
        <x:f>IF(AND(G688="RECORDED",ISNUMBER(H688)),H688,"")</x:f>
        <x:v>0</x:v>
      </x:c>
      <x:c r="P688" s="35" t="str">
        <x:v>NOT_REVEALING</x:v>
      </x:c>
      <x:c r="Q688" s="35" t="str">
        <x:v>Gemini-3.8-flash/Result/Math_100/result.json</x:v>
      </x:c>
    </x:row>
    <x:row r="689">
      <x:c r="A689" s="35" t="str">
        <x:v>gemini</x:v>
      </x:c>
      <x:c r="B689" s="35" t="str">
        <x:v>Math</x:v>
      </x:c>
      <x:c r="C689" s="35" t="str">
        <x:v>Round1</x:v>
      </x:c>
      <x:c r="D689" s="35" t="str">
        <x:v>Math_101</x:v>
      </x:c>
      <x:c r="E689" s="35" t="str">
        <x:v>Line</x:v>
      </x:c>
      <x:c r="F689" s="35" t="n">
        <x:v>143</x:v>
      </x:c>
      <x:c r="G689" s="35" t="str">
        <x:v>RECORDED</x:v>
      </x:c>
      <x:c r="H689" s="39" t="n">
        <x:f>IF(ISNUMBER('Data'!E689),'Data'!E689*100,"")</x:f>
        <x:v>0</x:v>
      </x:c>
      <x:c r="I689" s="35" t="str">
        <x:v>PASS</x:v>
      </x:c>
      <x:c r="J689" s="35" t="str">
        <x:v>PASS</x:v>
      </x:c>
      <x:c r="K689" s="35" t="str">
        <x:v>PASS</x:v>
      </x:c>
      <x:c r="L689" s="35" t="str">
        <x:v>PASS</x:v>
      </x:c>
      <x:c r="M689" s="35" t="str">
        <x:v>numeric coverage for applicable metric</x:v>
      </x:c>
      <x:c r="N689" s="35" t="str">
        <x:v>Gemini-3.8-flash/Result/Math_101/result.json</x:v>
      </x:c>
      <x:c r="O689" s="39" t="n">
        <x:f>IF(AND(G689="RECORDED",ISNUMBER(H689)),H689,"")</x:f>
        <x:v>0</x:v>
      </x:c>
      <x:c r="P689" s="35" t="str">
        <x:v>NOT_REVEALING</x:v>
      </x:c>
      <x:c r="Q689" s="35" t="str">
        <x:v>Gemini-3.8-flash/Result/Math_101/result.json</x:v>
      </x:c>
    </x:row>
    <x:row r="690">
      <x:c r="A690" s="35" t="str">
        <x:v>gemini</x:v>
      </x:c>
      <x:c r="B690" s="35" t="str">
        <x:v>Math</x:v>
      </x:c>
      <x:c r="C690" s="35" t="str">
        <x:v>Round1</x:v>
      </x:c>
      <x:c r="D690" s="35" t="str">
        <x:v>Math_102</x:v>
      </x:c>
      <x:c r="E690" s="35" t="str">
        <x:v>Line</x:v>
      </x:c>
      <x:c r="F690" s="35" t="n">
        <x:v>111</x:v>
      </x:c>
      <x:c r="G690" s="35" t="str">
        <x:v>RECORDED</x:v>
      </x:c>
      <x:c r="H690" s="39" t="n">
        <x:f>IF(ISNUMBER('Data'!E690),'Data'!E690*100,"")</x:f>
        <x:v>0</x:v>
      </x:c>
      <x:c r="I690" s="35" t="str">
        <x:v>PASS</x:v>
      </x:c>
      <x:c r="J690" s="35" t="str">
        <x:v>PASS</x:v>
      </x:c>
      <x:c r="K690" s="35" t="str">
        <x:v>PASS</x:v>
      </x:c>
      <x:c r="L690" s="35" t="str">
        <x:v>PASS</x:v>
      </x:c>
      <x:c r="M690" s="35" t="str">
        <x:v>numeric coverage for applicable metric</x:v>
      </x:c>
      <x:c r="N690" s="35" t="str">
        <x:v>Gemini-3.8-flash/Result/Math_102/result.json</x:v>
      </x:c>
      <x:c r="O690" s="39" t="n">
        <x:f>IF(AND(G690="RECORDED",ISNUMBER(H690)),H690,"")</x:f>
        <x:v>0</x:v>
      </x:c>
      <x:c r="P690" s="35" t="str">
        <x:v>NOT_REVEALING</x:v>
      </x:c>
      <x:c r="Q690" s="35" t="str">
        <x:v>Gemini-3.8-flash/Result/Math_102/result.json</x:v>
      </x:c>
    </x:row>
    <x:row r="691">
      <x:c r="A691" s="35" t="str">
        <x:v>gemini</x:v>
      </x:c>
      <x:c r="B691" s="35" t="str">
        <x:v>Math</x:v>
      </x:c>
      <x:c r="C691" s="35" t="str">
        <x:v>Round1</x:v>
      </x:c>
      <x:c r="D691" s="35" t="str">
        <x:v>Math_103</x:v>
      </x:c>
      <x:c r="E691" s="35" t="str">
        <x:v>Line</x:v>
      </x:c>
      <x:c r="F691" s="35"/>
      <x:c r="G691" s="35" t="str">
        <x:v>A</x:v>
      </x:c>
      <x:c r="H691" s="39" t="str">
        <x:f>IF(ISNUMBER('Data'!E691),'Data'!E691*100,"")</x:f>
      </x:c>
      <x:c r="I691" s="35"/>
      <x:c r="J691" s="35" t="str">
        <x:v>PASS</x:v>
      </x:c>
      <x:c r="K691" s="35" t="str">
        <x:v>FAIL</x:v>
      </x:c>
      <x:c r="L691" s="35" t="str">
        <x:v>NOT_RUN</x:v>
      </x:c>
      <x:c r="M691" s="35" t="str">
        <x:v>coverage unavailable or execution/compile failed</x:v>
      </x:c>
      <x:c r="N691" s="35" t="str">
        <x:v>Gemini-3.8-flash/Result/Math_103/result.json</x:v>
      </x:c>
      <x:c r="O691" s="39" t="str">
        <x:f>IF(AND(G691="RECORDED",ISNUMBER(H691)),H691,"")</x:f>
      </x:c>
      <x:c r="P691" s="35" t="str">
        <x:v>NOT_AVAILABLE</x:v>
      </x:c>
      <x:c r="Q691" s="35" t="str">
        <x:v>Gemini-3.8-flash/Result/Math_103/result.json</x:v>
      </x:c>
    </x:row>
    <x:row r="692">
      <x:c r="A692" s="35" t="str">
        <x:v>gemini</x:v>
      </x:c>
      <x:c r="B692" s="35" t="str">
        <x:v>Math</x:v>
      </x:c>
      <x:c r="C692" s="35" t="str">
        <x:v>Round1</x:v>
      </x:c>
      <x:c r="D692" s="35" t="str">
        <x:v>Math_104</x:v>
      </x:c>
      <x:c r="E692" s="35" t="str">
        <x:v>Line</x:v>
      </x:c>
      <x:c r="F692" s="35" t="n">
        <x:v>47</x:v>
      </x:c>
      <x:c r="G692" s="35" t="str">
        <x:v>RECORDED</x:v>
      </x:c>
      <x:c r="H692" s="39" t="n">
        <x:f>IF(ISNUMBER('Data'!E692),'Data'!E692*100,"")</x:f>
        <x:v>76.6</x:v>
      </x:c>
      <x:c r="I692" s="35" t="str">
        <x:v>PASS</x:v>
      </x:c>
      <x:c r="J692" s="35" t="str">
        <x:v>PASS</x:v>
      </x:c>
      <x:c r="K692" s="35" t="str">
        <x:v>PASS</x:v>
      </x:c>
      <x:c r="L692" s="35" t="str">
        <x:v>PASS</x:v>
      </x:c>
      <x:c r="M692" s="35" t="str">
        <x:v>numeric coverage for applicable metric</x:v>
      </x:c>
      <x:c r="N692" s="35" t="str">
        <x:v>Gemini-3.8-flash/Result/Math_104/result.json</x:v>
      </x:c>
      <x:c r="O692" s="39" t="n">
        <x:f>IF(AND(G692="RECORDED",ISNUMBER(H692)),H692,"")</x:f>
        <x:v>76.6</x:v>
      </x:c>
      <x:c r="P692" s="35" t="str">
        <x:v>NOT_REVEALING</x:v>
      </x:c>
      <x:c r="Q692" s="35" t="str">
        <x:v>Gemini-3.8-flash/Result/Math_104/result.json</x:v>
      </x:c>
    </x:row>
    <x:row r="693">
      <x:c r="A693" s="35" t="str">
        <x:v>gemini</x:v>
      </x:c>
      <x:c r="B693" s="35" t="str">
        <x:v>Math</x:v>
      </x:c>
      <x:c r="C693" s="35" t="str">
        <x:v>Round1</x:v>
      </x:c>
      <x:c r="D693" s="35" t="str">
        <x:v>Math_105</x:v>
      </x:c>
      <x:c r="E693" s="35" t="str">
        <x:v>Line</x:v>
      </x:c>
      <x:c r="F693" s="35" t="n">
        <x:v>71</x:v>
      </x:c>
      <x:c r="G693" s="35" t="str">
        <x:v>RECORDED</x:v>
      </x:c>
      <x:c r="H693" s="39" t="n">
        <x:f>IF(ISNUMBER('Data'!E693),'Data'!E693*100,"")</x:f>
        <x:v>73.24</x:v>
      </x:c>
      <x:c r="I693" s="35" t="str">
        <x:v>PASS</x:v>
      </x:c>
      <x:c r="J693" s="35" t="str">
        <x:v>PASS</x:v>
      </x:c>
      <x:c r="K693" s="35" t="str">
        <x:v>PASS</x:v>
      </x:c>
      <x:c r="L693" s="35" t="str">
        <x:v>PASS</x:v>
      </x:c>
      <x:c r="M693" s="35" t="str">
        <x:v>numeric coverage for applicable metric</x:v>
      </x:c>
      <x:c r="N693" s="35" t="str">
        <x:v>Gemini-3.8-flash/Result/Math_105/result.json</x:v>
      </x:c>
      <x:c r="O693" s="39" t="n">
        <x:f>IF(AND(G693="RECORDED",ISNUMBER(H693)),H693,"")</x:f>
        <x:v>73.24</x:v>
      </x:c>
      <x:c r="P693" s="35" t="str">
        <x:v>NOT_REVEALING</x:v>
      </x:c>
      <x:c r="Q693" s="35" t="str">
        <x:v>Gemini-3.8-flash/Result/Math_105/result.json</x:v>
      </x:c>
    </x:row>
    <x:row r="694">
      <x:c r="A694" s="35" t="str">
        <x:v>gemini</x:v>
      </x:c>
      <x:c r="B694" s="35" t="str">
        <x:v>Math</x:v>
      </x:c>
      <x:c r="C694" s="35" t="str">
        <x:v>Round1</x:v>
      </x:c>
      <x:c r="D694" s="35" t="str">
        <x:v>Math_106</x:v>
      </x:c>
      <x:c r="E694" s="35" t="str">
        <x:v>Line</x:v>
      </x:c>
      <x:c r="F694" s="35" t="n">
        <x:v>57</x:v>
      </x:c>
      <x:c r="G694" s="35" t="str">
        <x:v>RECORDED</x:v>
      </x:c>
      <x:c r="H694" s="39" t="n">
        <x:f>IF(ISNUMBER('Data'!E694),'Data'!E694*100,"")</x:f>
        <x:v>80.7</x:v>
      </x:c>
      <x:c r="I694" s="35" t="str">
        <x:v>PASS</x:v>
      </x:c>
      <x:c r="J694" s="35" t="str">
        <x:v>PASS</x:v>
      </x:c>
      <x:c r="K694" s="35" t="str">
        <x:v>PASS</x:v>
      </x:c>
      <x:c r="L694" s="35" t="str">
        <x:v>PASS</x:v>
      </x:c>
      <x:c r="M694" s="35" t="str">
        <x:v>numeric coverage for applicable metric</x:v>
      </x:c>
      <x:c r="N694" s="35" t="str">
        <x:v>Gemini-3.8-flash/Result/Math_106/result.json</x:v>
      </x:c>
      <x:c r="O694" s="39" t="n">
        <x:f>IF(AND(G694="RECORDED",ISNUMBER(H694)),H694,"")</x:f>
        <x:v>80.7</x:v>
      </x:c>
      <x:c r="P694" s="35" t="str">
        <x:v>NOT_REVEALING</x:v>
      </x:c>
      <x:c r="Q694" s="35" t="str">
        <x:v>Gemini-3.8-flash/Result/Math_106/result.json</x:v>
      </x:c>
    </x:row>
    <x:row r="695">
      <x:c r="A695" s="35" t="str">
        <x:v>gemini</x:v>
      </x:c>
      <x:c r="B695" s="35" t="str">
        <x:v>Math</x:v>
      </x:c>
      <x:c r="C695" s="35" t="str">
        <x:v>Round1</x:v>
      </x:c>
      <x:c r="D695" s="35" t="str">
        <x:v>Math_11</x:v>
      </x:c>
      <x:c r="E695" s="35" t="str">
        <x:v>Line</x:v>
      </x:c>
      <x:c r="F695" s="35" t="n">
        <x:v>59</x:v>
      </x:c>
      <x:c r="G695" s="35" t="str">
        <x:v>RECORDED</x:v>
      </x:c>
      <x:c r="H695" s="39" t="n">
        <x:f>IF(ISNUMBER('Data'!E695),'Data'!E695*100,"")</x:f>
        <x:v>0</x:v>
      </x:c>
      <x:c r="I695" s="35" t="str">
        <x:v>PASS</x:v>
      </x:c>
      <x:c r="J695" s="35" t="str">
        <x:v>PASS</x:v>
      </x:c>
      <x:c r="K695" s="35" t="str">
        <x:v>PASS</x:v>
      </x:c>
      <x:c r="L695" s="35" t="str">
        <x:v>PASS</x:v>
      </x:c>
      <x:c r="M695" s="35" t="str">
        <x:v>numeric coverage for applicable metric</x:v>
      </x:c>
      <x:c r="N695" s="35" t="str">
        <x:v>Gemini-3.8-flash/Result/Math_11/result.json</x:v>
      </x:c>
      <x:c r="O695" s="39" t="n">
        <x:f>IF(AND(G695="RECORDED",ISNUMBER(H695)),H695,"")</x:f>
        <x:v>0</x:v>
      </x:c>
      <x:c r="P695" s="35" t="str">
        <x:v>NOT_REVEALING</x:v>
      </x:c>
      <x:c r="Q695" s="35" t="str">
        <x:v>Gemini-3.8-flash/Result/Math_11/result.json</x:v>
      </x:c>
    </x:row>
    <x:row r="696">
      <x:c r="A696" s="35" t="str">
        <x:v>gemini</x:v>
      </x:c>
      <x:c r="B696" s="35" t="str">
        <x:v>Math</x:v>
      </x:c>
      <x:c r="C696" s="35" t="str">
        <x:v>Round1</x:v>
      </x:c>
      <x:c r="D696" s="35" t="str">
        <x:v>Math_12</x:v>
      </x:c>
      <x:c r="E696" s="35" t="str">
        <x:v>Line</x:v>
      </x:c>
      <x:c r="F696" s="35" t="n">
        <x:v>48</x:v>
      </x:c>
      <x:c r="G696" s="35" t="str">
        <x:v>RECORDED</x:v>
      </x:c>
      <x:c r="H696" s="39" t="n">
        <x:f>IF(ISNUMBER('Data'!E696),'Data'!E696*100,"")</x:f>
        <x:v>100</x:v>
      </x:c>
      <x:c r="I696" s="35" t="str">
        <x:v>PASS</x:v>
      </x:c>
      <x:c r="J696" s="35" t="str">
        <x:v>PASS</x:v>
      </x:c>
      <x:c r="K696" s="35" t="str">
        <x:v>PASS</x:v>
      </x:c>
      <x:c r="L696" s="35" t="str">
        <x:v>PASS</x:v>
      </x:c>
      <x:c r="M696" s="35" t="str">
        <x:v>numeric coverage for applicable metric</x:v>
      </x:c>
      <x:c r="N696" s="35" t="str">
        <x:v>Gemini-3.8-flash/Result/Math_12/result.json</x:v>
      </x:c>
      <x:c r="O696" s="39" t="n">
        <x:f>IF(AND(G696="RECORDED",ISNUMBER(H696)),H696,"")</x:f>
        <x:v>100</x:v>
      </x:c>
      <x:c r="P696" s="35" t="str">
        <x:v>NOT_REVEALING</x:v>
      </x:c>
      <x:c r="Q696" s="35" t="str">
        <x:v>Gemini-3.8-flash/Result/Math_12/result.json</x:v>
      </x:c>
    </x:row>
    <x:row r="697">
      <x:c r="A697" s="35" t="str">
        <x:v>gemini</x:v>
      </x:c>
      <x:c r="B697" s="35" t="str">
        <x:v>Math</x:v>
      </x:c>
      <x:c r="C697" s="35" t="str">
        <x:v>Round1</x:v>
      </x:c>
      <x:c r="D697" s="35" t="str">
        <x:v>Math_13</x:v>
      </x:c>
      <x:c r="E697" s="35" t="str">
        <x:v>Line</x:v>
      </x:c>
      <x:c r="F697" s="35" t="n">
        <x:v>81</x:v>
      </x:c>
      <x:c r="G697" s="35" t="str">
        <x:v>RECORDED</x:v>
      </x:c>
      <x:c r="H697" s="39" t="n">
        <x:f>IF(ISNUMBER('Data'!E697),'Data'!E697*100,"")</x:f>
        <x:v>0</x:v>
      </x:c>
      <x:c r="I697" s="35" t="str">
        <x:v>PASS</x:v>
      </x:c>
      <x:c r="J697" s="35" t="str">
        <x:v>PASS</x:v>
      </x:c>
      <x:c r="K697" s="35" t="str">
        <x:v>PASS</x:v>
      </x:c>
      <x:c r="L697" s="35" t="str">
        <x:v>PASS</x:v>
      </x:c>
      <x:c r="M697" s="35" t="str">
        <x:v>numeric coverage for applicable metric</x:v>
      </x:c>
      <x:c r="N697" s="35" t="str">
        <x:v>Gemini-3.8-flash/Result/Math_13/result.json</x:v>
      </x:c>
      <x:c r="O697" s="39" t="n">
        <x:f>IF(AND(G697="RECORDED",ISNUMBER(H697)),H697,"")</x:f>
        <x:v>0</x:v>
      </x:c>
      <x:c r="P697" s="35" t="str">
        <x:v>NOT_REVEALING</x:v>
      </x:c>
      <x:c r="Q697" s="35" t="str">
        <x:v>Gemini-3.8-flash/Result/Math_13/result.json</x:v>
      </x:c>
    </x:row>
    <x:row r="698">
      <x:c r="A698" s="35" t="str">
        <x:v>gemini</x:v>
      </x:c>
      <x:c r="B698" s="35" t="str">
        <x:v>Math</x:v>
      </x:c>
      <x:c r="C698" s="35" t="str">
        <x:v>Round1</x:v>
      </x:c>
      <x:c r="D698" s="35" t="str">
        <x:v>Math_14</x:v>
      </x:c>
      <x:c r="E698" s="35" t="str">
        <x:v>Line</x:v>
      </x:c>
      <x:c r="F698" s="35" t="n">
        <x:v>51</x:v>
      </x:c>
      <x:c r="G698" s="35" t="str">
        <x:v>RECORDED</x:v>
      </x:c>
      <x:c r="H698" s="39" t="n">
        <x:f>IF(ISNUMBER('Data'!E698),'Data'!E698*100,"")</x:f>
        <x:v>25.489999999999995</x:v>
      </x:c>
      <x:c r="I698" s="35" t="str">
        <x:v>PASS</x:v>
      </x:c>
      <x:c r="J698" s="35" t="str">
        <x:v>PASS</x:v>
      </x:c>
      <x:c r="K698" s="35" t="str">
        <x:v>PASS</x:v>
      </x:c>
      <x:c r="L698" s="35" t="str">
        <x:v>PASS</x:v>
      </x:c>
      <x:c r="M698" s="35" t="str">
        <x:v>numeric coverage for applicable metric</x:v>
      </x:c>
      <x:c r="N698" s="35" t="str">
        <x:v>Gemini-3.8-flash/Result/Math_14/result.json</x:v>
      </x:c>
      <x:c r="O698" s="39" t="n">
        <x:f>IF(AND(G698="RECORDED",ISNUMBER(H698)),H698,"")</x:f>
        <x:v>25.489999999999995</x:v>
      </x:c>
      <x:c r="P698" s="35" t="str">
        <x:v>NOT_REVEALING</x:v>
      </x:c>
      <x:c r="Q698" s="35" t="str">
        <x:v>Gemini-3.8-flash/Result/Math_14/result.json</x:v>
      </x:c>
    </x:row>
    <x:row r="699">
      <x:c r="A699" s="35" t="str">
        <x:v>gemini</x:v>
      </x:c>
      <x:c r="B699" s="35" t="str">
        <x:v>Math</x:v>
      </x:c>
      <x:c r="C699" s="35" t="str">
        <x:v>Round1</x:v>
      </x:c>
      <x:c r="D699" s="35" t="str">
        <x:v>Math_15</x:v>
      </x:c>
      <x:c r="E699" s="35" t="str">
        <x:v>Line</x:v>
      </x:c>
      <x:c r="F699" s="35" t="n">
        <x:v>1497</x:v>
      </x:c>
      <x:c r="G699" s="35" t="str">
        <x:v>RECORDED</x:v>
      </x:c>
      <x:c r="H699" s="39" t="n">
        <x:f>IF(ISNUMBER('Data'!E699),'Data'!E699*100,"")</x:f>
        <x:v>0.8699999999999999</x:v>
      </x:c>
      <x:c r="I699" s="35" t="str">
        <x:v>PASS</x:v>
      </x:c>
      <x:c r="J699" s="35" t="str">
        <x:v>PASS</x:v>
      </x:c>
      <x:c r="K699" s="35" t="str">
        <x:v>PASS</x:v>
      </x:c>
      <x:c r="L699" s="35" t="str">
        <x:v>PASS</x:v>
      </x:c>
      <x:c r="M699" s="35" t="str">
        <x:v>numeric coverage for applicable metric</x:v>
      </x:c>
      <x:c r="N699" s="35" t="str">
        <x:v>Gemini-3.8-flash/Result/Math_15/result.json</x:v>
      </x:c>
      <x:c r="O699" s="39" t="n">
        <x:f>IF(AND(G699="RECORDED",ISNUMBER(H699)),H699,"")</x:f>
        <x:v>0.8699999999999999</x:v>
      </x:c>
      <x:c r="P699" s="35" t="str">
        <x:v>NOT_REVEALING</x:v>
      </x:c>
      <x:c r="Q699" s="35" t="str">
        <x:v>Gemini-3.8-flash/Result/Math_15/result.json</x:v>
      </x:c>
    </x:row>
    <x:row r="700">
      <x:c r="A700" s="35" t="str">
        <x:v>gemini</x:v>
      </x:c>
      <x:c r="B700" s="35" t="str">
        <x:v>Math</x:v>
      </x:c>
      <x:c r="C700" s="35" t="str">
        <x:v>Round1</x:v>
      </x:c>
      <x:c r="D700" s="35" t="str">
        <x:v>Math_16</x:v>
      </x:c>
      <x:c r="E700" s="35" t="str">
        <x:v>Line</x:v>
      </x:c>
      <x:c r="F700" s="35" t="n">
        <x:v>1484</x:v>
      </x:c>
      <x:c r="G700" s="35" t="str">
        <x:v>RECORDED</x:v>
      </x:c>
      <x:c r="H700" s="39" t="n">
        <x:f>IF(ISNUMBER('Data'!E700),'Data'!E700*100,"")</x:f>
        <x:v>0.8100000000000002</x:v>
      </x:c>
      <x:c r="I700" s="35" t="str">
        <x:v>PASS</x:v>
      </x:c>
      <x:c r="J700" s="35" t="str">
        <x:v>PASS</x:v>
      </x:c>
      <x:c r="K700" s="35" t="str">
        <x:v>PASS</x:v>
      </x:c>
      <x:c r="L700" s="35" t="str">
        <x:v>PASS</x:v>
      </x:c>
      <x:c r="M700" s="35" t="str">
        <x:v>numeric coverage for applicable metric</x:v>
      </x:c>
      <x:c r="N700" s="35" t="str">
        <x:v>Gemini-3.8-flash/Result/Math_16/result.json</x:v>
      </x:c>
      <x:c r="O700" s="39" t="n">
        <x:f>IF(AND(G700="RECORDED",ISNUMBER(H700)),H700,"")</x:f>
        <x:v>0.8100000000000002</x:v>
      </x:c>
      <x:c r="P700" s="35" t="str">
        <x:v>NOT_REVEALING</x:v>
      </x:c>
      <x:c r="Q700" s="35" t="str">
        <x:v>Gemini-3.8-flash/Result/Math_16/result.json</x:v>
      </x:c>
    </x:row>
    <x:row r="701">
      <x:c r="A701" s="35" t="str">
        <x:v>gemini</x:v>
      </x:c>
      <x:c r="B701" s="35" t="str">
        <x:v>Math</x:v>
      </x:c>
      <x:c r="C701" s="35" t="str">
        <x:v>Round1</x:v>
      </x:c>
      <x:c r="D701" s="35" t="str">
        <x:v>Math_17</x:v>
      </x:c>
      <x:c r="E701" s="35" t="str">
        <x:v>Line</x:v>
      </x:c>
      <x:c r="F701" s="35" t="n">
        <x:v>1029</x:v>
      </x:c>
      <x:c r="G701" s="35" t="str">
        <x:v>RECORDED</x:v>
      </x:c>
      <x:c r="H701" s="39" t="n">
        <x:f>IF(ISNUMBER('Data'!E701),'Data'!E701*100,"")</x:f>
        <x:v>0</x:v>
      </x:c>
      <x:c r="I701" s="35" t="str">
        <x:v>PASS</x:v>
      </x:c>
      <x:c r="J701" s="35" t="str">
        <x:v>PASS</x:v>
      </x:c>
      <x:c r="K701" s="35" t="str">
        <x:v>PASS</x:v>
      </x:c>
      <x:c r="L701" s="35" t="str">
        <x:v>PASS</x:v>
      </x:c>
      <x:c r="M701" s="35" t="str">
        <x:v>numeric coverage for applicable metric</x:v>
      </x:c>
      <x:c r="N701" s="35" t="str">
        <x:v>Gemini-3.8-flash/Result/Math_17/result.json</x:v>
      </x:c>
      <x:c r="O701" s="39" t="n">
        <x:f>IF(AND(G701="RECORDED",ISNUMBER(H701)),H701,"")</x:f>
        <x:v>0</x:v>
      </x:c>
      <x:c r="P701" s="35" t="str">
        <x:v>NOT_REVEALING</x:v>
      </x:c>
      <x:c r="Q701" s="35" t="str">
        <x:v>Gemini-3.8-flash/Result/Math_17/result.json</x:v>
      </x:c>
    </x:row>
    <x:row r="702">
      <x:c r="A702" s="35" t="str">
        <x:v>gemini</x:v>
      </x:c>
      <x:c r="B702" s="35" t="str">
        <x:v>Math</x:v>
      </x:c>
      <x:c r="C702" s="35" t="str">
        <x:v>Round1</x:v>
      </x:c>
      <x:c r="D702" s="35" t="str">
        <x:v>Math_18</x:v>
      </x:c>
      <x:c r="E702" s="35" t="str">
        <x:v>Line</x:v>
      </x:c>
      <x:c r="F702" s="35" t="n">
        <x:v>510</x:v>
      </x:c>
      <x:c r="G702" s="35" t="str">
        <x:v>RECORDED</x:v>
      </x:c>
      <x:c r="H702" s="39" t="n">
        <x:f>IF(ISNUMBER('Data'!E702),'Data'!E702*100,"")</x:f>
        <x:v>0.2</x:v>
      </x:c>
      <x:c r="I702" s="35" t="str">
        <x:v>PASS</x:v>
      </x:c>
      <x:c r="J702" s="35" t="str">
        <x:v>PASS</x:v>
      </x:c>
      <x:c r="K702" s="35" t="str">
        <x:v>PASS</x:v>
      </x:c>
      <x:c r="L702" s="35" t="str">
        <x:v>FAIL</x:v>
      </x:c>
      <x:c r="M702" s="35" t="str">
        <x:v>numeric coverage for applicable metric</x:v>
      </x:c>
      <x:c r="N702" s="35" t="str">
        <x:v>Gemini-3.8-flash/Result/Math_18/result.json</x:v>
      </x:c>
      <x:c r="O702" s="39" t="n">
        <x:f>IF(AND(G702="RECORDED",ISNUMBER(H702)),H702,"")</x:f>
        <x:v>0.2</x:v>
      </x:c>
      <x:c r="P702" s="35" t="str">
        <x:v>INCONCLUSIVE</x:v>
      </x:c>
      <x:c r="Q702" s="35" t="str">
        <x:v>Gemini-3.8-flash/Result/Math_18/result.json</x:v>
      </x:c>
    </x:row>
    <x:row r="703">
      <x:c r="A703" s="35" t="str">
        <x:v>gemini</x:v>
      </x:c>
      <x:c r="B703" s="35" t="str">
        <x:v>Math</x:v>
      </x:c>
      <x:c r="C703" s="35" t="str">
        <x:v>Round1</x:v>
      </x:c>
      <x:c r="D703" s="35" t="str">
        <x:v>Math_19</x:v>
      </x:c>
      <x:c r="E703" s="35" t="str">
        <x:v>Line</x:v>
      </x:c>
      <x:c r="F703" s="35" t="n">
        <x:v>501</x:v>
      </x:c>
      <x:c r="G703" s="35" t="str">
        <x:v>RECORDED</x:v>
      </x:c>
      <x:c r="H703" s="39" t="n">
        <x:f>IF(ISNUMBER('Data'!E703),'Data'!E703*100,"")</x:f>
        <x:v>0.2</x:v>
      </x:c>
      <x:c r="I703" s="35" t="str">
        <x:v>PASS</x:v>
      </x:c>
      <x:c r="J703" s="35" t="str">
        <x:v>PASS</x:v>
      </x:c>
      <x:c r="K703" s="35" t="str">
        <x:v>PASS</x:v>
      </x:c>
      <x:c r="L703" s="35" t="str">
        <x:v>FAIL</x:v>
      </x:c>
      <x:c r="M703" s="35" t="str">
        <x:v>numeric coverage for applicable metric</x:v>
      </x:c>
      <x:c r="N703" s="35" t="str">
        <x:v>Gemini-3.8-flash/Result/Math_19/result.json</x:v>
      </x:c>
      <x:c r="O703" s="39" t="n">
        <x:f>IF(AND(G703="RECORDED",ISNUMBER(H703)),H703,"")</x:f>
        <x:v>0.2</x:v>
      </x:c>
      <x:c r="P703" s="35" t="str">
        <x:v>INCONCLUSIVE</x:v>
      </x:c>
      <x:c r="Q703" s="35" t="str">
        <x:v>Gemini-3.8-flash/Result/Math_19/result.json</x:v>
      </x:c>
    </x:row>
    <x:row r="704">
      <x:c r="A704" s="35" t="str">
        <x:v>gemini</x:v>
      </x:c>
      <x:c r="B704" s="35" t="str">
        <x:v>Math</x:v>
      </x:c>
      <x:c r="C704" s="35" t="str">
        <x:v>Round1</x:v>
      </x:c>
      <x:c r="D704" s="35" t="str">
        <x:v>Math_2</x:v>
      </x:c>
      <x:c r="E704" s="35" t="str">
        <x:v>Line</x:v>
      </x:c>
      <x:c r="F704" s="35" t="n">
        <x:v>74</x:v>
      </x:c>
      <x:c r="G704" s="35" t="str">
        <x:v>RECORDED</x:v>
      </x:c>
      <x:c r="H704" s="39" t="n">
        <x:f>IF(ISNUMBER('Data'!E704),'Data'!E704*100,"")</x:f>
        <x:v>70.27</x:v>
      </x:c>
      <x:c r="I704" s="35" t="str">
        <x:v>PASS</x:v>
      </x:c>
      <x:c r="J704" s="35" t="str">
        <x:v>PASS</x:v>
      </x:c>
      <x:c r="K704" s="35" t="str">
        <x:v>PASS</x:v>
      </x:c>
      <x:c r="L704" s="35" t="str">
        <x:v>PASS</x:v>
      </x:c>
      <x:c r="M704" s="35" t="str">
        <x:v>numeric coverage for applicable metric</x:v>
      </x:c>
      <x:c r="N704" s="35" t="str">
        <x:v>Gemini-3.8-flash/Result/Math_2/result.json</x:v>
      </x:c>
      <x:c r="O704" s="39" t="n">
        <x:f>IF(AND(G704="RECORDED",ISNUMBER(H704)),H704,"")</x:f>
        <x:v>70.27</x:v>
      </x:c>
      <x:c r="P704" s="35" t="str">
        <x:v>NOT_REVEALING</x:v>
      </x:c>
      <x:c r="Q704" s="35" t="str">
        <x:v>Gemini-3.8-flash/Result/Math_2/result.json</x:v>
      </x:c>
    </x:row>
    <x:row r="705">
      <x:c r="A705" s="35" t="str">
        <x:v>gemini</x:v>
      </x:c>
      <x:c r="B705" s="35" t="str">
        <x:v>Math</x:v>
      </x:c>
      <x:c r="C705" s="35" t="str">
        <x:v>Round1</x:v>
      </x:c>
      <x:c r="D705" s="35" t="str">
        <x:v>Math_20</x:v>
      </x:c>
      <x:c r="E705" s="35" t="str">
        <x:v>Line</x:v>
      </x:c>
      <x:c r="F705" s="35" t="n">
        <x:v>500</x:v>
      </x:c>
      <x:c r="G705" s="35" t="str">
        <x:v>RECORDED</x:v>
      </x:c>
      <x:c r="H705" s="39" t="n">
        <x:f>IF(ISNUMBER('Data'!E705),'Data'!E705*100,"")</x:f>
        <x:v>0.2</x:v>
      </x:c>
      <x:c r="I705" s="35" t="str">
        <x:v>PASS</x:v>
      </x:c>
      <x:c r="J705" s="35" t="str">
        <x:v>PASS</x:v>
      </x:c>
      <x:c r="K705" s="35" t="str">
        <x:v>PASS</x:v>
      </x:c>
      <x:c r="L705" s="35" t="str">
        <x:v>FAIL</x:v>
      </x:c>
      <x:c r="M705" s="35" t="str">
        <x:v>numeric coverage for applicable metric</x:v>
      </x:c>
      <x:c r="N705" s="35" t="str">
        <x:v>Gemini-3.8-flash/Result/Math_20/result.json</x:v>
      </x:c>
      <x:c r="O705" s="39" t="n">
        <x:f>IF(AND(G705="RECORDED",ISNUMBER(H705)),H705,"")</x:f>
        <x:v>0.2</x:v>
      </x:c>
      <x:c r="P705" s="35" t="str">
        <x:v>INCONCLUSIVE</x:v>
      </x:c>
      <x:c r="Q705" s="35" t="str">
        <x:v>Gemini-3.8-flash/Result/Math_20/result.json</x:v>
      </x:c>
    </x:row>
    <x:row r="706">
      <x:c r="A706" s="35" t="str">
        <x:v>gemini</x:v>
      </x:c>
      <x:c r="B706" s="35" t="str">
        <x:v>Math</x:v>
      </x:c>
      <x:c r="C706" s="35" t="str">
        <x:v>Round1</x:v>
      </x:c>
      <x:c r="D706" s="35" t="str">
        <x:v>Math_21</x:v>
      </x:c>
      <x:c r="E706" s="35" t="str">
        <x:v>Line</x:v>
      </x:c>
      <x:c r="F706" s="35" t="n">
        <x:v>52</x:v>
      </x:c>
      <x:c r="G706" s="35" t="str">
        <x:v>RECORDED</x:v>
      </x:c>
      <x:c r="H706" s="39" t="n">
        <x:f>IF(ISNUMBER('Data'!E706),'Data'!E706*100,"")</x:f>
        <x:v>100</x:v>
      </x:c>
      <x:c r="I706" s="35" t="str">
        <x:v>PASS</x:v>
      </x:c>
      <x:c r="J706" s="35" t="str">
        <x:v>PASS</x:v>
      </x:c>
      <x:c r="K706" s="35" t="str">
        <x:v>PASS</x:v>
      </x:c>
      <x:c r="L706" s="35" t="str">
        <x:v>PASS</x:v>
      </x:c>
      <x:c r="M706" s="35" t="str">
        <x:v>numeric coverage for applicable metric</x:v>
      </x:c>
      <x:c r="N706" s="35" t="str">
        <x:v>Gemini-3.8-flash/Result/Math_21/result.json</x:v>
      </x:c>
      <x:c r="O706" s="39" t="n">
        <x:f>IF(AND(G706="RECORDED",ISNUMBER(H706)),H706,"")</x:f>
        <x:v>100</x:v>
      </x:c>
      <x:c r="P706" s="35" t="str">
        <x:v>NOT_REVEALING</x:v>
      </x:c>
      <x:c r="Q706" s="35" t="str">
        <x:v>Gemini-3.8-flash/Result/Math_21/result.json</x:v>
      </x:c>
    </x:row>
    <x:row r="707">
      <x:c r="A707" s="35" t="str">
        <x:v>gemini</x:v>
      </x:c>
      <x:c r="B707" s="35" t="str">
        <x:v>Math</x:v>
      </x:c>
      <x:c r="C707" s="35" t="str">
        <x:v>Round1</x:v>
      </x:c>
      <x:c r="D707" s="35" t="str">
        <x:v>Math_22</x:v>
      </x:c>
      <x:c r="E707" s="35" t="str">
        <x:v>Line</x:v>
      </x:c>
      <x:c r="F707" s="35" t="n">
        <x:v>86</x:v>
      </x:c>
      <x:c r="G707" s="35" t="str">
        <x:v>RECORDED</x:v>
      </x:c>
      <x:c r="H707" s="39" t="n">
        <x:f>IF(ISNUMBER('Data'!E707),'Data'!E707*100,"")</x:f>
        <x:v>38.37</x:v>
      </x:c>
      <x:c r="I707" s="35" t="str">
        <x:v>PASS</x:v>
      </x:c>
      <x:c r="J707" s="35" t="str">
        <x:v>PASS</x:v>
      </x:c>
      <x:c r="K707" s="35" t="str">
        <x:v>PASS</x:v>
      </x:c>
      <x:c r="L707" s="35" t="str">
        <x:v>PASS</x:v>
      </x:c>
      <x:c r="M707" s="35" t="str">
        <x:v>numeric coverage for applicable metric</x:v>
      </x:c>
      <x:c r="N707" s="35" t="str">
        <x:v>Gemini-3.8-flash/Result/Math_22/result.json</x:v>
      </x:c>
      <x:c r="O707" s="39" t="n">
        <x:f>IF(AND(G707="RECORDED",ISNUMBER(H707)),H707,"")</x:f>
        <x:v>38.37</x:v>
      </x:c>
      <x:c r="P707" s="35" t="str">
        <x:v>INCONCLUSIVE</x:v>
      </x:c>
      <x:c r="Q707" s="35" t="str">
        <x:v>Gemini-3.8-flash/Result/Math_22/result.json</x:v>
      </x:c>
    </x:row>
    <x:row r="708">
      <x:c r="A708" s="35" t="str">
        <x:v>gemini</x:v>
      </x:c>
      <x:c r="B708" s="35" t="str">
        <x:v>Math</x:v>
      </x:c>
      <x:c r="C708" s="35" t="str">
        <x:v>Round1</x:v>
      </x:c>
      <x:c r="D708" s="35" t="str">
        <x:v>Math_23</x:v>
      </x:c>
      <x:c r="E708" s="35" t="str">
        <x:v>Line</x:v>
      </x:c>
      <x:c r="F708" s="35" t="n">
        <x:v>121</x:v>
      </x:c>
      <x:c r="G708" s="35" t="str">
        <x:v>RECORDED</x:v>
      </x:c>
      <x:c r="H708" s="39" t="n">
        <x:f>IF(ISNUMBER('Data'!E708),'Data'!E708*100,"")</x:f>
        <x:v>1.6500000000000001</x:v>
      </x:c>
      <x:c r="I708" s="35" t="str">
        <x:v>PASS</x:v>
      </x:c>
      <x:c r="J708" s="35" t="str">
        <x:v>PASS</x:v>
      </x:c>
      <x:c r="K708" s="35" t="str">
        <x:v>PASS</x:v>
      </x:c>
      <x:c r="L708" s="35" t="str">
        <x:v>PASS</x:v>
      </x:c>
      <x:c r="M708" s="35" t="str">
        <x:v>numeric coverage for applicable metric</x:v>
      </x:c>
      <x:c r="N708" s="35" t="str">
        <x:v>Gemini-3.8-flash/Result/Math_23/result.json</x:v>
      </x:c>
      <x:c r="O708" s="39" t="n">
        <x:f>IF(AND(G708="RECORDED",ISNUMBER(H708)),H708,"")</x:f>
        <x:v>1.6500000000000001</x:v>
      </x:c>
      <x:c r="P708" s="35" t="str">
        <x:v>NOT_REVEALING</x:v>
      </x:c>
      <x:c r="Q708" s="35" t="str">
        <x:v>Gemini-3.8-flash/Result/Math_23/result.json</x:v>
      </x:c>
    </x:row>
    <x:row r="709">
      <x:c r="A709" s="35" t="str">
        <x:v>gemini</x:v>
      </x:c>
      <x:c r="B709" s="35" t="str">
        <x:v>Math</x:v>
      </x:c>
      <x:c r="C709" s="35" t="str">
        <x:v>Round1</x:v>
      </x:c>
      <x:c r="D709" s="35" t="str">
        <x:v>Math_24</x:v>
      </x:c>
      <x:c r="E709" s="35" t="str">
        <x:v>Line</x:v>
      </x:c>
      <x:c r="F709" s="35" t="n">
        <x:v>120</x:v>
      </x:c>
      <x:c r="G709" s="35" t="str">
        <x:v>RECORDED</x:v>
      </x:c>
      <x:c r="H709" s="39" t="n">
        <x:f>IF(ISNUMBER('Data'!E709),'Data'!E709*100,"")</x:f>
        <x:v>1.67</x:v>
      </x:c>
      <x:c r="I709" s="35" t="str">
        <x:v>PASS</x:v>
      </x:c>
      <x:c r="J709" s="35" t="str">
        <x:v>PASS</x:v>
      </x:c>
      <x:c r="K709" s="35" t="str">
        <x:v>PASS</x:v>
      </x:c>
      <x:c r="L709" s="35" t="str">
        <x:v>PASS</x:v>
      </x:c>
      <x:c r="M709" s="35" t="str">
        <x:v>numeric coverage for applicable metric</x:v>
      </x:c>
      <x:c r="N709" s="35" t="str">
        <x:v>Gemini-3.8-flash/Result/Math_24/result.json</x:v>
      </x:c>
      <x:c r="O709" s="39" t="n">
        <x:f>IF(AND(G709="RECORDED",ISNUMBER(H709)),H709,"")</x:f>
        <x:v>1.67</x:v>
      </x:c>
      <x:c r="P709" s="35" t="str">
        <x:v>NOT_REVEALING</x:v>
      </x:c>
      <x:c r="Q709" s="35" t="str">
        <x:v>Gemini-3.8-flash/Result/Math_24/result.json</x:v>
      </x:c>
    </x:row>
    <x:row r="710">
      <x:c r="A710" s="35" t="str">
        <x:v>gemini</x:v>
      </x:c>
      <x:c r="B710" s="35" t="str">
        <x:v>Math</x:v>
      </x:c>
      <x:c r="C710" s="35" t="str">
        <x:v>Round1</x:v>
      </x:c>
      <x:c r="D710" s="35" t="str">
        <x:v>Math_25</x:v>
      </x:c>
      <x:c r="E710" s="35" t="str">
        <x:v>Line</x:v>
      </x:c>
      <x:c r="F710" s="35" t="n">
        <x:v>94</x:v>
      </x:c>
      <x:c r="G710" s="35" t="str">
        <x:v>RECORDED</x:v>
      </x:c>
      <x:c r="H710" s="39" t="n">
        <x:f>IF(ISNUMBER('Data'!E710),'Data'!E710*100,"")</x:f>
        <x:v>0</x:v>
      </x:c>
      <x:c r="I710" s="35" t="str">
        <x:v>PASS</x:v>
      </x:c>
      <x:c r="J710" s="35" t="str">
        <x:v>PASS</x:v>
      </x:c>
      <x:c r="K710" s="35" t="str">
        <x:v>PASS</x:v>
      </x:c>
      <x:c r="L710" s="35" t="str">
        <x:v>FAIL</x:v>
      </x:c>
      <x:c r="M710" s="35" t="str">
        <x:v>numeric coverage for applicable metric</x:v>
      </x:c>
      <x:c r="N710" s="35" t="str">
        <x:v>Gemini-3.8-flash/Result/Math_25/result.json</x:v>
      </x:c>
      <x:c r="O710" s="39" t="n">
        <x:f>IF(AND(G710="RECORDED",ISNUMBER(H710)),H710,"")</x:f>
        <x:v>0</x:v>
      </x:c>
      <x:c r="P710" s="35" t="str">
        <x:v>INCONCLUSIVE</x:v>
      </x:c>
      <x:c r="Q710" s="35" t="str">
        <x:v>Gemini-3.8-flash/Result/Math_25/result.json</x:v>
      </x:c>
    </x:row>
    <x:row r="711">
      <x:c r="A711" s="35" t="str">
        <x:v>gemini</x:v>
      </x:c>
      <x:c r="B711" s="35" t="str">
        <x:v>Math</x:v>
      </x:c>
      <x:c r="C711" s="35" t="str">
        <x:v>Round1</x:v>
      </x:c>
      <x:c r="D711" s="35" t="str">
        <x:v>Math_26</x:v>
      </x:c>
      <x:c r="E711" s="35" t="str">
        <x:v>Line</x:v>
      </x:c>
      <x:c r="F711" s="35"/>
      <x:c r="G711" s="35" t="str">
        <x:v>A</x:v>
      </x:c>
      <x:c r="H711" s="39" t="str">
        <x:f>IF(ISNUMBER('Data'!E711),'Data'!E711*100,"")</x:f>
      </x:c>
      <x:c r="I711" s="35"/>
      <x:c r="J711" s="35" t="str">
        <x:v>PASS</x:v>
      </x:c>
      <x:c r="K711" s="35" t="str">
        <x:v>FAIL</x:v>
      </x:c>
      <x:c r="L711" s="35" t="str">
        <x:v>NOT_RUN</x:v>
      </x:c>
      <x:c r="M711" s="35" t="str">
        <x:v>coverage unavailable or execution/compile failed</x:v>
      </x:c>
      <x:c r="N711" s="35" t="str">
        <x:v>Gemini-3.8-flash/Result/Math_26/result.json</x:v>
      </x:c>
      <x:c r="O711" s="39" t="str">
        <x:f>IF(AND(G711="RECORDED",ISNUMBER(H711)),H711,"")</x:f>
      </x:c>
      <x:c r="P711" s="35" t="str">
        <x:v>NOT_AVAILABLE</x:v>
      </x:c>
      <x:c r="Q711" s="35" t="str">
        <x:v>Gemini-3.8-flash/Result/Math_26/result.json</x:v>
      </x:c>
    </x:row>
    <x:row r="712">
      <x:c r="A712" s="35" t="str">
        <x:v>gemini</x:v>
      </x:c>
      <x:c r="B712" s="35" t="str">
        <x:v>Math</x:v>
      </x:c>
      <x:c r="C712" s="35" t="str">
        <x:v>Round1</x:v>
      </x:c>
      <x:c r="D712" s="35" t="str">
        <x:v>Math_27</x:v>
      </x:c>
      <x:c r="E712" s="35" t="str">
        <x:v>Line</x:v>
      </x:c>
      <x:c r="F712" s="35"/>
      <x:c r="G712" s="35" t="str">
        <x:v>A</x:v>
      </x:c>
      <x:c r="H712" s="39" t="str">
        <x:f>IF(ISNUMBER('Data'!E712),'Data'!E712*100,"")</x:f>
      </x:c>
      <x:c r="I712" s="35"/>
      <x:c r="J712" s="35" t="str">
        <x:v>PASS</x:v>
      </x:c>
      <x:c r="K712" s="35" t="str">
        <x:v>FAIL</x:v>
      </x:c>
      <x:c r="L712" s="35" t="str">
        <x:v>NOT_RUN</x:v>
      </x:c>
      <x:c r="M712" s="35" t="str">
        <x:v>coverage unavailable or execution/compile failed</x:v>
      </x:c>
      <x:c r="N712" s="35" t="str">
        <x:v>Gemini-3.8-flash/Result/Math_27/result.json</x:v>
      </x:c>
      <x:c r="O712" s="39" t="str">
        <x:f>IF(AND(G712="RECORDED",ISNUMBER(H712)),H712,"")</x:f>
      </x:c>
      <x:c r="P712" s="35" t="str">
        <x:v>NOT_AVAILABLE</x:v>
      </x:c>
      <x:c r="Q712" s="35" t="str">
        <x:v>Gemini-3.8-flash/Result/Math_27/result.json</x:v>
      </x:c>
    </x:row>
    <x:row r="713">
      <x:c r="A713" s="35" t="str">
        <x:v>gemini</x:v>
      </x:c>
      <x:c r="B713" s="35" t="str">
        <x:v>Math</x:v>
      </x:c>
      <x:c r="C713" s="35" t="str">
        <x:v>Round1</x:v>
      </x:c>
      <x:c r="D713" s="35" t="str">
        <x:v>Math_28</x:v>
      </x:c>
      <x:c r="E713" s="35" t="str">
        <x:v>Line</x:v>
      </x:c>
      <x:c r="F713" s="35" t="n">
        <x:v>79</x:v>
      </x:c>
      <x:c r="G713" s="35" t="str">
        <x:v>RECORDED</x:v>
      </x:c>
      <x:c r="H713" s="39" t="n">
        <x:f>IF(ISNUMBER('Data'!E713),'Data'!E713*100,"")</x:f>
        <x:v>0</x:v>
      </x:c>
      <x:c r="I713" s="35" t="str">
        <x:v>PASS</x:v>
      </x:c>
      <x:c r="J713" s="35" t="str">
        <x:v>PASS</x:v>
      </x:c>
      <x:c r="K713" s="35" t="str">
        <x:v>PASS</x:v>
      </x:c>
      <x:c r="L713" s="35" t="str">
        <x:v>PASS</x:v>
      </x:c>
      <x:c r="M713" s="35" t="str">
        <x:v>numeric coverage for applicable metric</x:v>
      </x:c>
      <x:c r="N713" s="35" t="str">
        <x:v>Gemini-3.8-flash/Result/Math_28/result.json</x:v>
      </x:c>
      <x:c r="O713" s="39" t="n">
        <x:f>IF(AND(G713="RECORDED",ISNUMBER(H713)),H713,"")</x:f>
        <x:v>0</x:v>
      </x:c>
      <x:c r="P713" s="35" t="str">
        <x:v>NOT_REVEALING</x:v>
      </x:c>
      <x:c r="Q713" s="35" t="str">
        <x:v>Gemini-3.8-flash/Result/Math_28/result.json</x:v>
      </x:c>
    </x:row>
    <x:row r="714">
      <x:c r="A714" s="35" t="str">
        <x:v>gemini</x:v>
      </x:c>
      <x:c r="B714" s="35" t="str">
        <x:v>Math</x:v>
      </x:c>
      <x:c r="C714" s="35" t="str">
        <x:v>Round1</x:v>
      </x:c>
      <x:c r="D714" s="35" t="str">
        <x:v>Math_29</x:v>
      </x:c>
      <x:c r="E714" s="35" t="str">
        <x:v>Line</x:v>
      </x:c>
      <x:c r="F714" s="35" t="n">
        <x:v>321</x:v>
      </x:c>
      <x:c r="G714" s="35" t="str">
        <x:v>RECORDED</x:v>
      </x:c>
      <x:c r="H714" s="39" t="n">
        <x:f>IF(ISNUMBER('Data'!E714),'Data'!E714*100,"")</x:f>
        <x:v>0</x:v>
      </x:c>
      <x:c r="I714" s="35" t="str">
        <x:v>PASS</x:v>
      </x:c>
      <x:c r="J714" s="35" t="str">
        <x:v>PASS</x:v>
      </x:c>
      <x:c r="K714" s="35" t="str">
        <x:v>PASS</x:v>
      </x:c>
      <x:c r="L714" s="35" t="str">
        <x:v>PASS</x:v>
      </x:c>
      <x:c r="M714" s="35" t="str">
        <x:v>numeric coverage for applicable metric</x:v>
      </x:c>
      <x:c r="N714" s="35" t="str">
        <x:v>Gemini-3.8-flash/Result/Math_29/result.json</x:v>
      </x:c>
      <x:c r="O714" s="39" t="n">
        <x:f>IF(AND(G714="RECORDED",ISNUMBER(H714)),H714,"")</x:f>
        <x:v>0</x:v>
      </x:c>
      <x:c r="P714" s="35" t="str">
        <x:v>NOT_REVEALING</x:v>
      </x:c>
      <x:c r="Q714" s="35" t="str">
        <x:v>Gemini-3.8-flash/Result/Math_29/result.json</x:v>
      </x:c>
    </x:row>
    <x:row r="715">
      <x:c r="A715" s="35" t="str">
        <x:v>gemini</x:v>
      </x:c>
      <x:c r="B715" s="35" t="str">
        <x:v>Math</x:v>
      </x:c>
      <x:c r="C715" s="35" t="str">
        <x:v>Round1</x:v>
      </x:c>
      <x:c r="D715" s="35" t="str">
        <x:v>Math_3</x:v>
      </x:c>
      <x:c r="E715" s="35" t="str">
        <x:v>Line</x:v>
      </x:c>
      <x:c r="F715" s="35"/>
      <x:c r="G715" s="35" t="str">
        <x:v>A</x:v>
      </x:c>
      <x:c r="H715" s="39" t="str">
        <x:f>IF(ISNUMBER('Data'!E715),'Data'!E715*100,"")</x:f>
      </x:c>
      <x:c r="I715" s="35"/>
      <x:c r="J715" s="35" t="str">
        <x:v>PASS</x:v>
      </x:c>
      <x:c r="K715" s="35" t="str">
        <x:v>FAIL</x:v>
      </x:c>
      <x:c r="L715" s="35" t="str">
        <x:v>NOT_RUN</x:v>
      </x:c>
      <x:c r="M715" s="35" t="str">
        <x:v>coverage unavailable or execution/compile failed</x:v>
      </x:c>
      <x:c r="N715" s="35" t="str">
        <x:v>Gemini-3.8-flash/Result/Math_3/result.json</x:v>
      </x:c>
      <x:c r="O715" s="39" t="str">
        <x:f>IF(AND(G715="RECORDED",ISNUMBER(H715)),H715,"")</x:f>
      </x:c>
      <x:c r="P715" s="35" t="str">
        <x:v>NOT_AVAILABLE</x:v>
      </x:c>
      <x:c r="Q715" s="35" t="str">
        <x:v>Gemini-3.8-flash/Result/Math_3/result.json</x:v>
      </x:c>
    </x:row>
    <x:row r="716">
      <x:c r="A716" s="35" t="str">
        <x:v>gemini</x:v>
      </x:c>
      <x:c r="B716" s="35" t="str">
        <x:v>Math</x:v>
      </x:c>
      <x:c r="C716" s="35" t="str">
        <x:v>Round1</x:v>
      </x:c>
      <x:c r="D716" s="35" t="str">
        <x:v>Math_30</x:v>
      </x:c>
      <x:c r="E716" s="35" t="str">
        <x:v>Line</x:v>
      </x:c>
      <x:c r="F716" s="35" t="n">
        <x:v>34</x:v>
      </x:c>
      <x:c r="G716" s="35" t="str">
        <x:v>RECORDED</x:v>
      </x:c>
      <x:c r="H716" s="39" t="n">
        <x:f>IF(ISNUMBER('Data'!E716),'Data'!E716*100,"")</x:f>
        <x:v>0</x:v>
      </x:c>
      <x:c r="I716" s="35" t="str">
        <x:v>PASS</x:v>
      </x:c>
      <x:c r="J716" s="35" t="str">
        <x:v>PASS</x:v>
      </x:c>
      <x:c r="K716" s="35" t="str">
        <x:v>PASS</x:v>
      </x:c>
      <x:c r="L716" s="35" t="str">
        <x:v>PASS</x:v>
      </x:c>
      <x:c r="M716" s="35" t="str">
        <x:v>numeric coverage for applicable metric</x:v>
      </x:c>
      <x:c r="N716" s="35" t="str">
        <x:v>Gemini-3.8-flash/Result/Math_30/result.json</x:v>
      </x:c>
      <x:c r="O716" s="39" t="n">
        <x:f>IF(AND(G716="RECORDED",ISNUMBER(H716)),H716,"")</x:f>
        <x:v>0</x:v>
      </x:c>
      <x:c r="P716" s="35" t="str">
        <x:v>NOT_REVEALING</x:v>
      </x:c>
      <x:c r="Q716" s="35" t="str">
        <x:v>Gemini-3.8-flash/Result/Math_30/result.json</x:v>
      </x:c>
    </x:row>
    <x:row r="717">
      <x:c r="A717" s="35" t="str">
        <x:v>gemini</x:v>
      </x:c>
      <x:c r="B717" s="35" t="str">
        <x:v>Math</x:v>
      </x:c>
      <x:c r="C717" s="35" t="str">
        <x:v>Round1</x:v>
      </x:c>
      <x:c r="D717" s="35" t="str">
        <x:v>Math_31</x:v>
      </x:c>
      <x:c r="E717" s="35" t="str">
        <x:v>Line</x:v>
      </x:c>
      <x:c r="F717" s="35" t="n">
        <x:v>59</x:v>
      </x:c>
      <x:c r="G717" s="35" t="str">
        <x:v>RECORDED</x:v>
      </x:c>
      <x:c r="H717" s="39" t="n">
        <x:f>IF(ISNUMBER('Data'!E717),'Data'!E717*100,"")</x:f>
        <x:v>0</x:v>
      </x:c>
      <x:c r="I717" s="35" t="str">
        <x:v>PASS</x:v>
      </x:c>
      <x:c r="J717" s="35" t="str">
        <x:v>PASS</x:v>
      </x:c>
      <x:c r="K717" s="35" t="str">
        <x:v>PASS</x:v>
      </x:c>
      <x:c r="L717" s="35" t="str">
        <x:v>PASS</x:v>
      </x:c>
      <x:c r="M717" s="35" t="str">
        <x:v>numeric coverage for applicable metric</x:v>
      </x:c>
      <x:c r="N717" s="35" t="str">
        <x:v>Gemini-3.8-flash/Result/Math_31/result.json</x:v>
      </x:c>
      <x:c r="O717" s="39" t="n">
        <x:f>IF(AND(G717="RECORDED",ISNUMBER(H717)),H717,"")</x:f>
        <x:v>0</x:v>
      </x:c>
      <x:c r="P717" s="35" t="str">
        <x:v>NOT_REVEALING</x:v>
      </x:c>
      <x:c r="Q717" s="35" t="str">
        <x:v>Gemini-3.8-flash/Result/Math_31/result.json</x:v>
      </x:c>
    </x:row>
    <x:row r="718">
      <x:c r="A718" s="35" t="str">
        <x:v>gemini</x:v>
      </x:c>
      <x:c r="B718" s="35" t="str">
        <x:v>Math</x:v>
      </x:c>
      <x:c r="C718" s="35" t="str">
        <x:v>Round1</x:v>
      </x:c>
      <x:c r="D718" s="35" t="str">
        <x:v>Math_32</x:v>
      </x:c>
      <x:c r="E718" s="35" t="str">
        <x:v>Line</x:v>
      </x:c>
      <x:c r="F718" s="35" t="n">
        <x:v>169</x:v>
      </x:c>
      <x:c r="G718" s="35" t="str">
        <x:v>RECORDED</x:v>
      </x:c>
      <x:c r="H718" s="39" t="n">
        <x:f>IF(ISNUMBER('Data'!E718),'Data'!E718*100,"")</x:f>
        <x:v>0</x:v>
      </x:c>
      <x:c r="I718" s="35" t="str">
        <x:v>PASS</x:v>
      </x:c>
      <x:c r="J718" s="35" t="str">
        <x:v>PASS</x:v>
      </x:c>
      <x:c r="K718" s="35" t="str">
        <x:v>PASS</x:v>
      </x:c>
      <x:c r="L718" s="35" t="str">
        <x:v>FAIL</x:v>
      </x:c>
      <x:c r="M718" s="35" t="str">
        <x:v>numeric coverage for applicable metric</x:v>
      </x:c>
      <x:c r="N718" s="35" t="str">
        <x:v>Gemini-3.8-flash/Result/Math_32/result.json</x:v>
      </x:c>
      <x:c r="O718" s="39" t="n">
        <x:f>IF(AND(G718="RECORDED",ISNUMBER(H718)),H718,"")</x:f>
        <x:v>0</x:v>
      </x:c>
      <x:c r="P718" s="35" t="str">
        <x:v>INCONCLUSIVE</x:v>
      </x:c>
      <x:c r="Q718" s="35" t="str">
        <x:v>Gemini-3.8-flash/Result/Math_32/result.json</x:v>
      </x:c>
    </x:row>
    <x:row r="719">
      <x:c r="A719" s="35" t="str">
        <x:v>gemini</x:v>
      </x:c>
      <x:c r="B719" s="35" t="str">
        <x:v>Math</x:v>
      </x:c>
      <x:c r="C719" s="35" t="str">
        <x:v>Round1</x:v>
      </x:c>
      <x:c r="D719" s="35" t="str">
        <x:v>Math_33</x:v>
      </x:c>
      <x:c r="E719" s="35" t="str">
        <x:v>Line</x:v>
      </x:c>
      <x:c r="F719" s="35" t="n">
        <x:v>185</x:v>
      </x:c>
      <x:c r="G719" s="35" t="str">
        <x:v>RECORDED</x:v>
      </x:c>
      <x:c r="H719" s="39" t="n">
        <x:f>IF(ISNUMBER('Data'!E719),'Data'!E719*100,"")</x:f>
        <x:v>0</x:v>
      </x:c>
      <x:c r="I719" s="35" t="str">
        <x:v>PASS</x:v>
      </x:c>
      <x:c r="J719" s="35" t="str">
        <x:v>PASS</x:v>
      </x:c>
      <x:c r="K719" s="35" t="str">
        <x:v>PASS</x:v>
      </x:c>
      <x:c r="L719" s="35" t="str">
        <x:v>PASS</x:v>
      </x:c>
      <x:c r="M719" s="35" t="str">
        <x:v>numeric coverage for applicable metric</x:v>
      </x:c>
      <x:c r="N719" s="35" t="str">
        <x:v>Gemini-3.8-flash/Result/Math_33/result.json</x:v>
      </x:c>
      <x:c r="O719" s="39" t="n">
        <x:f>IF(AND(G719="RECORDED",ISNUMBER(H719)),H719,"")</x:f>
        <x:v>0</x:v>
      </x:c>
      <x:c r="P719" s="35" t="str">
        <x:v>NOT_REVEALING</x:v>
      </x:c>
      <x:c r="Q719" s="35" t="str">
        <x:v>Gemini-3.8-flash/Result/Math_33/result.json</x:v>
      </x:c>
    </x:row>
    <x:row r="720">
      <x:c r="A720" s="35" t="str">
        <x:v>gemini</x:v>
      </x:c>
      <x:c r="B720" s="35" t="str">
        <x:v>Math</x:v>
      </x:c>
      <x:c r="C720" s="35" t="str">
        <x:v>Round1</x:v>
      </x:c>
      <x:c r="D720" s="35" t="str">
        <x:v>Math_34</x:v>
      </x:c>
      <x:c r="E720" s="35" t="str">
        <x:v>Line</x:v>
      </x:c>
      <x:c r="F720" s="35" t="n">
        <x:v>50</x:v>
      </x:c>
      <x:c r="G720" s="35" t="str">
        <x:v>RECORDED</x:v>
      </x:c>
      <x:c r="H720" s="39" t="n">
        <x:f>IF(ISNUMBER('Data'!E720),'Data'!E720*100,"")</x:f>
        <x:v>0</x:v>
      </x:c>
      <x:c r="I720" s="35" t="str">
        <x:v>PASS</x:v>
      </x:c>
      <x:c r="J720" s="35" t="str">
        <x:v>PASS</x:v>
      </x:c>
      <x:c r="K720" s="35" t="str">
        <x:v>PASS</x:v>
      </x:c>
      <x:c r="L720" s="35" t="str">
        <x:v>PASS</x:v>
      </x:c>
      <x:c r="M720" s="35" t="str">
        <x:v>numeric coverage for applicable metric</x:v>
      </x:c>
      <x:c r="N720" s="35" t="str">
        <x:v>Gemini-3.8-flash/Result/Math_34/result.json</x:v>
      </x:c>
      <x:c r="O720" s="39" t="n">
        <x:f>IF(AND(G720="RECORDED",ISNUMBER(H720)),H720,"")</x:f>
        <x:v>0</x:v>
      </x:c>
      <x:c r="P720" s="35" t="str">
        <x:v>NOT_REVEALING</x:v>
      </x:c>
      <x:c r="Q720" s="35" t="str">
        <x:v>Gemini-3.8-flash/Result/Math_34/result.json</x:v>
      </x:c>
    </x:row>
    <x:row r="721">
      <x:c r="A721" s="35" t="str">
        <x:v>gemini</x:v>
      </x:c>
      <x:c r="B721" s="35" t="str">
        <x:v>Math</x:v>
      </x:c>
      <x:c r="C721" s="35" t="str">
        <x:v>Round1</x:v>
      </x:c>
      <x:c r="D721" s="35" t="str">
        <x:v>Math_35</x:v>
      </x:c>
      <x:c r="E721" s="35" t="str">
        <x:v>Line</x:v>
      </x:c>
      <x:c r="F721" s="35"/>
      <x:c r="G721" s="35" t="str">
        <x:v>A</x:v>
      </x:c>
      <x:c r="H721" s="39" t="str">
        <x:f>IF(ISNUMBER('Data'!E721),'Data'!E721*100,"")</x:f>
      </x:c>
      <x:c r="I721" s="35"/>
      <x:c r="J721" s="35" t="str">
        <x:v>PASS</x:v>
      </x:c>
      <x:c r="K721" s="35" t="str">
        <x:v>FAIL</x:v>
      </x:c>
      <x:c r="L721" s="35" t="str">
        <x:v>NOT_RUN</x:v>
      </x:c>
      <x:c r="M721" s="35" t="str">
        <x:v>coverage unavailable or execution/compile failed</x:v>
      </x:c>
      <x:c r="N721" s="35" t="str">
        <x:v>Gemini-3.8-flash/Result/Math_35/result.json</x:v>
      </x:c>
      <x:c r="O721" s="39" t="str">
        <x:f>IF(AND(G721="RECORDED",ISNUMBER(H721)),H721,"")</x:f>
      </x:c>
      <x:c r="P721" s="35" t="str">
        <x:v>NOT_AVAILABLE</x:v>
      </x:c>
      <x:c r="Q721" s="35" t="str">
        <x:v>Gemini-3.8-flash/Result/Math_35/result.json</x:v>
      </x:c>
    </x:row>
    <x:row r="722">
      <x:c r="A722" s="35" t="str">
        <x:v>gemini</x:v>
      </x:c>
      <x:c r="B722" s="35" t="str">
        <x:v>Math</x:v>
      </x:c>
      <x:c r="C722" s="35" t="str">
        <x:v>Round1</x:v>
      </x:c>
      <x:c r="D722" s="35" t="str">
        <x:v>Math_36</x:v>
      </x:c>
      <x:c r="E722" s="35" t="str">
        <x:v>Line</x:v>
      </x:c>
      <x:c r="F722" s="35"/>
      <x:c r="G722" s="35" t="str">
        <x:v>A</x:v>
      </x:c>
      <x:c r="H722" s="39" t="str">
        <x:f>IF(ISNUMBER('Data'!E722),'Data'!E722*100,"")</x:f>
      </x:c>
      <x:c r="I722" s="35"/>
      <x:c r="J722" s="35" t="str">
        <x:v>PASS</x:v>
      </x:c>
      <x:c r="K722" s="35" t="str">
        <x:v>FAIL</x:v>
      </x:c>
      <x:c r="L722" s="35" t="str">
        <x:v>NOT_RUN</x:v>
      </x:c>
      <x:c r="M722" s="35" t="str">
        <x:v>coverage unavailable or execution/compile failed</x:v>
      </x:c>
      <x:c r="N722" s="35" t="str">
        <x:v>Gemini-3.8-flash/Result/Math_36/result.json</x:v>
      </x:c>
      <x:c r="O722" s="39" t="str">
        <x:f>IF(AND(G722="RECORDED",ISNUMBER(H722)),H722,"")</x:f>
      </x:c>
      <x:c r="P722" s="35" t="str">
        <x:v>NOT_AVAILABLE</x:v>
      </x:c>
      <x:c r="Q722" s="35" t="str">
        <x:v>Gemini-3.8-flash/Result/Math_36/result.json</x:v>
      </x:c>
    </x:row>
    <x:row r="723">
      <x:c r="A723" s="35" t="str">
        <x:v>gemini</x:v>
      </x:c>
      <x:c r="B723" s="35" t="str">
        <x:v>Math</x:v>
      </x:c>
      <x:c r="C723" s="35" t="str">
        <x:v>Round1</x:v>
      </x:c>
      <x:c r="D723" s="35" t="str">
        <x:v>Math_37</x:v>
      </x:c>
      <x:c r="E723" s="35" t="str">
        <x:v>Line</x:v>
      </x:c>
      <x:c r="F723" s="35" t="n">
        <x:v>220</x:v>
      </x:c>
      <x:c r="G723" s="35" t="str">
        <x:v>RECORDED</x:v>
      </x:c>
      <x:c r="H723" s="39" t="n">
        <x:f>IF(ISNUMBER('Data'!E723),'Data'!E723*100,"")</x:f>
        <x:v>5.45</x:v>
      </x:c>
      <x:c r="I723" s="35" t="str">
        <x:v>PASS</x:v>
      </x:c>
      <x:c r="J723" s="35" t="str">
        <x:v>PASS</x:v>
      </x:c>
      <x:c r="K723" s="35" t="str">
        <x:v>PASS</x:v>
      </x:c>
      <x:c r="L723" s="35" t="str">
        <x:v>PASS</x:v>
      </x:c>
      <x:c r="M723" s="35" t="str">
        <x:v>numeric coverage for applicable metric</x:v>
      </x:c>
      <x:c r="N723" s="35" t="str">
        <x:v>Gemini-3.8-flash/Result/Math_37/result.json</x:v>
      </x:c>
      <x:c r="O723" s="39" t="n">
        <x:f>IF(AND(G723="RECORDED",ISNUMBER(H723)),H723,"")</x:f>
        <x:v>5.45</x:v>
      </x:c>
      <x:c r="P723" s="35" t="str">
        <x:v>NOT_REVEALING</x:v>
      </x:c>
      <x:c r="Q723" s="35" t="str">
        <x:v>Gemini-3.8-flash/Result/Math_37/result.json</x:v>
      </x:c>
    </x:row>
    <x:row r="724">
      <x:c r="A724" s="35" t="str">
        <x:v>gemini</x:v>
      </x:c>
      <x:c r="B724" s="35" t="str">
        <x:v>Math</x:v>
      </x:c>
      <x:c r="C724" s="35" t="str">
        <x:v>Round1</x:v>
      </x:c>
      <x:c r="D724" s="35" t="str">
        <x:v>Math_38</x:v>
      </x:c>
      <x:c r="E724" s="35" t="str">
        <x:v>Line</x:v>
      </x:c>
      <x:c r="F724" s="35" t="n">
        <x:v>1200</x:v>
      </x:c>
      <x:c r="G724" s="35" t="str">
        <x:v>RECORDED</x:v>
      </x:c>
      <x:c r="H724" s="39" t="n">
        <x:f>IF(ISNUMBER('Data'!E724),'Data'!E724*100,"")</x:f>
        <x:v>0</x:v>
      </x:c>
      <x:c r="I724" s="35" t="str">
        <x:v>PASS</x:v>
      </x:c>
      <x:c r="J724" s="35" t="str">
        <x:v>PASS</x:v>
      </x:c>
      <x:c r="K724" s="35" t="str">
        <x:v>PASS</x:v>
      </x:c>
      <x:c r="L724" s="35" t="str">
        <x:v>PASS</x:v>
      </x:c>
      <x:c r="M724" s="35" t="str">
        <x:v>numeric coverage for applicable metric</x:v>
      </x:c>
      <x:c r="N724" s="35" t="str">
        <x:v>Gemini-3.8-flash/Result/Math_38/result.json</x:v>
      </x:c>
      <x:c r="O724" s="39" t="n">
        <x:f>IF(AND(G724="RECORDED",ISNUMBER(H724)),H724,"")</x:f>
        <x:v>0</x:v>
      </x:c>
      <x:c r="P724" s="35" t="str">
        <x:v>NOT_REVEALING</x:v>
      </x:c>
      <x:c r="Q724" s="35" t="str">
        <x:v>Gemini-3.8-flash/Result/Math_38/result.json</x:v>
      </x:c>
    </x:row>
    <x:row r="725">
      <x:c r="A725" s="35" t="str">
        <x:v>gemini</x:v>
      </x:c>
      <x:c r="B725" s="35" t="str">
        <x:v>Math</x:v>
      </x:c>
      <x:c r="C725" s="35" t="str">
        <x:v>Round1</x:v>
      </x:c>
      <x:c r="D725" s="35" t="str">
        <x:v>Math_39</x:v>
      </x:c>
      <x:c r="E725" s="35" t="str">
        <x:v>Line</x:v>
      </x:c>
      <x:c r="F725" s="35" t="n">
        <x:v>107</x:v>
      </x:c>
      <x:c r="G725" s="35" t="str">
        <x:v>RECORDED</x:v>
      </x:c>
      <x:c r="H725" s="39" t="n">
        <x:f>IF(ISNUMBER('Data'!E725),'Data'!E725*100,"")</x:f>
        <x:v>0</x:v>
      </x:c>
      <x:c r="I725" s="35" t="str">
        <x:v>PASS</x:v>
      </x:c>
      <x:c r="J725" s="35" t="str">
        <x:v>PASS</x:v>
      </x:c>
      <x:c r="K725" s="35" t="str">
        <x:v>PASS</x:v>
      </x:c>
      <x:c r="L725" s="35" t="str">
        <x:v>PASS</x:v>
      </x:c>
      <x:c r="M725" s="35" t="str">
        <x:v>numeric coverage for applicable metric</x:v>
      </x:c>
      <x:c r="N725" s="35" t="str">
        <x:v>Gemini-3.8-flash/Result/Math_39/result.json</x:v>
      </x:c>
      <x:c r="O725" s="39" t="n">
        <x:f>IF(AND(G725="RECORDED",ISNUMBER(H725)),H725,"")</x:f>
        <x:v>0</x:v>
      </x:c>
      <x:c r="P725" s="35" t="str">
        <x:v>NOT_REVEALING</x:v>
      </x:c>
      <x:c r="Q725" s="35" t="str">
        <x:v>Gemini-3.8-flash/Result/Math_39/result.json</x:v>
      </x:c>
    </x:row>
    <x:row r="726">
      <x:c r="A726" s="35" t="str">
        <x:v>gemini</x:v>
      </x:c>
      <x:c r="B726" s="35" t="str">
        <x:v>Math</x:v>
      </x:c>
      <x:c r="C726" s="35" t="str">
        <x:v>Round1</x:v>
      </x:c>
      <x:c r="D726" s="35" t="str">
        <x:v>Math_4</x:v>
      </x:c>
      <x:c r="E726" s="35" t="str">
        <x:v>Line</x:v>
      </x:c>
      <x:c r="F726" s="35" t="n">
        <x:v>84</x:v>
      </x:c>
      <x:c r="G726" s="35" t="str">
        <x:v>RECORDED</x:v>
      </x:c>
      <x:c r="H726" s="39" t="n">
        <x:f>IF(ISNUMBER('Data'!E726),'Data'!E726*100,"")</x:f>
        <x:v>29.76</x:v>
      </x:c>
      <x:c r="I726" s="35" t="str">
        <x:v>PASS</x:v>
      </x:c>
      <x:c r="J726" s="35" t="str">
        <x:v>PASS</x:v>
      </x:c>
      <x:c r="K726" s="35" t="str">
        <x:v>PASS</x:v>
      </x:c>
      <x:c r="L726" s="35" t="str">
        <x:v>FAIL</x:v>
      </x:c>
      <x:c r="M726" s="35" t="str">
        <x:v>numeric coverage for applicable metric</x:v>
      </x:c>
      <x:c r="N726" s="35" t="str">
        <x:v>Gemini-3.8-flash/Result/Math_4/result.json</x:v>
      </x:c>
      <x:c r="O726" s="39" t="n">
        <x:f>IF(AND(G726="RECORDED",ISNUMBER(H726)),H726,"")</x:f>
        <x:v>29.76</x:v>
      </x:c>
      <x:c r="P726" s="35" t="str">
        <x:v>INCONCLUSIVE</x:v>
      </x:c>
      <x:c r="Q726" s="35" t="str">
        <x:v>Gemini-3.8-flash/Result/Math_4/result.json</x:v>
      </x:c>
    </x:row>
    <x:row r="727">
      <x:c r="A727" s="35" t="str">
        <x:v>gemini</x:v>
      </x:c>
      <x:c r="B727" s="35" t="str">
        <x:v>Math</x:v>
      </x:c>
      <x:c r="C727" s="35" t="str">
        <x:v>Round1</x:v>
      </x:c>
      <x:c r="D727" s="35" t="str">
        <x:v>Math_40</x:v>
      </x:c>
      <x:c r="E727" s="35" t="str">
        <x:v>Line</x:v>
      </x:c>
      <x:c r="F727" s="35" t="n">
        <x:v>126</x:v>
      </x:c>
      <x:c r="G727" s="35" t="str">
        <x:v>RECORDED</x:v>
      </x:c>
      <x:c r="H727" s="39" t="n">
        <x:f>IF(ISNUMBER('Data'!E727),'Data'!E727*100,"")</x:f>
        <x:v>0</x:v>
      </x:c>
      <x:c r="I727" s="35" t="str">
        <x:v>PASS</x:v>
      </x:c>
      <x:c r="J727" s="35" t="str">
        <x:v>PASS</x:v>
      </x:c>
      <x:c r="K727" s="35" t="str">
        <x:v>PASS</x:v>
      </x:c>
      <x:c r="L727" s="35" t="str">
        <x:v>PASS</x:v>
      </x:c>
      <x:c r="M727" s="35" t="str">
        <x:v>numeric coverage for applicable metric</x:v>
      </x:c>
      <x:c r="N727" s="35" t="str">
        <x:v>Gemini-3.8-flash/Result/Math_40/result.json</x:v>
      </x:c>
      <x:c r="O727" s="39" t="n">
        <x:f>IF(AND(G727="RECORDED",ISNUMBER(H727)),H727,"")</x:f>
        <x:v>0</x:v>
      </x:c>
      <x:c r="P727" s="35" t="str">
        <x:v>NOT_REVEALING</x:v>
      </x:c>
      <x:c r="Q727" s="35" t="str">
        <x:v>Gemini-3.8-flash/Result/Math_40/result.json</x:v>
      </x:c>
    </x:row>
    <x:row r="728">
      <x:c r="A728" s="35" t="str">
        <x:v>gemini</x:v>
      </x:c>
      <x:c r="B728" s="35" t="str">
        <x:v>Math</x:v>
      </x:c>
      <x:c r="C728" s="35" t="str">
        <x:v>Round1</x:v>
      </x:c>
      <x:c r="D728" s="35" t="str">
        <x:v>Math_41</x:v>
      </x:c>
      <x:c r="E728" s="35" t="str">
        <x:v>Line</x:v>
      </x:c>
      <x:c r="F728" s="35" t="n">
        <x:v>112</x:v>
      </x:c>
      <x:c r="G728" s="35" t="str">
        <x:v>RECORDED</x:v>
      </x:c>
      <x:c r="H728" s="39" t="n">
        <x:f>IF(ISNUMBER('Data'!E728),'Data'!E728*100,"")</x:f>
        <x:v>0</x:v>
      </x:c>
      <x:c r="I728" s="35" t="str">
        <x:v>PASS</x:v>
      </x:c>
      <x:c r="J728" s="35" t="str">
        <x:v>PASS</x:v>
      </x:c>
      <x:c r="K728" s="35" t="str">
        <x:v>PASS</x:v>
      </x:c>
      <x:c r="L728" s="35" t="str">
        <x:v>PASS</x:v>
      </x:c>
      <x:c r="M728" s="35" t="str">
        <x:v>numeric coverage for applicable metric</x:v>
      </x:c>
      <x:c r="N728" s="35" t="str">
        <x:v>Gemini-3.8-flash/Result/Math_41/result.json</x:v>
      </x:c>
      <x:c r="O728" s="39" t="n">
        <x:f>IF(AND(G728="RECORDED",ISNUMBER(H728)),H728,"")</x:f>
        <x:v>0</x:v>
      </x:c>
      <x:c r="P728" s="35" t="str">
        <x:v>NOT_REVEALING</x:v>
      </x:c>
      <x:c r="Q728" s="35" t="str">
        <x:v>Gemini-3.8-flash/Result/Math_41/result.json</x:v>
      </x:c>
    </x:row>
    <x:row r="729">
      <x:c r="A729" s="35" t="str">
        <x:v>gemini</x:v>
      </x:c>
      <x:c r="B729" s="35" t="str">
        <x:v>Math</x:v>
      </x:c>
      <x:c r="C729" s="35" t="str">
        <x:v>Round1</x:v>
      </x:c>
      <x:c r="D729" s="35" t="str">
        <x:v>Math_42</x:v>
      </x:c>
      <x:c r="E729" s="35" t="str">
        <x:v>Line</x:v>
      </x:c>
      <x:c r="F729" s="35" t="n">
        <x:v>183</x:v>
      </x:c>
      <x:c r="G729" s="35" t="str">
        <x:v>RECORDED</x:v>
      </x:c>
      <x:c r="H729" s="39" t="n">
        <x:f>IF(ISNUMBER('Data'!E729),'Data'!E729*100,"")</x:f>
        <x:v>0</x:v>
      </x:c>
      <x:c r="I729" s="35" t="str">
        <x:v>PASS</x:v>
      </x:c>
      <x:c r="J729" s="35" t="str">
        <x:v>PASS</x:v>
      </x:c>
      <x:c r="K729" s="35" t="str">
        <x:v>PASS</x:v>
      </x:c>
      <x:c r="L729" s="35" t="str">
        <x:v>PASS</x:v>
      </x:c>
      <x:c r="M729" s="35" t="str">
        <x:v>numeric coverage for applicable metric</x:v>
      </x:c>
      <x:c r="N729" s="35" t="str">
        <x:v>Gemini-3.8-flash/Result/Math_42/result.json</x:v>
      </x:c>
      <x:c r="O729" s="39" t="n">
        <x:f>IF(AND(G729="RECORDED",ISNUMBER(H729)),H729,"")</x:f>
        <x:v>0</x:v>
      </x:c>
      <x:c r="P729" s="35" t="str">
        <x:v>NOT_REVEALING</x:v>
      </x:c>
      <x:c r="Q729" s="35" t="str">
        <x:v>Gemini-3.8-flash/Result/Math_42/result.json</x:v>
      </x:c>
    </x:row>
    <x:row r="730">
      <x:c r="A730" s="35" t="str">
        <x:v>gemini</x:v>
      </x:c>
      <x:c r="B730" s="35" t="str">
        <x:v>Math</x:v>
      </x:c>
      <x:c r="C730" s="35" t="str">
        <x:v>Round1</x:v>
      </x:c>
      <x:c r="D730" s="35" t="str">
        <x:v>Math_43</x:v>
      </x:c>
      <x:c r="E730" s="35" t="str">
        <x:v>Line</x:v>
      </x:c>
      <x:c r="F730" s="35" t="n">
        <x:v>192</x:v>
      </x:c>
      <x:c r="G730" s="35" t="str">
        <x:v>RECORDED</x:v>
      </x:c>
      <x:c r="H730" s="39" t="n">
        <x:f>IF(ISNUMBER('Data'!E730),'Data'!E730*100,"")</x:f>
        <x:v>0</x:v>
      </x:c>
      <x:c r="I730" s="35" t="str">
        <x:v>PASS</x:v>
      </x:c>
      <x:c r="J730" s="35" t="str">
        <x:v>PASS</x:v>
      </x:c>
      <x:c r="K730" s="35" t="str">
        <x:v>PASS</x:v>
      </x:c>
      <x:c r="L730" s="35" t="str">
        <x:v>PASS</x:v>
      </x:c>
      <x:c r="M730" s="35" t="str">
        <x:v>numeric coverage for applicable metric</x:v>
      </x:c>
      <x:c r="N730" s="35" t="str">
        <x:v>Gemini-3.8-flash/Result/Math_43/result.json</x:v>
      </x:c>
      <x:c r="O730" s="39" t="n">
        <x:f>IF(AND(G730="RECORDED",ISNUMBER(H730)),H730,"")</x:f>
        <x:v>0</x:v>
      </x:c>
      <x:c r="P730" s="35" t="str">
        <x:v>NOT_REVEALING</x:v>
      </x:c>
      <x:c r="Q730" s="35" t="str">
        <x:v>Gemini-3.8-flash/Result/Math_43/result.json</x:v>
      </x:c>
    </x:row>
    <x:row r="731">
      <x:c r="A731" s="35" t="str">
        <x:v>gemini</x:v>
      </x:c>
      <x:c r="B731" s="35" t="str">
        <x:v>Math</x:v>
      </x:c>
      <x:c r="C731" s="35" t="str">
        <x:v>Round1</x:v>
      </x:c>
      <x:c r="D731" s="35" t="str">
        <x:v>Math_44</x:v>
      </x:c>
      <x:c r="E731" s="35" t="str">
        <x:v>Line</x:v>
      </x:c>
      <x:c r="F731" s="35" t="n">
        <x:v>117</x:v>
      </x:c>
      <x:c r="G731" s="35" t="str">
        <x:v>RECORDED</x:v>
      </x:c>
      <x:c r="H731" s="39" t="n">
        <x:f>IF(ISNUMBER('Data'!E731),'Data'!E731*100,"")</x:f>
        <x:v>0</x:v>
      </x:c>
      <x:c r="I731" s="35" t="str">
        <x:v>PASS</x:v>
      </x:c>
      <x:c r="J731" s="35" t="str">
        <x:v>PASS</x:v>
      </x:c>
      <x:c r="K731" s="35" t="str">
        <x:v>PASS</x:v>
      </x:c>
      <x:c r="L731" s="35" t="str">
        <x:v>PASS</x:v>
      </x:c>
      <x:c r="M731" s="35" t="str">
        <x:v>numeric coverage for applicable metric</x:v>
      </x:c>
      <x:c r="N731" s="35" t="str">
        <x:v>Gemini-3.8-flash/Result/Math_44/result.json</x:v>
      </x:c>
      <x:c r="O731" s="39" t="n">
        <x:f>IF(AND(G731="RECORDED",ISNUMBER(H731)),H731,"")</x:f>
        <x:v>0</x:v>
      </x:c>
      <x:c r="P731" s="35" t="str">
        <x:v>NOT_REVEALING</x:v>
      </x:c>
      <x:c r="Q731" s="35" t="str">
        <x:v>Gemini-3.8-flash/Result/Math_44/result.json</x:v>
      </x:c>
    </x:row>
    <x:row r="732">
      <x:c r="A732" s="35" t="str">
        <x:v>gemini</x:v>
      </x:c>
      <x:c r="B732" s="35" t="str">
        <x:v>Math</x:v>
      </x:c>
      <x:c r="C732" s="35" t="str">
        <x:v>Round1</x:v>
      </x:c>
      <x:c r="D732" s="35" t="str">
        <x:v>Math_45</x:v>
      </x:c>
      <x:c r="E732" s="35" t="str">
        <x:v>Line</x:v>
      </x:c>
      <x:c r="F732" s="35" t="n">
        <x:v>97</x:v>
      </x:c>
      <x:c r="G732" s="35" t="str">
        <x:v>RECORDED</x:v>
      </x:c>
      <x:c r="H732" s="39" t="n">
        <x:f>IF(ISNUMBER('Data'!E732),'Data'!E732*100,"")</x:f>
        <x:v>0</x:v>
      </x:c>
      <x:c r="I732" s="35" t="str">
        <x:v>PASS</x:v>
      </x:c>
      <x:c r="J732" s="35" t="str">
        <x:v>PASS</x:v>
      </x:c>
      <x:c r="K732" s="35" t="str">
        <x:v>PASS</x:v>
      </x:c>
      <x:c r="L732" s="35" t="str">
        <x:v>PASS</x:v>
      </x:c>
      <x:c r="M732" s="35" t="str">
        <x:v>numeric coverage for applicable metric</x:v>
      </x:c>
      <x:c r="N732" s="35" t="str">
        <x:v>Gemini-3.8-flash/Result/Math_45/result.json</x:v>
      </x:c>
      <x:c r="O732" s="39" t="n">
        <x:f>IF(AND(G732="RECORDED",ISNUMBER(H732)),H732,"")</x:f>
        <x:v>0</x:v>
      </x:c>
      <x:c r="P732" s="35" t="str">
        <x:v>NOT_REVEALING</x:v>
      </x:c>
      <x:c r="Q732" s="35" t="str">
        <x:v>Gemini-3.8-flash/Result/Math_45/result.json</x:v>
      </x:c>
    </x:row>
    <x:row r="733">
      <x:c r="A733" s="35" t="str">
        <x:v>gemini</x:v>
      </x:c>
      <x:c r="B733" s="35" t="str">
        <x:v>Math</x:v>
      </x:c>
      <x:c r="C733" s="35" t="str">
        <x:v>Round1</x:v>
      </x:c>
      <x:c r="D733" s="35" t="str">
        <x:v>Math_46</x:v>
      </x:c>
      <x:c r="E733" s="35" t="str">
        <x:v>Line</x:v>
      </x:c>
      <x:c r="F733" s="35" t="n">
        <x:v>202</x:v>
      </x:c>
      <x:c r="G733" s="35" t="str">
        <x:v>RECORDED</x:v>
      </x:c>
      <x:c r="H733" s="39" t="n">
        <x:f>IF(ISNUMBER('Data'!E733),'Data'!E733*100,"")</x:f>
        <x:v>6.4399999999999995</x:v>
      </x:c>
      <x:c r="I733" s="35" t="str">
        <x:v>PASS</x:v>
      </x:c>
      <x:c r="J733" s="35" t="str">
        <x:v>PASS</x:v>
      </x:c>
      <x:c r="K733" s="35" t="str">
        <x:v>PASS</x:v>
      </x:c>
      <x:c r="L733" s="35" t="str">
        <x:v>PASS</x:v>
      </x:c>
      <x:c r="M733" s="35" t="str">
        <x:v>numeric coverage for applicable metric</x:v>
      </x:c>
      <x:c r="N733" s="35" t="str">
        <x:v>Gemini-3.8-flash/Result/Math_46/result.json</x:v>
      </x:c>
      <x:c r="O733" s="39" t="n">
        <x:f>IF(AND(G733="RECORDED",ISNUMBER(H733)),H733,"")</x:f>
        <x:v>6.4399999999999995</x:v>
      </x:c>
      <x:c r="P733" s="35" t="str">
        <x:v>NOT_REVEALING</x:v>
      </x:c>
      <x:c r="Q733" s="35" t="str">
        <x:v>Gemini-3.8-flash/Result/Math_46/result.json</x:v>
      </x:c>
    </x:row>
    <x:row r="734">
      <x:c r="A734" s="35" t="str">
        <x:v>gemini</x:v>
      </x:c>
      <x:c r="B734" s="35" t="str">
        <x:v>Math</x:v>
      </x:c>
      <x:c r="C734" s="35" t="str">
        <x:v>Round1</x:v>
      </x:c>
      <x:c r="D734" s="35" t="str">
        <x:v>Math_47</x:v>
      </x:c>
      <x:c r="E734" s="35" t="str">
        <x:v>Line</x:v>
      </x:c>
      <x:c r="F734" s="35" t="n">
        <x:v>201</x:v>
      </x:c>
      <x:c r="G734" s="35" t="str">
        <x:v>RECORDED</x:v>
      </x:c>
      <x:c r="H734" s="39" t="n">
        <x:f>IF(ISNUMBER('Data'!E734),'Data'!E734*100,"")</x:f>
        <x:v>5.97</x:v>
      </x:c>
      <x:c r="I734" s="35" t="str">
        <x:v>PASS</x:v>
      </x:c>
      <x:c r="J734" s="35" t="str">
        <x:v>PASS</x:v>
      </x:c>
      <x:c r="K734" s="35" t="str">
        <x:v>PASS</x:v>
      </x:c>
      <x:c r="L734" s="35" t="str">
        <x:v>PASS</x:v>
      </x:c>
      <x:c r="M734" s="35" t="str">
        <x:v>numeric coverage for applicable metric</x:v>
      </x:c>
      <x:c r="N734" s="35" t="str">
        <x:v>Gemini-3.8-flash/Result/Math_47/result.json</x:v>
      </x:c>
      <x:c r="O734" s="39" t="n">
        <x:f>IF(AND(G734="RECORDED",ISNUMBER(H734)),H734,"")</x:f>
        <x:v>5.97</x:v>
      </x:c>
      <x:c r="P734" s="35" t="str">
        <x:v>NOT_REVEALING</x:v>
      </x:c>
      <x:c r="Q734" s="35" t="str">
        <x:v>Gemini-3.8-flash/Result/Math_47/result.json</x:v>
      </x:c>
    </x:row>
    <x:row r="735">
      <x:c r="A735" s="35" t="str">
        <x:v>gemini</x:v>
      </x:c>
      <x:c r="B735" s="35" t="str">
        <x:v>Math</x:v>
      </x:c>
      <x:c r="C735" s="35" t="str">
        <x:v>Round1</x:v>
      </x:c>
      <x:c r="D735" s="35" t="str">
        <x:v>Math_48</x:v>
      </x:c>
      <x:c r="E735" s="35" t="str">
        <x:v>Line</x:v>
      </x:c>
      <x:c r="F735" s="35" t="n">
        <x:v>73</x:v>
      </x:c>
      <x:c r="G735" s="35" t="str">
        <x:v>RECORDED</x:v>
      </x:c>
      <x:c r="H735" s="39" t="n">
        <x:f>IF(ISNUMBER('Data'!E735),'Data'!E735*100,"")</x:f>
        <x:v>0</x:v>
      </x:c>
      <x:c r="I735" s="35" t="str">
        <x:v>PASS</x:v>
      </x:c>
      <x:c r="J735" s="35" t="str">
        <x:v>PASS</x:v>
      </x:c>
      <x:c r="K735" s="35" t="str">
        <x:v>PASS</x:v>
      </x:c>
      <x:c r="L735" s="35" t="str">
        <x:v>PASS</x:v>
      </x:c>
      <x:c r="M735" s="35" t="str">
        <x:v>numeric coverage for applicable metric</x:v>
      </x:c>
      <x:c r="N735" s="35" t="str">
        <x:v>Gemini-3.8-flash/Result/Math_48/result.json</x:v>
      </x:c>
      <x:c r="O735" s="39" t="n">
        <x:f>IF(AND(G735="RECORDED",ISNUMBER(H735)),H735,"")</x:f>
        <x:v>0</x:v>
      </x:c>
      <x:c r="P735" s="35" t="str">
        <x:v>NOT_REVEALING</x:v>
      </x:c>
      <x:c r="Q735" s="35" t="str">
        <x:v>Gemini-3.8-flash/Result/Math_48/result.json</x:v>
      </x:c>
    </x:row>
    <x:row r="736">
      <x:c r="A736" s="35" t="str">
        <x:v>gemini</x:v>
      </x:c>
      <x:c r="B736" s="35" t="str">
        <x:v>Math</x:v>
      </x:c>
      <x:c r="C736" s="35" t="str">
        <x:v>Round1</x:v>
      </x:c>
      <x:c r="D736" s="35" t="str">
        <x:v>Math_49</x:v>
      </x:c>
      <x:c r="E736" s="35" t="str">
        <x:v>Line</x:v>
      </x:c>
      <x:c r="F736" s="35" t="n">
        <x:v>378</x:v>
      </x:c>
      <x:c r="G736" s="35" t="str">
        <x:v>RECORDED</x:v>
      </x:c>
      <x:c r="H736" s="39" t="n">
        <x:f>IF(ISNUMBER('Data'!E736),'Data'!E736*100,"")</x:f>
        <x:v>0</x:v>
      </x:c>
      <x:c r="I736" s="35" t="str">
        <x:v>PASS</x:v>
      </x:c>
      <x:c r="J736" s="35" t="str">
        <x:v>PASS</x:v>
      </x:c>
      <x:c r="K736" s="35" t="str">
        <x:v>PASS</x:v>
      </x:c>
      <x:c r="L736" s="35" t="str">
        <x:v>PASS</x:v>
      </x:c>
      <x:c r="M736" s="35" t="str">
        <x:v>numeric coverage for applicable metric</x:v>
      </x:c>
      <x:c r="N736" s="35" t="str">
        <x:v>Gemini-3.8-flash/Result/Math_49/result.json</x:v>
      </x:c>
      <x:c r="O736" s="39" t="n">
        <x:f>IF(AND(G736="RECORDED",ISNUMBER(H736)),H736,"")</x:f>
        <x:v>0</x:v>
      </x:c>
      <x:c r="P736" s="35" t="str">
        <x:v>NOT_REVEALING</x:v>
      </x:c>
      <x:c r="Q736" s="35" t="str">
        <x:v>Gemini-3.8-flash/Result/Math_49/result.json</x:v>
      </x:c>
    </x:row>
    <x:row r="737">
      <x:c r="A737" s="35" t="str">
        <x:v>gemini</x:v>
      </x:c>
      <x:c r="B737" s="35" t="str">
        <x:v>Math</x:v>
      </x:c>
      <x:c r="C737" s="35" t="str">
        <x:v>Round1</x:v>
      </x:c>
      <x:c r="D737" s="35" t="str">
        <x:v>Math_5</x:v>
      </x:c>
      <x:c r="E737" s="35" t="str">
        <x:v>Line</x:v>
      </x:c>
      <x:c r="F737" s="35" t="n">
        <x:v>226</x:v>
      </x:c>
      <x:c r="G737" s="35" t="str">
        <x:v>RECORDED</x:v>
      </x:c>
      <x:c r="H737" s="39" t="n">
        <x:f>IF(ISNUMBER('Data'!E737),'Data'!E737*100,"")</x:f>
        <x:v>5.31</x:v>
      </x:c>
      <x:c r="I737" s="35" t="str">
        <x:v>PASS</x:v>
      </x:c>
      <x:c r="J737" s="35" t="str">
        <x:v>PASS</x:v>
      </x:c>
      <x:c r="K737" s="35" t="str">
        <x:v>PASS</x:v>
      </x:c>
      <x:c r="L737" s="35" t="str">
        <x:v>PASS</x:v>
      </x:c>
      <x:c r="M737" s="35" t="str">
        <x:v>numeric coverage for applicable metric</x:v>
      </x:c>
      <x:c r="N737" s="35" t="str">
        <x:v>Gemini-3.8-flash/Result/Math_5/result.json</x:v>
      </x:c>
      <x:c r="O737" s="39" t="n">
        <x:f>IF(AND(G737="RECORDED",ISNUMBER(H737)),H737,"")</x:f>
        <x:v>5.31</x:v>
      </x:c>
      <x:c r="P737" s="35" t="str">
        <x:v>NOT_REVEALING</x:v>
      </x:c>
      <x:c r="Q737" s="35" t="str">
        <x:v>Gemini-3.8-flash/Result/Math_5/result.json</x:v>
      </x:c>
    </x:row>
    <x:row r="738">
      <x:c r="A738" s="35" t="str">
        <x:v>gemini</x:v>
      </x:c>
      <x:c r="B738" s="35" t="str">
        <x:v>Math</x:v>
      </x:c>
      <x:c r="C738" s="35" t="str">
        <x:v>Round1</x:v>
      </x:c>
      <x:c r="D738" s="35" t="str">
        <x:v>Math_50</x:v>
      </x:c>
      <x:c r="E738" s="35" t="str">
        <x:v>Line</x:v>
      </x:c>
      <x:c r="F738" s="35" t="n">
        <x:v>75</x:v>
      </x:c>
      <x:c r="G738" s="35" t="str">
        <x:v>RECORDED</x:v>
      </x:c>
      <x:c r="H738" s="39" t="n">
        <x:f>IF(ISNUMBER('Data'!E738),'Data'!E738*100,"")</x:f>
        <x:v>0</x:v>
      </x:c>
      <x:c r="I738" s="35" t="str">
        <x:v>PASS</x:v>
      </x:c>
      <x:c r="J738" s="35" t="str">
        <x:v>PASS</x:v>
      </x:c>
      <x:c r="K738" s="35" t="str">
        <x:v>PASS</x:v>
      </x:c>
      <x:c r="L738" s="35" t="str">
        <x:v>PASS</x:v>
      </x:c>
      <x:c r="M738" s="35" t="str">
        <x:v>numeric coverage for applicable metric</x:v>
      </x:c>
      <x:c r="N738" s="35" t="str">
        <x:v>Gemini-3.8-flash/Result/Math_50/result.json</x:v>
      </x:c>
      <x:c r="O738" s="39" t="n">
        <x:f>IF(AND(G738="RECORDED",ISNUMBER(H738)),H738,"")</x:f>
        <x:v>0</x:v>
      </x:c>
      <x:c r="P738" s="35" t="str">
        <x:v>NOT_REVEALING</x:v>
      </x:c>
      <x:c r="Q738" s="35" t="str">
        <x:v>Gemini-3.8-flash/Result/Math_50/result.json</x:v>
      </x:c>
    </x:row>
    <x:row r="739">
      <x:c r="A739" s="35" t="str">
        <x:v>gemini</x:v>
      </x:c>
      <x:c r="B739" s="35" t="str">
        <x:v>Math</x:v>
      </x:c>
      <x:c r="C739" s="35" t="str">
        <x:v>Round1</x:v>
      </x:c>
      <x:c r="D739" s="35" t="str">
        <x:v>Math_51</x:v>
      </x:c>
      <x:c r="E739" s="35" t="str">
        <x:v>Line</x:v>
      </x:c>
      <x:c r="F739" s="35" t="n">
        <x:v>71</x:v>
      </x:c>
      <x:c r="G739" s="35" t="str">
        <x:v>RECORDED</x:v>
      </x:c>
      <x:c r="H739" s="39" t="n">
        <x:f>IF(ISNUMBER('Data'!E739),'Data'!E739*100,"")</x:f>
        <x:v>0</x:v>
      </x:c>
      <x:c r="I739" s="35" t="str">
        <x:v>PASS</x:v>
      </x:c>
      <x:c r="J739" s="35" t="str">
        <x:v>PASS</x:v>
      </x:c>
      <x:c r="K739" s="35" t="str">
        <x:v>PASS</x:v>
      </x:c>
      <x:c r="L739" s="35" t="str">
        <x:v>PASS</x:v>
      </x:c>
      <x:c r="M739" s="35" t="str">
        <x:v>numeric coverage for applicable metric</x:v>
      </x:c>
      <x:c r="N739" s="35" t="str">
        <x:v>Gemini-3.8-flash/Result/Math_51/result.json</x:v>
      </x:c>
      <x:c r="O739" s="39" t="n">
        <x:f>IF(AND(G739="RECORDED",ISNUMBER(H739)),H739,"")</x:f>
        <x:v>0</x:v>
      </x:c>
      <x:c r="P739" s="35" t="str">
        <x:v>NOT_REVEALING</x:v>
      </x:c>
      <x:c r="Q739" s="35" t="str">
        <x:v>Gemini-3.8-flash/Result/Math_51/result.json</x:v>
      </x:c>
    </x:row>
    <x:row r="740">
      <x:c r="A740" s="35" t="str">
        <x:v>gemini</x:v>
      </x:c>
      <x:c r="B740" s="35" t="str">
        <x:v>Math</x:v>
      </x:c>
      <x:c r="C740" s="35" t="str">
        <x:v>Round1</x:v>
      </x:c>
      <x:c r="D740" s="35" t="str">
        <x:v>Math_52</x:v>
      </x:c>
      <x:c r="E740" s="35" t="str">
        <x:v>Line</x:v>
      </x:c>
      <x:c r="F740" s="35" t="n">
        <x:v>367</x:v>
      </x:c>
      <x:c r="G740" s="35" t="str">
        <x:v>RECORDED</x:v>
      </x:c>
      <x:c r="H740" s="39" t="n">
        <x:f>IF(ISNUMBER('Data'!E740),'Data'!E740*100,"")</x:f>
        <x:v>2.18</x:v>
      </x:c>
      <x:c r="I740" s="35" t="str">
        <x:v>PASS</x:v>
      </x:c>
      <x:c r="J740" s="35" t="str">
        <x:v>PASS</x:v>
      </x:c>
      <x:c r="K740" s="35" t="str">
        <x:v>PASS</x:v>
      </x:c>
      <x:c r="L740" s="35" t="str">
        <x:v>PASS</x:v>
      </x:c>
      <x:c r="M740" s="35" t="str">
        <x:v>numeric coverage for applicable metric</x:v>
      </x:c>
      <x:c r="N740" s="35" t="str">
        <x:v>Gemini-3.8-flash/Result/Math_52/result.json</x:v>
      </x:c>
      <x:c r="O740" s="39" t="n">
        <x:f>IF(AND(G740="RECORDED",ISNUMBER(H740)),H740,"")</x:f>
        <x:v>2.18</x:v>
      </x:c>
      <x:c r="P740" s="35" t="str">
        <x:v>NOT_REVEALING</x:v>
      </x:c>
      <x:c r="Q740" s="35" t="str">
        <x:v>Gemini-3.8-flash/Result/Math_52/result.json</x:v>
      </x:c>
    </x:row>
    <x:row r="741">
      <x:c r="A741" s="35" t="str">
        <x:v>gemini</x:v>
      </x:c>
      <x:c r="B741" s="35" t="str">
        <x:v>Math</x:v>
      </x:c>
      <x:c r="C741" s="35" t="str">
        <x:v>Round1</x:v>
      </x:c>
      <x:c r="D741" s="35" t="str">
        <x:v>Math_53</x:v>
      </x:c>
      <x:c r="E741" s="35" t="str">
        <x:v>Line</x:v>
      </x:c>
      <x:c r="F741" s="35" t="n">
        <x:v>170</x:v>
      </x:c>
      <x:c r="G741" s="35" t="str">
        <x:v>RECORDED</x:v>
      </x:c>
      <x:c r="H741" s="39" t="n">
        <x:f>IF(ISNUMBER('Data'!E741),'Data'!E741*100,"")</x:f>
        <x:v>7.06</x:v>
      </x:c>
      <x:c r="I741" s="35" t="str">
        <x:v>PASS</x:v>
      </x:c>
      <x:c r="J741" s="35" t="str">
        <x:v>PASS</x:v>
      </x:c>
      <x:c r="K741" s="35" t="str">
        <x:v>PASS</x:v>
      </x:c>
      <x:c r="L741" s="35" t="str">
        <x:v>PASS</x:v>
      </x:c>
      <x:c r="M741" s="35" t="str">
        <x:v>numeric coverage for applicable metric</x:v>
      </x:c>
      <x:c r="N741" s="35" t="str">
        <x:v>Gemini-3.8-flash/Result/Math_53/result.json</x:v>
      </x:c>
      <x:c r="O741" s="39" t="n">
        <x:f>IF(AND(G741="RECORDED",ISNUMBER(H741)),H741,"")</x:f>
        <x:v>7.06</x:v>
      </x:c>
      <x:c r="P741" s="35" t="str">
        <x:v>NOT_REVEALING</x:v>
      </x:c>
      <x:c r="Q741" s="35" t="str">
        <x:v>Gemini-3.8-flash/Result/Math_53/result.json</x:v>
      </x:c>
    </x:row>
    <x:row r="742">
      <x:c r="A742" s="35" t="str">
        <x:v>gemini</x:v>
      </x:c>
      <x:c r="B742" s="35" t="str">
        <x:v>Math</x:v>
      </x:c>
      <x:c r="C742" s="35" t="str">
        <x:v>Round1</x:v>
      </x:c>
      <x:c r="D742" s="35" t="str">
        <x:v>Math_54</x:v>
      </x:c>
      <x:c r="E742" s="35" t="str">
        <x:v>Line</x:v>
      </x:c>
      <x:c r="F742" s="35" t="n">
        <x:v>996</x:v>
      </x:c>
      <x:c r="G742" s="35" t="str">
        <x:v>RECORDED</x:v>
      </x:c>
      <x:c r="H742" s="39" t="n">
        <x:f>IF(ISNUMBER('Data'!E742),'Data'!E742*100,"")</x:f>
        <x:v>0</x:v>
      </x:c>
      <x:c r="I742" s="35" t="str">
        <x:v>PASS</x:v>
      </x:c>
      <x:c r="J742" s="35" t="str">
        <x:v>PASS</x:v>
      </x:c>
      <x:c r="K742" s="35" t="str">
        <x:v>PASS</x:v>
      </x:c>
      <x:c r="L742" s="35" t="str">
        <x:v>PASS</x:v>
      </x:c>
      <x:c r="M742" s="35" t="str">
        <x:v>numeric coverage for applicable metric</x:v>
      </x:c>
      <x:c r="N742" s="35" t="str">
        <x:v>Gemini-3.8-flash/Result/Math_54/result.json</x:v>
      </x:c>
      <x:c r="O742" s="39" t="n">
        <x:f>IF(AND(G742="RECORDED",ISNUMBER(H742)),H742,"")</x:f>
        <x:v>0</x:v>
      </x:c>
      <x:c r="P742" s="35" t="str">
        <x:v>NOT_REVEALING</x:v>
      </x:c>
      <x:c r="Q742" s="35" t="str">
        <x:v>Gemini-3.8-flash/Result/Math_54/result.json</x:v>
      </x:c>
    </x:row>
    <x:row r="743">
      <x:c r="A743" s="35" t="str">
        <x:v>gemini</x:v>
      </x:c>
      <x:c r="B743" s="35" t="str">
        <x:v>Math</x:v>
      </x:c>
      <x:c r="C743" s="35" t="str">
        <x:v>Round1</x:v>
      </x:c>
      <x:c r="D743" s="35" t="str">
        <x:v>Math_55</x:v>
      </x:c>
      <x:c r="E743" s="35" t="str">
        <x:v>Line</x:v>
      </x:c>
      <x:c r="F743" s="35" t="n">
        <x:v>116</x:v>
      </x:c>
      <x:c r="G743" s="35" t="str">
        <x:v>RECORDED</x:v>
      </x:c>
      <x:c r="H743" s="39" t="n">
        <x:f>IF(ISNUMBER('Data'!E743),'Data'!E743*100,"")</x:f>
        <x:v>14.66</x:v>
      </x:c>
      <x:c r="I743" s="35" t="str">
        <x:v>PASS</x:v>
      </x:c>
      <x:c r="J743" s="35" t="str">
        <x:v>PASS</x:v>
      </x:c>
      <x:c r="K743" s="35" t="str">
        <x:v>PASS</x:v>
      </x:c>
      <x:c r="L743" s="35" t="str">
        <x:v>PASS</x:v>
      </x:c>
      <x:c r="M743" s="35" t="str">
        <x:v>numeric coverage for applicable metric</x:v>
      </x:c>
      <x:c r="N743" s="35" t="str">
        <x:v>Gemini-3.8-flash/Result/Math_55/result.json</x:v>
      </x:c>
      <x:c r="O743" s="39" t="n">
        <x:f>IF(AND(G743="RECORDED",ISNUMBER(H743)),H743,"")</x:f>
        <x:v>14.66</x:v>
      </x:c>
      <x:c r="P743" s="35" t="str">
        <x:v>NOT_REVEALING</x:v>
      </x:c>
      <x:c r="Q743" s="35" t="str">
        <x:v>Gemini-3.8-flash/Result/Math_55/result.json</x:v>
      </x:c>
    </x:row>
    <x:row r="744">
      <x:c r="A744" s="35" t="str">
        <x:v>gemini</x:v>
      </x:c>
      <x:c r="B744" s="35" t="str">
        <x:v>Math</x:v>
      </x:c>
      <x:c r="C744" s="35" t="str">
        <x:v>Round1</x:v>
      </x:c>
      <x:c r="D744" s="35" t="str">
        <x:v>Math_56</x:v>
      </x:c>
      <x:c r="E744" s="35" t="str">
        <x:v>Line</x:v>
      </x:c>
      <x:c r="F744" s="35" t="n">
        <x:v>75</x:v>
      </x:c>
      <x:c r="G744" s="35" t="str">
        <x:v>RECORDED</x:v>
      </x:c>
      <x:c r="H744" s="39" t="n">
        <x:f>IF(ISNUMBER('Data'!E744),'Data'!E744*100,"")</x:f>
        <x:v>0</x:v>
      </x:c>
      <x:c r="I744" s="35" t="str">
        <x:v>PASS</x:v>
      </x:c>
      <x:c r="J744" s="35" t="str">
        <x:v>PASS</x:v>
      </x:c>
      <x:c r="K744" s="35" t="str">
        <x:v>PASS</x:v>
      </x:c>
      <x:c r="L744" s="35" t="str">
        <x:v>FAIL</x:v>
      </x:c>
      <x:c r="M744" s="35" t="str">
        <x:v>numeric coverage for applicable metric</x:v>
      </x:c>
      <x:c r="N744" s="35" t="str">
        <x:v>Gemini-3.8-flash/Result/Math_56/result.json</x:v>
      </x:c>
      <x:c r="O744" s="39" t="n">
        <x:f>IF(AND(G744="RECORDED",ISNUMBER(H744)),H744,"")</x:f>
        <x:v>0</x:v>
      </x:c>
      <x:c r="P744" s="35" t="str">
        <x:v>INCONCLUSIVE</x:v>
      </x:c>
      <x:c r="Q744" s="35" t="str">
        <x:v>Gemini-3.8-flash/Result/Math_56/result.json</x:v>
      </x:c>
    </x:row>
    <x:row r="745">
      <x:c r="A745" s="35" t="str">
        <x:v>gemini</x:v>
      </x:c>
      <x:c r="B745" s="35" t="str">
        <x:v>Math</x:v>
      </x:c>
      <x:c r="C745" s="35" t="str">
        <x:v>Round1</x:v>
      </x:c>
      <x:c r="D745" s="35" t="str">
        <x:v>Math_57</x:v>
      </x:c>
      <x:c r="E745" s="35" t="str">
        <x:v>Line</x:v>
      </x:c>
      <x:c r="F745" s="35" t="n">
        <x:v>120</x:v>
      </x:c>
      <x:c r="G745" s="35" t="str">
        <x:v>RECORDED</x:v>
      </x:c>
      <x:c r="H745" s="39" t="n">
        <x:f>IF(ISNUMBER('Data'!E745),'Data'!E745*100,"")</x:f>
        <x:v>0</x:v>
      </x:c>
      <x:c r="I745" s="35" t="str">
        <x:v>PASS</x:v>
      </x:c>
      <x:c r="J745" s="35" t="str">
        <x:v>PASS</x:v>
      </x:c>
      <x:c r="K745" s="35" t="str">
        <x:v>PASS</x:v>
      </x:c>
      <x:c r="L745" s="35" t="str">
        <x:v>PASS</x:v>
      </x:c>
      <x:c r="M745" s="35" t="str">
        <x:v>numeric coverage for applicable metric</x:v>
      </x:c>
      <x:c r="N745" s="35" t="str">
        <x:v>Gemini-3.8-flash/Result/Math_57/result.json</x:v>
      </x:c>
      <x:c r="O745" s="39" t="n">
        <x:f>IF(AND(G745="RECORDED",ISNUMBER(H745)),H745,"")</x:f>
        <x:v>0</x:v>
      </x:c>
      <x:c r="P745" s="35" t="str">
        <x:v>NOT_REVEALING</x:v>
      </x:c>
      <x:c r="Q745" s="35" t="str">
        <x:v>Gemini-3.8-flash/Result/Math_57/result.json</x:v>
      </x:c>
    </x:row>
    <x:row r="746">
      <x:c r="A746" s="35" t="str">
        <x:v>gemini</x:v>
      </x:c>
      <x:c r="B746" s="35" t="str">
        <x:v>Math</x:v>
      </x:c>
      <x:c r="C746" s="35" t="str">
        <x:v>Round1</x:v>
      </x:c>
      <x:c r="D746" s="35" t="str">
        <x:v>Math_58</x:v>
      </x:c>
      <x:c r="E746" s="35" t="str">
        <x:v>Line</x:v>
      </x:c>
      <x:c r="F746" s="35" t="n">
        <x:v>96</x:v>
      </x:c>
      <x:c r="G746" s="35" t="str">
        <x:v>RECORDED</x:v>
      </x:c>
      <x:c r="H746" s="39" t="n">
        <x:f>IF(ISNUMBER('Data'!E746),'Data'!E746*100,"")</x:f>
        <x:v>0</x:v>
      </x:c>
      <x:c r="I746" s="35" t="str">
        <x:v>PASS</x:v>
      </x:c>
      <x:c r="J746" s="35" t="str">
        <x:v>PASS</x:v>
      </x:c>
      <x:c r="K746" s="35" t="str">
        <x:v>PASS</x:v>
      </x:c>
      <x:c r="L746" s="35" t="str">
        <x:v>FAIL</x:v>
      </x:c>
      <x:c r="M746" s="35" t="str">
        <x:v>numeric coverage for applicable metric</x:v>
      </x:c>
      <x:c r="N746" s="35" t="str">
        <x:v>Gemini-3.8-flash/Result/Math_58/result.json</x:v>
      </x:c>
      <x:c r="O746" s="39" t="n">
        <x:f>IF(AND(G746="RECORDED",ISNUMBER(H746)),H746,"")</x:f>
        <x:v>0</x:v>
      </x:c>
      <x:c r="P746" s="35" t="str">
        <x:v>INCONCLUSIVE</x:v>
      </x:c>
      <x:c r="Q746" s="35" t="str">
        <x:v>Gemini-3.8-flash/Result/Math_58/result.json</x:v>
      </x:c>
    </x:row>
    <x:row r="747">
      <x:c r="A747" s="35" t="str">
        <x:v>gemini</x:v>
      </x:c>
      <x:c r="B747" s="35" t="str">
        <x:v>Math</x:v>
      </x:c>
      <x:c r="C747" s="35" t="str">
        <x:v>Round1</x:v>
      </x:c>
      <x:c r="D747" s="35" t="str">
        <x:v>Math_59</x:v>
      </x:c>
      <x:c r="E747" s="35" t="str">
        <x:v>Line</x:v>
      </x:c>
      <x:c r="F747" s="35" t="n">
        <x:v>1549</x:v>
      </x:c>
      <x:c r="G747" s="35" t="str">
        <x:v>RECORDED</x:v>
      </x:c>
      <x:c r="H747" s="39" t="n">
        <x:f>IF(ISNUMBER('Data'!E747),'Data'!E747*100,"")</x:f>
        <x:v>18.4</x:v>
      </x:c>
      <x:c r="I747" s="35" t="str">
        <x:v>PASS</x:v>
      </x:c>
      <x:c r="J747" s="35" t="str">
        <x:v>PASS</x:v>
      </x:c>
      <x:c r="K747" s="35" t="str">
        <x:v>PASS</x:v>
      </x:c>
      <x:c r="L747" s="35" t="str">
        <x:v>PASS</x:v>
      </x:c>
      <x:c r="M747" s="35" t="str">
        <x:v>numeric coverage for applicable metric</x:v>
      </x:c>
      <x:c r="N747" s="35" t="str">
        <x:v>Gemini-3.8-flash/Result/Math_59/result.json</x:v>
      </x:c>
      <x:c r="O747" s="39" t="n">
        <x:f>IF(AND(G747="RECORDED",ISNUMBER(H747)),H747,"")</x:f>
        <x:v>18.4</x:v>
      </x:c>
      <x:c r="P747" s="35" t="str">
        <x:v>NOT_REVEALING</x:v>
      </x:c>
      <x:c r="Q747" s="35" t="str">
        <x:v>Gemini-3.8-flash/Result/Math_59/result.json</x:v>
      </x:c>
    </x:row>
    <x:row r="748">
      <x:c r="A748" s="35" t="str">
        <x:v>gemini</x:v>
      </x:c>
      <x:c r="B748" s="35" t="str">
        <x:v>Math</x:v>
      </x:c>
      <x:c r="C748" s="35" t="str">
        <x:v>Round1</x:v>
      </x:c>
      <x:c r="D748" s="35" t="str">
        <x:v>Math_6</x:v>
      </x:c>
      <x:c r="E748" s="35" t="str">
        <x:v>Line</x:v>
      </x:c>
      <x:c r="F748" s="35" t="n">
        <x:v>1204</x:v>
      </x:c>
      <x:c r="G748" s="35" t="str">
        <x:v>RECORDED</x:v>
      </x:c>
      <x:c r="H748" s="39" t="n">
        <x:f>IF(ISNUMBER('Data'!E748),'Data'!E748*100,"")</x:f>
        <x:v>0.08</x:v>
      </x:c>
      <x:c r="I748" s="35" t="str">
        <x:v>PASS</x:v>
      </x:c>
      <x:c r="J748" s="35" t="str">
        <x:v>PASS</x:v>
      </x:c>
      <x:c r="K748" s="35" t="str">
        <x:v>PASS</x:v>
      </x:c>
      <x:c r="L748" s="35" t="str">
        <x:v>FAIL</x:v>
      </x:c>
      <x:c r="M748" s="35" t="str">
        <x:v>numeric coverage for applicable metric</x:v>
      </x:c>
      <x:c r="N748" s="35" t="str">
        <x:v>Gemini-3.8-flash/Result/Math_6/result.json</x:v>
      </x:c>
      <x:c r="O748" s="39" t="n">
        <x:f>IF(AND(G748="RECORDED",ISNUMBER(H748)),H748,"")</x:f>
        <x:v>0.08</x:v>
      </x:c>
      <x:c r="P748" s="35" t="str">
        <x:v>INCONCLUSIVE</x:v>
      </x:c>
      <x:c r="Q748" s="35" t="str">
        <x:v>Gemini-3.8-flash/Result/Math_6/result.json</x:v>
      </x:c>
    </x:row>
    <x:row r="749">
      <x:c r="A749" s="35" t="str">
        <x:v>gemini</x:v>
      </x:c>
      <x:c r="B749" s="35" t="str">
        <x:v>Math</x:v>
      </x:c>
      <x:c r="C749" s="35" t="str">
        <x:v>Round1</x:v>
      </x:c>
      <x:c r="D749" s="35" t="str">
        <x:v>Math_60</x:v>
      </x:c>
      <x:c r="E749" s="35" t="str">
        <x:v>Line</x:v>
      </x:c>
      <x:c r="F749" s="35"/>
      <x:c r="G749" s="35" t="str">
        <x:v>A</x:v>
      </x:c>
      <x:c r="H749" s="39" t="str">
        <x:f>IF(ISNUMBER('Data'!E749),'Data'!E749*100,"")</x:f>
      </x:c>
      <x:c r="I749" s="35"/>
      <x:c r="J749" s="35" t="str">
        <x:v>PASS</x:v>
      </x:c>
      <x:c r="K749" s="35" t="str">
        <x:v>FAIL</x:v>
      </x:c>
      <x:c r="L749" s="35" t="str">
        <x:v>NOT_RUN</x:v>
      </x:c>
      <x:c r="M749" s="35" t="str">
        <x:v>coverage unavailable or execution/compile failed</x:v>
      </x:c>
      <x:c r="N749" s="35" t="str">
        <x:v>Gemini-3.8-flash/Result/Math_60/result.json</x:v>
      </x:c>
      <x:c r="O749" s="39" t="str">
        <x:f>IF(AND(G749="RECORDED",ISNUMBER(H749)),H749,"")</x:f>
      </x:c>
      <x:c r="P749" s="35" t="str">
        <x:v>NOT_AVAILABLE</x:v>
      </x:c>
      <x:c r="Q749" s="35" t="str">
        <x:v>Gemini-3.8-flash/Result/Math_60/result.json</x:v>
      </x:c>
    </x:row>
    <x:row r="750">
      <x:c r="A750" s="35" t="str">
        <x:v>gemini</x:v>
      </x:c>
      <x:c r="B750" s="35" t="str">
        <x:v>Math</x:v>
      </x:c>
      <x:c r="C750" s="35" t="str">
        <x:v>Round1</x:v>
      </x:c>
      <x:c r="D750" s="35" t="str">
        <x:v>Math_61</x:v>
      </x:c>
      <x:c r="E750" s="35" t="str">
        <x:v>Line</x:v>
      </x:c>
      <x:c r="F750" s="35" t="n">
        <x:v>34</x:v>
      </x:c>
      <x:c r="G750" s="35" t="str">
        <x:v>RECORDED</x:v>
      </x:c>
      <x:c r="H750" s="39" t="n">
        <x:f>IF(ISNUMBER('Data'!E750),'Data'!E750*100,"")</x:f>
        <x:v>0</x:v>
      </x:c>
      <x:c r="I750" s="35" t="str">
        <x:v>PASS</x:v>
      </x:c>
      <x:c r="J750" s="35" t="str">
        <x:v>PASS</x:v>
      </x:c>
      <x:c r="K750" s="35" t="str">
        <x:v>PASS</x:v>
      </x:c>
      <x:c r="L750" s="35" t="str">
        <x:v>PASS</x:v>
      </x:c>
      <x:c r="M750" s="35" t="str">
        <x:v>numeric coverage for applicable metric</x:v>
      </x:c>
      <x:c r="N750" s="35" t="str">
        <x:v>Gemini-3.8-flash/Result/Math_61/result.json</x:v>
      </x:c>
      <x:c r="O750" s="39" t="n">
        <x:f>IF(AND(G750="RECORDED",ISNUMBER(H750)),H750,"")</x:f>
        <x:v>0</x:v>
      </x:c>
      <x:c r="P750" s="35" t="str">
        <x:v>NOT_REVEALING</x:v>
      </x:c>
      <x:c r="Q750" s="35" t="str">
        <x:v>Gemini-3.8-flash/Result/Math_61/result.json</x:v>
      </x:c>
    </x:row>
    <x:row r="751">
      <x:c r="A751" s="35" t="str">
        <x:v>gemini</x:v>
      </x:c>
      <x:c r="B751" s="35" t="str">
        <x:v>Math</x:v>
      </x:c>
      <x:c r="C751" s="35" t="str">
        <x:v>Round1</x:v>
      </x:c>
      <x:c r="D751" s="35" t="str">
        <x:v>Math_62</x:v>
      </x:c>
      <x:c r="E751" s="35" t="str">
        <x:v>Line</x:v>
      </x:c>
      <x:c r="F751" s="35" t="n">
        <x:v>47</x:v>
      </x:c>
      <x:c r="G751" s="35" t="str">
        <x:v>RECORDED</x:v>
      </x:c>
      <x:c r="H751" s="39" t="n">
        <x:f>IF(ISNUMBER('Data'!E751),'Data'!E751*100,"")</x:f>
        <x:v>0</x:v>
      </x:c>
      <x:c r="I751" s="35" t="str">
        <x:v>PASS</x:v>
      </x:c>
      <x:c r="J751" s="35" t="str">
        <x:v>PASS</x:v>
      </x:c>
      <x:c r="K751" s="35" t="str">
        <x:v>PASS</x:v>
      </x:c>
      <x:c r="L751" s="35" t="str">
        <x:v>FAIL</x:v>
      </x:c>
      <x:c r="M751" s="35" t="str">
        <x:v>numeric coverage for applicable metric</x:v>
      </x:c>
      <x:c r="N751" s="35" t="str">
        <x:v>Gemini-3.8-flash/Result/Math_62/result.json</x:v>
      </x:c>
      <x:c r="O751" s="39" t="n">
        <x:f>IF(AND(G751="RECORDED",ISNUMBER(H751)),H751,"")</x:f>
        <x:v>0</x:v>
      </x:c>
      <x:c r="P751" s="35" t="str">
        <x:v>INCONCLUSIVE</x:v>
      </x:c>
      <x:c r="Q751" s="35" t="str">
        <x:v>Gemini-3.8-flash/Result/Math_62/result.json</x:v>
      </x:c>
    </x:row>
    <x:row r="752">
      <x:c r="A752" s="35" t="str">
        <x:v>gemini</x:v>
      </x:c>
      <x:c r="B752" s="35" t="str">
        <x:v>Math</x:v>
      </x:c>
      <x:c r="C752" s="35" t="str">
        <x:v>Round1</x:v>
      </x:c>
      <x:c r="D752" s="35" t="str">
        <x:v>Math_63</x:v>
      </x:c>
      <x:c r="E752" s="35" t="str">
        <x:v>Line</x:v>
      </x:c>
      <x:c r="F752" s="35" t="n">
        <x:v>518</x:v>
      </x:c>
      <x:c r="G752" s="35" t="str">
        <x:v>RECORDED</x:v>
      </x:c>
      <x:c r="H752" s="39" t="n">
        <x:f>IF(ISNUMBER('Data'!E752),'Data'!E752*100,"")</x:f>
        <x:v>0.39</x:v>
      </x:c>
      <x:c r="I752" s="35" t="str">
        <x:v>PASS</x:v>
      </x:c>
      <x:c r="J752" s="35" t="str">
        <x:v>PASS</x:v>
      </x:c>
      <x:c r="K752" s="35" t="str">
        <x:v>PASS</x:v>
      </x:c>
      <x:c r="L752" s="35" t="str">
        <x:v>PASS</x:v>
      </x:c>
      <x:c r="M752" s="35" t="str">
        <x:v>numeric coverage for applicable metric</x:v>
      </x:c>
      <x:c r="N752" s="35" t="str">
        <x:v>Gemini-3.8-flash/Result/Math_63/result.json</x:v>
      </x:c>
      <x:c r="O752" s="39" t="n">
        <x:f>IF(AND(G752="RECORDED",ISNUMBER(H752)),H752,"")</x:f>
        <x:v>0.39</x:v>
      </x:c>
      <x:c r="P752" s="35" t="str">
        <x:v>NOT_REVEALING</x:v>
      </x:c>
      <x:c r="Q752" s="35" t="str">
        <x:v>Gemini-3.8-flash/Result/Math_63/result.json</x:v>
      </x:c>
    </x:row>
    <x:row r="753">
      <x:c r="A753" s="35" t="str">
        <x:v>gemini</x:v>
      </x:c>
      <x:c r="B753" s="35" t="str">
        <x:v>Math</x:v>
      </x:c>
      <x:c r="C753" s="35" t="str">
        <x:v>Round1</x:v>
      </x:c>
      <x:c r="D753" s="35" t="str">
        <x:v>Math_64</x:v>
      </x:c>
      <x:c r="E753" s="35" t="str">
        <x:v>Line</x:v>
      </x:c>
      <x:c r="F753" s="35" t="n">
        <x:v>342</x:v>
      </x:c>
      <x:c r="G753" s="35" t="str">
        <x:v>RECORDED</x:v>
      </x:c>
      <x:c r="H753" s="39" t="n">
        <x:f>IF(ISNUMBER('Data'!E753),'Data'!E753*100,"")</x:f>
        <x:v>0</x:v>
      </x:c>
      <x:c r="I753" s="35" t="str">
        <x:v>PASS</x:v>
      </x:c>
      <x:c r="J753" s="35" t="str">
        <x:v>PASS</x:v>
      </x:c>
      <x:c r="K753" s="35" t="str">
        <x:v>PASS</x:v>
      </x:c>
      <x:c r="L753" s="35" t="str">
        <x:v>PASS</x:v>
      </x:c>
      <x:c r="M753" s="35" t="str">
        <x:v>numeric coverage for applicable metric</x:v>
      </x:c>
      <x:c r="N753" s="35" t="str">
        <x:v>Gemini-3.8-flash/Result/Math_64/result.json</x:v>
      </x:c>
      <x:c r="O753" s="39" t="n">
        <x:f>IF(AND(G753="RECORDED",ISNUMBER(H753)),H753,"")</x:f>
        <x:v>0</x:v>
      </x:c>
      <x:c r="P753" s="35" t="str">
        <x:v>NOT_REVEALING</x:v>
      </x:c>
      <x:c r="Q753" s="35" t="str">
        <x:v>Gemini-3.8-flash/Result/Math_64/result.json</x:v>
      </x:c>
    </x:row>
    <x:row r="754">
      <x:c r="A754" s="35" t="str">
        <x:v>gemini</x:v>
      </x:c>
      <x:c r="B754" s="35" t="str">
        <x:v>Math</x:v>
      </x:c>
      <x:c r="C754" s="35" t="str">
        <x:v>Round1</x:v>
      </x:c>
      <x:c r="D754" s="35" t="str">
        <x:v>Math_65</x:v>
      </x:c>
      <x:c r="E754" s="35" t="str">
        <x:v>Line</x:v>
      </x:c>
      <x:c r="F754" s="35" t="n">
        <x:v>96</x:v>
      </x:c>
      <x:c r="G754" s="35" t="str">
        <x:v>RECORDED</x:v>
      </x:c>
      <x:c r="H754" s="39" t="n">
        <x:f>IF(ISNUMBER('Data'!E754),'Data'!E754*100,"")</x:f>
        <x:v>0</x:v>
      </x:c>
      <x:c r="I754" s="35" t="str">
        <x:v>PASS</x:v>
      </x:c>
      <x:c r="J754" s="35" t="str">
        <x:v>PASS</x:v>
      </x:c>
      <x:c r="K754" s="35" t="str">
        <x:v>PASS</x:v>
      </x:c>
      <x:c r="L754" s="35" t="str">
        <x:v>PASS</x:v>
      </x:c>
      <x:c r="M754" s="35" t="str">
        <x:v>numeric coverage for applicable metric</x:v>
      </x:c>
      <x:c r="N754" s="35" t="str">
        <x:v>Gemini-3.8-flash/Result/Math_65/result.json</x:v>
      </x:c>
      <x:c r="O754" s="39" t="n">
        <x:f>IF(AND(G754="RECORDED",ISNUMBER(H754)),H754,"")</x:f>
        <x:v>0</x:v>
      </x:c>
      <x:c r="P754" s="35" t="str">
        <x:v>NOT_REVEALING</x:v>
      </x:c>
      <x:c r="Q754" s="35" t="str">
        <x:v>Gemini-3.8-flash/Result/Math_65/result.json</x:v>
      </x:c>
    </x:row>
    <x:row r="755">
      <x:c r="A755" s="35" t="str">
        <x:v>gemini</x:v>
      </x:c>
      <x:c r="B755" s="35" t="str">
        <x:v>Math</x:v>
      </x:c>
      <x:c r="C755" s="35" t="str">
        <x:v>Round1</x:v>
      </x:c>
      <x:c r="D755" s="35" t="str">
        <x:v>Math_66</x:v>
      </x:c>
      <x:c r="E755" s="35" t="str">
        <x:v>Line</x:v>
      </x:c>
      <x:c r="F755" s="35" t="n">
        <x:v>102</x:v>
      </x:c>
      <x:c r="G755" s="35" t="str">
        <x:v>RECORDED</x:v>
      </x:c>
      <x:c r="H755" s="39" t="n">
        <x:f>IF(ISNUMBER('Data'!E755),'Data'!E755*100,"")</x:f>
        <x:v>0.98</x:v>
      </x:c>
      <x:c r="I755" s="35" t="str">
        <x:v>PASS</x:v>
      </x:c>
      <x:c r="J755" s="35" t="str">
        <x:v>PASS</x:v>
      </x:c>
      <x:c r="K755" s="35" t="str">
        <x:v>PASS</x:v>
      </x:c>
      <x:c r="L755" s="35" t="str">
        <x:v>PASS</x:v>
      </x:c>
      <x:c r="M755" s="35" t="str">
        <x:v>numeric coverage for applicable metric</x:v>
      </x:c>
      <x:c r="N755" s="35" t="str">
        <x:v>Gemini-3.8-flash/Result/Math_66/result.json</x:v>
      </x:c>
      <x:c r="O755" s="39" t="n">
        <x:f>IF(AND(G755="RECORDED",ISNUMBER(H755)),H755,"")</x:f>
        <x:v>0.98</x:v>
      </x:c>
      <x:c r="P755" s="35" t="str">
        <x:v>INCONCLUSIVE</x:v>
      </x:c>
      <x:c r="Q755" s="35" t="str">
        <x:v>Gemini-3.8-flash/Result/Math_66/result.json</x:v>
      </x:c>
    </x:row>
    <x:row r="756">
      <x:c r="A756" s="35" t="str">
        <x:v>gemini</x:v>
      </x:c>
      <x:c r="B756" s="35" t="str">
        <x:v>Math</x:v>
      </x:c>
      <x:c r="C756" s="35" t="str">
        <x:v>Round1</x:v>
      </x:c>
      <x:c r="D756" s="35" t="str">
        <x:v>Math_67</x:v>
      </x:c>
      <x:c r="E756" s="35" t="str">
        <x:v>Line</x:v>
      </x:c>
      <x:c r="F756" s="35" t="n">
        <x:v>93</x:v>
      </x:c>
      <x:c r="G756" s="35" t="str">
        <x:v>RECORDED</x:v>
      </x:c>
      <x:c r="H756" s="39" t="n">
        <x:f>IF(ISNUMBER('Data'!E756),'Data'!E756*100,"")</x:f>
        <x:v>0</x:v>
      </x:c>
      <x:c r="I756" s="35" t="str">
        <x:v>PASS</x:v>
      </x:c>
      <x:c r="J756" s="35" t="str">
        <x:v>PASS</x:v>
      </x:c>
      <x:c r="K756" s="35" t="str">
        <x:v>PASS</x:v>
      </x:c>
      <x:c r="L756" s="35" t="str">
        <x:v>PASS</x:v>
      </x:c>
      <x:c r="M756" s="35" t="str">
        <x:v>numeric coverage for applicable metric</x:v>
      </x:c>
      <x:c r="N756" s="35" t="str">
        <x:v>Gemini-3.8-flash/Result/Math_67/result.json</x:v>
      </x:c>
      <x:c r="O756" s="39" t="n">
        <x:f>IF(AND(G756="RECORDED",ISNUMBER(H756)),H756,"")</x:f>
        <x:v>0</x:v>
      </x:c>
      <x:c r="P756" s="35" t="str">
        <x:v>NOT_REVEALING</x:v>
      </x:c>
      <x:c r="Q756" s="35" t="str">
        <x:v>Gemini-3.8-flash/Result/Math_67/result.json</x:v>
      </x:c>
    </x:row>
    <x:row r="757">
      <x:c r="A757" s="35" t="str">
        <x:v>gemini</x:v>
      </x:c>
      <x:c r="B757" s="35" t="str">
        <x:v>Math</x:v>
      </x:c>
      <x:c r="C757" s="35" t="str">
        <x:v>Round1</x:v>
      </x:c>
      <x:c r="D757" s="35" t="str">
        <x:v>Math_68</x:v>
      </x:c>
      <x:c r="E757" s="35" t="str">
        <x:v>Line</x:v>
      </x:c>
      <x:c r="F757" s="35" t="n">
        <x:v>332</x:v>
      </x:c>
      <x:c r="G757" s="35" t="str">
        <x:v>RECORDED</x:v>
      </x:c>
      <x:c r="H757" s="39" t="n">
        <x:f>IF(ISNUMBER('Data'!E757),'Data'!E757*100,"")</x:f>
        <x:v>0</x:v>
      </x:c>
      <x:c r="I757" s="35" t="str">
        <x:v>PASS</x:v>
      </x:c>
      <x:c r="J757" s="35" t="str">
        <x:v>PASS</x:v>
      </x:c>
      <x:c r="K757" s="35" t="str">
        <x:v>PASS</x:v>
      </x:c>
      <x:c r="L757" s="35" t="str">
        <x:v>PASS</x:v>
      </x:c>
      <x:c r="M757" s="35" t="str">
        <x:v>numeric coverage for applicable metric</x:v>
      </x:c>
      <x:c r="N757" s="35" t="str">
        <x:v>Gemini-3.8-flash/Result/Math_68/result.json</x:v>
      </x:c>
      <x:c r="O757" s="39" t="n">
        <x:f>IF(AND(G757="RECORDED",ISNUMBER(H757)),H757,"")</x:f>
        <x:v>0</x:v>
      </x:c>
      <x:c r="P757" s="35" t="str">
        <x:v>NOT_REVEALING</x:v>
      </x:c>
      <x:c r="Q757" s="35" t="str">
        <x:v>Gemini-3.8-flash/Result/Math_68/result.json</x:v>
      </x:c>
    </x:row>
    <x:row r="758">
      <x:c r="A758" s="35" t="str">
        <x:v>gemini</x:v>
      </x:c>
      <x:c r="B758" s="35" t="str">
        <x:v>Math</x:v>
      </x:c>
      <x:c r="C758" s="35" t="str">
        <x:v>Round1</x:v>
      </x:c>
      <x:c r="D758" s="35" t="str">
        <x:v>Math_69</x:v>
      </x:c>
      <x:c r="E758" s="35" t="str">
        <x:v>Line</x:v>
      </x:c>
      <x:c r="F758" s="35" t="n">
        <x:v>75</x:v>
      </x:c>
      <x:c r="G758" s="35" t="str">
        <x:v>RECORDED</x:v>
      </x:c>
      <x:c r="H758" s="39" t="n">
        <x:f>IF(ISNUMBER('Data'!E758),'Data'!E758*100,"")</x:f>
        <x:v>0</x:v>
      </x:c>
      <x:c r="I758" s="35" t="str">
        <x:v>PASS</x:v>
      </x:c>
      <x:c r="J758" s="35" t="str">
        <x:v>PASS</x:v>
      </x:c>
      <x:c r="K758" s="35" t="str">
        <x:v>PASS</x:v>
      </x:c>
      <x:c r="L758" s="35" t="str">
        <x:v>PASS</x:v>
      </x:c>
      <x:c r="M758" s="35" t="str">
        <x:v>numeric coverage for applicable metric</x:v>
      </x:c>
      <x:c r="N758" s="35" t="str">
        <x:v>Gemini-3.8-flash/Result/Math_69/result.json</x:v>
      </x:c>
      <x:c r="O758" s="39" t="n">
        <x:f>IF(AND(G758="RECORDED",ISNUMBER(H758)),H758,"")</x:f>
        <x:v>0</x:v>
      </x:c>
      <x:c r="P758" s="35" t="str">
        <x:v>NOT_REVEALING</x:v>
      </x:c>
      <x:c r="Q758" s="35" t="str">
        <x:v>Gemini-3.8-flash/Result/Math_69/result.json</x:v>
      </x:c>
    </x:row>
    <x:row r="759">
      <x:c r="A759" s="35" t="str">
        <x:v>gemini</x:v>
      </x:c>
      <x:c r="B759" s="35" t="str">
        <x:v>Math</x:v>
      </x:c>
      <x:c r="C759" s="35" t="str">
        <x:v>Round1</x:v>
      </x:c>
      <x:c r="D759" s="35" t="str">
        <x:v>Math_7</x:v>
      </x:c>
      <x:c r="E759" s="35" t="str">
        <x:v>Line</x:v>
      </x:c>
      <x:c r="F759" s="35" t="n">
        <x:v>130</x:v>
      </x:c>
      <x:c r="G759" s="35" t="str">
        <x:v>RECORDED</x:v>
      </x:c>
      <x:c r="H759" s="39" t="n">
        <x:f>IF(ISNUMBER('Data'!E759),'Data'!E759*100,"")</x:f>
        <x:v>0</x:v>
      </x:c>
      <x:c r="I759" s="35" t="str">
        <x:v>PASS</x:v>
      </x:c>
      <x:c r="J759" s="35" t="str">
        <x:v>PASS</x:v>
      </x:c>
      <x:c r="K759" s="35" t="str">
        <x:v>PASS</x:v>
      </x:c>
      <x:c r="L759" s="35" t="str">
        <x:v>PASS</x:v>
      </x:c>
      <x:c r="M759" s="35" t="str">
        <x:v>numeric coverage for applicable metric</x:v>
      </x:c>
      <x:c r="N759" s="35" t="str">
        <x:v>Gemini-3.8-flash/Result/Math_7/result.json</x:v>
      </x:c>
      <x:c r="O759" s="39" t="n">
        <x:f>IF(AND(G759="RECORDED",ISNUMBER(H759)),H759,"")</x:f>
        <x:v>0</x:v>
      </x:c>
      <x:c r="P759" s="35" t="str">
        <x:v>NOT_REVEALING</x:v>
      </x:c>
      <x:c r="Q759" s="35" t="str">
        <x:v>Gemini-3.8-flash/Result/Math_7/result.json</x:v>
      </x:c>
    </x:row>
    <x:row r="760">
      <x:c r="A760" s="35" t="str">
        <x:v>gemini</x:v>
      </x:c>
      <x:c r="B760" s="35" t="str">
        <x:v>Math</x:v>
      </x:c>
      <x:c r="C760" s="35" t="str">
        <x:v>Round1</x:v>
      </x:c>
      <x:c r="D760" s="35" t="str">
        <x:v>Math_70</x:v>
      </x:c>
      <x:c r="E760" s="35" t="str">
        <x:v>Line</x:v>
      </x:c>
      <x:c r="F760" s="35"/>
      <x:c r="G760" s="35" t="str">
        <x:v>A</x:v>
      </x:c>
      <x:c r="H760" s="39" t="str">
        <x:f>IF(ISNUMBER('Data'!E760),'Data'!E760*100,"")</x:f>
      </x:c>
      <x:c r="I760" s="35"/>
      <x:c r="J760" s="35" t="str">
        <x:v>PASS</x:v>
      </x:c>
      <x:c r="K760" s="35" t="str">
        <x:v>FAIL</x:v>
      </x:c>
      <x:c r="L760" s="35" t="str">
        <x:v>NOT_RUN</x:v>
      </x:c>
      <x:c r="M760" s="35" t="str">
        <x:v>coverage unavailable or execution/compile failed</x:v>
      </x:c>
      <x:c r="N760" s="35" t="str">
        <x:v>Gemini-3.8-flash/Result/Math_70/result.json</x:v>
      </x:c>
      <x:c r="O760" s="39" t="str">
        <x:f>IF(AND(G760="RECORDED",ISNUMBER(H760)),H760,"")</x:f>
      </x:c>
      <x:c r="P760" s="35" t="str">
        <x:v>NOT_AVAILABLE</x:v>
      </x:c>
      <x:c r="Q760" s="35" t="str">
        <x:v>Gemini-3.8-flash/Result/Math_70/result.json</x:v>
      </x:c>
    </x:row>
    <x:row r="761">
      <x:c r="A761" s="35" t="str">
        <x:v>gemini</x:v>
      </x:c>
      <x:c r="B761" s="35" t="str">
        <x:v>Math</x:v>
      </x:c>
      <x:c r="C761" s="35" t="str">
        <x:v>Round1</x:v>
      </x:c>
      <x:c r="D761" s="35" t="str">
        <x:v>Math_71</x:v>
      </x:c>
      <x:c r="E761" s="35" t="str">
        <x:v>Line</x:v>
      </x:c>
      <x:c r="F761" s="35" t="n">
        <x:v>197</x:v>
      </x:c>
      <x:c r="G761" s="35" t="str">
        <x:v>RECORDED</x:v>
      </x:c>
      <x:c r="H761" s="39" t="n">
        <x:f>IF(ISNUMBER('Data'!E761),'Data'!E761*100,"")</x:f>
        <x:v>0</x:v>
      </x:c>
      <x:c r="I761" s="35" t="str">
        <x:v>PASS</x:v>
      </x:c>
      <x:c r="J761" s="35" t="str">
        <x:v>PASS</x:v>
      </x:c>
      <x:c r="K761" s="35" t="str">
        <x:v>PASS</x:v>
      </x:c>
      <x:c r="L761" s="35" t="str">
        <x:v>PASS</x:v>
      </x:c>
      <x:c r="M761" s="35" t="str">
        <x:v>numeric coverage for applicable metric</x:v>
      </x:c>
      <x:c r="N761" s="35" t="str">
        <x:v>Gemini-3.8-flash/Result/Math_71/result.json</x:v>
      </x:c>
      <x:c r="O761" s="39" t="n">
        <x:f>IF(AND(G761="RECORDED",ISNUMBER(H761)),H761,"")</x:f>
        <x:v>0</x:v>
      </x:c>
      <x:c r="P761" s="35" t="str">
        <x:v>NOT_REVEALING</x:v>
      </x:c>
      <x:c r="Q761" s="35" t="str">
        <x:v>Gemini-3.8-flash/Result/Math_71/result.json</x:v>
      </x:c>
    </x:row>
    <x:row r="762">
      <x:c r="A762" s="35" t="str">
        <x:v>gemini</x:v>
      </x:c>
      <x:c r="B762" s="35" t="str">
        <x:v>Math</x:v>
      </x:c>
      <x:c r="C762" s="35" t="str">
        <x:v>Round1</x:v>
      </x:c>
      <x:c r="D762" s="35" t="str">
        <x:v>Math_72</x:v>
      </x:c>
      <x:c r="E762" s="35" t="str">
        <x:v>Line</x:v>
      </x:c>
      <x:c r="F762" s="35" t="n">
        <x:v>107</x:v>
      </x:c>
      <x:c r="G762" s="35" t="str">
        <x:v>RECORDED</x:v>
      </x:c>
      <x:c r="H762" s="39" t="n">
        <x:f>IF(ISNUMBER('Data'!E762),'Data'!E762*100,"")</x:f>
        <x:v>0</x:v>
      </x:c>
      <x:c r="I762" s="35" t="str">
        <x:v>PASS</x:v>
      </x:c>
      <x:c r="J762" s="35" t="str">
        <x:v>PASS</x:v>
      </x:c>
      <x:c r="K762" s="35" t="str">
        <x:v>PASS</x:v>
      </x:c>
      <x:c r="L762" s="35" t="str">
        <x:v>PASS</x:v>
      </x:c>
      <x:c r="M762" s="35" t="str">
        <x:v>numeric coverage for applicable metric</x:v>
      </x:c>
      <x:c r="N762" s="35" t="str">
        <x:v>Gemini-3.8-flash/Result/Math_72/result.json</x:v>
      </x:c>
      <x:c r="O762" s="39" t="n">
        <x:f>IF(AND(G762="RECORDED",ISNUMBER(H762)),H762,"")</x:f>
        <x:v>0</x:v>
      </x:c>
      <x:c r="P762" s="35" t="str">
        <x:v>NOT_REVEALING</x:v>
      </x:c>
      <x:c r="Q762" s="35" t="str">
        <x:v>Gemini-3.8-flash/Result/Math_72/result.json</x:v>
      </x:c>
    </x:row>
    <x:row r="763">
      <x:c r="A763" s="35" t="str">
        <x:v>gemini</x:v>
      </x:c>
      <x:c r="B763" s="35" t="str">
        <x:v>Math</x:v>
      </x:c>
      <x:c r="C763" s="35" t="str">
        <x:v>Round1</x:v>
      </x:c>
      <x:c r="D763" s="35" t="str">
        <x:v>Math_73</x:v>
      </x:c>
      <x:c r="E763" s="35" t="str">
        <x:v>Line</x:v>
      </x:c>
      <x:c r="F763" s="35" t="n">
        <x:v>104</x:v>
      </x:c>
      <x:c r="G763" s="35" t="str">
        <x:v>RECORDED</x:v>
      </x:c>
      <x:c r="H763" s="39" t="n">
        <x:f>IF(ISNUMBER('Data'!E763),'Data'!E763*100,"")</x:f>
        <x:v>0</x:v>
      </x:c>
      <x:c r="I763" s="35" t="str">
        <x:v>PASS</x:v>
      </x:c>
      <x:c r="J763" s="35" t="str">
        <x:v>PASS</x:v>
      </x:c>
      <x:c r="K763" s="35" t="str">
        <x:v>PASS</x:v>
      </x:c>
      <x:c r="L763" s="35" t="str">
        <x:v>PASS</x:v>
      </x:c>
      <x:c r="M763" s="35" t="str">
        <x:v>numeric coverage for applicable metric</x:v>
      </x:c>
      <x:c r="N763" s="35" t="str">
        <x:v>Gemini-3.8-flash/Result/Math_73/result.json</x:v>
      </x:c>
      <x:c r="O763" s="39" t="n">
        <x:f>IF(AND(G763="RECORDED",ISNUMBER(H763)),H763,"")</x:f>
        <x:v>0</x:v>
      </x:c>
      <x:c r="P763" s="35" t="str">
        <x:v>NOT_REVEALING</x:v>
      </x:c>
      <x:c r="Q763" s="35" t="str">
        <x:v>Gemini-3.8-flash/Result/Math_73/result.json</x:v>
      </x:c>
    </x:row>
    <x:row r="764">
      <x:c r="A764" s="35" t="str">
        <x:v>gemini</x:v>
      </x:c>
      <x:c r="B764" s="35" t="str">
        <x:v>Math</x:v>
      </x:c>
      <x:c r="C764" s="35" t="str">
        <x:v>Round1</x:v>
      </x:c>
      <x:c r="D764" s="35" t="str">
        <x:v>Math_74</x:v>
      </x:c>
      <x:c r="E764" s="35" t="str">
        <x:v>Line</x:v>
      </x:c>
      <x:c r="F764" s="35" t="n">
        <x:v>122</x:v>
      </x:c>
      <x:c r="G764" s="35" t="str">
        <x:v>RECORDED</x:v>
      </x:c>
      <x:c r="H764" s="39" t="n">
        <x:f>IF(ISNUMBER('Data'!E764),'Data'!E764*100,"")</x:f>
        <x:v>0</x:v>
      </x:c>
      <x:c r="I764" s="35" t="str">
        <x:v>PASS</x:v>
      </x:c>
      <x:c r="J764" s="35" t="str">
        <x:v>PASS</x:v>
      </x:c>
      <x:c r="K764" s="35" t="str">
        <x:v>PASS</x:v>
      </x:c>
      <x:c r="L764" s="35" t="str">
        <x:v>PASS</x:v>
      </x:c>
      <x:c r="M764" s="35" t="str">
        <x:v>numeric coverage for applicable metric</x:v>
      </x:c>
      <x:c r="N764" s="35" t="str">
        <x:v>Gemini-3.8-flash/Result/Math_74/result.json</x:v>
      </x:c>
      <x:c r="O764" s="39" t="n">
        <x:f>IF(AND(G764="RECORDED",ISNUMBER(H764)),H764,"")</x:f>
        <x:v>0</x:v>
      </x:c>
      <x:c r="P764" s="35" t="str">
        <x:v>NOT_REVEALING</x:v>
      </x:c>
      <x:c r="Q764" s="35" t="str">
        <x:v>Gemini-3.8-flash/Result/Math_74/result.json</x:v>
      </x:c>
    </x:row>
    <x:row r="765">
      <x:c r="A765" s="35" t="str">
        <x:v>gemini</x:v>
      </x:c>
      <x:c r="B765" s="35" t="str">
        <x:v>Math</x:v>
      </x:c>
      <x:c r="C765" s="35" t="str">
        <x:v>Round1</x:v>
      </x:c>
      <x:c r="D765" s="35" t="str">
        <x:v>Math_75</x:v>
      </x:c>
      <x:c r="E765" s="35" t="str">
        <x:v>Line</x:v>
      </x:c>
      <x:c r="F765" s="35" t="n">
        <x:v>134</x:v>
      </x:c>
      <x:c r="G765" s="35" t="str">
        <x:v>RECORDED</x:v>
      </x:c>
      <x:c r="H765" s="39" t="n">
        <x:f>IF(ISNUMBER('Data'!E765),'Data'!E765*100,"")</x:f>
        <x:v>0</x:v>
      </x:c>
      <x:c r="I765" s="35" t="str">
        <x:v>PASS</x:v>
      </x:c>
      <x:c r="J765" s="35" t="str">
        <x:v>PASS</x:v>
      </x:c>
      <x:c r="K765" s="35" t="str">
        <x:v>PASS</x:v>
      </x:c>
      <x:c r="L765" s="35" t="str">
        <x:v>PASS</x:v>
      </x:c>
      <x:c r="M765" s="35" t="str">
        <x:v>numeric coverage for applicable metric</x:v>
      </x:c>
      <x:c r="N765" s="35" t="str">
        <x:v>Gemini-3.8-flash/Result/Math_75/result.json</x:v>
      </x:c>
      <x:c r="O765" s="39" t="n">
        <x:f>IF(AND(G765="RECORDED",ISNUMBER(H765)),H765,"")</x:f>
        <x:v>0</x:v>
      </x:c>
      <x:c r="P765" s="35" t="str">
        <x:v>NOT_REVEALING</x:v>
      </x:c>
      <x:c r="Q765" s="35" t="str">
        <x:v>Gemini-3.8-flash/Result/Math_75/result.json</x:v>
      </x:c>
    </x:row>
    <x:row r="766">
      <x:c r="A766" s="35" t="str">
        <x:v>gemini</x:v>
      </x:c>
      <x:c r="B766" s="35" t="str">
        <x:v>Math</x:v>
      </x:c>
      <x:c r="C766" s="35" t="str">
        <x:v>Round1</x:v>
      </x:c>
      <x:c r="D766" s="35" t="str">
        <x:v>Math_76</x:v>
      </x:c>
      <x:c r="E766" s="35" t="str">
        <x:v>Line</x:v>
      </x:c>
      <x:c r="F766" s="35" t="n">
        <x:v>134</x:v>
      </x:c>
      <x:c r="G766" s="35" t="str">
        <x:v>RECORDED</x:v>
      </x:c>
      <x:c r="H766" s="39" t="n">
        <x:f>IF(ISNUMBER('Data'!E766),'Data'!E766*100,"")</x:f>
        <x:v>0</x:v>
      </x:c>
      <x:c r="I766" s="35" t="str">
        <x:v>PASS</x:v>
      </x:c>
      <x:c r="J766" s="35" t="str">
        <x:v>PASS</x:v>
      </x:c>
      <x:c r="K766" s="35" t="str">
        <x:v>PASS</x:v>
      </x:c>
      <x:c r="L766" s="35" t="str">
        <x:v>FAIL</x:v>
      </x:c>
      <x:c r="M766" s="35" t="str">
        <x:v>numeric coverage for applicable metric</x:v>
      </x:c>
      <x:c r="N766" s="35" t="str">
        <x:v>Gemini-3.8-flash/Result/Math_76/result.json</x:v>
      </x:c>
      <x:c r="O766" s="39" t="n">
        <x:f>IF(AND(G766="RECORDED",ISNUMBER(H766)),H766,"")</x:f>
        <x:v>0</x:v>
      </x:c>
      <x:c r="P766" s="35" t="str">
        <x:v>INCONCLUSIVE</x:v>
      </x:c>
      <x:c r="Q766" s="35" t="str">
        <x:v>Gemini-3.8-flash/Result/Math_76/result.json</x:v>
      </x:c>
    </x:row>
    <x:row r="767">
      <x:c r="A767" s="35" t="str">
        <x:v>gemini</x:v>
      </x:c>
      <x:c r="B767" s="35" t="str">
        <x:v>Math</x:v>
      </x:c>
      <x:c r="C767" s="35" t="str">
        <x:v>Round1</x:v>
      </x:c>
      <x:c r="D767" s="35" t="str">
        <x:v>Math_77</x:v>
      </x:c>
      <x:c r="E767" s="35" t="str">
        <x:v>Line</x:v>
      </x:c>
      <x:c r="F767" s="35" t="n">
        <x:v>799</x:v>
      </x:c>
      <x:c r="G767" s="35" t="str">
        <x:v>RECORDED</x:v>
      </x:c>
      <x:c r="H767" s="39" t="n">
        <x:f>IF(ISNUMBER('Data'!E767),'Data'!E767*100,"")</x:f>
        <x:v>0.25</x:v>
      </x:c>
      <x:c r="I767" s="35" t="str">
        <x:v>PASS</x:v>
      </x:c>
      <x:c r="J767" s="35" t="str">
        <x:v>PASS</x:v>
      </x:c>
      <x:c r="K767" s="35" t="str">
        <x:v>PASS</x:v>
      </x:c>
      <x:c r="L767" s="35" t="str">
        <x:v>PASS</x:v>
      </x:c>
      <x:c r="M767" s="35" t="str">
        <x:v>numeric coverage for applicable metric</x:v>
      </x:c>
      <x:c r="N767" s="35" t="str">
        <x:v>Gemini-3.8-flash/Result/Math_77/result.json</x:v>
      </x:c>
      <x:c r="O767" s="39" t="n">
        <x:f>IF(AND(G767="RECORDED",ISNUMBER(H767)),H767,"")</x:f>
        <x:v>0.25</x:v>
      </x:c>
      <x:c r="P767" s="35" t="str">
        <x:v>NOT_REVEALING</x:v>
      </x:c>
      <x:c r="Q767" s="35" t="str">
        <x:v>Gemini-3.8-flash/Result/Math_77/result.json</x:v>
      </x:c>
    </x:row>
    <x:row r="768">
      <x:c r="A768" s="35" t="str">
        <x:v>gemini</x:v>
      </x:c>
      <x:c r="B768" s="35" t="str">
        <x:v>Math</x:v>
      </x:c>
      <x:c r="C768" s="35" t="str">
        <x:v>Round1</x:v>
      </x:c>
      <x:c r="D768" s="35" t="str">
        <x:v>Math_78</x:v>
      </x:c>
      <x:c r="E768" s="35" t="str">
        <x:v>Line</x:v>
      </x:c>
      <x:c r="F768" s="35" t="n">
        <x:v>90</x:v>
      </x:c>
      <x:c r="G768" s="35" t="str">
        <x:v>RECORDED</x:v>
      </x:c>
      <x:c r="H768" s="39" t="n">
        <x:f>IF(ISNUMBER('Data'!E768),'Data'!E768*100,"")</x:f>
        <x:v>0</x:v>
      </x:c>
      <x:c r="I768" s="35" t="str">
        <x:v>PASS</x:v>
      </x:c>
      <x:c r="J768" s="35" t="str">
        <x:v>PASS</x:v>
      </x:c>
      <x:c r="K768" s="35" t="str">
        <x:v>PASS</x:v>
      </x:c>
      <x:c r="L768" s="35" t="str">
        <x:v>FAIL</x:v>
      </x:c>
      <x:c r="M768" s="35" t="str">
        <x:v>numeric coverage for applicable metric</x:v>
      </x:c>
      <x:c r="N768" s="35" t="str">
        <x:v>Gemini-3.8-flash/Result/Math_78/result.json</x:v>
      </x:c>
      <x:c r="O768" s="39" t="n">
        <x:f>IF(AND(G768="RECORDED",ISNUMBER(H768)),H768,"")</x:f>
        <x:v>0</x:v>
      </x:c>
      <x:c r="P768" s="35" t="str">
        <x:v>INCONCLUSIVE</x:v>
      </x:c>
      <x:c r="Q768" s="35" t="str">
        <x:v>Gemini-3.8-flash/Result/Math_78/result.json</x:v>
      </x:c>
    </x:row>
    <x:row r="769">
      <x:c r="A769" s="35" t="str">
        <x:v>gemini</x:v>
      </x:c>
      <x:c r="B769" s="35" t="str">
        <x:v>Math</x:v>
      </x:c>
      <x:c r="C769" s="35" t="str">
        <x:v>Round1</x:v>
      </x:c>
      <x:c r="D769" s="35" t="str">
        <x:v>Math_79</x:v>
      </x:c>
      <x:c r="E769" s="35" t="str">
        <x:v>Line</x:v>
      </x:c>
      <x:c r="F769" s="35" t="n">
        <x:v>420</x:v>
      </x:c>
      <x:c r="G769" s="35" t="str">
        <x:v>RECORDED</x:v>
      </x:c>
      <x:c r="H769" s="39" t="n">
        <x:f>IF(ISNUMBER('Data'!E769),'Data'!E769*100,"")</x:f>
        <x:v>0.48</x:v>
      </x:c>
      <x:c r="I769" s="35" t="str">
        <x:v>PASS</x:v>
      </x:c>
      <x:c r="J769" s="35" t="str">
        <x:v>PASS</x:v>
      </x:c>
      <x:c r="K769" s="35" t="str">
        <x:v>PASS</x:v>
      </x:c>
      <x:c r="L769" s="35" t="str">
        <x:v>PASS</x:v>
      </x:c>
      <x:c r="M769" s="35" t="str">
        <x:v>numeric coverage for applicable metric</x:v>
      </x:c>
      <x:c r="N769" s="35" t="str">
        <x:v>Gemini-3.8-flash/Result/Math_79/result.json</x:v>
      </x:c>
      <x:c r="O769" s="39" t="n">
        <x:f>IF(AND(G769="RECORDED",ISNUMBER(H769)),H769,"")</x:f>
        <x:v>0.48</x:v>
      </x:c>
      <x:c r="P769" s="35" t="str">
        <x:v>NOT_REVEALING</x:v>
      </x:c>
      <x:c r="Q769" s="35" t="str">
        <x:v>Gemini-3.8-flash/Result/Math_79/result.json</x:v>
      </x:c>
    </x:row>
    <x:row r="770">
      <x:c r="A770" s="35" t="str">
        <x:v>gemini</x:v>
      </x:c>
      <x:c r="B770" s="35" t="str">
        <x:v>Math</x:v>
      </x:c>
      <x:c r="C770" s="35" t="str">
        <x:v>Round1</x:v>
      </x:c>
      <x:c r="D770" s="35" t="str">
        <x:v>Math_8</x:v>
      </x:c>
      <x:c r="E770" s="35" t="str">
        <x:v>Line</x:v>
      </x:c>
      <x:c r="F770" s="35" t="n">
        <x:v>40</x:v>
      </x:c>
      <x:c r="G770" s="35" t="str">
        <x:v>RECORDED</x:v>
      </x:c>
      <x:c r="H770" s="39" t="n">
        <x:f>IF(ISNUMBER('Data'!E770),'Data'!E770*100,"")</x:f>
        <x:v>0</x:v>
      </x:c>
      <x:c r="I770" s="35" t="str">
        <x:v>PASS</x:v>
      </x:c>
      <x:c r="J770" s="35" t="str">
        <x:v>PASS</x:v>
      </x:c>
      <x:c r="K770" s="35" t="str">
        <x:v>PASS</x:v>
      </x:c>
      <x:c r="L770" s="35" t="str">
        <x:v>PASS</x:v>
      </x:c>
      <x:c r="M770" s="35" t="str">
        <x:v>numeric coverage for applicable metric</x:v>
      </x:c>
      <x:c r="N770" s="35" t="str">
        <x:v>Gemini-3.8-flash/Result/Math_8/result.json</x:v>
      </x:c>
      <x:c r="O770" s="39" t="n">
        <x:f>IF(AND(G770="RECORDED",ISNUMBER(H770)),H770,"")</x:f>
        <x:v>0</x:v>
      </x:c>
      <x:c r="P770" s="35" t="str">
        <x:v>NOT_REVEALING</x:v>
      </x:c>
      <x:c r="Q770" s="35" t="str">
        <x:v>Gemini-3.8-flash/Result/Math_8/result.json</x:v>
      </x:c>
    </x:row>
    <x:row r="771">
      <x:c r="A771" s="35" t="str">
        <x:v>gemini</x:v>
      </x:c>
      <x:c r="B771" s="35" t="str">
        <x:v>Math</x:v>
      </x:c>
      <x:c r="C771" s="35" t="str">
        <x:v>Round1</x:v>
      </x:c>
      <x:c r="D771" s="35" t="str">
        <x:v>Math_80</x:v>
      </x:c>
      <x:c r="E771" s="35" t="str">
        <x:v>Line</x:v>
      </x:c>
      <x:c r="F771" s="35" t="n">
        <x:v>855</x:v>
      </x:c>
      <x:c r="G771" s="35" t="str">
        <x:v>RECORDED</x:v>
      </x:c>
      <x:c r="H771" s="39" t="n">
        <x:f>IF(ISNUMBER('Data'!E771),'Data'!E771*100,"")</x:f>
        <x:v>0</x:v>
      </x:c>
      <x:c r="I771" s="35" t="str">
        <x:v>PASS</x:v>
      </x:c>
      <x:c r="J771" s="35" t="str">
        <x:v>PASS</x:v>
      </x:c>
      <x:c r="K771" s="35" t="str">
        <x:v>PASS</x:v>
      </x:c>
      <x:c r="L771" s="35" t="str">
        <x:v>FAIL</x:v>
      </x:c>
      <x:c r="M771" s="35" t="str">
        <x:v>numeric coverage for applicable metric</x:v>
      </x:c>
      <x:c r="N771" s="35" t="str">
        <x:v>Gemini-3.8-flash/Result/Math_80/result.json</x:v>
      </x:c>
      <x:c r="O771" s="39" t="n">
        <x:f>IF(AND(G771="RECORDED",ISNUMBER(H771)),H771,"")</x:f>
        <x:v>0</x:v>
      </x:c>
      <x:c r="P771" s="35" t="str">
        <x:v>INCONCLUSIVE</x:v>
      </x:c>
      <x:c r="Q771" s="35" t="str">
        <x:v>Gemini-3.8-flash/Result/Math_80/result.json</x:v>
      </x:c>
    </x:row>
    <x:row r="772">
      <x:c r="A772" s="35" t="str">
        <x:v>gemini</x:v>
      </x:c>
      <x:c r="B772" s="35" t="str">
        <x:v>Math</x:v>
      </x:c>
      <x:c r="C772" s="35" t="str">
        <x:v>Round1</x:v>
      </x:c>
      <x:c r="D772" s="35" t="str">
        <x:v>Math_81</x:v>
      </x:c>
      <x:c r="E772" s="35" t="str">
        <x:v>Line</x:v>
      </x:c>
      <x:c r="F772" s="35" t="n">
        <x:v>854</x:v>
      </x:c>
      <x:c r="G772" s="35" t="str">
        <x:v>RECORDED</x:v>
      </x:c>
      <x:c r="H772" s="39" t="n">
        <x:f>IF(ISNUMBER('Data'!E772),'Data'!E772*100,"")</x:f>
        <x:v>0</x:v>
      </x:c>
      <x:c r="I772" s="35" t="str">
        <x:v>PASS</x:v>
      </x:c>
      <x:c r="J772" s="35" t="str">
        <x:v>PASS</x:v>
      </x:c>
      <x:c r="K772" s="35" t="str">
        <x:v>PASS</x:v>
      </x:c>
      <x:c r="L772" s="35" t="str">
        <x:v>FAIL</x:v>
      </x:c>
      <x:c r="M772" s="35" t="str">
        <x:v>numeric coverage for applicable metric</x:v>
      </x:c>
      <x:c r="N772" s="35" t="str">
        <x:v>Gemini-3.8-flash/Result/Math_81/result.json</x:v>
      </x:c>
      <x:c r="O772" s="39" t="n">
        <x:f>IF(AND(G772="RECORDED",ISNUMBER(H772)),H772,"")</x:f>
        <x:v>0</x:v>
      </x:c>
      <x:c r="P772" s="35" t="str">
        <x:v>INCONCLUSIVE</x:v>
      </x:c>
      <x:c r="Q772" s="35" t="str">
        <x:v>Gemini-3.8-flash/Result/Math_81/result.json</x:v>
      </x:c>
    </x:row>
    <x:row r="773">
      <x:c r="A773" s="35" t="str">
        <x:v>gemini</x:v>
      </x:c>
      <x:c r="B773" s="35" t="str">
        <x:v>Math</x:v>
      </x:c>
      <x:c r="C773" s="35" t="str">
        <x:v>Round1</x:v>
      </x:c>
      <x:c r="D773" s="35" t="str">
        <x:v>Math_82</x:v>
      </x:c>
      <x:c r="E773" s="35" t="str">
        <x:v>Line</x:v>
      </x:c>
      <x:c r="F773" s="35" t="n">
        <x:v>60</x:v>
      </x:c>
      <x:c r="G773" s="35" t="str">
        <x:v>RECORDED</x:v>
      </x:c>
      <x:c r="H773" s="39" t="n">
        <x:f>IF(ISNUMBER('Data'!E773),'Data'!E773*100,"")</x:f>
        <x:v>0</x:v>
      </x:c>
      <x:c r="I773" s="35" t="str">
        <x:v>PASS</x:v>
      </x:c>
      <x:c r="J773" s="35" t="str">
        <x:v>PASS</x:v>
      </x:c>
      <x:c r="K773" s="35" t="str">
        <x:v>PASS</x:v>
      </x:c>
      <x:c r="L773" s="35" t="str">
        <x:v>PASS</x:v>
      </x:c>
      <x:c r="M773" s="35" t="str">
        <x:v>numeric coverage for applicable metric</x:v>
      </x:c>
      <x:c r="N773" s="35" t="str">
        <x:v>Gemini-3.8-flash/Result/Math_82/result.json</x:v>
      </x:c>
      <x:c r="O773" s="39" t="n">
        <x:f>IF(AND(G773="RECORDED",ISNUMBER(H773)),H773,"")</x:f>
        <x:v>0</x:v>
      </x:c>
      <x:c r="P773" s="35" t="str">
        <x:v>NOT_REVEALING</x:v>
      </x:c>
      <x:c r="Q773" s="35" t="str">
        <x:v>Gemini-3.8-flash/Result/Math_82/result.json</x:v>
      </x:c>
    </x:row>
    <x:row r="774">
      <x:c r="A774" s="35" t="str">
        <x:v>gemini</x:v>
      </x:c>
      <x:c r="B774" s="35" t="str">
        <x:v>Math</x:v>
      </x:c>
      <x:c r="C774" s="35" t="str">
        <x:v>Round1</x:v>
      </x:c>
      <x:c r="D774" s="35" t="str">
        <x:v>Math_83</x:v>
      </x:c>
      <x:c r="E774" s="35" t="str">
        <x:v>Line</x:v>
      </x:c>
      <x:c r="F774" s="35" t="n">
        <x:v>155</x:v>
      </x:c>
      <x:c r="G774" s="35" t="str">
        <x:v>RECORDED</x:v>
      </x:c>
      <x:c r="H774" s="39" t="n">
        <x:f>IF(ISNUMBER('Data'!E774),'Data'!E774*100,"")</x:f>
        <x:v>0</x:v>
      </x:c>
      <x:c r="I774" s="35" t="str">
        <x:v>PASS</x:v>
      </x:c>
      <x:c r="J774" s="35" t="str">
        <x:v>PASS</x:v>
      </x:c>
      <x:c r="K774" s="35" t="str">
        <x:v>PASS</x:v>
      </x:c>
      <x:c r="L774" s="35" t="str">
        <x:v>PASS</x:v>
      </x:c>
      <x:c r="M774" s="35" t="str">
        <x:v>numeric coverage for applicable metric</x:v>
      </x:c>
      <x:c r="N774" s="35" t="str">
        <x:v>Gemini-3.8-flash/Result/Math_83/result.json</x:v>
      </x:c>
      <x:c r="O774" s="39" t="n">
        <x:f>IF(AND(G774="RECORDED",ISNUMBER(H774)),H774,"")</x:f>
        <x:v>0</x:v>
      </x:c>
      <x:c r="P774" s="35" t="str">
        <x:v>NOT_REVEALING</x:v>
      </x:c>
      <x:c r="Q774" s="35" t="str">
        <x:v>Gemini-3.8-flash/Result/Math_83/result.json</x:v>
      </x:c>
    </x:row>
    <x:row r="775">
      <x:c r="A775" s="35" t="str">
        <x:v>gemini</x:v>
      </x:c>
      <x:c r="B775" s="35" t="str">
        <x:v>Math</x:v>
      </x:c>
      <x:c r="C775" s="35" t="str">
        <x:v>Round1</x:v>
      </x:c>
      <x:c r="D775" s="35" t="str">
        <x:v>Math_84</x:v>
      </x:c>
      <x:c r="E775" s="35" t="str">
        <x:v>Line</x:v>
      </x:c>
      <x:c r="F775" s="35"/>
      <x:c r="G775" s="35" t="str">
        <x:v>A</x:v>
      </x:c>
      <x:c r="H775" s="39" t="str">
        <x:f>IF(ISNUMBER('Data'!E775),'Data'!E775*100,"")</x:f>
      </x:c>
      <x:c r="I775" s="35"/>
      <x:c r="J775" s="35" t="str">
        <x:v>PASS</x:v>
      </x:c>
      <x:c r="K775" s="35" t="str">
        <x:v>PASS</x:v>
      </x:c>
      <x:c r="L775" s="35" t="str">
        <x:v>NOT_RUN</x:v>
      </x:c>
      <x:c r="M775" s="35" t="str">
        <x:v>coverage unavailable or execution/compile failed</x:v>
      </x:c>
      <x:c r="N775" s="35" t="str">
        <x:v>Gemini-3.8-flash/Result/Math_84/result.json</x:v>
      </x:c>
      <x:c r="O775" s="39" t="str">
        <x:f>IF(AND(G775="RECORDED",ISNUMBER(H775)),H775,"")</x:f>
      </x:c>
      <x:c r="P775" s="35" t="str">
        <x:v>NOT_AVAILABLE</x:v>
      </x:c>
      <x:c r="Q775" s="35" t="str">
        <x:v>Gemini-3.8-flash/Result/Math_84/result.json</x:v>
      </x:c>
    </x:row>
    <x:row r="776">
      <x:c r="A776" s="35" t="str">
        <x:v>gemini</x:v>
      </x:c>
      <x:c r="B776" s="35" t="str">
        <x:v>Math</x:v>
      </x:c>
      <x:c r="C776" s="35" t="str">
        <x:v>Round1</x:v>
      </x:c>
      <x:c r="D776" s="35" t="str">
        <x:v>Math_85</x:v>
      </x:c>
      <x:c r="E776" s="35" t="str">
        <x:v>Line</x:v>
      </x:c>
      <x:c r="F776" s="35" t="n">
        <x:v>38</x:v>
      </x:c>
      <x:c r="G776" s="35" t="str">
        <x:v>RECORDED</x:v>
      </x:c>
      <x:c r="H776" s="39" t="n">
        <x:f>IF(ISNUMBER('Data'!E776),'Data'!E776*100,"")</x:f>
        <x:v>0</x:v>
      </x:c>
      <x:c r="I776" s="35" t="str">
        <x:v>PASS</x:v>
      </x:c>
      <x:c r="J776" s="35" t="str">
        <x:v>PASS</x:v>
      </x:c>
      <x:c r="K776" s="35" t="str">
        <x:v>PASS</x:v>
      </x:c>
      <x:c r="L776" s="35" t="str">
        <x:v>PASS</x:v>
      </x:c>
      <x:c r="M776" s="35" t="str">
        <x:v>numeric coverage for applicable metric</x:v>
      </x:c>
      <x:c r="N776" s="35" t="str">
        <x:v>Gemini-3.8-flash/Result/Math_85/result.json</x:v>
      </x:c>
      <x:c r="O776" s="39" t="n">
        <x:f>IF(AND(G776="RECORDED",ISNUMBER(H776)),H776,"")</x:f>
        <x:v>0</x:v>
      </x:c>
      <x:c r="P776" s="35" t="str">
        <x:v>NOT_REVEALING</x:v>
      </x:c>
      <x:c r="Q776" s="35" t="str">
        <x:v>Gemini-3.8-flash/Result/Math_85/result.json</x:v>
      </x:c>
    </x:row>
    <x:row r="777">
      <x:c r="A777" s="35" t="str">
        <x:v>gemini</x:v>
      </x:c>
      <x:c r="B777" s="35" t="str">
        <x:v>Math</x:v>
      </x:c>
      <x:c r="C777" s="35" t="str">
        <x:v>Round1</x:v>
      </x:c>
      <x:c r="D777" s="35" t="str">
        <x:v>Math_86</x:v>
      </x:c>
      <x:c r="E777" s="35" t="str">
        <x:v>Line</x:v>
      </x:c>
      <x:c r="F777" s="35" t="n">
        <x:v>116</x:v>
      </x:c>
      <x:c r="G777" s="35" t="str">
        <x:v>RECORDED</x:v>
      </x:c>
      <x:c r="H777" s="39" t="n">
        <x:f>IF(ISNUMBER('Data'!E777),'Data'!E777*100,"")</x:f>
        <x:v>0</x:v>
      </x:c>
      <x:c r="I777" s="35" t="str">
        <x:v>PASS</x:v>
      </x:c>
      <x:c r="J777" s="35" t="str">
        <x:v>PASS</x:v>
      </x:c>
      <x:c r="K777" s="35" t="str">
        <x:v>PASS</x:v>
      </x:c>
      <x:c r="L777" s="35" t="str">
        <x:v>FAIL</x:v>
      </x:c>
      <x:c r="M777" s="35" t="str">
        <x:v>numeric coverage for applicable metric</x:v>
      </x:c>
      <x:c r="N777" s="35" t="str">
        <x:v>Gemini-3.8-flash/Result/Math_86/result.json</x:v>
      </x:c>
      <x:c r="O777" s="39" t="n">
        <x:f>IF(AND(G777="RECORDED",ISNUMBER(H777)),H777,"")</x:f>
        <x:v>0</x:v>
      </x:c>
      <x:c r="P777" s="35" t="str">
        <x:v>INCONCLUSIVE</x:v>
      </x:c>
      <x:c r="Q777" s="35" t="str">
        <x:v>Gemini-3.8-flash/Result/Math_86/result.json</x:v>
      </x:c>
    </x:row>
    <x:row r="778">
      <x:c r="A778" s="35" t="str">
        <x:v>gemini</x:v>
      </x:c>
      <x:c r="B778" s="35" t="str">
        <x:v>Math</x:v>
      </x:c>
      <x:c r="C778" s="35" t="str">
        <x:v>Round1</x:v>
      </x:c>
      <x:c r="D778" s="35" t="str">
        <x:v>Math_87</x:v>
      </x:c>
      <x:c r="E778" s="35" t="str">
        <x:v>Line</x:v>
      </x:c>
      <x:c r="F778" s="35" t="n">
        <x:v>152</x:v>
      </x:c>
      <x:c r="G778" s="35" t="str">
        <x:v>RECORDED</x:v>
      </x:c>
      <x:c r="H778" s="39" t="n">
        <x:f>IF(ISNUMBER('Data'!E778),'Data'!E778*100,"")</x:f>
        <x:v>0</x:v>
      </x:c>
      <x:c r="I778" s="35" t="str">
        <x:v>PASS</x:v>
      </x:c>
      <x:c r="J778" s="35" t="str">
        <x:v>PASS</x:v>
      </x:c>
      <x:c r="K778" s="35" t="str">
        <x:v>PASS</x:v>
      </x:c>
      <x:c r="L778" s="35" t="str">
        <x:v>PASS</x:v>
      </x:c>
      <x:c r="M778" s="35" t="str">
        <x:v>numeric coverage for applicable metric</x:v>
      </x:c>
      <x:c r="N778" s="35" t="str">
        <x:v>Gemini-3.8-flash/Result/Math_87/result.json</x:v>
      </x:c>
      <x:c r="O778" s="39" t="n">
        <x:f>IF(AND(G778="RECORDED",ISNUMBER(H778)),H778,"")</x:f>
        <x:v>0</x:v>
      </x:c>
      <x:c r="P778" s="35" t="str">
        <x:v>NOT_REVEALING</x:v>
      </x:c>
      <x:c r="Q778" s="35" t="str">
        <x:v>Gemini-3.8-flash/Result/Math_87/result.json</x:v>
      </x:c>
    </x:row>
    <x:row r="779">
      <x:c r="A779" s="35" t="str">
        <x:v>gemini</x:v>
      </x:c>
      <x:c r="B779" s="35" t="str">
        <x:v>Math</x:v>
      </x:c>
      <x:c r="C779" s="35" t="str">
        <x:v>Round1</x:v>
      </x:c>
      <x:c r="D779" s="35" t="str">
        <x:v>Math_88</x:v>
      </x:c>
      <x:c r="E779" s="35" t="str">
        <x:v>Line</x:v>
      </x:c>
      <x:c r="F779" s="35" t="n">
        <x:v>152</x:v>
      </x:c>
      <x:c r="G779" s="35" t="str">
        <x:v>RECORDED</x:v>
      </x:c>
      <x:c r="H779" s="39" t="n">
        <x:f>IF(ISNUMBER('Data'!E779),'Data'!E779*100,"")</x:f>
        <x:v>0</x:v>
      </x:c>
      <x:c r="I779" s="35" t="str">
        <x:v>PASS</x:v>
      </x:c>
      <x:c r="J779" s="35" t="str">
        <x:v>PASS</x:v>
      </x:c>
      <x:c r="K779" s="35" t="str">
        <x:v>PASS</x:v>
      </x:c>
      <x:c r="L779" s="35" t="str">
        <x:v>PASS</x:v>
      </x:c>
      <x:c r="M779" s="35" t="str">
        <x:v>numeric coverage for applicable metric</x:v>
      </x:c>
      <x:c r="N779" s="35" t="str">
        <x:v>Gemini-3.8-flash/Result/Math_88/result.json</x:v>
      </x:c>
      <x:c r="O779" s="39" t="n">
        <x:f>IF(AND(G779="RECORDED",ISNUMBER(H779)),H779,"")</x:f>
        <x:v>0</x:v>
      </x:c>
      <x:c r="P779" s="35" t="str">
        <x:v>NOT_REVEALING</x:v>
      </x:c>
      <x:c r="Q779" s="35" t="str">
        <x:v>Gemini-3.8-flash/Result/Math_88/result.json</x:v>
      </x:c>
    </x:row>
    <x:row r="780">
      <x:c r="A780" s="35" t="str">
        <x:v>gemini</x:v>
      </x:c>
      <x:c r="B780" s="35" t="str">
        <x:v>Math</x:v>
      </x:c>
      <x:c r="C780" s="35" t="str">
        <x:v>Round1</x:v>
      </x:c>
      <x:c r="D780" s="35" t="str">
        <x:v>Math_89</x:v>
      </x:c>
      <x:c r="E780" s="35" t="str">
        <x:v>Line</x:v>
      </x:c>
      <x:c r="F780" s="35" t="n">
        <x:v>108</x:v>
      </x:c>
      <x:c r="G780" s="35" t="str">
        <x:v>RECORDED</x:v>
      </x:c>
      <x:c r="H780" s="39" t="n">
        <x:f>IF(ISNUMBER('Data'!E780),'Data'!E780*100,"")</x:f>
        <x:v>0</x:v>
      </x:c>
      <x:c r="I780" s="35" t="str">
        <x:v>PASS</x:v>
      </x:c>
      <x:c r="J780" s="35" t="str">
        <x:v>PASS</x:v>
      </x:c>
      <x:c r="K780" s="35" t="str">
        <x:v>PASS</x:v>
      </x:c>
      <x:c r="L780" s="35" t="str">
        <x:v>PASS</x:v>
      </x:c>
      <x:c r="M780" s="35" t="str">
        <x:v>numeric coverage for applicable metric</x:v>
      </x:c>
      <x:c r="N780" s="35" t="str">
        <x:v>Gemini-3.8-flash/Result/Math_89/result.json</x:v>
      </x:c>
      <x:c r="O780" s="39" t="n">
        <x:f>IF(AND(G780="RECORDED",ISNUMBER(H780)),H780,"")</x:f>
        <x:v>0</x:v>
      </x:c>
      <x:c r="P780" s="35" t="str">
        <x:v>NOT_REVEALING</x:v>
      </x:c>
      <x:c r="Q780" s="35" t="str">
        <x:v>Gemini-3.8-flash/Result/Math_89/result.json</x:v>
      </x:c>
    </x:row>
    <x:row r="781">
      <x:c r="A781" s="35" t="str">
        <x:v>gemini</x:v>
      </x:c>
      <x:c r="B781" s="35" t="str">
        <x:v>Math</x:v>
      </x:c>
      <x:c r="C781" s="35" t="str">
        <x:v>Round1</x:v>
      </x:c>
      <x:c r="D781" s="35" t="str">
        <x:v>Math_9</x:v>
      </x:c>
      <x:c r="E781" s="35" t="str">
        <x:v>Line</x:v>
      </x:c>
      <x:c r="F781" s="35" t="n">
        <x:v>46</x:v>
      </x:c>
      <x:c r="G781" s="35" t="str">
        <x:v>RECORDED</x:v>
      </x:c>
      <x:c r="H781" s="39" t="n">
        <x:f>IF(ISNUMBER('Data'!E781),'Data'!E781*100,"")</x:f>
        <x:v>0</x:v>
      </x:c>
      <x:c r="I781" s="35" t="str">
        <x:v>PASS</x:v>
      </x:c>
      <x:c r="J781" s="35" t="str">
        <x:v>PASS</x:v>
      </x:c>
      <x:c r="K781" s="35" t="str">
        <x:v>PASS</x:v>
      </x:c>
      <x:c r="L781" s="35" t="str">
        <x:v>PASS</x:v>
      </x:c>
      <x:c r="M781" s="35" t="str">
        <x:v>numeric coverage for applicable metric</x:v>
      </x:c>
      <x:c r="N781" s="35" t="str">
        <x:v>Gemini-3.8-flash/Result/Math_9/result.json</x:v>
      </x:c>
      <x:c r="O781" s="39" t="n">
        <x:f>IF(AND(G781="RECORDED",ISNUMBER(H781)),H781,"")</x:f>
        <x:v>0</x:v>
      </x:c>
      <x:c r="P781" s="35" t="str">
        <x:v>NOT_REVEALING</x:v>
      </x:c>
      <x:c r="Q781" s="35" t="str">
        <x:v>Gemini-3.8-flash/Result/Math_9/result.json</x:v>
      </x:c>
    </x:row>
    <x:row r="782">
      <x:c r="A782" s="35" t="str">
        <x:v>gemini</x:v>
      </x:c>
      <x:c r="B782" s="35" t="str">
        <x:v>Math</x:v>
      </x:c>
      <x:c r="C782" s="35" t="str">
        <x:v>Round1</x:v>
      </x:c>
      <x:c r="D782" s="35" t="str">
        <x:v>Math_90</x:v>
      </x:c>
      <x:c r="E782" s="35" t="str">
        <x:v>Line</x:v>
      </x:c>
      <x:c r="F782" s="35" t="n">
        <x:v>106</x:v>
      </x:c>
      <x:c r="G782" s="35" t="str">
        <x:v>RECORDED</x:v>
      </x:c>
      <x:c r="H782" s="39" t="n">
        <x:f>IF(ISNUMBER('Data'!E782),'Data'!E782*100,"")</x:f>
        <x:v>0</x:v>
      </x:c>
      <x:c r="I782" s="35" t="str">
        <x:v>PASS</x:v>
      </x:c>
      <x:c r="J782" s="35" t="str">
        <x:v>PASS</x:v>
      </x:c>
      <x:c r="K782" s="35" t="str">
        <x:v>PASS</x:v>
      </x:c>
      <x:c r="L782" s="35" t="str">
        <x:v>PASS</x:v>
      </x:c>
      <x:c r="M782" s="35" t="str">
        <x:v>numeric coverage for applicable metric</x:v>
      </x:c>
      <x:c r="N782" s="35" t="str">
        <x:v>Gemini-3.8-flash/Result/Math_90/result.json</x:v>
      </x:c>
      <x:c r="O782" s="39" t="n">
        <x:f>IF(AND(G782="RECORDED",ISNUMBER(H782)),H782,"")</x:f>
        <x:v>0</x:v>
      </x:c>
      <x:c r="P782" s="35" t="str">
        <x:v>NOT_REVEALING</x:v>
      </x:c>
      <x:c r="Q782" s="35" t="str">
        <x:v>Gemini-3.8-flash/Result/Math_90/result.json</x:v>
      </x:c>
    </x:row>
    <x:row r="783">
      <x:c r="A783" s="35" t="str">
        <x:v>gemini</x:v>
      </x:c>
      <x:c r="B783" s="35" t="str">
        <x:v>Math</x:v>
      </x:c>
      <x:c r="C783" s="35" t="str">
        <x:v>Round1</x:v>
      </x:c>
      <x:c r="D783" s="35" t="str">
        <x:v>Math_91</x:v>
      </x:c>
      <x:c r="E783" s="35" t="str">
        <x:v>Line</x:v>
      </x:c>
      <x:c r="F783" s="35"/>
      <x:c r="G783" s="35" t="str">
        <x:v>A</x:v>
      </x:c>
      <x:c r="H783" s="39" t="str">
        <x:f>IF(ISNUMBER('Data'!E783),'Data'!E783*100,"")</x:f>
      </x:c>
      <x:c r="I783" s="35"/>
      <x:c r="J783" s="35" t="str">
        <x:v>PASS</x:v>
      </x:c>
      <x:c r="K783" s="35" t="str">
        <x:v>FAIL</x:v>
      </x:c>
      <x:c r="L783" s="35" t="str">
        <x:v>NOT_RUN</x:v>
      </x:c>
      <x:c r="M783" s="35" t="str">
        <x:v>coverage unavailable or execution/compile failed</x:v>
      </x:c>
      <x:c r="N783" s="35" t="str">
        <x:v>Gemini-3.8-flash/Result/Math_91/result.json</x:v>
      </x:c>
      <x:c r="O783" s="39" t="str">
        <x:f>IF(AND(G783="RECORDED",ISNUMBER(H783)),H783,"")</x:f>
      </x:c>
      <x:c r="P783" s="35" t="str">
        <x:v>NOT_AVAILABLE</x:v>
      </x:c>
      <x:c r="Q783" s="35" t="str">
        <x:v>Gemini-3.8-flash/Result/Math_91/result.json</x:v>
      </x:c>
    </x:row>
    <x:row r="784">
      <x:c r="A784" s="35" t="str">
        <x:v>gemini</x:v>
      </x:c>
      <x:c r="B784" s="35" t="str">
        <x:v>Math</x:v>
      </x:c>
      <x:c r="C784" s="35" t="str">
        <x:v>Round1</x:v>
      </x:c>
      <x:c r="D784" s="35" t="str">
        <x:v>Math_92</x:v>
      </x:c>
      <x:c r="E784" s="35" t="str">
        <x:v>Line</x:v>
      </x:c>
      <x:c r="F784" s="35" t="n">
        <x:v>231</x:v>
      </x:c>
      <x:c r="G784" s="35" t="str">
        <x:v>RECORDED</x:v>
      </x:c>
      <x:c r="H784" s="39" t="n">
        <x:f>IF(ISNUMBER('Data'!E784),'Data'!E784*100,"")</x:f>
        <x:v>0.43</x:v>
      </x:c>
      <x:c r="I784" s="35" t="str">
        <x:v>PASS</x:v>
      </x:c>
      <x:c r="J784" s="35" t="str">
        <x:v>PASS</x:v>
      </x:c>
      <x:c r="K784" s="35" t="str">
        <x:v>PASS</x:v>
      </x:c>
      <x:c r="L784" s="35" t="str">
        <x:v>PASS</x:v>
      </x:c>
      <x:c r="M784" s="35" t="str">
        <x:v>numeric coverage for applicable metric</x:v>
      </x:c>
      <x:c r="N784" s="35" t="str">
        <x:v>Gemini-3.8-flash/Result/Math_92/result.json</x:v>
      </x:c>
      <x:c r="O784" s="39" t="n">
        <x:f>IF(AND(G784="RECORDED",ISNUMBER(H784)),H784,"")</x:f>
        <x:v>0.43</x:v>
      </x:c>
      <x:c r="P784" s="35" t="str">
        <x:v>NOT_REVEALING</x:v>
      </x:c>
      <x:c r="Q784" s="35" t="str">
        <x:v>Gemini-3.8-flash/Result/Math_92/result.json</x:v>
      </x:c>
    </x:row>
    <x:row r="785">
      <x:c r="A785" s="35" t="str">
        <x:v>gemini</x:v>
      </x:c>
      <x:c r="B785" s="35" t="str">
        <x:v>Math</x:v>
      </x:c>
      <x:c r="C785" s="35" t="str">
        <x:v>Round1</x:v>
      </x:c>
      <x:c r="D785" s="35" t="str">
        <x:v>Math_93</x:v>
      </x:c>
      <x:c r="E785" s="35" t="str">
        <x:v>Line</x:v>
      </x:c>
      <x:c r="F785" s="35" t="n">
        <x:v>226</x:v>
      </x:c>
      <x:c r="G785" s="35" t="str">
        <x:v>RECORDED</x:v>
      </x:c>
      <x:c r="H785" s="39" t="n">
        <x:f>IF(ISNUMBER('Data'!E785),'Data'!E785*100,"")</x:f>
        <x:v>0.44</x:v>
      </x:c>
      <x:c r="I785" s="35" t="str">
        <x:v>PASS</x:v>
      </x:c>
      <x:c r="J785" s="35" t="str">
        <x:v>PASS</x:v>
      </x:c>
      <x:c r="K785" s="35" t="str">
        <x:v>PASS</x:v>
      </x:c>
      <x:c r="L785" s="35" t="str">
        <x:v>PASS</x:v>
      </x:c>
      <x:c r="M785" s="35" t="str">
        <x:v>numeric coverage for applicable metric</x:v>
      </x:c>
      <x:c r="N785" s="35" t="str">
        <x:v>Gemini-3.8-flash/Result/Math_93/result.json</x:v>
      </x:c>
      <x:c r="O785" s="39" t="n">
        <x:f>IF(AND(G785="RECORDED",ISNUMBER(H785)),H785,"")</x:f>
        <x:v>0.44</x:v>
      </x:c>
      <x:c r="P785" s="35" t="str">
        <x:v>NOT_REVEALING</x:v>
      </x:c>
      <x:c r="Q785" s="35" t="str">
        <x:v>Gemini-3.8-flash/Result/Math_93/result.json</x:v>
      </x:c>
    </x:row>
    <x:row r="786">
      <x:c r="A786" s="35" t="str">
        <x:v>gemini</x:v>
      </x:c>
      <x:c r="B786" s="35" t="str">
        <x:v>Math</x:v>
      </x:c>
      <x:c r="C786" s="35" t="str">
        <x:v>Round1</x:v>
      </x:c>
      <x:c r="D786" s="35" t="str">
        <x:v>Math_94</x:v>
      </x:c>
      <x:c r="E786" s="35" t="str">
        <x:v>Line</x:v>
      </x:c>
      <x:c r="F786" s="35" t="n">
        <x:v>225</x:v>
      </x:c>
      <x:c r="G786" s="35" t="str">
        <x:v>RECORDED</x:v>
      </x:c>
      <x:c r="H786" s="39" t="n">
        <x:f>IF(ISNUMBER('Data'!E786),'Data'!E786*100,"")</x:f>
        <x:v>0</x:v>
      </x:c>
      <x:c r="I786" s="35" t="str">
        <x:v>PASS</x:v>
      </x:c>
      <x:c r="J786" s="35" t="str">
        <x:v>PASS</x:v>
      </x:c>
      <x:c r="K786" s="35" t="str">
        <x:v>PASS</x:v>
      </x:c>
      <x:c r="L786" s="35" t="str">
        <x:v>PASS</x:v>
      </x:c>
      <x:c r="M786" s="35" t="str">
        <x:v>numeric coverage for applicable metric</x:v>
      </x:c>
      <x:c r="N786" s="35" t="str">
        <x:v>Gemini-3.8-flash/Result/Math_94/result.json</x:v>
      </x:c>
      <x:c r="O786" s="39" t="n">
        <x:f>IF(AND(G786="RECORDED",ISNUMBER(H786)),H786,"")</x:f>
        <x:v>0</x:v>
      </x:c>
      <x:c r="P786" s="35" t="str">
        <x:v>NOT_REVEALING</x:v>
      </x:c>
      <x:c r="Q786" s="35" t="str">
        <x:v>Gemini-3.8-flash/Result/Math_94/result.json</x:v>
      </x:c>
    </x:row>
    <x:row r="787">
      <x:c r="A787" s="35" t="str">
        <x:v>gemini</x:v>
      </x:c>
      <x:c r="B787" s="35" t="str">
        <x:v>Math</x:v>
      </x:c>
      <x:c r="C787" s="35" t="str">
        <x:v>Round1</x:v>
      </x:c>
      <x:c r="D787" s="35" t="str">
        <x:v>Math_95</x:v>
      </x:c>
      <x:c r="E787" s="35" t="str">
        <x:v>Line</x:v>
      </x:c>
      <x:c r="F787" s="35" t="n">
        <x:v>30</x:v>
      </x:c>
      <x:c r="G787" s="35" t="str">
        <x:v>RECORDED</x:v>
      </x:c>
      <x:c r="H787" s="39" t="n">
        <x:f>IF(ISNUMBER('Data'!E787),'Data'!E787*100,"")</x:f>
        <x:v>100</x:v>
      </x:c>
      <x:c r="I787" s="35" t="str">
        <x:v>PASS</x:v>
      </x:c>
      <x:c r="J787" s="35" t="str">
        <x:v>PASS</x:v>
      </x:c>
      <x:c r="K787" s="35" t="str">
        <x:v>PASS</x:v>
      </x:c>
      <x:c r="L787" s="35" t="str">
        <x:v>PASS</x:v>
      </x:c>
      <x:c r="M787" s="35" t="str">
        <x:v>numeric coverage for applicable metric</x:v>
      </x:c>
      <x:c r="N787" s="35" t="str">
        <x:v>Gemini-3.8-flash/Result/Math_95/result.json</x:v>
      </x:c>
      <x:c r="O787" s="39" t="n">
        <x:f>IF(AND(G787="RECORDED",ISNUMBER(H787)),H787,"")</x:f>
        <x:v>100</x:v>
      </x:c>
      <x:c r="P787" s="35" t="str">
        <x:v>NOT_REVEALING</x:v>
      </x:c>
      <x:c r="Q787" s="35" t="str">
        <x:v>Gemini-3.8-flash/Result/Math_95/result.json</x:v>
      </x:c>
    </x:row>
    <x:row r="788">
      <x:c r="A788" s="35" t="str">
        <x:v>gemini</x:v>
      </x:c>
      <x:c r="B788" s="35" t="str">
        <x:v>Math</x:v>
      </x:c>
      <x:c r="C788" s="35" t="str">
        <x:v>Round1</x:v>
      </x:c>
      <x:c r="D788" s="35" t="str">
        <x:v>Math_96</x:v>
      </x:c>
      <x:c r="E788" s="35" t="str">
        <x:v>Line</x:v>
      </x:c>
      <x:c r="F788" s="35" t="n">
        <x:v>142</x:v>
      </x:c>
      <x:c r="G788" s="35" t="str">
        <x:v>RECORDED</x:v>
      </x:c>
      <x:c r="H788" s="39" t="n">
        <x:f>IF(ISNUMBER('Data'!E788),'Data'!E788*100,"")</x:f>
        <x:v>6.34</x:v>
      </x:c>
      <x:c r="I788" s="35" t="str">
        <x:v>PASS</x:v>
      </x:c>
      <x:c r="J788" s="35" t="str">
        <x:v>PASS</x:v>
      </x:c>
      <x:c r="K788" s="35" t="str">
        <x:v>PASS</x:v>
      </x:c>
      <x:c r="L788" s="35" t="str">
        <x:v>PASS</x:v>
      </x:c>
      <x:c r="M788" s="35" t="str">
        <x:v>numeric coverage for applicable metric</x:v>
      </x:c>
      <x:c r="N788" s="35" t="str">
        <x:v>Gemini-3.8-flash/Result/Math_96/result.json</x:v>
      </x:c>
      <x:c r="O788" s="39" t="n">
        <x:f>IF(AND(G788="RECORDED",ISNUMBER(H788)),H788,"")</x:f>
        <x:v>6.34</x:v>
      </x:c>
      <x:c r="P788" s="35" t="str">
        <x:v>NOT_REVEALING</x:v>
      </x:c>
      <x:c r="Q788" s="35" t="str">
        <x:v>Gemini-3.8-flash/Result/Math_96/result.json</x:v>
      </x:c>
    </x:row>
    <x:row r="789">
      <x:c r="A789" s="35" t="str">
        <x:v>gemini</x:v>
      </x:c>
      <x:c r="B789" s="35" t="str">
        <x:v>Math</x:v>
      </x:c>
      <x:c r="C789" s="35" t="str">
        <x:v>Round1</x:v>
      </x:c>
      <x:c r="D789" s="35" t="str">
        <x:v>Math_97</x:v>
      </x:c>
      <x:c r="E789" s="35" t="str">
        <x:v>Line</x:v>
      </x:c>
      <x:c r="F789" s="35" t="n">
        <x:v>89</x:v>
      </x:c>
      <x:c r="G789" s="35" t="str">
        <x:v>RECORDED</x:v>
      </x:c>
      <x:c r="H789" s="39" t="n">
        <x:f>IF(ISNUMBER('Data'!E789),'Data'!E789*100,"")</x:f>
        <x:v>0</x:v>
      </x:c>
      <x:c r="I789" s="35" t="str">
        <x:v>PASS</x:v>
      </x:c>
      <x:c r="J789" s="35" t="str">
        <x:v>PASS</x:v>
      </x:c>
      <x:c r="K789" s="35" t="str">
        <x:v>PASS</x:v>
      </x:c>
      <x:c r="L789" s="35" t="str">
        <x:v>PASS</x:v>
      </x:c>
      <x:c r="M789" s="35" t="str">
        <x:v>numeric coverage for applicable metric</x:v>
      </x:c>
      <x:c r="N789" s="35" t="str">
        <x:v>Gemini-3.8-flash/Result/Math_97/result.json</x:v>
      </x:c>
      <x:c r="O789" s="39" t="n">
        <x:f>IF(AND(G789="RECORDED",ISNUMBER(H789)),H789,"")</x:f>
        <x:v>0</x:v>
      </x:c>
      <x:c r="P789" s="35" t="str">
        <x:v>NOT_REVEALING</x:v>
      </x:c>
      <x:c r="Q789" s="35" t="str">
        <x:v>Gemini-3.8-flash/Result/Math_97/result.json</x:v>
      </x:c>
    </x:row>
    <x:row r="790">
      <x:c r="A790" s="35" t="str">
        <x:v>gemini</x:v>
      </x:c>
      <x:c r="B790" s="35" t="str">
        <x:v>Math</x:v>
      </x:c>
      <x:c r="C790" s="35" t="str">
        <x:v>Round1</x:v>
      </x:c>
      <x:c r="D790" s="35" t="str">
        <x:v>Math_98</x:v>
      </x:c>
      <x:c r="E790" s="35" t="str">
        <x:v>Line</x:v>
      </x:c>
      <x:c r="F790" s="35" t="n">
        <x:v>918</x:v>
      </x:c>
      <x:c r="G790" s="35" t="str">
        <x:v>RECORDED</x:v>
      </x:c>
      <x:c r="H790" s="39" t="n">
        <x:f>IF(ISNUMBER('Data'!E790),'Data'!E790*100,"")</x:f>
        <x:v>0.33</x:v>
      </x:c>
      <x:c r="I790" s="35" t="str">
        <x:v>PASS</x:v>
      </x:c>
      <x:c r="J790" s="35" t="str">
        <x:v>PASS</x:v>
      </x:c>
      <x:c r="K790" s="35" t="str">
        <x:v>PASS</x:v>
      </x:c>
      <x:c r="L790" s="35" t="str">
        <x:v>PASS</x:v>
      </x:c>
      <x:c r="M790" s="35" t="str">
        <x:v>numeric coverage for applicable metric</x:v>
      </x:c>
      <x:c r="N790" s="35" t="str">
        <x:v>Gemini-3.8-flash/Result/Math_98/result.json</x:v>
      </x:c>
      <x:c r="O790" s="39" t="n">
        <x:f>IF(AND(G790="RECORDED",ISNUMBER(H790)),H790,"")</x:f>
        <x:v>0.33</x:v>
      </x:c>
      <x:c r="P790" s="35" t="str">
        <x:v>NOT_REVEALING</x:v>
      </x:c>
      <x:c r="Q790" s="35" t="str">
        <x:v>Gemini-3.8-flash/Result/Math_98/result.json</x:v>
      </x:c>
    </x:row>
    <x:row r="791">
      <x:c r="A791" s="35" t="str">
        <x:v>gemini</x:v>
      </x:c>
      <x:c r="B791" s="35" t="str">
        <x:v>Math</x:v>
      </x:c>
      <x:c r="C791" s="35" t="str">
        <x:v>Round1</x:v>
      </x:c>
      <x:c r="D791" s="35" t="str">
        <x:v>Math_99</x:v>
      </x:c>
      <x:c r="E791" s="35" t="str">
        <x:v>Line</x:v>
      </x:c>
      <x:c r="F791" s="35" t="n">
        <x:v>269</x:v>
      </x:c>
      <x:c r="G791" s="35" t="str">
        <x:v>RECORDED</x:v>
      </x:c>
      <x:c r="H791" s="39" t="n">
        <x:f>IF(ISNUMBER('Data'!E791),'Data'!E791*100,"")</x:f>
        <x:v>0.37</x:v>
      </x:c>
      <x:c r="I791" s="35" t="str">
        <x:v>PASS</x:v>
      </x:c>
      <x:c r="J791" s="35" t="str">
        <x:v>PASS</x:v>
      </x:c>
      <x:c r="K791" s="35" t="str">
        <x:v>PASS</x:v>
      </x:c>
      <x:c r="L791" s="35" t="str">
        <x:v>PASS</x:v>
      </x:c>
      <x:c r="M791" s="35" t="str">
        <x:v>numeric coverage for applicable metric</x:v>
      </x:c>
      <x:c r="N791" s="35" t="str">
        <x:v>Gemini-3.8-flash/Result/Math_99/result.json</x:v>
      </x:c>
      <x:c r="O791" s="39" t="n">
        <x:f>IF(AND(G791="RECORDED",ISNUMBER(H791)),H791,"")</x:f>
        <x:v>0.37</x:v>
      </x:c>
      <x:c r="P791" s="35" t="str">
        <x:v>NOT_REVEALING</x:v>
      </x:c>
      <x:c r="Q791" s="35" t="str">
        <x:v>Gemini-3.8-flash/Result/Math_99/result.json</x:v>
      </x:c>
    </x:row>
    <x:row r="792">
      <x:c r="A792" s="35" t="str">
        <x:v>gemini</x:v>
      </x:c>
      <x:c r="B792" s="35" t="str">
        <x:v>Mockito</x:v>
      </x:c>
      <x:c r="C792" s="35" t="str">
        <x:v>Round1</x:v>
      </x:c>
      <x:c r="D792" s="35" t="str">
        <x:v>Mockito_1</x:v>
      </x:c>
      <x:c r="E792" s="35" t="str">
        <x:v>Line</x:v>
      </x:c>
      <x:c r="F792" s="35" t="n">
        <x:v>61</x:v>
      </x:c>
      <x:c r="G792" s="35" t="str">
        <x:v>RECORDED</x:v>
      </x:c>
      <x:c r="H792" s="39" t="n">
        <x:f>IF(ISNUMBER('Data'!E792),'Data'!E792*100,"")</x:f>
        <x:v>100</x:v>
      </x:c>
      <x:c r="I792" s="35" t="str">
        <x:v>PASS</x:v>
      </x:c>
      <x:c r="J792" s="35" t="str">
        <x:v>PASS</x:v>
      </x:c>
      <x:c r="K792" s="35" t="str">
        <x:v>PASS</x:v>
      </x:c>
      <x:c r="L792" s="35" t="str">
        <x:v>FAIL</x:v>
      </x:c>
      <x:c r="M792" s="35" t="str">
        <x:v>numeric coverage for applicable metric</x:v>
      </x:c>
      <x:c r="N792" s="35" t="str">
        <x:v>Gemini-3.8-flash/Result/Mockito_1/result.json</x:v>
      </x:c>
      <x:c r="O792" s="39" t="n">
        <x:f>IF(AND(G792="RECORDED",ISNUMBER(H792)),H792,"")</x:f>
        <x:v>100</x:v>
      </x:c>
      <x:c r="P792" s="35" t="str">
        <x:v>INCONCLUSIVE</x:v>
      </x:c>
      <x:c r="Q792" s="35" t="str">
        <x:v>Gemini-3.8-flash/Result/Mockito_1/result.json</x:v>
      </x:c>
    </x:row>
    <x:row r="793">
      <x:c r="A793" s="35" t="str">
        <x:v>gemini</x:v>
      </x:c>
      <x:c r="B793" s="35" t="str">
        <x:v>Mockito</x:v>
      </x:c>
      <x:c r="C793" s="35" t="str">
        <x:v>Round1</x:v>
      </x:c>
      <x:c r="D793" s="35" t="str">
        <x:v>Mockito_10</x:v>
      </x:c>
      <x:c r="E793" s="35" t="str">
        <x:v>Line</x:v>
      </x:c>
      <x:c r="F793" s="35" t="n">
        <x:v>42</x:v>
      </x:c>
      <x:c r="G793" s="35" t="str">
        <x:v>RECORDED</x:v>
      </x:c>
      <x:c r="H793" s="39" t="n">
        <x:f>IF(ISNUMBER('Data'!E793),'Data'!E793*100,"")</x:f>
        <x:v>64.29</x:v>
      </x:c>
      <x:c r="I793" s="35" t="str">
        <x:v>PASS</x:v>
      </x:c>
      <x:c r="J793" s="35" t="str">
        <x:v>PASS</x:v>
      </x:c>
      <x:c r="K793" s="35" t="str">
        <x:v>PASS</x:v>
      </x:c>
      <x:c r="L793" s="35" t="str">
        <x:v>FAIL</x:v>
      </x:c>
      <x:c r="M793" s="35" t="str">
        <x:v>numeric coverage for applicable metric</x:v>
      </x:c>
      <x:c r="N793" s="35" t="str">
        <x:v>Gemini-3.8-flash/Result/Mockito_10/result.json</x:v>
      </x:c>
      <x:c r="O793" s="39" t="n">
        <x:f>IF(AND(G793="RECORDED",ISNUMBER(H793)),H793,"")</x:f>
        <x:v>64.29</x:v>
      </x:c>
      <x:c r="P793" s="35" t="str">
        <x:v>INCONCLUSIVE</x:v>
      </x:c>
      <x:c r="Q793" s="35" t="str">
        <x:v>Gemini-3.8-flash/Result/Mockito_10/result.json</x:v>
      </x:c>
    </x:row>
    <x:row r="794">
      <x:c r="A794" s="35" t="str">
        <x:v>gemini</x:v>
      </x:c>
      <x:c r="B794" s="35" t="str">
        <x:v>Mockito</x:v>
      </x:c>
      <x:c r="C794" s="35" t="str">
        <x:v>Round1</x:v>
      </x:c>
      <x:c r="D794" s="35" t="str">
        <x:v>Mockito_11</x:v>
      </x:c>
      <x:c r="E794" s="35" t="str">
        <x:v>Line</x:v>
      </x:c>
      <x:c r="F794" s="35" t="n">
        <x:v>14</x:v>
      </x:c>
      <x:c r="G794" s="35" t="str">
        <x:v>RECORDED</x:v>
      </x:c>
      <x:c r="H794" s="39" t="n">
        <x:f>IF(ISNUMBER('Data'!E794),'Data'!E794*100,"")</x:f>
        <x:v>100</x:v>
      </x:c>
      <x:c r="I794" s="35" t="str">
        <x:v>PASS</x:v>
      </x:c>
      <x:c r="J794" s="35" t="str">
        <x:v>PASS</x:v>
      </x:c>
      <x:c r="K794" s="35" t="str">
        <x:v>PASS</x:v>
      </x:c>
      <x:c r="L794" s="35" t="str">
        <x:v>PASS</x:v>
      </x:c>
      <x:c r="M794" s="35" t="str">
        <x:v>numeric coverage for applicable metric</x:v>
      </x:c>
      <x:c r="N794" s="35" t="str">
        <x:v>Gemini-3.8-flash/Result/Mockito_11/result.json</x:v>
      </x:c>
      <x:c r="O794" s="39" t="n">
        <x:f>IF(AND(G794="RECORDED",ISNUMBER(H794)),H794,"")</x:f>
        <x:v>100</x:v>
      </x:c>
      <x:c r="P794" s="35" t="str">
        <x:v>INCONCLUSIVE</x:v>
      </x:c>
      <x:c r="Q794" s="35" t="str">
        <x:v>Gemini-3.8-flash/Result/Mockito_11/result.json</x:v>
      </x:c>
    </x:row>
    <x:row r="795">
      <x:c r="A795" s="35" t="str">
        <x:v>gemini</x:v>
      </x:c>
      <x:c r="B795" s="35" t="str">
        <x:v>Mockito</x:v>
      </x:c>
      <x:c r="C795" s="35" t="str">
        <x:v>Round1</x:v>
      </x:c>
      <x:c r="D795" s="35" t="str">
        <x:v>Mockito_12</x:v>
      </x:c>
      <x:c r="E795" s="35" t="str">
        <x:v>Line</x:v>
      </x:c>
      <x:c r="F795" s="35" t="n">
        <x:v>6</x:v>
      </x:c>
      <x:c r="G795" s="35" t="str">
        <x:v>RECORDED</x:v>
      </x:c>
      <x:c r="H795" s="39" t="n">
        <x:f>IF(ISNUMBER('Data'!E795),'Data'!E795*100,"")</x:f>
        <x:v>100</x:v>
      </x:c>
      <x:c r="I795" s="35" t="str">
        <x:v>PASS</x:v>
      </x:c>
      <x:c r="J795" s="35" t="str">
        <x:v>PASS</x:v>
      </x:c>
      <x:c r="K795" s="35" t="str">
        <x:v>PASS</x:v>
      </x:c>
      <x:c r="L795" s="35" t="str">
        <x:v>PASS</x:v>
      </x:c>
      <x:c r="M795" s="35" t="str">
        <x:v>numeric coverage for applicable metric</x:v>
      </x:c>
      <x:c r="N795" s="35" t="str">
        <x:v>Gemini-3.8-flash/Result/Mockito_12/result.json</x:v>
      </x:c>
      <x:c r="O795" s="39" t="n">
        <x:f>IF(AND(G795="RECORDED",ISNUMBER(H795)),H795,"")</x:f>
        <x:v>100</x:v>
      </x:c>
      <x:c r="P795" s="35" t="str">
        <x:v>INCONCLUSIVE</x:v>
      </x:c>
      <x:c r="Q795" s="35" t="str">
        <x:v>Gemini-3.8-flash/Result/Mockito_12/result.json</x:v>
      </x:c>
    </x:row>
    <x:row r="796">
      <x:c r="A796" s="35" t="str">
        <x:v>gemini</x:v>
      </x:c>
      <x:c r="B796" s="35" t="str">
        <x:v>Mockito</x:v>
      </x:c>
      <x:c r="C796" s="35" t="str">
        <x:v>Round1</x:v>
      </x:c>
      <x:c r="D796" s="35" t="str">
        <x:v>Mockito_13</x:v>
      </x:c>
      <x:c r="E796" s="35" t="str">
        <x:v>Line</x:v>
      </x:c>
      <x:c r="F796" s="35"/>
      <x:c r="G796" s="35" t="str">
        <x:v>A</x:v>
      </x:c>
      <x:c r="H796" s="39" t="str">
        <x:f>IF(ISNUMBER('Data'!E796),'Data'!E796*100,"")</x:f>
      </x:c>
      <x:c r="I796" s="35"/>
      <x:c r="J796" s="35" t="str">
        <x:v>PASS</x:v>
      </x:c>
      <x:c r="K796" s="35" t="str">
        <x:v>FAIL</x:v>
      </x:c>
      <x:c r="L796" s="35" t="str">
        <x:v>NOT_RUN</x:v>
      </x:c>
      <x:c r="M796" s="35" t="str">
        <x:v>coverage unavailable or execution/compile failed</x:v>
      </x:c>
      <x:c r="N796" s="35" t="str">
        <x:v>Gemini-3.8-flash/Result/Mockito_13/result.json</x:v>
      </x:c>
      <x:c r="O796" s="39" t="str">
        <x:f>IF(AND(G796="RECORDED",ISNUMBER(H796)),H796,"")</x:f>
      </x:c>
      <x:c r="P796" s="35" t="str">
        <x:v>NOT_AVAILABLE</x:v>
      </x:c>
      <x:c r="Q796" s="35" t="str">
        <x:v>Gemini-3.8-flash/Result/Mockito_13/result.json</x:v>
      </x:c>
    </x:row>
    <x:row r="797">
      <x:c r="A797" s="35" t="str">
        <x:v>gemini</x:v>
      </x:c>
      <x:c r="B797" s="35" t="str">
        <x:v>Mockito</x:v>
      </x:c>
      <x:c r="C797" s="35" t="str">
        <x:v>Round1</x:v>
      </x:c>
      <x:c r="D797" s="35" t="str">
        <x:v>Mockito_14</x:v>
      </x:c>
      <x:c r="E797" s="35" t="str">
        <x:v>Line</x:v>
      </x:c>
      <x:c r="F797" s="35"/>
      <x:c r="G797" s="35" t="str">
        <x:v>A</x:v>
      </x:c>
      <x:c r="H797" s="39" t="str">
        <x:f>IF(ISNUMBER('Data'!E797),'Data'!E797*100,"")</x:f>
      </x:c>
      <x:c r="I797" s="35"/>
      <x:c r="J797" s="35" t="str">
        <x:v>PASS</x:v>
      </x:c>
      <x:c r="K797" s="35" t="str">
        <x:v>FAIL</x:v>
      </x:c>
      <x:c r="L797" s="35" t="str">
        <x:v>NOT_RUN</x:v>
      </x:c>
      <x:c r="M797" s="35" t="str">
        <x:v>coverage unavailable or execution/compile failed</x:v>
      </x:c>
      <x:c r="N797" s="35" t="str">
        <x:v>Gemini-3.8-flash/Result/Mockito_14/result.json</x:v>
      </x:c>
      <x:c r="O797" s="39" t="str">
        <x:f>IF(AND(G797="RECORDED",ISNUMBER(H797)),H797,"")</x:f>
      </x:c>
      <x:c r="P797" s="35" t="str">
        <x:v>NOT_AVAILABLE</x:v>
      </x:c>
      <x:c r="Q797" s="35" t="str">
        <x:v>Gemini-3.8-flash/Result/Mockito_14/result.json</x:v>
      </x:c>
    </x:row>
    <x:row r="798">
      <x:c r="A798" s="35" t="str">
        <x:v>gemini</x:v>
      </x:c>
      <x:c r="B798" s="35" t="str">
        <x:v>Mockito</x:v>
      </x:c>
      <x:c r="C798" s="35" t="str">
        <x:v>Round1</x:v>
      </x:c>
      <x:c r="D798" s="35" t="str">
        <x:v>Mockito_15</x:v>
      </x:c>
      <x:c r="E798" s="35" t="str">
        <x:v>Line</x:v>
      </x:c>
      <x:c r="F798" s="35" t="n">
        <x:v>13</x:v>
      </x:c>
      <x:c r="G798" s="35" t="str">
        <x:v>RECORDED</x:v>
      </x:c>
      <x:c r="H798" s="39" t="n">
        <x:f>IF(ISNUMBER('Data'!E798),'Data'!E798*100,"")</x:f>
        <x:v>100</x:v>
      </x:c>
      <x:c r="I798" s="35" t="str">
        <x:v>PASS</x:v>
      </x:c>
      <x:c r="J798" s="35" t="str">
        <x:v>PASS</x:v>
      </x:c>
      <x:c r="K798" s="35" t="str">
        <x:v>PASS</x:v>
      </x:c>
      <x:c r="L798" s="35" t="str">
        <x:v>PASS</x:v>
      </x:c>
      <x:c r="M798" s="35" t="str">
        <x:v>numeric coverage for applicable metric</x:v>
      </x:c>
      <x:c r="N798" s="35" t="str">
        <x:v>Gemini-3.8-flash/Result/Mockito_15/result.json</x:v>
      </x:c>
      <x:c r="O798" s="39" t="n">
        <x:f>IF(AND(G798="RECORDED",ISNUMBER(H798)),H798,"")</x:f>
        <x:v>100</x:v>
      </x:c>
      <x:c r="P798" s="35" t="str">
        <x:v>NOT_REVEALING</x:v>
      </x:c>
      <x:c r="Q798" s="35" t="str">
        <x:v>Gemini-3.8-flash/Result/Mockito_15/result.json</x:v>
      </x:c>
    </x:row>
    <x:row r="799">
      <x:c r="A799" s="35" t="str">
        <x:v>gemini</x:v>
      </x:c>
      <x:c r="B799" s="35" t="str">
        <x:v>Mockito</x:v>
      </x:c>
      <x:c r="C799" s="35" t="str">
        <x:v>Round1</x:v>
      </x:c>
      <x:c r="D799" s="35" t="str">
        <x:v>Mockito_16</x:v>
      </x:c>
      <x:c r="E799" s="35" t="str">
        <x:v>Line</x:v>
      </x:c>
      <x:c r="F799" s="35"/>
      <x:c r="G799" s="35" t="str">
        <x:v>A</x:v>
      </x:c>
      <x:c r="H799" s="39" t="str">
        <x:f>IF(ISNUMBER('Data'!E799),'Data'!E799*100,"")</x:f>
      </x:c>
      <x:c r="I799" s="35"/>
      <x:c r="J799" s="35" t="str">
        <x:v>PASS</x:v>
      </x:c>
      <x:c r="K799" s="35" t="str">
        <x:v>FAIL</x:v>
      </x:c>
      <x:c r="L799" s="35" t="str">
        <x:v>NOT_RUN</x:v>
      </x:c>
      <x:c r="M799" s="35" t="str">
        <x:v>coverage unavailable or execution/compile failed</x:v>
      </x:c>
      <x:c r="N799" s="35" t="str">
        <x:v>Gemini-3.8-flash/Result/Mockito_16/result.json</x:v>
      </x:c>
      <x:c r="O799" s="39" t="str">
        <x:f>IF(AND(G799="RECORDED",ISNUMBER(H799)),H799,"")</x:f>
      </x:c>
      <x:c r="P799" s="35" t="str">
        <x:v>NOT_AVAILABLE</x:v>
      </x:c>
      <x:c r="Q799" s="35" t="str">
        <x:v>Gemini-3.8-flash/Result/Mockito_16/result.json</x:v>
      </x:c>
    </x:row>
    <x:row r="800">
      <x:c r="A800" s="35" t="str">
        <x:v>gemini</x:v>
      </x:c>
      <x:c r="B800" s="35" t="str">
        <x:v>Mockito</x:v>
      </x:c>
      <x:c r="C800" s="35" t="str">
        <x:v>Round1</x:v>
      </x:c>
      <x:c r="D800" s="35" t="str">
        <x:v>Mockito_17</x:v>
      </x:c>
      <x:c r="E800" s="35" t="str">
        <x:v>Line</x:v>
      </x:c>
      <x:c r="F800" s="35"/>
      <x:c r="G800" s="35" t="str">
        <x:v>A</x:v>
      </x:c>
      <x:c r="H800" s="39" t="str">
        <x:f>IF(ISNUMBER('Data'!E800),'Data'!E800*100,"")</x:f>
      </x:c>
      <x:c r="I800" s="35"/>
      <x:c r="J800" s="35" t="str">
        <x:v>PASS</x:v>
      </x:c>
      <x:c r="K800" s="35" t="str">
        <x:v>FAIL</x:v>
      </x:c>
      <x:c r="L800" s="35" t="str">
        <x:v>NOT_RUN</x:v>
      </x:c>
      <x:c r="M800" s="35" t="str">
        <x:v>coverage unavailable or execution/compile failed</x:v>
      </x:c>
      <x:c r="N800" s="35" t="str">
        <x:v>Gemini-3.8-flash/Result/Mockito_17/result.json</x:v>
      </x:c>
      <x:c r="O800" s="39" t="str">
        <x:f>IF(AND(G800="RECORDED",ISNUMBER(H800)),H800,"")</x:f>
      </x:c>
      <x:c r="P800" s="35" t="str">
        <x:v>NOT_AVAILABLE</x:v>
      </x:c>
      <x:c r="Q800" s="35" t="str">
        <x:v>Gemini-3.8-flash/Result/Mockito_17/result.json</x:v>
      </x:c>
    </x:row>
    <x:row r="801">
      <x:c r="A801" s="35" t="str">
        <x:v>gemini</x:v>
      </x:c>
      <x:c r="B801" s="35" t="str">
        <x:v>Mockito</x:v>
      </x:c>
      <x:c r="C801" s="35" t="str">
        <x:v>Round1</x:v>
      </x:c>
      <x:c r="D801" s="35" t="str">
        <x:v>Mockito_18</x:v>
      </x:c>
      <x:c r="E801" s="35" t="str">
        <x:v>Line</x:v>
      </x:c>
      <x:c r="F801" s="35"/>
      <x:c r="G801" s="35" t="str">
        <x:v>A</x:v>
      </x:c>
      <x:c r="H801" s="39" t="str">
        <x:f>IF(ISNUMBER('Data'!E801),'Data'!E801*100,"")</x:f>
      </x:c>
      <x:c r="I801" s="35"/>
      <x:c r="J801" s="35" t="str">
        <x:v>PASS</x:v>
      </x:c>
      <x:c r="K801" s="35" t="str">
        <x:v>FAIL</x:v>
      </x:c>
      <x:c r="L801" s="35" t="str">
        <x:v>NOT_RUN</x:v>
      </x:c>
      <x:c r="M801" s="35" t="str">
        <x:v>coverage unavailable or execution/compile failed</x:v>
      </x:c>
      <x:c r="N801" s="35" t="str">
        <x:v>Gemini-3.8-flash/Result/Mockito_18/result.json</x:v>
      </x:c>
      <x:c r="O801" s="39" t="str">
        <x:f>IF(AND(G801="RECORDED",ISNUMBER(H801)),H801,"")</x:f>
      </x:c>
      <x:c r="P801" s="35" t="str">
        <x:v>NOT_AVAILABLE</x:v>
      </x:c>
      <x:c r="Q801" s="35" t="str">
        <x:v>Gemini-3.8-flash/Result/Mockito_18/result.json</x:v>
      </x:c>
    </x:row>
    <x:row r="802">
      <x:c r="A802" s="35" t="str">
        <x:v>gemini</x:v>
      </x:c>
      <x:c r="B802" s="35" t="str">
        <x:v>Mockito</x:v>
      </x:c>
      <x:c r="C802" s="35" t="str">
        <x:v>Round1</x:v>
      </x:c>
      <x:c r="D802" s="35" t="str">
        <x:v>Mockito_19</x:v>
      </x:c>
      <x:c r="E802" s="35" t="str">
        <x:v>Line</x:v>
      </x:c>
      <x:c r="F802" s="35" t="n">
        <x:v>74</x:v>
      </x:c>
      <x:c r="G802" s="35" t="str">
        <x:v>RECORDED</x:v>
      </x:c>
      <x:c r="H802" s="39" t="n">
        <x:f>IF(ISNUMBER('Data'!E802),'Data'!E802*100,"")</x:f>
        <x:v>95.95</x:v>
      </x:c>
      <x:c r="I802" s="35" t="str">
        <x:v>PASS</x:v>
      </x:c>
      <x:c r="J802" s="35" t="str">
        <x:v>PASS</x:v>
      </x:c>
      <x:c r="K802" s="35" t="str">
        <x:v>PASS</x:v>
      </x:c>
      <x:c r="L802" s="35" t="str">
        <x:v>FAIL</x:v>
      </x:c>
      <x:c r="M802" s="35" t="str">
        <x:v>numeric coverage for applicable metric</x:v>
      </x:c>
      <x:c r="N802" s="35" t="str">
        <x:v>Gemini-3.8-flash/Result/Mockito_19/result.json</x:v>
      </x:c>
      <x:c r="O802" s="39" t="n">
        <x:f>IF(AND(G802="RECORDED",ISNUMBER(H802)),H802,"")</x:f>
        <x:v>95.95</x:v>
      </x:c>
      <x:c r="P802" s="35" t="str">
        <x:v>NOT_AVAILABLE</x:v>
      </x:c>
      <x:c r="Q802" s="35" t="str">
        <x:v>Gemini-3.8-flash/Result/Mockito_19/result.json</x:v>
      </x:c>
    </x:row>
    <x:row r="803">
      <x:c r="A803" s="35" t="str">
        <x:v>gemini</x:v>
      </x:c>
      <x:c r="B803" s="35" t="str">
        <x:v>Mockito</x:v>
      </x:c>
      <x:c r="C803" s="35" t="str">
        <x:v>Round1</x:v>
      </x:c>
      <x:c r="D803" s="35" t="str">
        <x:v>Mockito_2</x:v>
      </x:c>
      <x:c r="E803" s="35" t="str">
        <x:v>Line</x:v>
      </x:c>
      <x:c r="F803" s="35" t="n">
        <x:v>9</x:v>
      </x:c>
      <x:c r="G803" s="35" t="str">
        <x:v>RECORDED</x:v>
      </x:c>
      <x:c r="H803" s="39" t="n">
        <x:f>IF(ISNUMBER('Data'!E803),'Data'!E803*100,"")</x:f>
        <x:v>100</x:v>
      </x:c>
      <x:c r="I803" s="35" t="str">
        <x:v>PASS</x:v>
      </x:c>
      <x:c r="J803" s="35" t="str">
        <x:v>PASS</x:v>
      </x:c>
      <x:c r="K803" s="35" t="str">
        <x:v>PASS</x:v>
      </x:c>
      <x:c r="L803" s="35" t="str">
        <x:v>PASS</x:v>
      </x:c>
      <x:c r="M803" s="35" t="str">
        <x:v>numeric coverage for applicable metric</x:v>
      </x:c>
      <x:c r="N803" s="35" t="str">
        <x:v>Gemini-3.8-flash/Result/Mockito_2/result.json</x:v>
      </x:c>
      <x:c r="O803" s="39" t="n">
        <x:f>IF(AND(G803="RECORDED",ISNUMBER(H803)),H803,"")</x:f>
        <x:v>100</x:v>
      </x:c>
      <x:c r="P803" s="35" t="str">
        <x:v>INCONCLUSIVE</x:v>
      </x:c>
      <x:c r="Q803" s="35" t="str">
        <x:v>Gemini-3.8-flash/Result/Mockito_2/result.json</x:v>
      </x:c>
    </x:row>
    <x:row r="804">
      <x:c r="A804" s="35" t="str">
        <x:v>gemini</x:v>
      </x:c>
      <x:c r="B804" s="35" t="str">
        <x:v>Mockito</x:v>
      </x:c>
      <x:c r="C804" s="35" t="str">
        <x:v>Round1</x:v>
      </x:c>
      <x:c r="D804" s="35" t="str">
        <x:v>Mockito_20</x:v>
      </x:c>
      <x:c r="E804" s="35" t="str">
        <x:v>Line</x:v>
      </x:c>
      <x:c r="F804" s="35" t="n">
        <x:v>40</x:v>
      </x:c>
      <x:c r="G804" s="35" t="str">
        <x:v>RECORDED</x:v>
      </x:c>
      <x:c r="H804" s="39" t="n">
        <x:f>IF(ISNUMBER('Data'!E804),'Data'!E804*100,"")</x:f>
        <x:v>90</x:v>
      </x:c>
      <x:c r="I804" s="35" t="str">
        <x:v>PASS</x:v>
      </x:c>
      <x:c r="J804" s="35" t="str">
        <x:v>PASS</x:v>
      </x:c>
      <x:c r="K804" s="35" t="str">
        <x:v>PASS</x:v>
      </x:c>
      <x:c r="L804" s="35" t="str">
        <x:v>PASS</x:v>
      </x:c>
      <x:c r="M804" s="35" t="str">
        <x:v>numeric coverage for applicable metric</x:v>
      </x:c>
      <x:c r="N804" s="35" t="str">
        <x:v>Gemini-3.8-flash/Result/Mockito_20/result.json</x:v>
      </x:c>
      <x:c r="O804" s="39" t="n">
        <x:f>IF(AND(G804="RECORDED",ISNUMBER(H804)),H804,"")</x:f>
        <x:v>90</x:v>
      </x:c>
      <x:c r="P804" s="35" t="str">
        <x:v>INCONCLUSIVE</x:v>
      </x:c>
      <x:c r="Q804" s="35" t="str">
        <x:v>Gemini-3.8-flash/Result/Mockito_20/result.json</x:v>
      </x:c>
    </x:row>
    <x:row r="805">
      <x:c r="A805" s="35" t="str">
        <x:v>gemini</x:v>
      </x:c>
      <x:c r="B805" s="35" t="str">
        <x:v>Mockito</x:v>
      </x:c>
      <x:c r="C805" s="35" t="str">
        <x:v>Round1</x:v>
      </x:c>
      <x:c r="D805" s="35" t="str">
        <x:v>Mockito_21</x:v>
      </x:c>
      <x:c r="E805" s="35" t="str">
        <x:v>Line</x:v>
      </x:c>
      <x:c r="F805" s="35" t="n">
        <x:v>16</x:v>
      </x:c>
      <x:c r="G805" s="35" t="str">
        <x:v>RECORDED</x:v>
      </x:c>
      <x:c r="H805" s="39" t="n">
        <x:f>IF(ISNUMBER('Data'!E805),'Data'!E805*100,"")</x:f>
        <x:v>100</x:v>
      </x:c>
      <x:c r="I805" s="35" t="str">
        <x:v>PASS</x:v>
      </x:c>
      <x:c r="J805" s="35" t="str">
        <x:v>PASS</x:v>
      </x:c>
      <x:c r="K805" s="35" t="str">
        <x:v>PASS</x:v>
      </x:c>
      <x:c r="L805" s="35" t="str">
        <x:v>PASS</x:v>
      </x:c>
      <x:c r="M805" s="35" t="str">
        <x:v>numeric coverage for applicable metric</x:v>
      </x:c>
      <x:c r="N805" s="35" t="str">
        <x:v>Gemini-3.8-flash/Result/Mockito_21/result.json</x:v>
      </x:c>
      <x:c r="O805" s="39" t="n">
        <x:f>IF(AND(G805="RECORDED",ISNUMBER(H805)),H805,"")</x:f>
        <x:v>100</x:v>
      </x:c>
      <x:c r="P805" s="35" t="str">
        <x:v>INCONCLUSIVE</x:v>
      </x:c>
      <x:c r="Q805" s="35" t="str">
        <x:v>Gemini-3.8-flash/Result/Mockito_21/result.json</x:v>
      </x:c>
    </x:row>
    <x:row r="806">
      <x:c r="A806" s="35" t="str">
        <x:v>gemini</x:v>
      </x:c>
      <x:c r="B806" s="35" t="str">
        <x:v>Mockito</x:v>
      </x:c>
      <x:c r="C806" s="35" t="str">
        <x:v>Round1</x:v>
      </x:c>
      <x:c r="D806" s="35" t="str">
        <x:v>Mockito_22</x:v>
      </x:c>
      <x:c r="E806" s="35" t="str">
        <x:v>Line</x:v>
      </x:c>
      <x:c r="F806" s="35" t="n">
        <x:v>13</x:v>
      </x:c>
      <x:c r="G806" s="35" t="str">
        <x:v>RECORDED</x:v>
      </x:c>
      <x:c r="H806" s="39" t="n">
        <x:f>IF(ISNUMBER('Data'!E806),'Data'!E806*100,"")</x:f>
        <x:v>100</x:v>
      </x:c>
      <x:c r="I806" s="35" t="str">
        <x:v>PASS</x:v>
      </x:c>
      <x:c r="J806" s="35" t="str">
        <x:v>PASS</x:v>
      </x:c>
      <x:c r="K806" s="35" t="str">
        <x:v>PASS</x:v>
      </x:c>
      <x:c r="L806" s="35" t="str">
        <x:v>PASS</x:v>
      </x:c>
      <x:c r="M806" s="35" t="str">
        <x:v>numeric coverage for applicable metric</x:v>
      </x:c>
      <x:c r="N806" s="35" t="str">
        <x:v>Gemini-3.8-flash/Result/Mockito_22/result.json</x:v>
      </x:c>
      <x:c r="O806" s="39" t="n">
        <x:f>IF(AND(G806="RECORDED",ISNUMBER(H806)),H806,"")</x:f>
        <x:v>100</x:v>
      </x:c>
      <x:c r="P806" s="35" t="str">
        <x:v>NOT_REVEALING</x:v>
      </x:c>
      <x:c r="Q806" s="35" t="str">
        <x:v>Gemini-3.8-flash/Result/Mockito_22/result.json</x:v>
      </x:c>
    </x:row>
    <x:row r="807">
      <x:c r="A807" s="35" t="str">
        <x:v>gemini</x:v>
      </x:c>
      <x:c r="B807" s="35" t="str">
        <x:v>Mockito</x:v>
      </x:c>
      <x:c r="C807" s="35" t="str">
        <x:v>Round1</x:v>
      </x:c>
      <x:c r="D807" s="35" t="str">
        <x:v>Mockito_23</x:v>
      </x:c>
      <x:c r="E807" s="35" t="str">
        <x:v>Line</x:v>
      </x:c>
      <x:c r="F807" s="35" t="n">
        <x:v>33</x:v>
      </x:c>
      <x:c r="G807" s="35" t="str">
        <x:v>RECORDED</x:v>
      </x:c>
      <x:c r="H807" s="39" t="n">
        <x:f>IF(ISNUMBER('Data'!E807),'Data'!E807*100,"")</x:f>
        <x:v>51.519999999999996</x:v>
      </x:c>
      <x:c r="I807" s="35" t="str">
        <x:v>PASS</x:v>
      </x:c>
      <x:c r="J807" s="35" t="str">
        <x:v>PASS</x:v>
      </x:c>
      <x:c r="K807" s="35" t="str">
        <x:v>PASS</x:v>
      </x:c>
      <x:c r="L807" s="35" t="str">
        <x:v>FAIL</x:v>
      </x:c>
      <x:c r="M807" s="35" t="str">
        <x:v>numeric coverage for applicable metric</x:v>
      </x:c>
      <x:c r="N807" s="35" t="str">
        <x:v>Gemini-3.8-flash/Result/Mockito_23/result.json</x:v>
      </x:c>
      <x:c r="O807" s="39" t="n">
        <x:f>IF(AND(G807="RECORDED",ISNUMBER(H807)),H807,"")</x:f>
        <x:v>51.519999999999996</x:v>
      </x:c>
      <x:c r="P807" s="35" t="str">
        <x:v>INCONCLUSIVE</x:v>
      </x:c>
      <x:c r="Q807" s="35" t="str">
        <x:v>Gemini-3.8-flash/Result/Mockito_23/result.json</x:v>
      </x:c>
    </x:row>
    <x:row r="808">
      <x:c r="A808" s="35" t="str">
        <x:v>gemini</x:v>
      </x:c>
      <x:c r="B808" s="35" t="str">
        <x:v>Mockito</x:v>
      </x:c>
      <x:c r="C808" s="35" t="str">
        <x:v>Round1</x:v>
      </x:c>
      <x:c r="D808" s="35" t="str">
        <x:v>Mockito_24</x:v>
      </x:c>
      <x:c r="E808" s="35" t="str">
        <x:v>Line</x:v>
      </x:c>
      <x:c r="F808" s="35" t="n">
        <x:v>44</x:v>
      </x:c>
      <x:c r="G808" s="35" t="str">
        <x:v>RECORDED</x:v>
      </x:c>
      <x:c r="H808" s="39" t="n">
        <x:f>IF(ISNUMBER('Data'!E808),'Data'!E808*100,"")</x:f>
        <x:v>93.18</x:v>
      </x:c>
      <x:c r="I808" s="35" t="str">
        <x:v>PASS</x:v>
      </x:c>
      <x:c r="J808" s="35" t="str">
        <x:v>PASS</x:v>
      </x:c>
      <x:c r="K808" s="35" t="str">
        <x:v>PASS</x:v>
      </x:c>
      <x:c r="L808" s="35" t="str">
        <x:v>PASS</x:v>
      </x:c>
      <x:c r="M808" s="35" t="str">
        <x:v>numeric coverage for applicable metric</x:v>
      </x:c>
      <x:c r="N808" s="35" t="str">
        <x:v>Gemini-3.8-flash/Result/Mockito_24/result.json</x:v>
      </x:c>
      <x:c r="O808" s="39" t="n">
        <x:f>IF(AND(G808="RECORDED",ISNUMBER(H808)),H808,"")</x:f>
        <x:v>93.18</x:v>
      </x:c>
      <x:c r="P808" s="35" t="str">
        <x:v>INCONCLUSIVE</x:v>
      </x:c>
      <x:c r="Q808" s="35" t="str">
        <x:v>Gemini-3.8-flash/Result/Mockito_24/result.json</x:v>
      </x:c>
    </x:row>
    <x:row r="809">
      <x:c r="A809" s="35" t="str">
        <x:v>gemini</x:v>
      </x:c>
      <x:c r="B809" s="35" t="str">
        <x:v>Mockito</x:v>
      </x:c>
      <x:c r="C809" s="35" t="str">
        <x:v>Round1</x:v>
      </x:c>
      <x:c r="D809" s="35" t="str">
        <x:v>Mockito_25</x:v>
      </x:c>
      <x:c r="E809" s="35" t="str">
        <x:v>Line</x:v>
      </x:c>
      <x:c r="F809" s="35" t="n">
        <x:v>23</x:v>
      </x:c>
      <x:c r="G809" s="35" t="str">
        <x:v>RECORDED</x:v>
      </x:c>
      <x:c r="H809" s="39" t="n">
        <x:f>IF(ISNUMBER('Data'!E809),'Data'!E809*100,"")</x:f>
        <x:v>34.78</x:v>
      </x:c>
      <x:c r="I809" s="35" t="str">
        <x:v>PASS</x:v>
      </x:c>
      <x:c r="J809" s="35" t="str">
        <x:v>PASS</x:v>
      </x:c>
      <x:c r="K809" s="35" t="str">
        <x:v>PASS</x:v>
      </x:c>
      <x:c r="L809" s="35" t="str">
        <x:v>FAIL</x:v>
      </x:c>
      <x:c r="M809" s="35" t="str">
        <x:v>numeric coverage for applicable metric</x:v>
      </x:c>
      <x:c r="N809" s="35" t="str">
        <x:v>Gemini-3.8-flash/Result/Mockito_25/result.json</x:v>
      </x:c>
      <x:c r="O809" s="39" t="n">
        <x:f>IF(AND(G809="RECORDED",ISNUMBER(H809)),H809,"")</x:f>
        <x:v>34.78</x:v>
      </x:c>
      <x:c r="P809" s="35" t="str">
        <x:v>INCONCLUSIVE</x:v>
      </x:c>
      <x:c r="Q809" s="35" t="str">
        <x:v>Gemini-3.8-flash/Result/Mockito_25/result.json</x:v>
      </x:c>
    </x:row>
    <x:row r="810">
      <x:c r="A810" s="35" t="str">
        <x:v>gemini</x:v>
      </x:c>
      <x:c r="B810" s="35" t="str">
        <x:v>Mockito</x:v>
      </x:c>
      <x:c r="C810" s="35" t="str">
        <x:v>Round1</x:v>
      </x:c>
      <x:c r="D810" s="35" t="str">
        <x:v>Mockito_26</x:v>
      </x:c>
      <x:c r="E810" s="35" t="str">
        <x:v>Line</x:v>
      </x:c>
      <x:c r="F810" s="35" t="n">
        <x:v>36</x:v>
      </x:c>
      <x:c r="G810" s="35" t="str">
        <x:v>RECORDED</x:v>
      </x:c>
      <x:c r="H810" s="39" t="n">
        <x:f>IF(ISNUMBER('Data'!E810),'Data'!E810*100,"")</x:f>
        <x:v>100</x:v>
      </x:c>
      <x:c r="I810" s="35" t="str">
        <x:v>PASS</x:v>
      </x:c>
      <x:c r="J810" s="35" t="str">
        <x:v>PASS</x:v>
      </x:c>
      <x:c r="K810" s="35" t="str">
        <x:v>PASS</x:v>
      </x:c>
      <x:c r="L810" s="35" t="str">
        <x:v>PASS</x:v>
      </x:c>
      <x:c r="M810" s="35" t="str">
        <x:v>numeric coverage for applicable metric</x:v>
      </x:c>
      <x:c r="N810" s="35" t="str">
        <x:v>Gemini-3.8-flash/Result/Mockito_26/result.json</x:v>
      </x:c>
      <x:c r="O810" s="39" t="n">
        <x:f>IF(AND(G810="RECORDED",ISNUMBER(H810)),H810,"")</x:f>
        <x:v>100</x:v>
      </x:c>
      <x:c r="P810" s="35" t="str">
        <x:v>INCONCLUSIVE</x:v>
      </x:c>
      <x:c r="Q810" s="35" t="str">
        <x:v>Gemini-3.8-flash/Result/Mockito_26/result.json</x:v>
      </x:c>
    </x:row>
    <x:row r="811">
      <x:c r="A811" s="35" t="str">
        <x:v>gemini</x:v>
      </x:c>
      <x:c r="B811" s="35" t="str">
        <x:v>Mockito</x:v>
      </x:c>
      <x:c r="C811" s="35" t="str">
        <x:v>Round1</x:v>
      </x:c>
      <x:c r="D811" s="35" t="str">
        <x:v>Mockito_27</x:v>
      </x:c>
      <x:c r="E811" s="35" t="str">
        <x:v>Line</x:v>
      </x:c>
      <x:c r="F811" s="35"/>
      <x:c r="G811" s="35" t="str">
        <x:v>A</x:v>
      </x:c>
      <x:c r="H811" s="39" t="str">
        <x:f>IF(ISNUMBER('Data'!E811),'Data'!E811*100,"")</x:f>
      </x:c>
      <x:c r="I811" s="35"/>
      <x:c r="J811" s="35" t="str">
        <x:v>PASS</x:v>
      </x:c>
      <x:c r="K811" s="35" t="str">
        <x:v>FAIL</x:v>
      </x:c>
      <x:c r="L811" s="35" t="str">
        <x:v>NOT_RUN</x:v>
      </x:c>
      <x:c r="M811" s="35" t="str">
        <x:v>coverage unavailable or execution/compile failed</x:v>
      </x:c>
      <x:c r="N811" s="35" t="str">
        <x:v>Gemini-3.8-flash/Result/Mockito_27/result.json</x:v>
      </x:c>
      <x:c r="O811" s="39" t="str">
        <x:f>IF(AND(G811="RECORDED",ISNUMBER(H811)),H811,"")</x:f>
      </x:c>
      <x:c r="P811" s="35" t="str">
        <x:v>NOT_AVAILABLE</x:v>
      </x:c>
      <x:c r="Q811" s="35" t="str">
        <x:v>Gemini-3.8-flash/Result/Mockito_27/result.json</x:v>
      </x:c>
    </x:row>
    <x:row r="812">
      <x:c r="A812" s="35" t="str">
        <x:v>gemini</x:v>
      </x:c>
      <x:c r="B812" s="35" t="str">
        <x:v>Mockito</x:v>
      </x:c>
      <x:c r="C812" s="35" t="str">
        <x:v>Round1</x:v>
      </x:c>
      <x:c r="D812" s="35" t="str">
        <x:v>Mockito_28</x:v>
      </x:c>
      <x:c r="E812" s="35" t="str">
        <x:v>Line</x:v>
      </x:c>
      <x:c r="F812" s="35" t="n">
        <x:v>30</x:v>
      </x:c>
      <x:c r="G812" s="35" t="str">
        <x:v>RECORDED</x:v>
      </x:c>
      <x:c r="H812" s="39" t="n">
        <x:f>IF(ISNUMBER('Data'!E812),'Data'!E812*100,"")</x:f>
        <x:v>100</x:v>
      </x:c>
      <x:c r="I812" s="35" t="str">
        <x:v>PASS</x:v>
      </x:c>
      <x:c r="J812" s="35" t="str">
        <x:v>PASS</x:v>
      </x:c>
      <x:c r="K812" s="35" t="str">
        <x:v>PASS</x:v>
      </x:c>
      <x:c r="L812" s="35" t="str">
        <x:v>PASS</x:v>
      </x:c>
      <x:c r="M812" s="35" t="str">
        <x:v>numeric coverage for applicable metric</x:v>
      </x:c>
      <x:c r="N812" s="35" t="str">
        <x:v>Gemini-3.8-flash/Result/Mockito_28/result.json</x:v>
      </x:c>
      <x:c r="O812" s="39" t="n">
        <x:f>IF(AND(G812="RECORDED",ISNUMBER(H812)),H812,"")</x:f>
        <x:v>100</x:v>
      </x:c>
      <x:c r="P812" s="35" t="str">
        <x:v>NOT_REVEALING</x:v>
      </x:c>
      <x:c r="Q812" s="35" t="str">
        <x:v>Gemini-3.8-flash/Result/Mockito_28/result.json</x:v>
      </x:c>
    </x:row>
    <x:row r="813">
      <x:c r="A813" s="35" t="str">
        <x:v>gemini</x:v>
      </x:c>
      <x:c r="B813" s="35" t="str">
        <x:v>Mockito</x:v>
      </x:c>
      <x:c r="C813" s="35" t="str">
        <x:v>Round1</x:v>
      </x:c>
      <x:c r="D813" s="35" t="str">
        <x:v>Mockito_29</x:v>
      </x:c>
      <x:c r="E813" s="35" t="str">
        <x:v>Line</x:v>
      </x:c>
      <x:c r="F813" s="35" t="n">
        <x:v>15</x:v>
      </x:c>
      <x:c r="G813" s="35" t="str">
        <x:v>RECORDED</x:v>
      </x:c>
      <x:c r="H813" s="39" t="n">
        <x:f>IF(ISNUMBER('Data'!E813),'Data'!E813*100,"")</x:f>
        <x:v>100</x:v>
      </x:c>
      <x:c r="I813" s="35" t="str">
        <x:v>PASS</x:v>
      </x:c>
      <x:c r="J813" s="35" t="str">
        <x:v>PASS</x:v>
      </x:c>
      <x:c r="K813" s="35" t="str">
        <x:v>PASS</x:v>
      </x:c>
      <x:c r="L813" s="35" t="str">
        <x:v>FAIL</x:v>
      </x:c>
      <x:c r="M813" s="35" t="str">
        <x:v>numeric coverage for applicable metric</x:v>
      </x:c>
      <x:c r="N813" s="35" t="str">
        <x:v>Gemini-3.8-flash/Result/Mockito_29/result.json</x:v>
      </x:c>
      <x:c r="O813" s="39" t="n">
        <x:f>IF(AND(G813="RECORDED",ISNUMBER(H813)),H813,"")</x:f>
        <x:v>100</x:v>
      </x:c>
      <x:c r="P813" s="35" t="str">
        <x:v>INCONCLUSIVE</x:v>
      </x:c>
      <x:c r="Q813" s="35" t="str">
        <x:v>Gemini-3.8-flash/Result/Mockito_29/result.json</x:v>
      </x:c>
    </x:row>
    <x:row r="814">
      <x:c r="A814" s="35" t="str">
        <x:v>gemini</x:v>
      </x:c>
      <x:c r="B814" s="35" t="str">
        <x:v>Mockito</x:v>
      </x:c>
      <x:c r="C814" s="35" t="str">
        <x:v>Round1</x:v>
      </x:c>
      <x:c r="D814" s="35" t="str">
        <x:v>Mockito_3</x:v>
      </x:c>
      <x:c r="E814" s="35" t="str">
        <x:v>Line</x:v>
      </x:c>
      <x:c r="F814" s="35"/>
      <x:c r="G814" s="35" t="str">
        <x:v>A</x:v>
      </x:c>
      <x:c r="H814" s="39" t="str">
        <x:f>IF(ISNUMBER('Data'!E814),'Data'!E814*100,"")</x:f>
      </x:c>
      <x:c r="I814" s="35"/>
      <x:c r="J814" s="35" t="str">
        <x:v>PASS</x:v>
      </x:c>
      <x:c r="K814" s="35" t="str">
        <x:v>FAIL</x:v>
      </x:c>
      <x:c r="L814" s="35" t="str">
        <x:v>NOT_RUN</x:v>
      </x:c>
      <x:c r="M814" s="35" t="str">
        <x:v>coverage unavailable or execution/compile failed</x:v>
      </x:c>
      <x:c r="N814" s="35" t="str">
        <x:v>Gemini-3.8-flash/Result/Mockito_3/result.json</x:v>
      </x:c>
      <x:c r="O814" s="39" t="str">
        <x:f>IF(AND(G814="RECORDED",ISNUMBER(H814)),H814,"")</x:f>
      </x:c>
      <x:c r="P814" s="35" t="str">
        <x:v>NOT_AVAILABLE</x:v>
      </x:c>
      <x:c r="Q814" s="35" t="str">
        <x:v>Gemini-3.8-flash/Result/Mockito_3/result.json</x:v>
      </x:c>
    </x:row>
    <x:row r="815">
      <x:c r="A815" s="35" t="str">
        <x:v>gemini</x:v>
      </x:c>
      <x:c r="B815" s="35" t="str">
        <x:v>Mockito</x:v>
      </x:c>
      <x:c r="C815" s="35" t="str">
        <x:v>Round1</x:v>
      </x:c>
      <x:c r="D815" s="35" t="str">
        <x:v>Mockito_30</x:v>
      </x:c>
      <x:c r="E815" s="35" t="str">
        <x:v>Line</x:v>
      </x:c>
      <x:c r="F815" s="35" t="n">
        <x:v>112</x:v>
      </x:c>
      <x:c r="G815" s="35" t="str">
        <x:v>RECORDED</x:v>
      </x:c>
      <x:c r="H815" s="39" t="n">
        <x:f>IF(ISNUMBER('Data'!E815),'Data'!E815*100,"")</x:f>
        <x:v>18.75</x:v>
      </x:c>
      <x:c r="I815" s="35" t="str">
        <x:v>PASS</x:v>
      </x:c>
      <x:c r="J815" s="35" t="str">
        <x:v>PASS</x:v>
      </x:c>
      <x:c r="K815" s="35" t="str">
        <x:v>PASS</x:v>
      </x:c>
      <x:c r="L815" s="35" t="str">
        <x:v>PASS</x:v>
      </x:c>
      <x:c r="M815" s="35" t="str">
        <x:v>numeric coverage for applicable metric</x:v>
      </x:c>
      <x:c r="N815" s="35" t="str">
        <x:v>Gemini-3.8-flash/Result/Mockito_30/result.json</x:v>
      </x:c>
      <x:c r="O815" s="39" t="n">
        <x:f>IF(AND(G815="RECORDED",ISNUMBER(H815)),H815,"")</x:f>
        <x:v>18.75</x:v>
      </x:c>
      <x:c r="P815" s="35" t="str">
        <x:v>NOT_REVEALING</x:v>
      </x:c>
      <x:c r="Q815" s="35" t="str">
        <x:v>Gemini-3.8-flash/Result/Mockito_30/result.json</x:v>
      </x:c>
    </x:row>
    <x:row r="816">
      <x:c r="A816" s="35" t="str">
        <x:v>gemini</x:v>
      </x:c>
      <x:c r="B816" s="35" t="str">
        <x:v>Mockito</x:v>
      </x:c>
      <x:c r="C816" s="35" t="str">
        <x:v>Round1</x:v>
      </x:c>
      <x:c r="D816" s="35" t="str">
        <x:v>Mockito_31</x:v>
      </x:c>
      <x:c r="E816" s="35" t="str">
        <x:v>Line</x:v>
      </x:c>
      <x:c r="F816" s="35" t="n">
        <x:v>19</x:v>
      </x:c>
      <x:c r="G816" s="35" t="str">
        <x:v>RECORDED</x:v>
      </x:c>
      <x:c r="H816" s="39" t="n">
        <x:f>IF(ISNUMBER('Data'!E816),'Data'!E816*100,"")</x:f>
        <x:v>94.74</x:v>
      </x:c>
      <x:c r="I816" s="35" t="str">
        <x:v>PASS</x:v>
      </x:c>
      <x:c r="J816" s="35" t="str">
        <x:v>PASS</x:v>
      </x:c>
      <x:c r="K816" s="35" t="str">
        <x:v>PASS</x:v>
      </x:c>
      <x:c r="L816" s="35" t="str">
        <x:v>PASS</x:v>
      </x:c>
      <x:c r="M816" s="35" t="str">
        <x:v>numeric coverage for applicable metric</x:v>
      </x:c>
      <x:c r="N816" s="35" t="str">
        <x:v>Gemini-3.8-flash/Result/Mockito_31/result.json</x:v>
      </x:c>
      <x:c r="O816" s="39" t="n">
        <x:f>IF(AND(G816="RECORDED",ISNUMBER(H816)),H816,"")</x:f>
        <x:v>94.74</x:v>
      </x:c>
      <x:c r="P816" s="35" t="str">
        <x:v>NOT_REVEALING</x:v>
      </x:c>
      <x:c r="Q816" s="35" t="str">
        <x:v>Gemini-3.8-flash/Result/Mockito_31/result.json</x:v>
      </x:c>
    </x:row>
    <x:row r="817">
      <x:c r="A817" s="35" t="str">
        <x:v>gemini</x:v>
      </x:c>
      <x:c r="B817" s="35" t="str">
        <x:v>Mockito</x:v>
      </x:c>
      <x:c r="C817" s="35" t="str">
        <x:v>Round1</x:v>
      </x:c>
      <x:c r="D817" s="35" t="str">
        <x:v>Mockito_32</x:v>
      </x:c>
      <x:c r="E817" s="35" t="str">
        <x:v>Line</x:v>
      </x:c>
      <x:c r="F817" s="35"/>
      <x:c r="G817" s="35" t="str">
        <x:v>A</x:v>
      </x:c>
      <x:c r="H817" s="39" t="str">
        <x:f>IF(ISNUMBER('Data'!E817),'Data'!E817*100,"")</x:f>
      </x:c>
      <x:c r="I817" s="35"/>
      <x:c r="J817" s="35" t="str">
        <x:v>PASS</x:v>
      </x:c>
      <x:c r="K817" s="35" t="str">
        <x:v>FAIL</x:v>
      </x:c>
      <x:c r="L817" s="35" t="str">
        <x:v>NOT_RUN</x:v>
      </x:c>
      <x:c r="M817" s="35" t="str">
        <x:v>coverage unavailable or execution/compile failed</x:v>
      </x:c>
      <x:c r="N817" s="35" t="str">
        <x:v>Gemini-3.8-flash/Result/Mockito_32/result.json</x:v>
      </x:c>
      <x:c r="O817" s="39" t="str">
        <x:f>IF(AND(G817="RECORDED",ISNUMBER(H817)),H817,"")</x:f>
      </x:c>
      <x:c r="P817" s="35" t="str">
        <x:v>NOT_AVAILABLE</x:v>
      </x:c>
      <x:c r="Q817" s="35" t="str">
        <x:v>Gemini-3.8-flash/Result/Mockito_32/result.json</x:v>
      </x:c>
    </x:row>
    <x:row r="818">
      <x:c r="A818" s="35" t="str">
        <x:v>gemini</x:v>
      </x:c>
      <x:c r="B818" s="35" t="str">
        <x:v>Mockito</x:v>
      </x:c>
      <x:c r="C818" s="35" t="str">
        <x:v>Round1</x:v>
      </x:c>
      <x:c r="D818" s="35" t="str">
        <x:v>Mockito_33</x:v>
      </x:c>
      <x:c r="E818" s="35" t="str">
        <x:v>Line</x:v>
      </x:c>
      <x:c r="F818" s="35" t="n">
        <x:v>45</x:v>
      </x:c>
      <x:c r="G818" s="35" t="str">
        <x:v>RECORDED</x:v>
      </x:c>
      <x:c r="H818" s="39" t="n">
        <x:f>IF(ISNUMBER('Data'!E818),'Data'!E818*100,"")</x:f>
        <x:v>68.89</x:v>
      </x:c>
      <x:c r="I818" s="35" t="str">
        <x:v>PASS</x:v>
      </x:c>
      <x:c r="J818" s="35" t="str">
        <x:v>PASS</x:v>
      </x:c>
      <x:c r="K818" s="35" t="str">
        <x:v>PASS</x:v>
      </x:c>
      <x:c r="L818" s="35" t="str">
        <x:v>FAIL</x:v>
      </x:c>
      <x:c r="M818" s="35" t="str">
        <x:v>numeric coverage for applicable metric</x:v>
      </x:c>
      <x:c r="N818" s="35" t="str">
        <x:v>Gemini-3.8-flash/Result/Mockito_33/result.json</x:v>
      </x:c>
      <x:c r="O818" s="39" t="n">
        <x:f>IF(AND(G818="RECORDED",ISNUMBER(H818)),H818,"")</x:f>
        <x:v>68.89</x:v>
      </x:c>
      <x:c r="P818" s="35" t="str">
        <x:v>INCONCLUSIVE</x:v>
      </x:c>
      <x:c r="Q818" s="35" t="str">
        <x:v>Gemini-3.8-flash/Result/Mockito_33/result.json</x:v>
      </x:c>
    </x:row>
    <x:row r="819">
      <x:c r="A819" s="35" t="str">
        <x:v>gemini</x:v>
      </x:c>
      <x:c r="B819" s="35" t="str">
        <x:v>Mockito</x:v>
      </x:c>
      <x:c r="C819" s="35" t="str">
        <x:v>Round1</x:v>
      </x:c>
      <x:c r="D819" s="35" t="str">
        <x:v>Mockito_34</x:v>
      </x:c>
      <x:c r="E819" s="35" t="str">
        <x:v>Line</x:v>
      </x:c>
      <x:c r="F819" s="35" t="n">
        <x:v>38</x:v>
      </x:c>
      <x:c r="G819" s="35" t="str">
        <x:v>RECORDED</x:v>
      </x:c>
      <x:c r="H819" s="39" t="n">
        <x:f>IF(ISNUMBER('Data'!E819),'Data'!E819*100,"")</x:f>
        <x:v>63.16</x:v>
      </x:c>
      <x:c r="I819" s="35" t="str">
        <x:v>PASS</x:v>
      </x:c>
      <x:c r="J819" s="35" t="str">
        <x:v>PASS</x:v>
      </x:c>
      <x:c r="K819" s="35" t="str">
        <x:v>PASS</x:v>
      </x:c>
      <x:c r="L819" s="35" t="str">
        <x:v>FAIL</x:v>
      </x:c>
      <x:c r="M819" s="35" t="str">
        <x:v>numeric coverage for applicable metric</x:v>
      </x:c>
      <x:c r="N819" s="35" t="str">
        <x:v>Gemini-3.8-flash/Result/Mockito_34/result.json</x:v>
      </x:c>
      <x:c r="O819" s="39" t="n">
        <x:f>IF(AND(G819="RECORDED",ISNUMBER(H819)),H819,"")</x:f>
        <x:v>63.16</x:v>
      </x:c>
      <x:c r="P819" s="35" t="str">
        <x:v>INCONCLUSIVE</x:v>
      </x:c>
      <x:c r="Q819" s="35" t="str">
        <x:v>Gemini-3.8-flash/Result/Mockito_34/result.json</x:v>
      </x:c>
    </x:row>
    <x:row r="820">
      <x:c r="A820" s="35" t="str">
        <x:v>gemini</x:v>
      </x:c>
      <x:c r="B820" s="35" t="str">
        <x:v>Mockito</x:v>
      </x:c>
      <x:c r="C820" s="35" t="str">
        <x:v>Round1</x:v>
      </x:c>
      <x:c r="D820" s="35" t="str">
        <x:v>Mockito_35</x:v>
      </x:c>
      <x:c r="E820" s="35" t="str">
        <x:v>Line</x:v>
      </x:c>
      <x:c r="F820" s="35" t="n">
        <x:v>51</x:v>
      </x:c>
      <x:c r="G820" s="35" t="str">
        <x:v>RECORDED</x:v>
      </x:c>
      <x:c r="H820" s="39" t="n">
        <x:f>IF(ISNUMBER('Data'!E820),'Data'!E820*100,"")</x:f>
        <x:v>100</x:v>
      </x:c>
      <x:c r="I820" s="35" t="str">
        <x:v>PASS</x:v>
      </x:c>
      <x:c r="J820" s="35" t="str">
        <x:v>PASS</x:v>
      </x:c>
      <x:c r="K820" s="35" t="str">
        <x:v>PASS</x:v>
      </x:c>
      <x:c r="L820" s="35" t="str">
        <x:v>PASS</x:v>
      </x:c>
      <x:c r="M820" s="35" t="str">
        <x:v>numeric coverage for applicable metric</x:v>
      </x:c>
      <x:c r="N820" s="35" t="str">
        <x:v>Gemini-3.8-flash/Result/Mockito_35/result.json</x:v>
      </x:c>
      <x:c r="O820" s="39" t="n">
        <x:f>IF(AND(G820="RECORDED",ISNUMBER(H820)),H820,"")</x:f>
        <x:v>100</x:v>
      </x:c>
      <x:c r="P820" s="35" t="str">
        <x:v>INCONCLUSIVE</x:v>
      </x:c>
      <x:c r="Q820" s="35" t="str">
        <x:v>Gemini-3.8-flash/Result/Mockito_35/result.json</x:v>
      </x:c>
    </x:row>
    <x:row r="821">
      <x:c r="A821" s="35" t="str">
        <x:v>gemini</x:v>
      </x:c>
      <x:c r="B821" s="35" t="str">
        <x:v>Mockito</x:v>
      </x:c>
      <x:c r="C821" s="35" t="str">
        <x:v>Round1</x:v>
      </x:c>
      <x:c r="D821" s="35" t="str">
        <x:v>Mockito_36</x:v>
      </x:c>
      <x:c r="E821" s="35" t="str">
        <x:v>Line</x:v>
      </x:c>
      <x:c r="F821" s="35" t="n">
        <x:v>70</x:v>
      </x:c>
      <x:c r="G821" s="35" t="str">
        <x:v>RECORDED</x:v>
      </x:c>
      <x:c r="H821" s="39" t="n">
        <x:f>IF(ISNUMBER('Data'!E821),'Data'!E821*100,"")</x:f>
        <x:v>81.43</x:v>
      </x:c>
      <x:c r="I821" s="35" t="str">
        <x:v>PASS</x:v>
      </x:c>
      <x:c r="J821" s="35" t="str">
        <x:v>PASS</x:v>
      </x:c>
      <x:c r="K821" s="35" t="str">
        <x:v>PASS</x:v>
      </x:c>
      <x:c r="L821" s="35" t="str">
        <x:v>FAIL</x:v>
      </x:c>
      <x:c r="M821" s="35" t="str">
        <x:v>numeric coverage for applicable metric</x:v>
      </x:c>
      <x:c r="N821" s="35" t="str">
        <x:v>Gemini-3.8-flash/Result/Mockito_36/result.json</x:v>
      </x:c>
      <x:c r="O821" s="39" t="n">
        <x:f>IF(AND(G821="RECORDED",ISNUMBER(H821)),H821,"")</x:f>
        <x:v>81.43</x:v>
      </x:c>
      <x:c r="P821" s="35" t="str">
        <x:v>INCONCLUSIVE</x:v>
      </x:c>
      <x:c r="Q821" s="35" t="str">
        <x:v>Gemini-3.8-flash/Result/Mockito_36/result.json</x:v>
      </x:c>
    </x:row>
    <x:row r="822">
      <x:c r="A822" s="35" t="str">
        <x:v>gemini</x:v>
      </x:c>
      <x:c r="B822" s="35" t="str">
        <x:v>Mockito</x:v>
      </x:c>
      <x:c r="C822" s="35" t="str">
        <x:v>Round1</x:v>
      </x:c>
      <x:c r="D822" s="35" t="str">
        <x:v>Mockito_37</x:v>
      </x:c>
      <x:c r="E822" s="35" t="str">
        <x:v>Line</x:v>
      </x:c>
      <x:c r="F822" s="35" t="n">
        <x:v>27</x:v>
      </x:c>
      <x:c r="G822" s="35" t="str">
        <x:v>RECORDED</x:v>
      </x:c>
      <x:c r="H822" s="39" t="n">
        <x:f>IF(ISNUMBER('Data'!E822),'Data'!E822*100,"")</x:f>
        <x:v>100</x:v>
      </x:c>
      <x:c r="I822" s="35" t="str">
        <x:v>PASS</x:v>
      </x:c>
      <x:c r="J822" s="35" t="str">
        <x:v>PASS</x:v>
      </x:c>
      <x:c r="K822" s="35" t="str">
        <x:v>PASS</x:v>
      </x:c>
      <x:c r="L822" s="35" t="str">
        <x:v>FAIL</x:v>
      </x:c>
      <x:c r="M822" s="35" t="str">
        <x:v>numeric coverage for applicable metric</x:v>
      </x:c>
      <x:c r="N822" s="35" t="str">
        <x:v>Gemini-3.8-flash/Result/Mockito_37/result.json</x:v>
      </x:c>
      <x:c r="O822" s="39" t="n">
        <x:f>IF(AND(G822="RECORDED",ISNUMBER(H822)),H822,"")</x:f>
        <x:v>100</x:v>
      </x:c>
      <x:c r="P822" s="35" t="str">
        <x:v>INCONCLUSIVE</x:v>
      </x:c>
      <x:c r="Q822" s="35" t="str">
        <x:v>Gemini-3.8-flash/Result/Mockito_37/result.json</x:v>
      </x:c>
    </x:row>
    <x:row r="823">
      <x:c r="A823" s="35" t="str">
        <x:v>gemini</x:v>
      </x:c>
      <x:c r="B823" s="35" t="str">
        <x:v>Mockito</x:v>
      </x:c>
      <x:c r="C823" s="35" t="str">
        <x:v>Round1</x:v>
      </x:c>
      <x:c r="D823" s="35" t="str">
        <x:v>Mockito_38</x:v>
      </x:c>
      <x:c r="E823" s="35" t="str">
        <x:v>Line</x:v>
      </x:c>
      <x:c r="F823" s="35"/>
      <x:c r="G823" s="35" t="str">
        <x:v>A</x:v>
      </x:c>
      <x:c r="H823" s="39" t="str">
        <x:f>IF(ISNUMBER('Data'!E823),'Data'!E823*100,"")</x:f>
      </x:c>
      <x:c r="I823" s="35"/>
      <x:c r="J823" s="35" t="str">
        <x:v>PASS</x:v>
      </x:c>
      <x:c r="K823" s="35" t="str">
        <x:v>FAIL</x:v>
      </x:c>
      <x:c r="L823" s="35" t="str">
        <x:v>NOT_RUN</x:v>
      </x:c>
      <x:c r="M823" s="35" t="str">
        <x:v>coverage unavailable or execution/compile failed</x:v>
      </x:c>
      <x:c r="N823" s="35" t="str">
        <x:v>Gemini-3.8-flash/Result/Mockito_38/result.json</x:v>
      </x:c>
      <x:c r="O823" s="39" t="str">
        <x:f>IF(AND(G823="RECORDED",ISNUMBER(H823)),H823,"")</x:f>
      </x:c>
      <x:c r="P823" s="35" t="str">
        <x:v>NOT_AVAILABLE</x:v>
      </x:c>
      <x:c r="Q823" s="35" t="str">
        <x:v>Gemini-3.8-flash/Result/Mockito_38/result.json</x:v>
      </x:c>
    </x:row>
    <x:row r="824">
      <x:c r="A824" s="35" t="str">
        <x:v>gemini</x:v>
      </x:c>
      <x:c r="B824" s="35" t="str">
        <x:v>Mockito</x:v>
      </x:c>
      <x:c r="C824" s="35" t="str">
        <x:v>Round1</x:v>
      </x:c>
      <x:c r="D824" s="35" t="str">
        <x:v>Mockito_4</x:v>
      </x:c>
      <x:c r="E824" s="35" t="str">
        <x:v>Line</x:v>
      </x:c>
      <x:c r="F824" s="35" t="n">
        <x:v>157</x:v>
      </x:c>
      <x:c r="G824" s="35" t="str">
        <x:v>RECORDED</x:v>
      </x:c>
      <x:c r="H824" s="39" t="n">
        <x:f>IF(ISNUMBER('Data'!E824),'Data'!E824*100,"")</x:f>
        <x:v>86.62</x:v>
      </x:c>
      <x:c r="I824" s="35" t="str">
        <x:v>PASS</x:v>
      </x:c>
      <x:c r="J824" s="35" t="str">
        <x:v>PASS</x:v>
      </x:c>
      <x:c r="K824" s="35" t="str">
        <x:v>PASS</x:v>
      </x:c>
      <x:c r="L824" s="35" t="str">
        <x:v>FAIL</x:v>
      </x:c>
      <x:c r="M824" s="35" t="str">
        <x:v>numeric coverage for applicable metric</x:v>
      </x:c>
      <x:c r="N824" s="35" t="str">
        <x:v>Gemini-3.8-flash/Result/Mockito_4/result.json</x:v>
      </x:c>
      <x:c r="O824" s="39" t="n">
        <x:f>IF(AND(G824="RECORDED",ISNUMBER(H824)),H824,"")</x:f>
        <x:v>86.62</x:v>
      </x:c>
      <x:c r="P824" s="35" t="str">
        <x:v>INCONCLUSIVE</x:v>
      </x:c>
      <x:c r="Q824" s="35" t="str">
        <x:v>Gemini-3.8-flash/Result/Mockito_4/result.json</x:v>
      </x:c>
    </x:row>
    <x:row r="825">
      <x:c r="A825" s="35" t="str">
        <x:v>gemini</x:v>
      </x:c>
      <x:c r="B825" s="35" t="str">
        <x:v>Mockito</x:v>
      </x:c>
      <x:c r="C825" s="35" t="str">
        <x:v>Round1</x:v>
      </x:c>
      <x:c r="D825" s="35" t="str">
        <x:v>Mockito_5</x:v>
      </x:c>
      <x:c r="E825" s="35" t="str">
        <x:v>Line</x:v>
      </x:c>
      <x:c r="F825" s="35" t="n">
        <x:v>36</x:v>
      </x:c>
      <x:c r="G825" s="35" t="str">
        <x:v>RECORDED</x:v>
      </x:c>
      <x:c r="H825" s="39" t="n">
        <x:f>IF(ISNUMBER('Data'!E825),'Data'!E825*100,"")</x:f>
        <x:v>100</x:v>
      </x:c>
      <x:c r="I825" s="35" t="str">
        <x:v>PASS</x:v>
      </x:c>
      <x:c r="J825" s="35" t="str">
        <x:v>PASS</x:v>
      </x:c>
      <x:c r="K825" s="35" t="str">
        <x:v>PASS</x:v>
      </x:c>
      <x:c r="L825" s="35" t="str">
        <x:v>PASS</x:v>
      </x:c>
      <x:c r="M825" s="35" t="str">
        <x:v>numeric coverage for applicable metric</x:v>
      </x:c>
      <x:c r="N825" s="35" t="str">
        <x:v>Gemini-3.8-flash/Result/Mockito_5/result.json</x:v>
      </x:c>
      <x:c r="O825" s="39" t="n">
        <x:f>IF(AND(G825="RECORDED",ISNUMBER(H825)),H825,"")</x:f>
        <x:v>100</x:v>
      </x:c>
      <x:c r="P825" s="35" t="str">
        <x:v>NOT_REVEALING</x:v>
      </x:c>
      <x:c r="Q825" s="35" t="str">
        <x:v>Gemini-3.8-flash/Result/Mockito_5/result.json</x:v>
      </x:c>
    </x:row>
    <x:row r="826">
      <x:c r="A826" s="35" t="str">
        <x:v>gemini</x:v>
      </x:c>
      <x:c r="B826" s="35" t="str">
        <x:v>Mockito</x:v>
      </x:c>
      <x:c r="C826" s="35" t="str">
        <x:v>Round1</x:v>
      </x:c>
      <x:c r="D826" s="35" t="str">
        <x:v>Mockito_6</x:v>
      </x:c>
      <x:c r="E826" s="35" t="str">
        <x:v>Line</x:v>
      </x:c>
      <x:c r="F826" s="35" t="n">
        <x:v>55</x:v>
      </x:c>
      <x:c r="G826" s="35" t="str">
        <x:v>RECORDED</x:v>
      </x:c>
      <x:c r="H826" s="39" t="n">
        <x:f>IF(ISNUMBER('Data'!E826),'Data'!E826*100,"")</x:f>
        <x:v>100</x:v>
      </x:c>
      <x:c r="I826" s="35" t="str">
        <x:v>PASS</x:v>
      </x:c>
      <x:c r="J826" s="35" t="str">
        <x:v>PASS</x:v>
      </x:c>
      <x:c r="K826" s="35" t="str">
        <x:v>PASS</x:v>
      </x:c>
      <x:c r="L826" s="35" t="str">
        <x:v>PASS</x:v>
      </x:c>
      <x:c r="M826" s="35" t="str">
        <x:v>numeric coverage for applicable metric</x:v>
      </x:c>
      <x:c r="N826" s="35" t="str">
        <x:v>Gemini-3.8-flash/Result/Mockito_6/result.json</x:v>
      </x:c>
      <x:c r="O826" s="39" t="n">
        <x:f>IF(AND(G826="RECORDED",ISNUMBER(H826)),H826,"")</x:f>
        <x:v>100</x:v>
      </x:c>
      <x:c r="P826" s="35" t="str">
        <x:v>NOT_REVEALING</x:v>
      </x:c>
      <x:c r="Q826" s="35" t="str">
        <x:v>Gemini-3.8-flash/Result/Mockito_6/result.json</x:v>
      </x:c>
    </x:row>
    <x:row r="827">
      <x:c r="A827" s="35" t="str">
        <x:v>gemini</x:v>
      </x:c>
      <x:c r="B827" s="35" t="str">
        <x:v>Mockito</x:v>
      </x:c>
      <x:c r="C827" s="35" t="str">
        <x:v>Round1</x:v>
      </x:c>
      <x:c r="D827" s="35" t="str">
        <x:v>Mockito_7</x:v>
      </x:c>
      <x:c r="E827" s="35" t="str">
        <x:v>Line</x:v>
      </x:c>
      <x:c r="F827" s="35"/>
      <x:c r="G827" s="35" t="str">
        <x:v>A</x:v>
      </x:c>
      <x:c r="H827" s="39" t="str">
        <x:f>IF(ISNUMBER('Data'!E827),'Data'!E827*100,"")</x:f>
      </x:c>
      <x:c r="I827" s="35"/>
      <x:c r="J827" s="35" t="str">
        <x:v>PASS</x:v>
      </x:c>
      <x:c r="K827" s="35" t="str">
        <x:v>FAIL</x:v>
      </x:c>
      <x:c r="L827" s="35" t="str">
        <x:v>NOT_RUN</x:v>
      </x:c>
      <x:c r="M827" s="35" t="str">
        <x:v>coverage unavailable or execution/compile failed</x:v>
      </x:c>
      <x:c r="N827" s="35" t="str">
        <x:v>Gemini-3.8-flash/Result/Mockito_7/result.json</x:v>
      </x:c>
      <x:c r="O827" s="39" t="str">
        <x:f>IF(AND(G827="RECORDED",ISNUMBER(H827)),H827,"")</x:f>
      </x:c>
      <x:c r="P827" s="35" t="str">
        <x:v>NOT_AVAILABLE</x:v>
      </x:c>
      <x:c r="Q827" s="35" t="str">
        <x:v>Gemini-3.8-flash/Result/Mockito_7/result.json</x:v>
      </x:c>
    </x:row>
    <x:row r="828">
      <x:c r="A828" s="35" t="str">
        <x:v>gemini</x:v>
      </x:c>
      <x:c r="B828" s="35" t="str">
        <x:v>Mockito</x:v>
      </x:c>
      <x:c r="C828" s="35" t="str">
        <x:v>Round1</x:v>
      </x:c>
      <x:c r="D828" s="35" t="str">
        <x:v>Mockito_8</x:v>
      </x:c>
      <x:c r="E828" s="35" t="str">
        <x:v>Line</x:v>
      </x:c>
      <x:c r="F828" s="35" t="n">
        <x:v>173</x:v>
      </x:c>
      <x:c r="G828" s="35" t="str">
        <x:v>RECORDED</x:v>
      </x:c>
      <x:c r="H828" s="39" t="n">
        <x:f>IF(ISNUMBER('Data'!E828),'Data'!E828*100,"")</x:f>
        <x:v>94.22</x:v>
      </x:c>
      <x:c r="I828" s="35" t="str">
        <x:v>PASS</x:v>
      </x:c>
      <x:c r="J828" s="35" t="str">
        <x:v>PASS</x:v>
      </x:c>
      <x:c r="K828" s="35" t="str">
        <x:v>PASS</x:v>
      </x:c>
      <x:c r="L828" s="35" t="str">
        <x:v>FAIL</x:v>
      </x:c>
      <x:c r="M828" s="35" t="str">
        <x:v>numeric coverage for applicable metric</x:v>
      </x:c>
      <x:c r="N828" s="35" t="str">
        <x:v>Gemini-3.8-flash/Result/Mockito_8/result.json</x:v>
      </x:c>
      <x:c r="O828" s="39" t="n">
        <x:f>IF(AND(G828="RECORDED",ISNUMBER(H828)),H828,"")</x:f>
        <x:v>94.22</x:v>
      </x:c>
      <x:c r="P828" s="35" t="str">
        <x:v>REVEALING</x:v>
      </x:c>
      <x:c r="Q828" s="35" t="str">
        <x:v>Gemini-3.8-flash/Result/Mockito_8/result.json</x:v>
      </x:c>
    </x:row>
    <x:row r="829">
      <x:c r="A829" s="35" t="str">
        <x:v>gemini</x:v>
      </x:c>
      <x:c r="B829" s="35" t="str">
        <x:v>Mockito</x:v>
      </x:c>
      <x:c r="C829" s="35" t="str">
        <x:v>Round1</x:v>
      </x:c>
      <x:c r="D829" s="35" t="str">
        <x:v>Mockito_9</x:v>
      </x:c>
      <x:c r="E829" s="35" t="str">
        <x:v>Line</x:v>
      </x:c>
      <x:c r="F829" s="35"/>
      <x:c r="G829" s="35" t="str">
        <x:v>A</x:v>
      </x:c>
      <x:c r="H829" s="39" t="str">
        <x:f>IF(ISNUMBER('Data'!E829),'Data'!E829*100,"")</x:f>
      </x:c>
      <x:c r="I829" s="35"/>
      <x:c r="J829" s="35" t="str">
        <x:v>PASS</x:v>
      </x:c>
      <x:c r="K829" s="35" t="str">
        <x:v>FAIL</x:v>
      </x:c>
      <x:c r="L829" s="35" t="str">
        <x:v>NOT_RUN</x:v>
      </x:c>
      <x:c r="M829" s="35" t="str">
        <x:v>coverage unavailable or execution/compile failed</x:v>
      </x:c>
      <x:c r="N829" s="35" t="str">
        <x:v>Gemini-3.8-flash/Result/Mockito_9/result.json</x:v>
      </x:c>
      <x:c r="O829" s="39" t="str">
        <x:f>IF(AND(G829="RECORDED",ISNUMBER(H829)),H829,"")</x:f>
      </x:c>
      <x:c r="P829" s="35" t="str">
        <x:v>NOT_AVAILABLE</x:v>
      </x:c>
      <x:c r="Q829" s="35" t="str">
        <x:v>Gemini-3.8-flash/Result/Mockito_9/result.json</x:v>
      </x:c>
    </x:row>
    <x:row r="830">
      <x:c r="A830" s="35" t="str">
        <x:v>gemini</x:v>
      </x:c>
      <x:c r="B830" s="35" t="str">
        <x:v>Time</x:v>
      </x:c>
      <x:c r="C830" s="35" t="str">
        <x:v>Round1</x:v>
      </x:c>
      <x:c r="D830" s="35" t="str">
        <x:v>Time_1</x:v>
      </x:c>
      <x:c r="E830" s="35" t="str">
        <x:v>Line</x:v>
      </x:c>
      <x:c r="F830" s="35"/>
      <x:c r="G830" s="35" t="str">
        <x:v>A</x:v>
      </x:c>
      <x:c r="H830" s="39" t="str">
        <x:f>IF(ISNUMBER('Data'!E830),'Data'!E830*100,"")</x:f>
      </x:c>
      <x:c r="I830" s="35"/>
      <x:c r="J830" s="35" t="str">
        <x:v>PASS</x:v>
      </x:c>
      <x:c r="K830" s="35" t="str">
        <x:v>FAIL</x:v>
      </x:c>
      <x:c r="L830" s="35" t="str">
        <x:v>NOT_RUN</x:v>
      </x:c>
      <x:c r="M830" s="35" t="str">
        <x:v>coverage unavailable or execution/compile failed</x:v>
      </x:c>
      <x:c r="N830" s="35" t="str">
        <x:v>Gemini-3.8-flash/Result/Time_1/result.json</x:v>
      </x:c>
      <x:c r="O830" s="39" t="str">
        <x:f>IF(AND(G830="RECORDED",ISNUMBER(H830)),H830,"")</x:f>
      </x:c>
      <x:c r="P830" s="35" t="str">
        <x:v>NOT_AVAILABLE</x:v>
      </x:c>
      <x:c r="Q830" s="35" t="str">
        <x:v>Gemini-3.8-flash/Result/Time_1/result.json</x:v>
      </x:c>
    </x:row>
    <x:row r="831">
      <x:c r="A831" s="35" t="str">
        <x:v>gemini</x:v>
      </x:c>
      <x:c r="B831" s="35" t="str">
        <x:v>Time</x:v>
      </x:c>
      <x:c r="C831" s="35" t="str">
        <x:v>Round1</x:v>
      </x:c>
      <x:c r="D831" s="35" t="str">
        <x:v>Time_10</x:v>
      </x:c>
      <x:c r="E831" s="35" t="str">
        <x:v>Line</x:v>
      </x:c>
      <x:c r="F831" s="35" t="n">
        <x:v>71</x:v>
      </x:c>
      <x:c r="G831" s="35" t="str">
        <x:v>RECORDED</x:v>
      </x:c>
      <x:c r="H831" s="39" t="n">
        <x:f>IF(ISNUMBER('Data'!E831),'Data'!E831*100,"")</x:f>
        <x:v>98.59</x:v>
      </x:c>
      <x:c r="I831" s="35" t="str">
        <x:v>PASS</x:v>
      </x:c>
      <x:c r="J831" s="35" t="str">
        <x:v>PASS</x:v>
      </x:c>
      <x:c r="K831" s="35" t="str">
        <x:v>PASS</x:v>
      </x:c>
      <x:c r="L831" s="35" t="str">
        <x:v>PASS</x:v>
      </x:c>
      <x:c r="M831" s="35" t="str">
        <x:v>numeric coverage for applicable metric</x:v>
      </x:c>
      <x:c r="N831" s="35" t="str">
        <x:v>Gemini-3.8-flash/Result/Time_10/result.json</x:v>
      </x:c>
      <x:c r="O831" s="39" t="n">
        <x:f>IF(AND(G831="RECORDED",ISNUMBER(H831)),H831,"")</x:f>
        <x:v>98.59</x:v>
      </x:c>
      <x:c r="P831" s="35" t="str">
        <x:v>NOT_REVEALING</x:v>
      </x:c>
      <x:c r="Q831" s="35" t="str">
        <x:v>Gemini-3.8-flash/Result/Time_10/result.json</x:v>
      </x:c>
    </x:row>
    <x:row r="832">
      <x:c r="A832" s="35" t="str">
        <x:v>gemini</x:v>
      </x:c>
      <x:c r="B832" s="35" t="str">
        <x:v>Time</x:v>
      </x:c>
      <x:c r="C832" s="35" t="str">
        <x:v>Round1</x:v>
      </x:c>
      <x:c r="D832" s="35" t="str">
        <x:v>Time_11</x:v>
      </x:c>
      <x:c r="E832" s="35" t="str">
        <x:v>Line</x:v>
      </x:c>
      <x:c r="F832" s="35" t="n">
        <x:v>393</x:v>
      </x:c>
      <x:c r="G832" s="35" t="str">
        <x:v>RECORDED</x:v>
      </x:c>
      <x:c r="H832" s="39" t="n">
        <x:f>IF(ISNUMBER('Data'!E832),'Data'!E832*100,"")</x:f>
        <x:v>91.6</x:v>
      </x:c>
      <x:c r="I832" s="35" t="str">
        <x:v>PASS</x:v>
      </x:c>
      <x:c r="J832" s="35" t="str">
        <x:v>PASS</x:v>
      </x:c>
      <x:c r="K832" s="35" t="str">
        <x:v>PASS</x:v>
      </x:c>
      <x:c r="L832" s="35" t="str">
        <x:v>FAIL</x:v>
      </x:c>
      <x:c r="M832" s="35" t="str">
        <x:v>numeric coverage for applicable metric</x:v>
      </x:c>
      <x:c r="N832" s="35" t="str">
        <x:v>Gemini-3.8-flash/Result/Time_11/result.json</x:v>
      </x:c>
      <x:c r="O832" s="39" t="n">
        <x:f>IF(AND(G832="RECORDED",ISNUMBER(H832)),H832,"")</x:f>
        <x:v>91.6</x:v>
      </x:c>
      <x:c r="P832" s="35" t="str">
        <x:v>INCONCLUSIVE</x:v>
      </x:c>
      <x:c r="Q832" s="35" t="str">
        <x:v>Gemini-3.8-flash/Result/Time_11/result.json</x:v>
      </x:c>
    </x:row>
    <x:row r="833">
      <x:c r="A833" s="35" t="str">
        <x:v>gemini</x:v>
      </x:c>
      <x:c r="B833" s="35" t="str">
        <x:v>Time</x:v>
      </x:c>
      <x:c r="C833" s="35" t="str">
        <x:v>Round1</x:v>
      </x:c>
      <x:c r="D833" s="35" t="str">
        <x:v>Time_12</x:v>
      </x:c>
      <x:c r="E833" s="35" t="str">
        <x:v>Line</x:v>
      </x:c>
      <x:c r="F833" s="35"/>
      <x:c r="G833" s="35" t="str">
        <x:v>A</x:v>
      </x:c>
      <x:c r="H833" s="39" t="str">
        <x:f>IF(ISNUMBER('Data'!E833),'Data'!E833*100,"")</x:f>
      </x:c>
      <x:c r="I833" s="35"/>
      <x:c r="J833" s="35" t="str">
        <x:v>PASS</x:v>
      </x:c>
      <x:c r="K833" s="35" t="str">
        <x:v>FAIL</x:v>
      </x:c>
      <x:c r="L833" s="35" t="str">
        <x:v>NOT_RUN</x:v>
      </x:c>
      <x:c r="M833" s="35" t="str">
        <x:v>coverage unavailable or execution/compile failed</x:v>
      </x:c>
      <x:c r="N833" s="35" t="str">
        <x:v>Gemini-3.8-flash/Result/Time_12/result.json</x:v>
      </x:c>
      <x:c r="O833" s="39" t="str">
        <x:f>IF(AND(G833="RECORDED",ISNUMBER(H833)),H833,"")</x:f>
      </x:c>
      <x:c r="P833" s="35" t="str">
        <x:v>NOT_AVAILABLE</x:v>
      </x:c>
      <x:c r="Q833" s="35" t="str">
        <x:v>Gemini-3.8-flash/Result/Time_12/result.json</x:v>
      </x:c>
    </x:row>
    <x:row r="834">
      <x:c r="A834" s="35" t="str">
        <x:v>gemini</x:v>
      </x:c>
      <x:c r="B834" s="35" t="str">
        <x:v>Time</x:v>
      </x:c>
      <x:c r="C834" s="35" t="str">
        <x:v>Round1</x:v>
      </x:c>
      <x:c r="D834" s="35" t="str">
        <x:v>Time_13</x:v>
      </x:c>
      <x:c r="E834" s="35" t="str">
        <x:v>Line</x:v>
      </x:c>
      <x:c r="F834" s="35"/>
      <x:c r="G834" s="35" t="str">
        <x:v>A</x:v>
      </x:c>
      <x:c r="H834" s="39" t="str">
        <x:f>IF(ISNUMBER('Data'!E834),'Data'!E834*100,"")</x:f>
      </x:c>
      <x:c r="I834" s="35"/>
      <x:c r="J834" s="35" t="str">
        <x:v>PASS</x:v>
      </x:c>
      <x:c r="K834" s="35" t="str">
        <x:v>FAIL</x:v>
      </x:c>
      <x:c r="L834" s="35" t="str">
        <x:v>NOT_RUN</x:v>
      </x:c>
      <x:c r="M834" s="35" t="str">
        <x:v>coverage unavailable or execution/compile failed</x:v>
      </x:c>
      <x:c r="N834" s="35" t="str">
        <x:v>Gemini-3.8-flash/Result/Time_13/result.json</x:v>
      </x:c>
      <x:c r="O834" s="39" t="str">
        <x:f>IF(AND(G834="RECORDED",ISNUMBER(H834)),H834,"")</x:f>
      </x:c>
      <x:c r="P834" s="35" t="str">
        <x:v>NOT_AVAILABLE</x:v>
      </x:c>
      <x:c r="Q834" s="35" t="str">
        <x:v>Gemini-3.8-flash/Result/Time_13/result.json</x:v>
      </x:c>
    </x:row>
    <x:row r="835">
      <x:c r="A835" s="35" t="str">
        <x:v>gemini</x:v>
      </x:c>
      <x:c r="B835" s="35" t="str">
        <x:v>Time</x:v>
      </x:c>
      <x:c r="C835" s="35" t="str">
        <x:v>Round1</x:v>
      </x:c>
      <x:c r="D835" s="35" t="str">
        <x:v>Time_14</x:v>
      </x:c>
      <x:c r="E835" s="35" t="str">
        <x:v>Line</x:v>
      </x:c>
      <x:c r="F835" s="35"/>
      <x:c r="G835" s="35" t="str">
        <x:v>A</x:v>
      </x:c>
      <x:c r="H835" s="39" t="str">
        <x:f>IF(ISNUMBER('Data'!E835),'Data'!E835*100,"")</x:f>
      </x:c>
      <x:c r="I835" s="35"/>
      <x:c r="J835" s="35" t="str">
        <x:v>PASS</x:v>
      </x:c>
      <x:c r="K835" s="35" t="str">
        <x:v>FAIL</x:v>
      </x:c>
      <x:c r="L835" s="35" t="str">
        <x:v>NOT_RUN</x:v>
      </x:c>
      <x:c r="M835" s="35" t="str">
        <x:v>coverage unavailable or execution/compile failed</x:v>
      </x:c>
      <x:c r="N835" s="35" t="str">
        <x:v>Gemini-3.8-flash/Result/Time_14/result.json</x:v>
      </x:c>
      <x:c r="O835" s="39" t="str">
        <x:f>IF(AND(G835="RECORDED",ISNUMBER(H835)),H835,"")</x:f>
      </x:c>
      <x:c r="P835" s="35" t="str">
        <x:v>NOT_AVAILABLE</x:v>
      </x:c>
      <x:c r="Q835" s="35" t="str">
        <x:v>Gemini-3.8-flash/Result/Time_14/result.json</x:v>
      </x:c>
    </x:row>
    <x:row r="836">
      <x:c r="A836" s="35" t="str">
        <x:v>gemini</x:v>
      </x:c>
      <x:c r="B836" s="35" t="str">
        <x:v>Time</x:v>
      </x:c>
      <x:c r="C836" s="35" t="str">
        <x:v>Round1</x:v>
      </x:c>
      <x:c r="D836" s="35" t="str">
        <x:v>Time_15</x:v>
      </x:c>
      <x:c r="E836" s="35" t="str">
        <x:v>Line</x:v>
      </x:c>
      <x:c r="F836" s="35" t="n">
        <x:v>75</x:v>
      </x:c>
      <x:c r="G836" s="35" t="str">
        <x:v>RECORDED</x:v>
      </x:c>
      <x:c r="H836" s="39" t="n">
        <x:f>IF(ISNUMBER('Data'!E836),'Data'!E836*100,"")</x:f>
        <x:v>93.33</x:v>
      </x:c>
      <x:c r="I836" s="35" t="str">
        <x:v>PASS</x:v>
      </x:c>
      <x:c r="J836" s="35" t="str">
        <x:v>PASS</x:v>
      </x:c>
      <x:c r="K836" s="35" t="str">
        <x:v>PASS</x:v>
      </x:c>
      <x:c r="L836" s="35" t="str">
        <x:v>FAIL</x:v>
      </x:c>
      <x:c r="M836" s="35" t="str">
        <x:v>numeric coverage for applicable metric</x:v>
      </x:c>
      <x:c r="N836" s="35" t="str">
        <x:v>Gemini-3.8-flash/Result/Time_15/result.json</x:v>
      </x:c>
      <x:c r="O836" s="39" t="n">
        <x:f>IF(AND(G836="RECORDED",ISNUMBER(H836)),H836,"")</x:f>
        <x:v>93.33</x:v>
      </x:c>
      <x:c r="P836" s="35" t="str">
        <x:v>INCONCLUSIVE</x:v>
      </x:c>
      <x:c r="Q836" s="35" t="str">
        <x:v>Gemini-3.8-flash/Result/Time_15/result.json</x:v>
      </x:c>
    </x:row>
    <x:row r="837">
      <x:c r="A837" s="35" t="str">
        <x:v>gemini</x:v>
      </x:c>
      <x:c r="B837" s="35" t="str">
        <x:v>Time</x:v>
      </x:c>
      <x:c r="C837" s="35" t="str">
        <x:v>Round1</x:v>
      </x:c>
      <x:c r="D837" s="35" t="str">
        <x:v>Time_16</x:v>
      </x:c>
      <x:c r="E837" s="35" t="str">
        <x:v>Line</x:v>
      </x:c>
      <x:c r="F837" s="35" t="n">
        <x:v>207</x:v>
      </x:c>
      <x:c r="G837" s="35" t="str">
        <x:v>RECORDED</x:v>
      </x:c>
      <x:c r="H837" s="39" t="n">
        <x:f>IF(ISNUMBER('Data'!E837),'Data'!E837*100,"")</x:f>
        <x:v>100</x:v>
      </x:c>
      <x:c r="I837" s="35" t="str">
        <x:v>PASS</x:v>
      </x:c>
      <x:c r="J837" s="35" t="str">
        <x:v>PASS</x:v>
      </x:c>
      <x:c r="K837" s="35" t="str">
        <x:v>PASS</x:v>
      </x:c>
      <x:c r="L837" s="35" t="str">
        <x:v>FAIL</x:v>
      </x:c>
      <x:c r="M837" s="35" t="str">
        <x:v>numeric coverage for applicable metric</x:v>
      </x:c>
      <x:c r="N837" s="35" t="str">
        <x:v>Gemini-3.8-flash/Result/Time_16/result.json</x:v>
      </x:c>
      <x:c r="O837" s="39" t="n">
        <x:f>IF(AND(G837="RECORDED",ISNUMBER(H837)),H837,"")</x:f>
        <x:v>100</x:v>
      </x:c>
      <x:c r="P837" s="35" t="str">
        <x:v>INCONCLUSIVE</x:v>
      </x:c>
      <x:c r="Q837" s="35" t="str">
        <x:v>Gemini-3.8-flash/Result/Time_16/result.json</x:v>
      </x:c>
    </x:row>
    <x:row r="838">
      <x:c r="A838" s="35" t="str">
        <x:v>gemini</x:v>
      </x:c>
      <x:c r="B838" s="35" t="str">
        <x:v>Time</x:v>
      </x:c>
      <x:c r="C838" s="35" t="str">
        <x:v>Round1</x:v>
      </x:c>
      <x:c r="D838" s="35" t="str">
        <x:v>Time_17</x:v>
      </x:c>
      <x:c r="E838" s="35" t="str">
        <x:v>Line</x:v>
      </x:c>
      <x:c r="F838" s="35"/>
      <x:c r="G838" s="35" t="str">
        <x:v>A</x:v>
      </x:c>
      <x:c r="H838" s="39" t="str">
        <x:f>IF(ISNUMBER('Data'!E838),'Data'!E838*100,"")</x:f>
      </x:c>
      <x:c r="I838" s="35"/>
      <x:c r="J838" s="35" t="str">
        <x:v>PASS</x:v>
      </x:c>
      <x:c r="K838" s="35" t="str">
        <x:v>FAIL</x:v>
      </x:c>
      <x:c r="L838" s="35" t="str">
        <x:v>NOT_RUN</x:v>
      </x:c>
      <x:c r="M838" s="35" t="str">
        <x:v>coverage unavailable or execution/compile failed</x:v>
      </x:c>
      <x:c r="N838" s="35" t="str">
        <x:v>Gemini-3.8-flash/Result/Time_17/result.json</x:v>
      </x:c>
      <x:c r="O838" s="39" t="str">
        <x:f>IF(AND(G838="RECORDED",ISNUMBER(H838)),H838,"")</x:f>
      </x:c>
      <x:c r="P838" s="35" t="str">
        <x:v>NOT_AVAILABLE</x:v>
      </x:c>
      <x:c r="Q838" s="35" t="str">
        <x:v>Gemini-3.8-flash/Result/Time_17/result.json</x:v>
      </x:c>
    </x:row>
    <x:row r="839">
      <x:c r="A839" s="35" t="str">
        <x:v>gemini</x:v>
      </x:c>
      <x:c r="B839" s="35" t="str">
        <x:v>Time</x:v>
      </x:c>
      <x:c r="C839" s="35" t="str">
        <x:v>Round1</x:v>
      </x:c>
      <x:c r="D839" s="35" t="str">
        <x:v>Time_18</x:v>
      </x:c>
      <x:c r="E839" s="35" t="str">
        <x:v>Line</x:v>
      </x:c>
      <x:c r="F839" s="35"/>
      <x:c r="G839" s="35" t="str">
        <x:v>A</x:v>
      </x:c>
      <x:c r="H839" s="39" t="str">
        <x:f>IF(ISNUMBER('Data'!E839),'Data'!E839*100,"")</x:f>
      </x:c>
      <x:c r="I839" s="35"/>
      <x:c r="J839" s="35" t="str">
        <x:v>PASS</x:v>
      </x:c>
      <x:c r="K839" s="35" t="str">
        <x:v>FAIL</x:v>
      </x:c>
      <x:c r="L839" s="35" t="str">
        <x:v>NOT_RUN</x:v>
      </x:c>
      <x:c r="M839" s="35" t="str">
        <x:v>coverage unavailable or execution/compile failed</x:v>
      </x:c>
      <x:c r="N839" s="35" t="str">
        <x:v>Gemini-3.8-flash/Result/Time_18/result.json</x:v>
      </x:c>
      <x:c r="O839" s="39" t="str">
        <x:f>IF(AND(G839="RECORDED",ISNUMBER(H839)),H839,"")</x:f>
      </x:c>
      <x:c r="P839" s="35" t="str">
        <x:v>NOT_AVAILABLE</x:v>
      </x:c>
      <x:c r="Q839" s="35" t="str">
        <x:v>Gemini-3.8-flash/Result/Time_18/result.json</x:v>
      </x:c>
    </x:row>
    <x:row r="840">
      <x:c r="A840" s="35" t="str">
        <x:v>gemini</x:v>
      </x:c>
      <x:c r="B840" s="35" t="str">
        <x:v>Time</x:v>
      </x:c>
      <x:c r="C840" s="35" t="str">
        <x:v>Round1</x:v>
      </x:c>
      <x:c r="D840" s="35" t="str">
        <x:v>Time_19</x:v>
      </x:c>
      <x:c r="E840" s="35" t="str">
        <x:v>Line</x:v>
      </x:c>
      <x:c r="F840" s="35" t="n">
        <x:v>343</x:v>
      </x:c>
      <x:c r="G840" s="35" t="str">
        <x:v>RECORDED</x:v>
      </x:c>
      <x:c r="H840" s="39" t="n">
        <x:f>IF(ISNUMBER('Data'!E840),'Data'!E840*100,"")</x:f>
        <x:v>86.59</x:v>
      </x:c>
      <x:c r="I840" s="35" t="str">
        <x:v>PASS</x:v>
      </x:c>
      <x:c r="J840" s="35" t="str">
        <x:v>PASS</x:v>
      </x:c>
      <x:c r="K840" s="35" t="str">
        <x:v>PASS</x:v>
      </x:c>
      <x:c r="L840" s="35" t="str">
        <x:v>FAIL</x:v>
      </x:c>
      <x:c r="M840" s="35" t="str">
        <x:v>numeric coverage for applicable metric</x:v>
      </x:c>
      <x:c r="N840" s="35" t="str">
        <x:v>Gemini-3.8-flash/Result/Time_19/result.json</x:v>
      </x:c>
      <x:c r="O840" s="39" t="n">
        <x:f>IF(AND(G840="RECORDED",ISNUMBER(H840)),H840,"")</x:f>
        <x:v>86.59</x:v>
      </x:c>
      <x:c r="P840" s="35" t="str">
        <x:v>INCONCLUSIVE</x:v>
      </x:c>
      <x:c r="Q840" s="35" t="str">
        <x:v>Gemini-3.8-flash/Result/Time_19/result.json</x:v>
      </x:c>
    </x:row>
    <x:row r="841">
      <x:c r="A841" s="35" t="str">
        <x:v>gemini</x:v>
      </x:c>
      <x:c r="B841" s="35" t="str">
        <x:v>Time</x:v>
      </x:c>
      <x:c r="C841" s="35" t="str">
        <x:v>Round1</x:v>
      </x:c>
      <x:c r="D841" s="35" t="str">
        <x:v>Time_2</x:v>
      </x:c>
      <x:c r="E841" s="35" t="str">
        <x:v>Line</x:v>
      </x:c>
      <x:c r="F841" s="35"/>
      <x:c r="G841" s="35" t="str">
        <x:v>A</x:v>
      </x:c>
      <x:c r="H841" s="39" t="str">
        <x:f>IF(ISNUMBER('Data'!E841),'Data'!E841*100,"")</x:f>
      </x:c>
      <x:c r="I841" s="35"/>
      <x:c r="J841" s="35" t="str">
        <x:v>PASS</x:v>
      </x:c>
      <x:c r="K841" s="35" t="str">
        <x:v>FAIL</x:v>
      </x:c>
      <x:c r="L841" s="35" t="str">
        <x:v>NOT_RUN</x:v>
      </x:c>
      <x:c r="M841" s="35" t="str">
        <x:v>coverage unavailable or execution/compile failed</x:v>
      </x:c>
      <x:c r="N841" s="35" t="str">
        <x:v>Gemini-3.8-flash/Result/Time_2/result.json</x:v>
      </x:c>
      <x:c r="O841" s="39" t="str">
        <x:f>IF(AND(G841="RECORDED",ISNUMBER(H841)),H841,"")</x:f>
      </x:c>
      <x:c r="P841" s="35" t="str">
        <x:v>NOT_AVAILABLE</x:v>
      </x:c>
      <x:c r="Q841" s="35" t="str">
        <x:v>Gemini-3.8-flash/Result/Time_2/result.json</x:v>
      </x:c>
    </x:row>
    <x:row r="842">
      <x:c r="A842" s="35" t="str">
        <x:v>gemini</x:v>
      </x:c>
      <x:c r="B842" s="35" t="str">
        <x:v>Time</x:v>
      </x:c>
      <x:c r="C842" s="35" t="str">
        <x:v>Round1</x:v>
      </x:c>
      <x:c r="D842" s="35" t="str">
        <x:v>Time_20</x:v>
      </x:c>
      <x:c r="E842" s="35" t="str">
        <x:v>Line</x:v>
      </x:c>
      <x:c r="F842" s="35" t="n">
        <x:v>1033</x:v>
      </x:c>
      <x:c r="G842" s="35" t="str">
        <x:v>RECORDED</x:v>
      </x:c>
      <x:c r="H842" s="39" t="n">
        <x:f>IF(ISNUMBER('Data'!E842),'Data'!E842*100,"")</x:f>
        <x:v>80.25</x:v>
      </x:c>
      <x:c r="I842" s="35" t="str">
        <x:v>PASS</x:v>
      </x:c>
      <x:c r="J842" s="35" t="str">
        <x:v>PASS</x:v>
      </x:c>
      <x:c r="K842" s="35" t="str">
        <x:v>PASS</x:v>
      </x:c>
      <x:c r="L842" s="35" t="str">
        <x:v>FAIL</x:v>
      </x:c>
      <x:c r="M842" s="35" t="str">
        <x:v>numeric coverage for applicable metric</x:v>
      </x:c>
      <x:c r="N842" s="35" t="str">
        <x:v>Gemini-3.8-flash/Result/Time_20/result.json</x:v>
      </x:c>
      <x:c r="O842" s="39" t="n">
        <x:f>IF(AND(G842="RECORDED",ISNUMBER(H842)),H842,"")</x:f>
        <x:v>80.25</x:v>
      </x:c>
      <x:c r="P842" s="35" t="str">
        <x:v>INCONCLUSIVE</x:v>
      </x:c>
      <x:c r="Q842" s="35" t="str">
        <x:v>Gemini-3.8-flash/Result/Time_20/result.json</x:v>
      </x:c>
    </x:row>
    <x:row r="843">
      <x:c r="A843" s="35" t="str">
        <x:v>gemini</x:v>
      </x:c>
      <x:c r="B843" s="35" t="str">
        <x:v>Time</x:v>
      </x:c>
      <x:c r="C843" s="35" t="str">
        <x:v>Round1</x:v>
      </x:c>
      <x:c r="D843" s="35" t="str">
        <x:v>Time_22</x:v>
      </x:c>
      <x:c r="E843" s="35" t="str">
        <x:v>Line</x:v>
      </x:c>
      <x:c r="F843" s="35"/>
      <x:c r="G843" s="35" t="str">
        <x:v>A</x:v>
      </x:c>
      <x:c r="H843" s="39" t="str">
        <x:f>IF(ISNUMBER('Data'!E843),'Data'!E843*100,"")</x:f>
      </x:c>
      <x:c r="I843" s="35"/>
      <x:c r="J843" s="35" t="str">
        <x:v>PASS</x:v>
      </x:c>
      <x:c r="K843" s="35" t="str">
        <x:v>FAIL</x:v>
      </x:c>
      <x:c r="L843" s="35" t="str">
        <x:v>NOT_RUN</x:v>
      </x:c>
      <x:c r="M843" s="35" t="str">
        <x:v>coverage unavailable or execution/compile failed</x:v>
      </x:c>
      <x:c r="N843" s="35" t="str">
        <x:v>Gemini-3.8-flash/Result/Time_22/result.json</x:v>
      </x:c>
      <x:c r="O843" s="39" t="str">
        <x:f>IF(AND(G843="RECORDED",ISNUMBER(H843)),H843,"")</x:f>
      </x:c>
      <x:c r="P843" s="35" t="str">
        <x:v>NOT_AVAILABLE</x:v>
      </x:c>
      <x:c r="Q843" s="35" t="str">
        <x:v>Gemini-3.8-flash/Result/Time_22/result.json</x:v>
      </x:c>
    </x:row>
    <x:row r="844">
      <x:c r="A844" s="35" t="str">
        <x:v>gemini</x:v>
      </x:c>
      <x:c r="B844" s="35" t="str">
        <x:v>Time</x:v>
      </x:c>
      <x:c r="C844" s="35" t="str">
        <x:v>Round1</x:v>
      </x:c>
      <x:c r="D844" s="35" t="str">
        <x:v>Time_23</x:v>
      </x:c>
      <x:c r="E844" s="35" t="str">
        <x:v>Line</x:v>
      </x:c>
      <x:c r="F844" s="35"/>
      <x:c r="G844" s="35" t="str">
        <x:v>A</x:v>
      </x:c>
      <x:c r="H844" s="39" t="str">
        <x:f>IF(ISNUMBER('Data'!E844),'Data'!E844*100,"")</x:f>
      </x:c>
      <x:c r="I844" s="35"/>
      <x:c r="J844" s="35" t="str">
        <x:v>PASS</x:v>
      </x:c>
      <x:c r="K844" s="35" t="str">
        <x:v>FAIL</x:v>
      </x:c>
      <x:c r="L844" s="35" t="str">
        <x:v>NOT_RUN</x:v>
      </x:c>
      <x:c r="M844" s="35" t="str">
        <x:v>coverage unavailable or execution/compile failed</x:v>
      </x:c>
      <x:c r="N844" s="35" t="str">
        <x:v>Gemini-3.8-flash/Result/Time_23/result.json</x:v>
      </x:c>
      <x:c r="O844" s="39" t="str">
        <x:f>IF(AND(G844="RECORDED",ISNUMBER(H844)),H844,"")</x:f>
      </x:c>
      <x:c r="P844" s="35" t="str">
        <x:v>NOT_AVAILABLE</x:v>
      </x:c>
      <x:c r="Q844" s="35" t="str">
        <x:v>Gemini-3.8-flash/Result/Time_23/result.json</x:v>
      </x:c>
    </x:row>
    <x:row r="845">
      <x:c r="A845" s="35" t="str">
        <x:v>gemini</x:v>
      </x:c>
      <x:c r="B845" s="35" t="str">
        <x:v>Time</x:v>
      </x:c>
      <x:c r="C845" s="35" t="str">
        <x:v>Round1</x:v>
      </x:c>
      <x:c r="D845" s="35" t="str">
        <x:v>Time_24</x:v>
      </x:c>
      <x:c r="E845" s="35" t="str">
        <x:v>Line</x:v>
      </x:c>
      <x:c r="F845" s="35" t="n">
        <x:v>144</x:v>
      </x:c>
      <x:c r="G845" s="35" t="str">
        <x:v>RECORDED</x:v>
      </x:c>
      <x:c r="H845" s="39" t="n">
        <x:f>IF(ISNUMBER('Data'!E845),'Data'!E845*100,"")</x:f>
        <x:v>100</x:v>
      </x:c>
      <x:c r="I845" s="35" t="str">
        <x:v>PASS</x:v>
      </x:c>
      <x:c r="J845" s="35" t="str">
        <x:v>PASS</x:v>
      </x:c>
      <x:c r="K845" s="35" t="str">
        <x:v>PASS</x:v>
      </x:c>
      <x:c r="L845" s="35" t="str">
        <x:v>FAIL</x:v>
      </x:c>
      <x:c r="M845" s="35" t="str">
        <x:v>numeric coverage for applicable metric</x:v>
      </x:c>
      <x:c r="N845" s="35" t="str">
        <x:v>Gemini-3.8-flash/Result/Time_24/result.json</x:v>
      </x:c>
      <x:c r="O845" s="39" t="n">
        <x:f>IF(AND(G845="RECORDED",ISNUMBER(H845)),H845,"")</x:f>
        <x:v>100</x:v>
      </x:c>
      <x:c r="P845" s="35" t="str">
        <x:v>INCONCLUSIVE</x:v>
      </x:c>
      <x:c r="Q845" s="35" t="str">
        <x:v>Gemini-3.8-flash/Result/Time_24/result.json</x:v>
      </x:c>
    </x:row>
    <x:row r="846">
      <x:c r="A846" s="35" t="str">
        <x:v>gemini</x:v>
      </x:c>
      <x:c r="B846" s="35" t="str">
        <x:v>Time</x:v>
      </x:c>
      <x:c r="C846" s="35" t="str">
        <x:v>Round1</x:v>
      </x:c>
      <x:c r="D846" s="35" t="str">
        <x:v>Time_25</x:v>
      </x:c>
      <x:c r="E846" s="35" t="str">
        <x:v>Line</x:v>
      </x:c>
      <x:c r="F846" s="35"/>
      <x:c r="G846" s="35" t="str">
        <x:v>A</x:v>
      </x:c>
      <x:c r="H846" s="39" t="str">
        <x:f>IF(ISNUMBER('Data'!E846),'Data'!E846*100,"")</x:f>
      </x:c>
      <x:c r="I846" s="35"/>
      <x:c r="J846" s="35" t="str">
        <x:v>PASS</x:v>
      </x:c>
      <x:c r="K846" s="35" t="str">
        <x:v>FAIL</x:v>
      </x:c>
      <x:c r="L846" s="35" t="str">
        <x:v>NOT_RUN</x:v>
      </x:c>
      <x:c r="M846" s="35" t="str">
        <x:v>coverage unavailable or execution/compile failed</x:v>
      </x:c>
      <x:c r="N846" s="35" t="str">
        <x:v>Gemini-3.8-flash/Result/Time_25/result.json</x:v>
      </x:c>
      <x:c r="O846" s="39" t="str">
        <x:f>IF(AND(G846="RECORDED",ISNUMBER(H846)),H846,"")</x:f>
      </x:c>
      <x:c r="P846" s="35" t="str">
        <x:v>NOT_AVAILABLE</x:v>
      </x:c>
      <x:c r="Q846" s="35" t="str">
        <x:v>Gemini-3.8-flash/Result/Time_25/result.json</x:v>
      </x:c>
    </x:row>
    <x:row r="847">
      <x:c r="A847" s="35" t="str">
        <x:v>gemini</x:v>
      </x:c>
      <x:c r="B847" s="35" t="str">
        <x:v>Time</x:v>
      </x:c>
      <x:c r="C847" s="35" t="str">
        <x:v>Round1</x:v>
      </x:c>
      <x:c r="D847" s="35" t="str">
        <x:v>Time_26</x:v>
      </x:c>
      <x:c r="E847" s="35" t="str">
        <x:v>Line</x:v>
      </x:c>
      <x:c r="F847" s="35"/>
      <x:c r="G847" s="35" t="str">
        <x:v>A</x:v>
      </x:c>
      <x:c r="H847" s="39" t="str">
        <x:f>IF(ISNUMBER('Data'!E847),'Data'!E847*100,"")</x:f>
      </x:c>
      <x:c r="I847" s="35"/>
      <x:c r="J847" s="35" t="str">
        <x:v>PASS</x:v>
      </x:c>
      <x:c r="K847" s="35" t="str">
        <x:v>FAIL</x:v>
      </x:c>
      <x:c r="L847" s="35" t="str">
        <x:v>NOT_RUN</x:v>
      </x:c>
      <x:c r="M847" s="35" t="str">
        <x:v>coverage unavailable or execution/compile failed</x:v>
      </x:c>
      <x:c r="N847" s="35" t="str">
        <x:v>Gemini-3.8-flash/Result/Time_26/result.json</x:v>
      </x:c>
      <x:c r="O847" s="39" t="str">
        <x:f>IF(AND(G847="RECORDED",ISNUMBER(H847)),H847,"")</x:f>
      </x:c>
      <x:c r="P847" s="35" t="str">
        <x:v>NOT_AVAILABLE</x:v>
      </x:c>
      <x:c r="Q847" s="35" t="str">
        <x:v>Gemini-3.8-flash/Result/Time_26/result.json</x:v>
      </x:c>
    </x:row>
    <x:row r="848">
      <x:c r="A848" s="35" t="str">
        <x:v>gemini</x:v>
      </x:c>
      <x:c r="B848" s="35" t="str">
        <x:v>Time</x:v>
      </x:c>
      <x:c r="C848" s="35" t="str">
        <x:v>Round1</x:v>
      </x:c>
      <x:c r="D848" s="35" t="str">
        <x:v>Time_27</x:v>
      </x:c>
      <x:c r="E848" s="35" t="str">
        <x:v>Line</x:v>
      </x:c>
      <x:c r="F848" s="35"/>
      <x:c r="G848" s="35" t="str">
        <x:v>A</x:v>
      </x:c>
      <x:c r="H848" s="39" t="str">
        <x:f>IF(ISNUMBER('Data'!E848),'Data'!E848*100,"")</x:f>
      </x:c>
      <x:c r="I848" s="35"/>
      <x:c r="J848" s="35" t="str">
        <x:v>PASS</x:v>
      </x:c>
      <x:c r="K848" s="35" t="str">
        <x:v>FAIL</x:v>
      </x:c>
      <x:c r="L848" s="35" t="str">
        <x:v>NOT_RUN</x:v>
      </x:c>
      <x:c r="M848" s="35" t="str">
        <x:v>coverage unavailable or execution/compile failed</x:v>
      </x:c>
      <x:c r="N848" s="35" t="str">
        <x:v>Gemini-3.8-flash/Result/Time_27/result.json</x:v>
      </x:c>
      <x:c r="O848" s="39" t="str">
        <x:f>IF(AND(G848="RECORDED",ISNUMBER(H848)),H848,"")</x:f>
      </x:c>
      <x:c r="P848" s="35" t="str">
        <x:v>NOT_AVAILABLE</x:v>
      </x:c>
      <x:c r="Q848" s="35" t="str">
        <x:v>Gemini-3.8-flash/Result/Time_27/result.json</x:v>
      </x:c>
    </x:row>
    <x:row r="849">
      <x:c r="A849" s="35" t="str">
        <x:v>gemini</x:v>
      </x:c>
      <x:c r="B849" s="35" t="str">
        <x:v>Time</x:v>
      </x:c>
      <x:c r="C849" s="35" t="str">
        <x:v>Round1</x:v>
      </x:c>
      <x:c r="D849" s="35" t="str">
        <x:v>Time_3</x:v>
      </x:c>
      <x:c r="E849" s="35" t="str">
        <x:v>Line</x:v>
      </x:c>
      <x:c r="F849" s="35"/>
      <x:c r="G849" s="35" t="str">
        <x:v>A</x:v>
      </x:c>
      <x:c r="H849" s="39" t="str">
        <x:f>IF(ISNUMBER('Data'!E849),'Data'!E849*100,"")</x:f>
      </x:c>
      <x:c r="I849" s="35"/>
      <x:c r="J849" s="35" t="str">
        <x:v>PASS</x:v>
      </x:c>
      <x:c r="K849" s="35" t="str">
        <x:v>FAIL</x:v>
      </x:c>
      <x:c r="L849" s="35" t="str">
        <x:v>NOT_RUN</x:v>
      </x:c>
      <x:c r="M849" s="35" t="str">
        <x:v>coverage unavailable or execution/compile failed</x:v>
      </x:c>
      <x:c r="N849" s="35" t="str">
        <x:v>Gemini-3.8-flash/Result/Time_3/result.json</x:v>
      </x:c>
      <x:c r="O849" s="39" t="str">
        <x:f>IF(AND(G849="RECORDED",ISNUMBER(H849)),H849,"")</x:f>
      </x:c>
      <x:c r="P849" s="35" t="str">
        <x:v>NOT_AVAILABLE</x:v>
      </x:c>
      <x:c r="Q849" s="35" t="str">
        <x:v>Gemini-3.8-flash/Result/Time_3/result.json</x:v>
      </x:c>
    </x:row>
    <x:row r="850">
      <x:c r="A850" s="35" t="str">
        <x:v>gemini</x:v>
      </x:c>
      <x:c r="B850" s="35" t="str">
        <x:v>Time</x:v>
      </x:c>
      <x:c r="C850" s="35" t="str">
        <x:v>Round1</x:v>
      </x:c>
      <x:c r="D850" s="35" t="str">
        <x:v>Time_4</x:v>
      </x:c>
      <x:c r="E850" s="35" t="str">
        <x:v>Line</x:v>
      </x:c>
      <x:c r="F850" s="35"/>
      <x:c r="G850" s="35" t="str">
        <x:v>A</x:v>
      </x:c>
      <x:c r="H850" s="39" t="str">
        <x:f>IF(ISNUMBER('Data'!E850),'Data'!E850*100,"")</x:f>
      </x:c>
      <x:c r="I850" s="35"/>
      <x:c r="J850" s="35" t="str">
        <x:v>PASS</x:v>
      </x:c>
      <x:c r="K850" s="35" t="str">
        <x:v>FAIL</x:v>
      </x:c>
      <x:c r="L850" s="35" t="str">
        <x:v>NOT_RUN</x:v>
      </x:c>
      <x:c r="M850" s="35" t="str">
        <x:v>coverage unavailable or execution/compile failed</x:v>
      </x:c>
      <x:c r="N850" s="35" t="str">
        <x:v>Gemini-3.8-flash/Result/Time_4/result.json</x:v>
      </x:c>
      <x:c r="O850" s="39" t="str">
        <x:f>IF(AND(G850="RECORDED",ISNUMBER(H850)),H850,"")</x:f>
      </x:c>
      <x:c r="P850" s="35" t="str">
        <x:v>NOT_AVAILABLE</x:v>
      </x:c>
      <x:c r="Q850" s="35" t="str">
        <x:v>Gemini-3.8-flash/Result/Time_4/result.json</x:v>
      </x:c>
    </x:row>
    <x:row r="851">
      <x:c r="A851" s="35" t="str">
        <x:v>gemini</x:v>
      </x:c>
      <x:c r="B851" s="35" t="str">
        <x:v>Time</x:v>
      </x:c>
      <x:c r="C851" s="35" t="str">
        <x:v>Round1</x:v>
      </x:c>
      <x:c r="D851" s="35" t="str">
        <x:v>Time_5</x:v>
      </x:c>
      <x:c r="E851" s="35" t="str">
        <x:v>Line</x:v>
      </x:c>
      <x:c r="F851" s="35"/>
      <x:c r="G851" s="35" t="str">
        <x:v>A</x:v>
      </x:c>
      <x:c r="H851" s="39" t="str">
        <x:f>IF(ISNUMBER('Data'!E851),'Data'!E851*100,"")</x:f>
      </x:c>
      <x:c r="I851" s="35"/>
      <x:c r="J851" s="35" t="str">
        <x:v>PASS</x:v>
      </x:c>
      <x:c r="K851" s="35" t="str">
        <x:v>FAIL</x:v>
      </x:c>
      <x:c r="L851" s="35" t="str">
        <x:v>NOT_RUN</x:v>
      </x:c>
      <x:c r="M851" s="35" t="str">
        <x:v>coverage unavailable or execution/compile failed</x:v>
      </x:c>
      <x:c r="N851" s="35" t="str">
        <x:v>Gemini-3.8-flash/Result/Time_5/result.json</x:v>
      </x:c>
      <x:c r="O851" s="39" t="str">
        <x:f>IF(AND(G851="RECORDED",ISNUMBER(H851)),H851,"")</x:f>
      </x:c>
      <x:c r="P851" s="35" t="str">
        <x:v>NOT_AVAILABLE</x:v>
      </x:c>
      <x:c r="Q851" s="35" t="str">
        <x:v>Gemini-3.8-flash/Result/Time_5/result.json</x:v>
      </x:c>
    </x:row>
    <x:row r="852">
      <x:c r="A852" s="35" t="str">
        <x:v>gemini</x:v>
      </x:c>
      <x:c r="B852" s="35" t="str">
        <x:v>Time</x:v>
      </x:c>
      <x:c r="C852" s="35" t="str">
        <x:v>Round1</x:v>
      </x:c>
      <x:c r="D852" s="35" t="str">
        <x:v>Time_6</x:v>
      </x:c>
      <x:c r="E852" s="35" t="str">
        <x:v>Line</x:v>
      </x:c>
      <x:c r="F852" s="35"/>
      <x:c r="G852" s="35" t="str">
        <x:v>A</x:v>
      </x:c>
      <x:c r="H852" s="39" t="str">
        <x:f>IF(ISNUMBER('Data'!E852),'Data'!E852*100,"")</x:f>
      </x:c>
      <x:c r="I852" s="35"/>
      <x:c r="J852" s="35" t="str">
        <x:v>PASS</x:v>
      </x:c>
      <x:c r="K852" s="35" t="str">
        <x:v>FAIL</x:v>
      </x:c>
      <x:c r="L852" s="35" t="str">
        <x:v>NOT_RUN</x:v>
      </x:c>
      <x:c r="M852" s="35" t="str">
        <x:v>coverage unavailable or execution/compile failed</x:v>
      </x:c>
      <x:c r="N852" s="35" t="str">
        <x:v>Gemini-3.8-flash/Result/Time_6/result.json</x:v>
      </x:c>
      <x:c r="O852" s="39" t="str">
        <x:f>IF(AND(G852="RECORDED",ISNUMBER(H852)),H852,"")</x:f>
      </x:c>
      <x:c r="P852" s="35" t="str">
        <x:v>NOT_AVAILABLE</x:v>
      </x:c>
      <x:c r="Q852" s="35" t="str">
        <x:v>Gemini-3.8-flash/Result/Time_6/result.json</x:v>
      </x:c>
    </x:row>
    <x:row r="853">
      <x:c r="A853" s="35" t="str">
        <x:v>gemini</x:v>
      </x:c>
      <x:c r="B853" s="35" t="str">
        <x:v>Time</x:v>
      </x:c>
      <x:c r="C853" s="35" t="str">
        <x:v>Round1</x:v>
      </x:c>
      <x:c r="D853" s="35" t="str">
        <x:v>Time_7</x:v>
      </x:c>
      <x:c r="E853" s="35" t="str">
        <x:v>Line</x:v>
      </x:c>
      <x:c r="F853" s="35"/>
      <x:c r="G853" s="35" t="str">
        <x:v>A</x:v>
      </x:c>
      <x:c r="H853" s="39" t="str">
        <x:f>IF(ISNUMBER('Data'!E853),'Data'!E853*100,"")</x:f>
      </x:c>
      <x:c r="I853" s="35"/>
      <x:c r="J853" s="35" t="str">
        <x:v>PASS</x:v>
      </x:c>
      <x:c r="K853" s="35" t="str">
        <x:v>FAIL</x:v>
      </x:c>
      <x:c r="L853" s="35" t="str">
        <x:v>NOT_RUN</x:v>
      </x:c>
      <x:c r="M853" s="35" t="str">
        <x:v>coverage unavailable or execution/compile failed</x:v>
      </x:c>
      <x:c r="N853" s="35" t="str">
        <x:v>Gemini-3.8-flash/Result/Time_7/result.json</x:v>
      </x:c>
      <x:c r="O853" s="39" t="str">
        <x:f>IF(AND(G853="RECORDED",ISNUMBER(H853)),H853,"")</x:f>
      </x:c>
      <x:c r="P853" s="35" t="str">
        <x:v>NOT_AVAILABLE</x:v>
      </x:c>
      <x:c r="Q853" s="35" t="str">
        <x:v>Gemini-3.8-flash/Result/Time_7/result.json</x:v>
      </x:c>
    </x:row>
    <x:row r="854">
      <x:c r="A854" s="35" t="str">
        <x:v>gemini</x:v>
      </x:c>
      <x:c r="B854" s="35" t="str">
        <x:v>Time</x:v>
      </x:c>
      <x:c r="C854" s="35" t="str">
        <x:v>Round1</x:v>
      </x:c>
      <x:c r="D854" s="35" t="str">
        <x:v>Time_8</x:v>
      </x:c>
      <x:c r="E854" s="35" t="str">
        <x:v>Line</x:v>
      </x:c>
      <x:c r="F854" s="35"/>
      <x:c r="G854" s="35" t="str">
        <x:v>A</x:v>
      </x:c>
      <x:c r="H854" s="39" t="str">
        <x:f>IF(ISNUMBER('Data'!E854),'Data'!E854*100,"")</x:f>
      </x:c>
      <x:c r="I854" s="35"/>
      <x:c r="J854" s="35" t="str">
        <x:v>PASS</x:v>
      </x:c>
      <x:c r="K854" s="35" t="str">
        <x:v>FAIL</x:v>
      </x:c>
      <x:c r="L854" s="35" t="str">
        <x:v>NOT_RUN</x:v>
      </x:c>
      <x:c r="M854" s="35" t="str">
        <x:v>coverage unavailable or execution/compile failed</x:v>
      </x:c>
      <x:c r="N854" s="35" t="str">
        <x:v>Gemini-3.8-flash/Result/Time_8/result.json</x:v>
      </x:c>
      <x:c r="O854" s="39" t="str">
        <x:f>IF(AND(G854="RECORDED",ISNUMBER(H854)),H854,"")</x:f>
      </x:c>
      <x:c r="P854" s="35" t="str">
        <x:v>NOT_AVAILABLE</x:v>
      </x:c>
      <x:c r="Q854" s="35" t="str">
        <x:v>Gemini-3.8-flash/Result/Time_8/result.json</x:v>
      </x:c>
    </x:row>
    <x:row r="855">
      <x:c r="A855" s="35" t="str">
        <x:v>gemini</x:v>
      </x:c>
      <x:c r="B855" s="35" t="str">
        <x:v>Time</x:v>
      </x:c>
      <x:c r="C855" s="35" t="str">
        <x:v>Round1</x:v>
      </x:c>
      <x:c r="D855" s="35" t="str">
        <x:v>Time_9</x:v>
      </x:c>
      <x:c r="E855" s="35" t="str">
        <x:v>Line</x:v>
      </x:c>
      <x:c r="F855" s="35"/>
      <x:c r="G855" s="35" t="str">
        <x:v>A</x:v>
      </x:c>
      <x:c r="H855" s="39" t="str">
        <x:f>IF(ISNUMBER('Data'!E855),'Data'!E855*100,"")</x:f>
      </x:c>
      <x:c r="I855" s="35"/>
      <x:c r="J855" s="35" t="str">
        <x:v>PASS</x:v>
      </x:c>
      <x:c r="K855" s="35" t="str">
        <x:v>FAIL</x:v>
      </x:c>
      <x:c r="L855" s="35" t="str">
        <x:v>NOT_RUN</x:v>
      </x:c>
      <x:c r="M855" s="35" t="str">
        <x:v>coverage unavailable or execution/compile failed</x:v>
      </x:c>
      <x:c r="N855" s="35" t="str">
        <x:v>Gemini-3.8-flash/Result/Time_9/result.json</x:v>
      </x:c>
      <x:c r="O855" s="39" t="str">
        <x:f>IF(AND(G855="RECORDED",ISNUMBER(H855)),H855,"")</x:f>
      </x:c>
      <x:c r="P855" s="35" t="str">
        <x:v>NOT_AVAILABLE</x:v>
      </x:c>
      <x:c r="Q855" s="35" t="str">
        <x:v>Gemini-3.8-flash/Result/Time_9/result.json</x:v>
      </x:c>
    </x:row>
    <x:row r="856">
      <x:c r="A856" s="35" t="str">
        <x:v>gemini</x:v>
      </x:c>
      <x:c r="B856" s="35" t="str">
        <x:v>Chart</x:v>
      </x:c>
      <x:c r="C856" s="35" t="str">
        <x:v>Round1</x:v>
      </x:c>
      <x:c r="D856" s="35" t="str">
        <x:v>Chart_1</x:v>
      </x:c>
      <x:c r="E856" s="35" t="str">
        <x:v>Condition</x:v>
      </x:c>
      <x:c r="F856" s="35"/>
      <x:c r="G856" s="35" t="str">
        <x:v>A</x:v>
      </x:c>
      <x:c r="H856" s="39" t="str">
        <x:f>IF(ISNUMBER('Data'!N2),'Data'!N2*100,"")</x:f>
      </x:c>
      <x:c r="I856" s="35"/>
      <x:c r="J856" s="35" t="str">
        <x:v>PASS</x:v>
      </x:c>
      <x:c r="K856" s="35" t="str">
        <x:v>FAIL</x:v>
      </x:c>
      <x:c r="L856" s="35" t="str">
        <x:v>NOT_RUN</x:v>
      </x:c>
      <x:c r="M856" s="35" t="str">
        <x:v>coverage unavailable or execution/compile failed</x:v>
      </x:c>
      <x:c r="N856" s="35" t="str">
        <x:v>Gemini-3.8-flash/Result/Chart_1/result.json</x:v>
      </x:c>
      <x:c r="O856" s="39" t="str">
        <x:f>IF(AND(G856="RECORDED",ISNUMBER(H856)),H856,"")</x:f>
      </x:c>
      <x:c r="P856" s="35" t="str">
        <x:v>NOT_AVAILABLE</x:v>
      </x:c>
      <x:c r="Q856" s="35" t="str">
        <x:v>Gemini-3.8-flash/Result/Chart_1/result.json</x:v>
      </x:c>
    </x:row>
    <x:row r="857">
      <x:c r="A857" s="35" t="str">
        <x:v>gemini</x:v>
      </x:c>
      <x:c r="B857" s="35" t="str">
        <x:v>Chart</x:v>
      </x:c>
      <x:c r="C857" s="35" t="str">
        <x:v>Round1</x:v>
      </x:c>
      <x:c r="D857" s="35" t="str">
        <x:v>Chart_10</x:v>
      </x:c>
      <x:c r="E857" s="35" t="str">
        <x:v>Condition</x:v>
      </x:c>
      <x:c r="F857" s="35" t="n">
        <x:v>0</x:v>
      </x:c>
      <x:c r="G857" s="35" t="str">
        <x:v>B</x:v>
      </x:c>
      <x:c r="H857" s="39" t="str">
        <x:f>IF(ISNUMBER('Data'!N3),'Data'!N3*100,"")</x:f>
      </x:c>
      <x:c r="I857" s="35" t="str">
        <x:v>PASS</x:v>
      </x:c>
      <x:c r="J857" s="35" t="str">
        <x:v>PASS</x:v>
      </x:c>
      <x:c r="K857" s="35" t="str">
        <x:v>PASS</x:v>
      </x:c>
      <x:c r="L857" s="35" t="str">
        <x:v>PASS</x:v>
      </x:c>
      <x:c r="M857" s="35" t="str">
        <x:v>coverage completed; measurable total = 0</x:v>
      </x:c>
      <x:c r="N857" s="35" t="str">
        <x:v>Gemini-3.8-flash/Result/Chart_10/result.json</x:v>
      </x:c>
      <x:c r="O857" s="39" t="str">
        <x:f>IF(AND(G857="RECORDED",ISNUMBER(H857)),H857,"")</x:f>
      </x:c>
      <x:c r="P857" s="35" t="str">
        <x:v>INCONCLUSIVE</x:v>
      </x:c>
      <x:c r="Q857" s="35" t="str">
        <x:v>Gemini-3.8-flash/Result/Chart_10/result.json</x:v>
      </x:c>
    </x:row>
    <x:row r="858">
      <x:c r="A858" s="35" t="str">
        <x:v>gemini</x:v>
      </x:c>
      <x:c r="B858" s="35" t="str">
        <x:v>Chart</x:v>
      </x:c>
      <x:c r="C858" s="35" t="str">
        <x:v>Round1</x:v>
      </x:c>
      <x:c r="D858" s="35" t="str">
        <x:v>Chart_11</x:v>
      </x:c>
      <x:c r="E858" s="35" t="str">
        <x:v>Condition</x:v>
      </x:c>
      <x:c r="F858" s="35"/>
      <x:c r="G858" s="35" t="str">
        <x:v>A</x:v>
      </x:c>
      <x:c r="H858" s="39" t="str">
        <x:f>IF(ISNUMBER('Data'!N4),'Data'!N4*100,"")</x:f>
      </x:c>
      <x:c r="I858" s="35"/>
      <x:c r="J858" s="35" t="str">
        <x:v>PASS</x:v>
      </x:c>
      <x:c r="K858" s="35" t="str">
        <x:v>FAIL</x:v>
      </x:c>
      <x:c r="L858" s="35" t="str">
        <x:v>NOT_RUN</x:v>
      </x:c>
      <x:c r="M858" s="35" t="str">
        <x:v>coverage unavailable or execution/compile failed</x:v>
      </x:c>
      <x:c r="N858" s="35" t="str">
        <x:v>Gemini-3.8-flash/Result/Chart_11/result.json</x:v>
      </x:c>
      <x:c r="O858" s="39" t="str">
        <x:f>IF(AND(G858="RECORDED",ISNUMBER(H858)),H858,"")</x:f>
      </x:c>
      <x:c r="P858" s="35" t="str">
        <x:v>NOT_AVAILABLE</x:v>
      </x:c>
      <x:c r="Q858" s="35" t="str">
        <x:v>Gemini-3.8-flash/Result/Chart_11/result.json</x:v>
      </x:c>
    </x:row>
    <x:row r="859">
      <x:c r="A859" s="35" t="str">
        <x:v>gemini</x:v>
      </x:c>
      <x:c r="B859" s="35" t="str">
        <x:v>Chart</x:v>
      </x:c>
      <x:c r="C859" s="35" t="str">
        <x:v>Round1</x:v>
      </x:c>
      <x:c r="D859" s="35" t="str">
        <x:v>Chart_12</x:v>
      </x:c>
      <x:c r="E859" s="35" t="str">
        <x:v>Condition</x:v>
      </x:c>
      <x:c r="F859" s="35" t="n">
        <x:v>84</x:v>
      </x:c>
      <x:c r="G859" s="35" t="str">
        <x:v>RECORDED</x:v>
      </x:c>
      <x:c r="H859" s="39" t="n">
        <x:f>IF(ISNUMBER('Data'!N5),'Data'!N5*100,"")</x:f>
        <x:v>92.86</x:v>
      </x:c>
      <x:c r="I859" s="35" t="str">
        <x:v>PASS</x:v>
      </x:c>
      <x:c r="J859" s="35" t="str">
        <x:v>PASS</x:v>
      </x:c>
      <x:c r="K859" s="35" t="str">
        <x:v>PASS</x:v>
      </x:c>
      <x:c r="L859" s="35" t="str">
        <x:v>PASS</x:v>
      </x:c>
      <x:c r="M859" s="35" t="str">
        <x:v>numeric coverage for applicable metric</x:v>
      </x:c>
      <x:c r="N859" s="35" t="str">
        <x:v>Gemini-3.8-flash/Result/Chart_12/result.json</x:v>
      </x:c>
      <x:c r="O859" s="39" t="n">
        <x:f>IF(AND(G859="RECORDED",ISNUMBER(H859)),H859,"")</x:f>
        <x:v>92.86</x:v>
      </x:c>
      <x:c r="P859" s="35" t="str">
        <x:v>NOT_REVEALING</x:v>
      </x:c>
      <x:c r="Q859" s="35" t="str">
        <x:v>Gemini-3.8-flash/Result/Chart_12/result.json</x:v>
      </x:c>
    </x:row>
    <x:row r="860">
      <x:c r="A860" s="35" t="str">
        <x:v>gemini</x:v>
      </x:c>
      <x:c r="B860" s="35" t="str">
        <x:v>Chart</x:v>
      </x:c>
      <x:c r="C860" s="35" t="str">
        <x:v>Round1</x:v>
      </x:c>
      <x:c r="D860" s="35" t="str">
        <x:v>Chart_13</x:v>
      </x:c>
      <x:c r="E860" s="35" t="str">
        <x:v>Condition</x:v>
      </x:c>
      <x:c r="F860" s="35" t="n">
        <x:v>120</x:v>
      </x:c>
      <x:c r="G860" s="35" t="str">
        <x:v>RECORDED</x:v>
      </x:c>
      <x:c r="H860" s="39" t="n">
        <x:f>IF(ISNUMBER('Data'!N6),'Data'!N6*100,"")</x:f>
        <x:v>95</x:v>
      </x:c>
      <x:c r="I860" s="35" t="str">
        <x:v>PASS</x:v>
      </x:c>
      <x:c r="J860" s="35" t="str">
        <x:v>PASS</x:v>
      </x:c>
      <x:c r="K860" s="35" t="str">
        <x:v>PASS</x:v>
      </x:c>
      <x:c r="L860" s="35" t="str">
        <x:v>PASS</x:v>
      </x:c>
      <x:c r="M860" s="35" t="str">
        <x:v>numeric coverage for applicable metric</x:v>
      </x:c>
      <x:c r="N860" s="35" t="str">
        <x:v>Gemini-3.8-flash/Result/Chart_13/result.json</x:v>
      </x:c>
      <x:c r="O860" s="39" t="n">
        <x:f>IF(AND(G860="RECORDED",ISNUMBER(H860)),H860,"")</x:f>
        <x:v>95</x:v>
      </x:c>
      <x:c r="P860" s="35" t="str">
        <x:v>NOT_REVEALING</x:v>
      </x:c>
      <x:c r="Q860" s="35" t="str">
        <x:v>Gemini-3.8-flash/Result/Chart_13/result.json</x:v>
      </x:c>
    </x:row>
    <x:row r="861">
      <x:c r="A861" s="35" t="str">
        <x:v>gemini</x:v>
      </x:c>
      <x:c r="B861" s="35" t="str">
        <x:v>Chart</x:v>
      </x:c>
      <x:c r="C861" s="35" t="str">
        <x:v>Round1</x:v>
      </x:c>
      <x:c r="D861" s="35" t="str">
        <x:v>Chart_14</x:v>
      </x:c>
      <x:c r="E861" s="35" t="str">
        <x:v>Condition</x:v>
      </x:c>
      <x:c r="F861" s="35" t="n">
        <x:v>1436</x:v>
      </x:c>
      <x:c r="G861" s="35" t="str">
        <x:v>RECORDED</x:v>
      </x:c>
      <x:c r="H861" s="39" t="n">
        <x:f>IF(ISNUMBER('Data'!N7),'Data'!N7*100,"")</x:f>
        <x:v>44.36</x:v>
      </x:c>
      <x:c r="I861" s="35" t="str">
        <x:v>PASS</x:v>
      </x:c>
      <x:c r="J861" s="35" t="str">
        <x:v>PASS</x:v>
      </x:c>
      <x:c r="K861" s="35" t="str">
        <x:v>PASS</x:v>
      </x:c>
      <x:c r="L861" s="35" t="str">
        <x:v>PASS</x:v>
      </x:c>
      <x:c r="M861" s="35" t="str">
        <x:v>numeric coverage for applicable metric</x:v>
      </x:c>
      <x:c r="N861" s="35" t="str">
        <x:v>Gemini-3.8-flash/Result/Chart_14/result.json</x:v>
      </x:c>
      <x:c r="O861" s="39" t="n">
        <x:f>IF(AND(G861="RECORDED",ISNUMBER(H861)),H861,"")</x:f>
        <x:v>44.36</x:v>
      </x:c>
      <x:c r="P861" s="35" t="str">
        <x:v>NOT_REVEALING</x:v>
      </x:c>
      <x:c r="Q861" s="35" t="str">
        <x:v>Gemini-3.8-flash/Result/Chart_14/result.json</x:v>
      </x:c>
    </x:row>
    <x:row r="862">
      <x:c r="A862" s="35" t="str">
        <x:v>gemini</x:v>
      </x:c>
      <x:c r="B862" s="35" t="str">
        <x:v>Chart</x:v>
      </x:c>
      <x:c r="C862" s="35" t="str">
        <x:v>Round1</x:v>
      </x:c>
      <x:c r="D862" s="35" t="str">
        <x:v>Chart_15</x:v>
      </x:c>
      <x:c r="E862" s="35" t="str">
        <x:v>Condition</x:v>
      </x:c>
      <x:c r="F862" s="35"/>
      <x:c r="G862" s="35" t="str">
        <x:v>A</x:v>
      </x:c>
      <x:c r="H862" s="39" t="str">
        <x:f>IF(ISNUMBER('Data'!N8),'Data'!N8*100,"")</x:f>
      </x:c>
      <x:c r="I862" s="35"/>
      <x:c r="J862" s="35" t="str">
        <x:v>PASS</x:v>
      </x:c>
      <x:c r="K862" s="35" t="str">
        <x:v>FAIL</x:v>
      </x:c>
      <x:c r="L862" s="35" t="str">
        <x:v>NOT_RUN</x:v>
      </x:c>
      <x:c r="M862" s="35" t="str">
        <x:v>coverage unavailable or execution/compile failed</x:v>
      </x:c>
      <x:c r="N862" s="35" t="str">
        <x:v>Gemini-3.8-flash/Result/Chart_15/result.json</x:v>
      </x:c>
      <x:c r="O862" s="39" t="str">
        <x:f>IF(AND(G862="RECORDED",ISNUMBER(H862)),H862,"")</x:f>
      </x:c>
      <x:c r="P862" s="35" t="str">
        <x:v>NOT_AVAILABLE</x:v>
      </x:c>
      <x:c r="Q862" s="35" t="str">
        <x:v>Gemini-3.8-flash/Result/Chart_15/result.json</x:v>
      </x:c>
    </x:row>
    <x:row r="863">
      <x:c r="A863" s="35" t="str">
        <x:v>gemini</x:v>
      </x:c>
      <x:c r="B863" s="35" t="str">
        <x:v>Chart</x:v>
      </x:c>
      <x:c r="C863" s="35" t="str">
        <x:v>Round1</x:v>
      </x:c>
      <x:c r="D863" s="35" t="str">
        <x:v>Chart_16</x:v>
      </x:c>
      <x:c r="E863" s="35" t="str">
        <x:v>Condition</x:v>
      </x:c>
      <x:c r="F863" s="35" t="n">
        <x:v>128</x:v>
      </x:c>
      <x:c r="G863" s="35" t="str">
        <x:v>RECORDED</x:v>
      </x:c>
      <x:c r="H863" s="39" t="n">
        <x:f>IF(ISNUMBER('Data'!N9),'Data'!N9*100,"")</x:f>
        <x:v>15.620000000000001</x:v>
      </x:c>
      <x:c r="I863" s="35" t="str">
        <x:v>PASS</x:v>
      </x:c>
      <x:c r="J863" s="35" t="str">
        <x:v>PASS</x:v>
      </x:c>
      <x:c r="K863" s="35" t="str">
        <x:v>PASS</x:v>
      </x:c>
      <x:c r="L863" s="35" t="str">
        <x:v>PASS</x:v>
      </x:c>
      <x:c r="M863" s="35" t="str">
        <x:v>numeric coverage for applicable metric</x:v>
      </x:c>
      <x:c r="N863" s="35" t="str">
        <x:v>Gemini-3.8-flash/Result/Chart_16/result.json</x:v>
      </x:c>
      <x:c r="O863" s="39" t="n">
        <x:f>IF(AND(G863="RECORDED",ISNUMBER(H863)),H863,"")</x:f>
        <x:v>15.620000000000001</x:v>
      </x:c>
      <x:c r="P863" s="35" t="str">
        <x:v>NOT_REVEALING</x:v>
      </x:c>
      <x:c r="Q863" s="35" t="str">
        <x:v>Gemini-3.8-flash/Result/Chart_16/result.json</x:v>
      </x:c>
    </x:row>
    <x:row r="864">
      <x:c r="A864" s="35" t="str">
        <x:v>gemini</x:v>
      </x:c>
      <x:c r="B864" s="35" t="str">
        <x:v>Chart</x:v>
      </x:c>
      <x:c r="C864" s="35" t="str">
        <x:v>Round1</x:v>
      </x:c>
      <x:c r="D864" s="35" t="str">
        <x:v>Chart_17</x:v>
      </x:c>
      <x:c r="E864" s="35" t="str">
        <x:v>Condition</x:v>
      </x:c>
      <x:c r="F864" s="35"/>
      <x:c r="G864" s="35" t="str">
        <x:v>A</x:v>
      </x:c>
      <x:c r="H864" s="39" t="str">
        <x:f>IF(ISNUMBER('Data'!N10),'Data'!N10*100,"")</x:f>
      </x:c>
      <x:c r="I864" s="35"/>
      <x:c r="J864" s="35" t="str">
        <x:v>PASS</x:v>
      </x:c>
      <x:c r="K864" s="35" t="str">
        <x:v>FAIL</x:v>
      </x:c>
      <x:c r="L864" s="35" t="str">
        <x:v>NOT_RUN</x:v>
      </x:c>
      <x:c r="M864" s="35" t="str">
        <x:v>coverage unavailable or execution/compile failed</x:v>
      </x:c>
      <x:c r="N864" s="35" t="str">
        <x:v>Gemini-3.8-flash/Result/Chart_17/result.json</x:v>
      </x:c>
      <x:c r="O864" s="39" t="str">
        <x:f>IF(AND(G864="RECORDED",ISNUMBER(H864)),H864,"")</x:f>
      </x:c>
      <x:c r="P864" s="35" t="str">
        <x:v>NOT_AVAILABLE</x:v>
      </x:c>
      <x:c r="Q864" s="35" t="str">
        <x:v>Gemini-3.8-flash/Result/Chart_17/result.json</x:v>
      </x:c>
    </x:row>
    <x:row r="865">
      <x:c r="A865" s="35" t="str">
        <x:v>gemini</x:v>
      </x:c>
      <x:c r="B865" s="35" t="str">
        <x:v>Chart</x:v>
      </x:c>
      <x:c r="C865" s="35" t="str">
        <x:v>Round1</x:v>
      </x:c>
      <x:c r="D865" s="35" t="str">
        <x:v>Chart_18</x:v>
      </x:c>
      <x:c r="E865" s="35" t="str">
        <x:v>Condition</x:v>
      </x:c>
      <x:c r="F865" s="35" t="n">
        <x:v>122</x:v>
      </x:c>
      <x:c r="G865" s="35" t="str">
        <x:v>RECORDED</x:v>
      </x:c>
      <x:c r="H865" s="39" t="n">
        <x:f>IF(ISNUMBER('Data'!N11),'Data'!N11*100,"")</x:f>
        <x:v>13.11</x:v>
      </x:c>
      <x:c r="I865" s="35" t="str">
        <x:v>PASS</x:v>
      </x:c>
      <x:c r="J865" s="35" t="str">
        <x:v>PASS</x:v>
      </x:c>
      <x:c r="K865" s="35" t="str">
        <x:v>PASS</x:v>
      </x:c>
      <x:c r="L865" s="35" t="str">
        <x:v>PASS</x:v>
      </x:c>
      <x:c r="M865" s="35" t="str">
        <x:v>numeric coverage for applicable metric</x:v>
      </x:c>
      <x:c r="N865" s="35" t="str">
        <x:v>Gemini-3.8-flash/Result/Chart_18/result.json</x:v>
      </x:c>
      <x:c r="O865" s="39" t="n">
        <x:f>IF(AND(G865="RECORDED",ISNUMBER(H865)),H865,"")</x:f>
        <x:v>13.11</x:v>
      </x:c>
      <x:c r="P865" s="35" t="str">
        <x:v>NOT_REVEALING</x:v>
      </x:c>
      <x:c r="Q865" s="35" t="str">
        <x:v>Gemini-3.8-flash/Result/Chart_18/result.json</x:v>
      </x:c>
    </x:row>
    <x:row r="866">
      <x:c r="A866" s="35" t="str">
        <x:v>gemini</x:v>
      </x:c>
      <x:c r="B866" s="35" t="str">
        <x:v>Chart</x:v>
      </x:c>
      <x:c r="C866" s="35" t="str">
        <x:v>Round1</x:v>
      </x:c>
      <x:c r="D866" s="35" t="str">
        <x:v>Chart_19</x:v>
      </x:c>
      <x:c r="E866" s="35" t="str">
        <x:v>Condition</x:v>
      </x:c>
      <x:c r="F866" s="35"/>
      <x:c r="G866" s="35" t="str">
        <x:v>A</x:v>
      </x:c>
      <x:c r="H866" s="39" t="str">
        <x:f>IF(ISNUMBER('Data'!N12),'Data'!N12*100,"")</x:f>
      </x:c>
      <x:c r="I866" s="35"/>
      <x:c r="J866" s="35" t="str">
        <x:v>PASS</x:v>
      </x:c>
      <x:c r="K866" s="35" t="str">
        <x:v>FAIL</x:v>
      </x:c>
      <x:c r="L866" s="35" t="str">
        <x:v>NOT_RUN</x:v>
      </x:c>
      <x:c r="M866" s="35" t="str">
        <x:v>coverage unavailable or execution/compile failed</x:v>
      </x:c>
      <x:c r="N866" s="35" t="str">
        <x:v>Gemini-3.8-flash/Result/Chart_19/result.json</x:v>
      </x:c>
      <x:c r="O866" s="39" t="str">
        <x:f>IF(AND(G866="RECORDED",ISNUMBER(H866)),H866,"")</x:f>
      </x:c>
      <x:c r="P866" s="35" t="str">
        <x:v>NOT_AVAILABLE</x:v>
      </x:c>
      <x:c r="Q866" s="35" t="str">
        <x:v>Gemini-3.8-flash/Result/Chart_19/result.json</x:v>
      </x:c>
    </x:row>
    <x:row r="867">
      <x:c r="A867" s="35" t="str">
        <x:v>gemini</x:v>
      </x:c>
      <x:c r="B867" s="35" t="str">
        <x:v>Chart</x:v>
      </x:c>
      <x:c r="C867" s="35" t="str">
        <x:v>Round1</x:v>
      </x:c>
      <x:c r="D867" s="35" t="str">
        <x:v>Chart_2</x:v>
      </x:c>
      <x:c r="E867" s="35" t="str">
        <x:v>Condition</x:v>
      </x:c>
      <x:c r="F867" s="35"/>
      <x:c r="G867" s="35" t="str">
        <x:v>A</x:v>
      </x:c>
      <x:c r="H867" s="39" t="str">
        <x:f>IF(ISNUMBER('Data'!N13),'Data'!N13*100,"")</x:f>
      </x:c>
      <x:c r="I867" s="35"/>
      <x:c r="J867" s="35" t="str">
        <x:v>PASS</x:v>
      </x:c>
      <x:c r="K867" s="35" t="str">
        <x:v>FAIL</x:v>
      </x:c>
      <x:c r="L867" s="35" t="str">
        <x:v>NOT_RUN</x:v>
      </x:c>
      <x:c r="M867" s="35" t="str">
        <x:v>coverage unavailable or execution/compile failed</x:v>
      </x:c>
      <x:c r="N867" s="35" t="str">
        <x:v>Gemini-3.8-flash/Result/Chart_2/result.json</x:v>
      </x:c>
      <x:c r="O867" s="39" t="str">
        <x:f>IF(AND(G867="RECORDED",ISNUMBER(H867)),H867,"")</x:f>
      </x:c>
      <x:c r="P867" s="35" t="str">
        <x:v>NOT_AVAILABLE</x:v>
      </x:c>
      <x:c r="Q867" s="35" t="str">
        <x:v>Gemini-3.8-flash/Result/Chart_2/result.json</x:v>
      </x:c>
    </x:row>
    <x:row r="868">
      <x:c r="A868" s="35" t="str">
        <x:v>gemini</x:v>
      </x:c>
      <x:c r="B868" s="35" t="str">
        <x:v>Chart</x:v>
      </x:c>
      <x:c r="C868" s="35" t="str">
        <x:v>Round1</x:v>
      </x:c>
      <x:c r="D868" s="35" t="str">
        <x:v>Chart_20</x:v>
      </x:c>
      <x:c r="E868" s="35" t="str">
        <x:v>Condition</x:v>
      </x:c>
      <x:c r="F868" s="35" t="n">
        <x:v>8</x:v>
      </x:c>
      <x:c r="G868" s="35" t="str">
        <x:v>RECORDED</x:v>
      </x:c>
      <x:c r="H868" s="39" t="n">
        <x:f>IF(ISNUMBER('Data'!N14),'Data'!N14*100,"")</x:f>
        <x:v>87.5</x:v>
      </x:c>
      <x:c r="I868" s="35" t="str">
        <x:v>PASS</x:v>
      </x:c>
      <x:c r="J868" s="35" t="str">
        <x:v>PASS</x:v>
      </x:c>
      <x:c r="K868" s="35" t="str">
        <x:v>PASS</x:v>
      </x:c>
      <x:c r="L868" s="35" t="str">
        <x:v>FAIL</x:v>
      </x:c>
      <x:c r="M868" s="35" t="str">
        <x:v>numeric coverage for applicable metric</x:v>
      </x:c>
      <x:c r="N868" s="35" t="str">
        <x:v>Gemini-3.8-flash/Result/Chart_20/result.json</x:v>
      </x:c>
      <x:c r="O868" s="39" t="n">
        <x:f>IF(AND(G868="RECORDED",ISNUMBER(H868)),H868,"")</x:f>
        <x:v>87.5</x:v>
      </x:c>
      <x:c r="P868" s="35" t="str">
        <x:v>INCONCLUSIVE</x:v>
      </x:c>
      <x:c r="Q868" s="35" t="str">
        <x:v>Gemini-3.8-flash/Result/Chart_20/result.json</x:v>
      </x:c>
    </x:row>
    <x:row r="869">
      <x:c r="A869" s="35" t="str">
        <x:v>gemini</x:v>
      </x:c>
      <x:c r="B869" s="35" t="str">
        <x:v>Chart</x:v>
      </x:c>
      <x:c r="C869" s="35" t="str">
        <x:v>Round1</x:v>
      </x:c>
      <x:c r="D869" s="35" t="str">
        <x:v>Chart_21</x:v>
      </x:c>
      <x:c r="E869" s="35" t="str">
        <x:v>Condition</x:v>
      </x:c>
      <x:c r="F869" s="35" t="n">
        <x:v>60</x:v>
      </x:c>
      <x:c r="G869" s="35" t="str">
        <x:v>RECORDED</x:v>
      </x:c>
      <x:c r="H869" s="39" t="n">
        <x:f>IF(ISNUMBER('Data'!N15),'Data'!N15*100,"")</x:f>
        <x:v>10</x:v>
      </x:c>
      <x:c r="I869" s="35" t="str">
        <x:v>PASS</x:v>
      </x:c>
      <x:c r="J869" s="35" t="str">
        <x:v>PASS</x:v>
      </x:c>
      <x:c r="K869" s="35" t="str">
        <x:v>PASS</x:v>
      </x:c>
      <x:c r="L869" s="35" t="str">
        <x:v>PASS</x:v>
      </x:c>
      <x:c r="M869" s="35" t="str">
        <x:v>numeric coverage for applicable metric</x:v>
      </x:c>
      <x:c r="N869" s="35" t="str">
        <x:v>Gemini-3.8-flash/Result/Chart_21/result.json</x:v>
      </x:c>
      <x:c r="O869" s="39" t="n">
        <x:f>IF(AND(G869="RECORDED",ISNUMBER(H869)),H869,"")</x:f>
        <x:v>10</x:v>
      </x:c>
      <x:c r="P869" s="35" t="str">
        <x:v>NOT_REVEALING</x:v>
      </x:c>
      <x:c r="Q869" s="35" t="str">
        <x:v>Gemini-3.8-flash/Result/Chart_21/result.json</x:v>
      </x:c>
    </x:row>
    <x:row r="870">
      <x:c r="A870" s="35" t="str">
        <x:v>gemini</x:v>
      </x:c>
      <x:c r="B870" s="35" t="str">
        <x:v>Chart</x:v>
      </x:c>
      <x:c r="C870" s="35" t="str">
        <x:v>Round1</x:v>
      </x:c>
      <x:c r="D870" s="35" t="str">
        <x:v>Chart_22</x:v>
      </x:c>
      <x:c r="E870" s="35" t="str">
        <x:v>Condition</x:v>
      </x:c>
      <x:c r="F870" s="35" t="n">
        <x:v>58</x:v>
      </x:c>
      <x:c r="G870" s="35" t="str">
        <x:v>RECORDED</x:v>
      </x:c>
      <x:c r="H870" s="39" t="n">
        <x:f>IF(ISNUMBER('Data'!N16),'Data'!N16*100,"")</x:f>
        <x:v>15.52</x:v>
      </x:c>
      <x:c r="I870" s="35" t="str">
        <x:v>PASS</x:v>
      </x:c>
      <x:c r="J870" s="35" t="str">
        <x:v>PASS</x:v>
      </x:c>
      <x:c r="K870" s="35" t="str">
        <x:v>PASS</x:v>
      </x:c>
      <x:c r="L870" s="35" t="str">
        <x:v>PASS</x:v>
      </x:c>
      <x:c r="M870" s="35" t="str">
        <x:v>numeric coverage for applicable metric</x:v>
      </x:c>
      <x:c r="N870" s="35" t="str">
        <x:v>Gemini-3.8-flash/Result/Chart_22/result.json</x:v>
      </x:c>
      <x:c r="O870" s="39" t="n">
        <x:f>IF(AND(G870="RECORDED",ISNUMBER(H870)),H870,"")</x:f>
        <x:v>15.52</x:v>
      </x:c>
      <x:c r="P870" s="35" t="str">
        <x:v>NOT_REVEALING</x:v>
      </x:c>
      <x:c r="Q870" s="35" t="str">
        <x:v>Gemini-3.8-flash/Result/Chart_22/result.json</x:v>
      </x:c>
    </x:row>
    <x:row r="871">
      <x:c r="A871" s="35" t="str">
        <x:v>gemini</x:v>
      </x:c>
      <x:c r="B871" s="35" t="str">
        <x:v>Chart</x:v>
      </x:c>
      <x:c r="C871" s="35" t="str">
        <x:v>Round1</x:v>
      </x:c>
      <x:c r="D871" s="35" t="str">
        <x:v>Chart_23</x:v>
      </x:c>
      <x:c r="E871" s="35" t="str">
        <x:v>Condition</x:v>
      </x:c>
      <x:c r="F871" s="35" t="n">
        <x:v>46</x:v>
      </x:c>
      <x:c r="G871" s="35" t="str">
        <x:v>RECORDED</x:v>
      </x:c>
      <x:c r="H871" s="39" t="n">
        <x:f>IF(ISNUMBER('Data'!N17),'Data'!N17*100,"")</x:f>
        <x:v>89.13</x:v>
      </x:c>
      <x:c r="I871" s="35" t="str">
        <x:v>PASS</x:v>
      </x:c>
      <x:c r="J871" s="35" t="str">
        <x:v>PASS</x:v>
      </x:c>
      <x:c r="K871" s="35" t="str">
        <x:v>PASS</x:v>
      </x:c>
      <x:c r="L871" s="35" t="str">
        <x:v>PASS</x:v>
      </x:c>
      <x:c r="M871" s="35" t="str">
        <x:v>numeric coverage for applicable metric</x:v>
      </x:c>
      <x:c r="N871" s="35" t="str">
        <x:v>Gemini-3.8-flash/Result/Chart_23/result.json</x:v>
      </x:c>
      <x:c r="O871" s="39" t="n">
        <x:f>IF(AND(G871="RECORDED",ISNUMBER(H871)),H871,"")</x:f>
        <x:v>89.13</x:v>
      </x:c>
      <x:c r="P871" s="35" t="str">
        <x:v>NOT_REVEALING</x:v>
      </x:c>
      <x:c r="Q871" s="35" t="str">
        <x:v>Gemini-3.8-flash/Result/Chart_23/result.json</x:v>
      </x:c>
    </x:row>
    <x:row r="872">
      <x:c r="A872" s="35" t="str">
        <x:v>gemini</x:v>
      </x:c>
      <x:c r="B872" s="35" t="str">
        <x:v>Chart</x:v>
      </x:c>
      <x:c r="C872" s="35" t="str">
        <x:v>Round1</x:v>
      </x:c>
      <x:c r="D872" s="35" t="str">
        <x:v>Chart_24</x:v>
      </x:c>
      <x:c r="E872" s="35" t="str">
        <x:v>Condition</x:v>
      </x:c>
      <x:c r="F872" s="35" t="n">
        <x:v>10</x:v>
      </x:c>
      <x:c r="G872" s="35" t="str">
        <x:v>RECORDED</x:v>
      </x:c>
      <x:c r="H872" s="39" t="n">
        <x:f>IF(ISNUMBER('Data'!N18),'Data'!N18*100,"")</x:f>
        <x:v>100</x:v>
      </x:c>
      <x:c r="I872" s="35" t="str">
        <x:v>PASS</x:v>
      </x:c>
      <x:c r="J872" s="35" t="str">
        <x:v>PASS</x:v>
      </x:c>
      <x:c r="K872" s="35" t="str">
        <x:v>PASS</x:v>
      </x:c>
      <x:c r="L872" s="35" t="str">
        <x:v>PASS</x:v>
      </x:c>
      <x:c r="M872" s="35" t="str">
        <x:v>numeric coverage for applicable metric</x:v>
      </x:c>
      <x:c r="N872" s="35" t="str">
        <x:v>Gemini-3.8-flash/Result/Chart_24/result.json</x:v>
      </x:c>
      <x:c r="O872" s="39" t="n">
        <x:f>IF(AND(G872="RECORDED",ISNUMBER(H872)),H872,"")</x:f>
        <x:v>100</x:v>
      </x:c>
      <x:c r="P872" s="35" t="str">
        <x:v>NOT_REVEALING</x:v>
      </x:c>
      <x:c r="Q872" s="35" t="str">
        <x:v>Gemini-3.8-flash/Result/Chart_24/result.json</x:v>
      </x:c>
    </x:row>
    <x:row r="873">
      <x:c r="A873" s="35" t="str">
        <x:v>gemini</x:v>
      </x:c>
      <x:c r="B873" s="35" t="str">
        <x:v>Chart</x:v>
      </x:c>
      <x:c r="C873" s="35" t="str">
        <x:v>Round1</x:v>
      </x:c>
      <x:c r="D873" s="35" t="str">
        <x:v>Chart_25</x:v>
      </x:c>
      <x:c r="E873" s="35" t="str">
        <x:v>Condition</x:v>
      </x:c>
      <x:c r="F873" s="35"/>
      <x:c r="G873" s="35" t="str">
        <x:v>A</x:v>
      </x:c>
      <x:c r="H873" s="39" t="str">
        <x:f>IF(ISNUMBER('Data'!N19),'Data'!N19*100,"")</x:f>
      </x:c>
      <x:c r="I873" s="35"/>
      <x:c r="J873" s="35" t="str">
        <x:v>PASS</x:v>
      </x:c>
      <x:c r="K873" s="35" t="str">
        <x:v>FAIL</x:v>
      </x:c>
      <x:c r="L873" s="35" t="str">
        <x:v>NOT_RUN</x:v>
      </x:c>
      <x:c r="M873" s="35" t="str">
        <x:v>coverage unavailable or execution/compile failed</x:v>
      </x:c>
      <x:c r="N873" s="35" t="str">
        <x:v>Gemini-3.8-flash/Result/Chart_25/result.json</x:v>
      </x:c>
      <x:c r="O873" s="39" t="str">
        <x:f>IF(AND(G873="RECORDED",ISNUMBER(H873)),H873,"")</x:f>
      </x:c>
      <x:c r="P873" s="35" t="str">
        <x:v>NOT_AVAILABLE</x:v>
      </x:c>
      <x:c r="Q873" s="35" t="str">
        <x:v>Gemini-3.8-flash/Result/Chart_25/result.json</x:v>
      </x:c>
    </x:row>
    <x:row r="874">
      <x:c r="A874" s="35" t="str">
        <x:v>gemini</x:v>
      </x:c>
      <x:c r="B874" s="35" t="str">
        <x:v>Chart</x:v>
      </x:c>
      <x:c r="C874" s="35" t="str">
        <x:v>Round1</x:v>
      </x:c>
      <x:c r="D874" s="35" t="str">
        <x:v>Chart_26</x:v>
      </x:c>
      <x:c r="E874" s="35" t="str">
        <x:v>Condition</x:v>
      </x:c>
      <x:c r="F874" s="35" t="n">
        <x:v>128</x:v>
      </x:c>
      <x:c r="G874" s="35" t="str">
        <x:v>RECORDED</x:v>
      </x:c>
      <x:c r="H874" s="39" t="n">
        <x:f>IF(ISNUMBER('Data'!N20),'Data'!N20*100,"")</x:f>
        <x:v>96.88</x:v>
      </x:c>
      <x:c r="I874" s="35" t="str">
        <x:v>PASS</x:v>
      </x:c>
      <x:c r="J874" s="35" t="str">
        <x:v>PASS</x:v>
      </x:c>
      <x:c r="K874" s="35" t="str">
        <x:v>PASS</x:v>
      </x:c>
      <x:c r="L874" s="35" t="str">
        <x:v>FAIL</x:v>
      </x:c>
      <x:c r="M874" s="35" t="str">
        <x:v>numeric coverage for applicable metric</x:v>
      </x:c>
      <x:c r="N874" s="35" t="str">
        <x:v>Gemini-3.8-flash/Result/Chart_26/result.json</x:v>
      </x:c>
      <x:c r="O874" s="39" t="n">
        <x:f>IF(AND(G874="RECORDED",ISNUMBER(H874)),H874,"")</x:f>
        <x:v>96.88</x:v>
      </x:c>
      <x:c r="P874" s="35" t="str">
        <x:v>INCONCLUSIVE</x:v>
      </x:c>
      <x:c r="Q874" s="35" t="str">
        <x:v>Gemini-3.8-flash/Result/Chart_26/result.json</x:v>
      </x:c>
    </x:row>
    <x:row r="875">
      <x:c r="A875" s="35" t="str">
        <x:v>gemini</x:v>
      </x:c>
      <x:c r="B875" s="35" t="str">
        <x:v>Chart</x:v>
      </x:c>
      <x:c r="C875" s="35" t="str">
        <x:v>Round1</x:v>
      </x:c>
      <x:c r="D875" s="35" t="str">
        <x:v>Chart_3</x:v>
      </x:c>
      <x:c r="E875" s="35" t="str">
        <x:v>Condition</x:v>
      </x:c>
      <x:c r="F875" s="35" t="n">
        <x:v>186</x:v>
      </x:c>
      <x:c r="G875" s="35" t="str">
        <x:v>RECORDED</x:v>
      </x:c>
      <x:c r="H875" s="39" t="n">
        <x:f>IF(ISNUMBER('Data'!N21),'Data'!N21*100,"")</x:f>
        <x:v>35.48</x:v>
      </x:c>
      <x:c r="I875" s="35" t="str">
        <x:v>PASS</x:v>
      </x:c>
      <x:c r="J875" s="35" t="str">
        <x:v>PASS</x:v>
      </x:c>
      <x:c r="K875" s="35" t="str">
        <x:v>PASS</x:v>
      </x:c>
      <x:c r="L875" s="35" t="str">
        <x:v>PASS</x:v>
      </x:c>
      <x:c r="M875" s="35" t="str">
        <x:v>numeric coverage for applicable metric</x:v>
      </x:c>
      <x:c r="N875" s="35" t="str">
        <x:v>Gemini-3.8-flash/Result/Chart_3/result.json</x:v>
      </x:c>
      <x:c r="O875" s="39" t="n">
        <x:f>IF(AND(G875="RECORDED",ISNUMBER(H875)),H875,"")</x:f>
        <x:v>35.48</x:v>
      </x:c>
      <x:c r="P875" s="35" t="str">
        <x:v>NOT_REVEALING</x:v>
      </x:c>
      <x:c r="Q875" s="35" t="str">
        <x:v>Gemini-3.8-flash/Result/Chart_3/result.json</x:v>
      </x:c>
    </x:row>
    <x:row r="876">
      <x:c r="A876" s="35" t="str">
        <x:v>gemini</x:v>
      </x:c>
      <x:c r="B876" s="35" t="str">
        <x:v>Chart</x:v>
      </x:c>
      <x:c r="C876" s="35" t="str">
        <x:v>Round1</x:v>
      </x:c>
      <x:c r="D876" s="35" t="str">
        <x:v>Chart_4</x:v>
      </x:c>
      <x:c r="E876" s="35" t="str">
        <x:v>Condition</x:v>
      </x:c>
      <x:c r="F876" s="35" t="n">
        <x:v>964</x:v>
      </x:c>
      <x:c r="G876" s="35" t="str">
        <x:v>RECORDED</x:v>
      </x:c>
      <x:c r="H876" s="39" t="n">
        <x:f>IF(ISNUMBER('Data'!N22),'Data'!N22*100,"")</x:f>
        <x:v>65.98</x:v>
      </x:c>
      <x:c r="I876" s="35" t="str">
        <x:v>PASS</x:v>
      </x:c>
      <x:c r="J876" s="35" t="str">
        <x:v>PASS</x:v>
      </x:c>
      <x:c r="K876" s="35" t="str">
        <x:v>PASS</x:v>
      </x:c>
      <x:c r="L876" s="35" t="str">
        <x:v>FAIL</x:v>
      </x:c>
      <x:c r="M876" s="35" t="str">
        <x:v>numeric coverage for applicable metric</x:v>
      </x:c>
      <x:c r="N876" s="35" t="str">
        <x:v>Gemini-3.8-flash/Result/Chart_4/result.json</x:v>
      </x:c>
      <x:c r="O876" s="39" t="n">
        <x:f>IF(AND(G876="RECORDED",ISNUMBER(H876)),H876,"")</x:f>
        <x:v>65.98</x:v>
      </x:c>
      <x:c r="P876" s="35" t="str">
        <x:v>INCONCLUSIVE</x:v>
      </x:c>
      <x:c r="Q876" s="35" t="str">
        <x:v>Gemini-3.8-flash/Result/Chart_4/result.json</x:v>
      </x:c>
    </x:row>
    <x:row r="877">
      <x:c r="A877" s="35" t="str">
        <x:v>gemini</x:v>
      </x:c>
      <x:c r="B877" s="35" t="str">
        <x:v>Chart</x:v>
      </x:c>
      <x:c r="C877" s="35" t="str">
        <x:v>Round1</x:v>
      </x:c>
      <x:c r="D877" s="35" t="str">
        <x:v>Chart_5</x:v>
      </x:c>
      <x:c r="E877" s="35" t="str">
        <x:v>Condition</x:v>
      </x:c>
      <x:c r="F877" s="35" t="n">
        <x:v>80</x:v>
      </x:c>
      <x:c r="G877" s="35" t="str">
        <x:v>RECORDED</x:v>
      </x:c>
      <x:c r="H877" s="39" t="n">
        <x:f>IF(ISNUMBER('Data'!N23),'Data'!N23*100,"")</x:f>
        <x:v>56.25</x:v>
      </x:c>
      <x:c r="I877" s="35" t="str">
        <x:v>PASS</x:v>
      </x:c>
      <x:c r="J877" s="35" t="str">
        <x:v>PASS</x:v>
      </x:c>
      <x:c r="K877" s="35" t="str">
        <x:v>PASS</x:v>
      </x:c>
      <x:c r="L877" s="35" t="str">
        <x:v>FAIL</x:v>
      </x:c>
      <x:c r="M877" s="35" t="str">
        <x:v>numeric coverage for applicable metric</x:v>
      </x:c>
      <x:c r="N877" s="35" t="str">
        <x:v>Gemini-3.8-flash/Result/Chart_5/result.json</x:v>
      </x:c>
      <x:c r="O877" s="39" t="n">
        <x:f>IF(AND(G877="RECORDED",ISNUMBER(H877)),H877,"")</x:f>
        <x:v>56.25</x:v>
      </x:c>
      <x:c r="P877" s="35" t="str">
        <x:v>INCONCLUSIVE</x:v>
      </x:c>
      <x:c r="Q877" s="35" t="str">
        <x:v>Gemini-3.8-flash/Result/Chart_5/result.json</x:v>
      </x:c>
    </x:row>
    <x:row r="878">
      <x:c r="A878" s="35" t="str">
        <x:v>gemini</x:v>
      </x:c>
      <x:c r="B878" s="35" t="str">
        <x:v>Chart</x:v>
      </x:c>
      <x:c r="C878" s="35" t="str">
        <x:v>Round1</x:v>
      </x:c>
      <x:c r="D878" s="35" t="str">
        <x:v>Chart_6</x:v>
      </x:c>
      <x:c r="E878" s="35" t="str">
        <x:v>Condition</x:v>
      </x:c>
      <x:c r="F878" s="35"/>
      <x:c r="G878" s="35" t="str">
        <x:v>A</x:v>
      </x:c>
      <x:c r="H878" s="39" t="str">
        <x:f>IF(ISNUMBER('Data'!N24),'Data'!N24*100,"")</x:f>
      </x:c>
      <x:c r="I878" s="35"/>
      <x:c r="J878" s="35" t="str">
        <x:v>PASS</x:v>
      </x:c>
      <x:c r="K878" s="35" t="str">
        <x:v>FAIL</x:v>
      </x:c>
      <x:c r="L878" s="35" t="str">
        <x:v>NOT_RUN</x:v>
      </x:c>
      <x:c r="M878" s="35" t="str">
        <x:v>coverage unavailable or execution/compile failed</x:v>
      </x:c>
      <x:c r="N878" s="35" t="str">
        <x:v>Gemini-3.8-flash/Result/Chart_6/result.json</x:v>
      </x:c>
      <x:c r="O878" s="39" t="str">
        <x:f>IF(AND(G878="RECORDED",ISNUMBER(H878)),H878,"")</x:f>
      </x:c>
      <x:c r="P878" s="35" t="str">
        <x:v>NOT_AVAILABLE</x:v>
      </x:c>
      <x:c r="Q878" s="35" t="str">
        <x:v>Gemini-3.8-flash/Result/Chart_6/result.json</x:v>
      </x:c>
    </x:row>
    <x:row r="879">
      <x:c r="A879" s="35" t="str">
        <x:v>gemini</x:v>
      </x:c>
      <x:c r="B879" s="35" t="str">
        <x:v>Chart</x:v>
      </x:c>
      <x:c r="C879" s="35" t="str">
        <x:v>Round1</x:v>
      </x:c>
      <x:c r="D879" s="35" t="str">
        <x:v>Chart_7</x:v>
      </x:c>
      <x:c r="E879" s="35" t="str">
        <x:v>Condition</x:v>
      </x:c>
      <x:c r="F879" s="35" t="n">
        <x:v>54</x:v>
      </x:c>
      <x:c r="G879" s="35" t="str">
        <x:v>RECORDED</x:v>
      </x:c>
      <x:c r="H879" s="39" t="n">
        <x:f>IF(ISNUMBER('Data'!N25),'Data'!N25*100,"")</x:f>
        <x:v>12.960000000000003</x:v>
      </x:c>
      <x:c r="I879" s="35" t="str">
        <x:v>PASS</x:v>
      </x:c>
      <x:c r="J879" s="35" t="str">
        <x:v>PASS</x:v>
      </x:c>
      <x:c r="K879" s="35" t="str">
        <x:v>PASS</x:v>
      </x:c>
      <x:c r="L879" s="35" t="str">
        <x:v>PASS</x:v>
      </x:c>
      <x:c r="M879" s="35" t="str">
        <x:v>numeric coverage for applicable metric</x:v>
      </x:c>
      <x:c r="N879" s="35" t="str">
        <x:v>Gemini-3.8-flash/Result/Chart_7/result.json</x:v>
      </x:c>
      <x:c r="O879" s="39" t="n">
        <x:f>IF(AND(G879="RECORDED",ISNUMBER(H879)),H879,"")</x:f>
        <x:v>12.960000000000003</x:v>
      </x:c>
      <x:c r="P879" s="35" t="str">
        <x:v>NOT_REVEALING</x:v>
      </x:c>
      <x:c r="Q879" s="35" t="str">
        <x:v>Gemini-3.8-flash/Result/Chart_7/result.json</x:v>
      </x:c>
    </x:row>
    <x:row r="880">
      <x:c r="A880" s="35" t="str">
        <x:v>gemini</x:v>
      </x:c>
      <x:c r="B880" s="35" t="str">
        <x:v>Chart</x:v>
      </x:c>
      <x:c r="C880" s="35" t="str">
        <x:v>Round1</x:v>
      </x:c>
      <x:c r="D880" s="35" t="str">
        <x:v>Chart_8</x:v>
      </x:c>
      <x:c r="E880" s="35" t="str">
        <x:v>Condition</x:v>
      </x:c>
      <x:c r="F880" s="35" t="n">
        <x:v>68</x:v>
      </x:c>
      <x:c r="G880" s="35" t="str">
        <x:v>RECORDED</x:v>
      </x:c>
      <x:c r="H880" s="39" t="n">
        <x:f>IF(ISNUMBER('Data'!N26),'Data'!N26*100,"")</x:f>
        <x:v>5.88</x:v>
      </x:c>
      <x:c r="I880" s="35" t="str">
        <x:v>PASS</x:v>
      </x:c>
      <x:c r="J880" s="35" t="str">
        <x:v>PASS</x:v>
      </x:c>
      <x:c r="K880" s="35" t="str">
        <x:v>PASS</x:v>
      </x:c>
      <x:c r="L880" s="35" t="str">
        <x:v>PASS</x:v>
      </x:c>
      <x:c r="M880" s="35" t="str">
        <x:v>numeric coverage for applicable metric</x:v>
      </x:c>
      <x:c r="N880" s="35" t="str">
        <x:v>Gemini-3.8-flash/Result/Chart_8/result.json</x:v>
      </x:c>
      <x:c r="O880" s="39" t="n">
        <x:f>IF(AND(G880="RECORDED",ISNUMBER(H880)),H880,"")</x:f>
        <x:v>5.88</x:v>
      </x:c>
      <x:c r="P880" s="35" t="str">
        <x:v>NOT_REVEALING</x:v>
      </x:c>
      <x:c r="Q880" s="35" t="str">
        <x:v>Gemini-3.8-flash/Result/Chart_8/result.json</x:v>
      </x:c>
    </x:row>
    <x:row r="881">
      <x:c r="A881" s="35" t="str">
        <x:v>gemini</x:v>
      </x:c>
      <x:c r="B881" s="35" t="str">
        <x:v>Chart</x:v>
      </x:c>
      <x:c r="C881" s="35" t="str">
        <x:v>Round1</x:v>
      </x:c>
      <x:c r="D881" s="35" t="str">
        <x:v>Chart_9</x:v>
      </x:c>
      <x:c r="E881" s="35" t="str">
        <x:v>Condition</x:v>
      </x:c>
      <x:c r="F881" s="35"/>
      <x:c r="G881" s="35" t="str">
        <x:v>A</x:v>
      </x:c>
      <x:c r="H881" s="39" t="str">
        <x:f>IF(ISNUMBER('Data'!N27),'Data'!N27*100,"")</x:f>
      </x:c>
      <x:c r="I881" s="35"/>
      <x:c r="J881" s="35" t="str">
        <x:v>PASS</x:v>
      </x:c>
      <x:c r="K881" s="35" t="str">
        <x:v>FAIL</x:v>
      </x:c>
      <x:c r="L881" s="35" t="str">
        <x:v>NOT_RUN</x:v>
      </x:c>
      <x:c r="M881" s="35" t="str">
        <x:v>coverage unavailable or execution/compile failed</x:v>
      </x:c>
      <x:c r="N881" s="35" t="str">
        <x:v>Gemini-3.8-flash/Result/Chart_9/result.json</x:v>
      </x:c>
      <x:c r="O881" s="39" t="str">
        <x:f>IF(AND(G881="RECORDED",ISNUMBER(H881)),H881,"")</x:f>
      </x:c>
      <x:c r="P881" s="35" t="str">
        <x:v>NOT_AVAILABLE</x:v>
      </x:c>
      <x:c r="Q881" s="35" t="str">
        <x:v>Gemini-3.8-flash/Result/Chart_9/result.json</x:v>
      </x:c>
    </x:row>
    <x:row r="882">
      <x:c r="A882" s="35" t="str">
        <x:v>gemini</x:v>
      </x:c>
      <x:c r="B882" s="35" t="str">
        <x:v>Cli</x:v>
      </x:c>
      <x:c r="C882" s="35" t="str">
        <x:v>Round1</x:v>
      </x:c>
      <x:c r="D882" s="35" t="str">
        <x:v>Cli_1</x:v>
      </x:c>
      <x:c r="E882" s="35" t="str">
        <x:v>Condition</x:v>
      </x:c>
      <x:c r="F882" s="35" t="n">
        <x:v>14</x:v>
      </x:c>
      <x:c r="G882" s="35" t="str">
        <x:v>RECORDED</x:v>
      </x:c>
      <x:c r="H882" s="39" t="n">
        <x:f>IF(ISNUMBER('Data'!N28),'Data'!N28*100,"")</x:f>
        <x:v>0</x:v>
      </x:c>
      <x:c r="I882" s="35" t="str">
        <x:v>PASS</x:v>
      </x:c>
      <x:c r="J882" s="35" t="str">
        <x:v>PASS</x:v>
      </x:c>
      <x:c r="K882" s="35" t="str">
        <x:v>PASS</x:v>
      </x:c>
      <x:c r="L882" s="35" t="str">
        <x:v>FAIL</x:v>
      </x:c>
      <x:c r="M882" s="35" t="str">
        <x:v>numeric coverage for applicable metric</x:v>
      </x:c>
      <x:c r="N882" s="35" t="str">
        <x:v>Gemini-3.8-flash/Result/Cli_1/result.json</x:v>
      </x:c>
      <x:c r="O882" s="39" t="n">
        <x:f>IF(AND(G882="RECORDED",ISNUMBER(H882)),H882,"")</x:f>
        <x:v>0</x:v>
      </x:c>
      <x:c r="P882" s="35" t="str">
        <x:v>INCONCLUSIVE</x:v>
      </x:c>
      <x:c r="Q882" s="35" t="str">
        <x:v>Gemini-3.8-flash/Result/Cli_1/result.json</x:v>
      </x:c>
    </x:row>
    <x:row r="883">
      <x:c r="A883" s="35" t="str">
        <x:v>gemini</x:v>
      </x:c>
      <x:c r="B883" s="35" t="str">
        <x:v>Cli</x:v>
      </x:c>
      <x:c r="C883" s="35" t="str">
        <x:v>Round1</x:v>
      </x:c>
      <x:c r="D883" s="35" t="str">
        <x:v>Cli_10</x:v>
      </x:c>
      <x:c r="E883" s="35" t="str">
        <x:v>Condition</x:v>
      </x:c>
      <x:c r="F883" s="35"/>
      <x:c r="G883" s="35" t="str">
        <x:v>A</x:v>
      </x:c>
      <x:c r="H883" s="39" t="str">
        <x:f>IF(ISNUMBER('Data'!N29),'Data'!N29*100,"")</x:f>
      </x:c>
      <x:c r="I883" s="35"/>
      <x:c r="J883" s="35" t="str">
        <x:v>PASS</x:v>
      </x:c>
      <x:c r="K883" s="35" t="str">
        <x:v>FAIL</x:v>
      </x:c>
      <x:c r="L883" s="35" t="str">
        <x:v>NOT_RUN</x:v>
      </x:c>
      <x:c r="M883" s="35" t="str">
        <x:v>coverage unavailable or execution/compile failed</x:v>
      </x:c>
      <x:c r="N883" s="35" t="str">
        <x:v>Gemini-3.8-flash/Result/Cli_10/result.json</x:v>
      </x:c>
      <x:c r="O883" s="39" t="str">
        <x:f>IF(AND(G883="RECORDED",ISNUMBER(H883)),H883,"")</x:f>
      </x:c>
      <x:c r="P883" s="35" t="str">
        <x:v>NOT_AVAILABLE</x:v>
      </x:c>
      <x:c r="Q883" s="35" t="str">
        <x:v>Gemini-3.8-flash/Result/Cli_10/result.json</x:v>
      </x:c>
    </x:row>
    <x:row r="884">
      <x:c r="A884" s="35" t="str">
        <x:v>gemini</x:v>
      </x:c>
      <x:c r="B884" s="35" t="str">
        <x:v>Cli</x:v>
      </x:c>
      <x:c r="C884" s="35" t="str">
        <x:v>Round1</x:v>
      </x:c>
      <x:c r="D884" s="35" t="str">
        <x:v>Cli_11</x:v>
      </x:c>
      <x:c r="E884" s="35" t="str">
        <x:v>Condition</x:v>
      </x:c>
      <x:c r="F884" s="35" t="n">
        <x:v>106</x:v>
      </x:c>
      <x:c r="G884" s="35" t="str">
        <x:v>RECORDED</x:v>
      </x:c>
      <x:c r="H884" s="39" t="n">
        <x:f>IF(ISNUMBER('Data'!N30),'Data'!N30*100,"")</x:f>
        <x:v>0</x:v>
      </x:c>
      <x:c r="I884" s="35" t="str">
        <x:v>PASS</x:v>
      </x:c>
      <x:c r="J884" s="35" t="str">
        <x:v>PASS</x:v>
      </x:c>
      <x:c r="K884" s="35" t="str">
        <x:v>PASS</x:v>
      </x:c>
      <x:c r="L884" s="35" t="str">
        <x:v>FAIL</x:v>
      </x:c>
      <x:c r="M884" s="35" t="str">
        <x:v>numeric coverage for applicable metric</x:v>
      </x:c>
      <x:c r="N884" s="35" t="str">
        <x:v>Gemini-3.8-flash/Result/Cli_11/result.json</x:v>
      </x:c>
      <x:c r="O884" s="39" t="n">
        <x:f>IF(AND(G884="RECORDED",ISNUMBER(H884)),H884,"")</x:f>
        <x:v>0</x:v>
      </x:c>
      <x:c r="P884" s="35" t="str">
        <x:v>INCONCLUSIVE</x:v>
      </x:c>
      <x:c r="Q884" s="35" t="str">
        <x:v>Gemini-3.8-flash/Result/Cli_11/result.json</x:v>
      </x:c>
    </x:row>
    <x:row r="885">
      <x:c r="A885" s="35" t="str">
        <x:v>gemini</x:v>
      </x:c>
      <x:c r="B885" s="35" t="str">
        <x:v>Cli</x:v>
      </x:c>
      <x:c r="C885" s="35" t="str">
        <x:v>Round1</x:v>
      </x:c>
      <x:c r="D885" s="35" t="str">
        <x:v>Cli_12</x:v>
      </x:c>
      <x:c r="E885" s="35" t="str">
        <x:v>Condition</x:v>
      </x:c>
      <x:c r="F885" s="35"/>
      <x:c r="G885" s="35" t="str">
        <x:v>A</x:v>
      </x:c>
      <x:c r="H885" s="39" t="str">
        <x:f>IF(ISNUMBER('Data'!N31),'Data'!N31*100,"")</x:f>
      </x:c>
      <x:c r="I885" s="35"/>
      <x:c r="J885" s="35" t="str">
        <x:v>PASS</x:v>
      </x:c>
      <x:c r="K885" s="35" t="str">
        <x:v>FAIL</x:v>
      </x:c>
      <x:c r="L885" s="35" t="str">
        <x:v>NOT_RUN</x:v>
      </x:c>
      <x:c r="M885" s="35" t="str">
        <x:v>coverage unavailable or execution/compile failed</x:v>
      </x:c>
      <x:c r="N885" s="35" t="str">
        <x:v>Gemini-3.8-flash/Result/Cli_12/result.json</x:v>
      </x:c>
      <x:c r="O885" s="39" t="str">
        <x:f>IF(AND(G885="RECORDED",ISNUMBER(H885)),H885,"")</x:f>
      </x:c>
      <x:c r="P885" s="35" t="str">
        <x:v>NOT_AVAILABLE</x:v>
      </x:c>
      <x:c r="Q885" s="35" t="str">
        <x:v>Gemini-3.8-flash/Result/Cli_12/result.json</x:v>
      </x:c>
    </x:row>
    <x:row r="886">
      <x:c r="A886" s="35" t="str">
        <x:v>gemini</x:v>
      </x:c>
      <x:c r="B886" s="35" t="str">
        <x:v>Cli</x:v>
      </x:c>
      <x:c r="C886" s="35" t="str">
        <x:v>Round1</x:v>
      </x:c>
      <x:c r="D886" s="35" t="str">
        <x:v>Cli_13</x:v>
      </x:c>
      <x:c r="E886" s="35" t="str">
        <x:v>Condition</x:v>
      </x:c>
      <x:c r="F886" s="35"/>
      <x:c r="G886" s="35" t="str">
        <x:v>A</x:v>
      </x:c>
      <x:c r="H886" s="39" t="str">
        <x:f>IF(ISNUMBER('Data'!N32),'Data'!N32*100,"")</x:f>
      </x:c>
      <x:c r="I886" s="35"/>
      <x:c r="J886" s="35" t="str">
        <x:v>PASS</x:v>
      </x:c>
      <x:c r="K886" s="35" t="str">
        <x:v>FAIL</x:v>
      </x:c>
      <x:c r="L886" s="35" t="str">
        <x:v>NOT_RUN</x:v>
      </x:c>
      <x:c r="M886" s="35" t="str">
        <x:v>coverage unavailable or execution/compile failed</x:v>
      </x:c>
      <x:c r="N886" s="35" t="str">
        <x:v>Gemini-3.8-flash/Result/Cli_13/result.json</x:v>
      </x:c>
      <x:c r="O886" s="39" t="str">
        <x:f>IF(AND(G886="RECORDED",ISNUMBER(H886)),H886,"")</x:f>
      </x:c>
      <x:c r="P886" s="35" t="str">
        <x:v>NOT_AVAILABLE</x:v>
      </x:c>
      <x:c r="Q886" s="35" t="str">
        <x:v>Gemini-3.8-flash/Result/Cli_13/result.json</x:v>
      </x:c>
    </x:row>
    <x:row r="887">
      <x:c r="A887" s="35" t="str">
        <x:v>gemini</x:v>
      </x:c>
      <x:c r="B887" s="35" t="str">
        <x:v>Cli</x:v>
      </x:c>
      <x:c r="C887" s="35" t="str">
        <x:v>Round1</x:v>
      </x:c>
      <x:c r="D887" s="35" t="str">
        <x:v>Cli_14</x:v>
      </x:c>
      <x:c r="E887" s="35" t="str">
        <x:v>Condition</x:v>
      </x:c>
      <x:c r="F887" s="35"/>
      <x:c r="G887" s="35" t="str">
        <x:v>A</x:v>
      </x:c>
      <x:c r="H887" s="39" t="str">
        <x:f>IF(ISNUMBER('Data'!N33),'Data'!N33*100,"")</x:f>
      </x:c>
      <x:c r="I887" s="35"/>
      <x:c r="J887" s="35" t="str">
        <x:v>PASS</x:v>
      </x:c>
      <x:c r="K887" s="35" t="str">
        <x:v>FAIL</x:v>
      </x:c>
      <x:c r="L887" s="35" t="str">
        <x:v>NOT_RUN</x:v>
      </x:c>
      <x:c r="M887" s="35" t="str">
        <x:v>coverage unavailable or execution/compile failed</x:v>
      </x:c>
      <x:c r="N887" s="35" t="str">
        <x:v>Gemini-3.8-flash/Result/Cli_14/result.json</x:v>
      </x:c>
      <x:c r="O887" s="39" t="str">
        <x:f>IF(AND(G887="RECORDED",ISNUMBER(H887)),H887,"")</x:f>
      </x:c>
      <x:c r="P887" s="35" t="str">
        <x:v>NOT_AVAILABLE</x:v>
      </x:c>
      <x:c r="Q887" s="35" t="str">
        <x:v>Gemini-3.8-flash/Result/Cli_14/result.json</x:v>
      </x:c>
    </x:row>
    <x:row r="888">
      <x:c r="A888" s="35" t="str">
        <x:v>gemini</x:v>
      </x:c>
      <x:c r="B888" s="35" t="str">
        <x:v>Cli</x:v>
      </x:c>
      <x:c r="C888" s="35" t="str">
        <x:v>Round1</x:v>
      </x:c>
      <x:c r="D888" s="35" t="str">
        <x:v>Cli_15</x:v>
      </x:c>
      <x:c r="E888" s="35" t="str">
        <x:v>Condition</x:v>
      </x:c>
      <x:c r="F888" s="35" t="n">
        <x:v>46</x:v>
      </x:c>
      <x:c r="G888" s="35" t="str">
        <x:v>RECORDED</x:v>
      </x:c>
      <x:c r="H888" s="39" t="n">
        <x:f>IF(ISNUMBER('Data'!N34),'Data'!N34*100,"")</x:f>
        <x:v>0</x:v>
      </x:c>
      <x:c r="I888" s="35" t="str">
        <x:v>PASS</x:v>
      </x:c>
      <x:c r="J888" s="35" t="str">
        <x:v>PASS</x:v>
      </x:c>
      <x:c r="K888" s="35" t="str">
        <x:v>PASS</x:v>
      </x:c>
      <x:c r="L888" s="35" t="str">
        <x:v>FAIL</x:v>
      </x:c>
      <x:c r="M888" s="35" t="str">
        <x:v>numeric coverage for applicable metric</x:v>
      </x:c>
      <x:c r="N888" s="35" t="str">
        <x:v>Gemini-3.8-flash/Result/Cli_15/result.json</x:v>
      </x:c>
      <x:c r="O888" s="39" t="n">
        <x:f>IF(AND(G888="RECORDED",ISNUMBER(H888)),H888,"")</x:f>
        <x:v>0</x:v>
      </x:c>
      <x:c r="P888" s="35" t="str">
        <x:v>INCONCLUSIVE</x:v>
      </x:c>
      <x:c r="Q888" s="35" t="str">
        <x:v>Gemini-3.8-flash/Result/Cli_15/result.json</x:v>
      </x:c>
    </x:row>
    <x:row r="889">
      <x:c r="A889" s="35" t="str">
        <x:v>gemini</x:v>
      </x:c>
      <x:c r="B889" s="35" t="str">
        <x:v>Cli</x:v>
      </x:c>
      <x:c r="C889" s="35" t="str">
        <x:v>Round1</x:v>
      </x:c>
      <x:c r="D889" s="35" t="str">
        <x:v>Cli_16</x:v>
      </x:c>
      <x:c r="E889" s="35" t="str">
        <x:v>Condition</x:v>
      </x:c>
      <x:c r="F889" s="35"/>
      <x:c r="G889" s="35" t="str">
        <x:v>A</x:v>
      </x:c>
      <x:c r="H889" s="39" t="str">
        <x:f>IF(ISNUMBER('Data'!N35),'Data'!N35*100,"")</x:f>
      </x:c>
      <x:c r="I889" s="35"/>
      <x:c r="J889" s="35" t="str">
        <x:v>PASS</x:v>
      </x:c>
      <x:c r="K889" s="35" t="str">
        <x:v>FAIL</x:v>
      </x:c>
      <x:c r="L889" s="35" t="str">
        <x:v>NOT_RUN</x:v>
      </x:c>
      <x:c r="M889" s="35" t="str">
        <x:v>coverage unavailable or execution/compile failed</x:v>
      </x:c>
      <x:c r="N889" s="35" t="str">
        <x:v>Gemini-3.8-flash/Result/Cli_16/result.json</x:v>
      </x:c>
      <x:c r="O889" s="39" t="str">
        <x:f>IF(AND(G889="RECORDED",ISNUMBER(H889)),H889,"")</x:f>
      </x:c>
      <x:c r="P889" s="35" t="str">
        <x:v>NOT_AVAILABLE</x:v>
      </x:c>
      <x:c r="Q889" s="35" t="str">
        <x:v>Gemini-3.8-flash/Result/Cli_16/result.json</x:v>
      </x:c>
    </x:row>
    <x:row r="890">
      <x:c r="A890" s="35" t="str">
        <x:v>gemini</x:v>
      </x:c>
      <x:c r="B890" s="35" t="str">
        <x:v>Cli</x:v>
      </x:c>
      <x:c r="C890" s="35" t="str">
        <x:v>Round1</x:v>
      </x:c>
      <x:c r="D890" s="35" t="str">
        <x:v>Cli_17</x:v>
      </x:c>
      <x:c r="E890" s="35" t="str">
        <x:v>Condition</x:v>
      </x:c>
      <x:c r="F890" s="35" t="n">
        <x:v>42</x:v>
      </x:c>
      <x:c r="G890" s="35" t="str">
        <x:v>RECORDED</x:v>
      </x:c>
      <x:c r="H890" s="39" t="n">
        <x:f>IF(ISNUMBER('Data'!N36),'Data'!N36*100,"")</x:f>
        <x:v>0</x:v>
      </x:c>
      <x:c r="I890" s="35" t="str">
        <x:v>PASS</x:v>
      </x:c>
      <x:c r="J890" s="35" t="str">
        <x:v>PASS</x:v>
      </x:c>
      <x:c r="K890" s="35" t="str">
        <x:v>PASS</x:v>
      </x:c>
      <x:c r="L890" s="35" t="str">
        <x:v>FAIL</x:v>
      </x:c>
      <x:c r="M890" s="35" t="str">
        <x:v>numeric coverage for applicable metric</x:v>
      </x:c>
      <x:c r="N890" s="35" t="str">
        <x:v>Gemini-3.8-flash/Result/Cli_17/result.json</x:v>
      </x:c>
      <x:c r="O890" s="39" t="n">
        <x:f>IF(AND(G890="RECORDED",ISNUMBER(H890)),H890,"")</x:f>
        <x:v>0</x:v>
      </x:c>
      <x:c r="P890" s="35" t="str">
        <x:v>INCONCLUSIVE</x:v>
      </x:c>
      <x:c r="Q890" s="35" t="str">
        <x:v>Gemini-3.8-flash/Result/Cli_17/result.json</x:v>
      </x:c>
    </x:row>
    <x:row r="891">
      <x:c r="A891" s="35" t="str">
        <x:v>gemini</x:v>
      </x:c>
      <x:c r="B891" s="35" t="str">
        <x:v>Cli</x:v>
      </x:c>
      <x:c r="C891" s="35" t="str">
        <x:v>Round1</x:v>
      </x:c>
      <x:c r="D891" s="35" t="str">
        <x:v>Cli_18</x:v>
      </x:c>
      <x:c r="E891" s="35" t="str">
        <x:v>Condition</x:v>
      </x:c>
      <x:c r="F891" s="35" t="n">
        <x:v>42</x:v>
      </x:c>
      <x:c r="G891" s="35" t="str">
        <x:v>RECORDED</x:v>
      </x:c>
      <x:c r="H891" s="39" t="n">
        <x:f>IF(ISNUMBER('Data'!N37),'Data'!N37*100,"")</x:f>
        <x:v>0</x:v>
      </x:c>
      <x:c r="I891" s="35" t="str">
        <x:v>PASS</x:v>
      </x:c>
      <x:c r="J891" s="35" t="str">
        <x:v>PASS</x:v>
      </x:c>
      <x:c r="K891" s="35" t="str">
        <x:v>PASS</x:v>
      </x:c>
      <x:c r="L891" s="35" t="str">
        <x:v>FAIL</x:v>
      </x:c>
      <x:c r="M891" s="35" t="str">
        <x:v>numeric coverage for applicable metric</x:v>
      </x:c>
      <x:c r="N891" s="35" t="str">
        <x:v>Gemini-3.8-flash/Result/Cli_18/result.json</x:v>
      </x:c>
      <x:c r="O891" s="39" t="n">
        <x:f>IF(AND(G891="RECORDED",ISNUMBER(H891)),H891,"")</x:f>
        <x:v>0</x:v>
      </x:c>
      <x:c r="P891" s="35" t="str">
        <x:v>INCONCLUSIVE</x:v>
      </x:c>
      <x:c r="Q891" s="35" t="str">
        <x:v>Gemini-3.8-flash/Result/Cli_18/result.json</x:v>
      </x:c>
    </x:row>
    <x:row r="892">
      <x:c r="A892" s="35" t="str">
        <x:v>gemini</x:v>
      </x:c>
      <x:c r="B892" s="35" t="str">
        <x:v>Cli</x:v>
      </x:c>
      <x:c r="C892" s="35" t="str">
        <x:v>Round1</x:v>
      </x:c>
      <x:c r="D892" s="35" t="str">
        <x:v>Cli_19</x:v>
      </x:c>
      <x:c r="E892" s="35" t="str">
        <x:v>Condition</x:v>
      </x:c>
      <x:c r="F892" s="35" t="n">
        <x:v>42</x:v>
      </x:c>
      <x:c r="G892" s="35" t="str">
        <x:v>RECORDED</x:v>
      </x:c>
      <x:c r="H892" s="39" t="n">
        <x:f>IF(ISNUMBER('Data'!N38),'Data'!N38*100,"")</x:f>
        <x:v>0</x:v>
      </x:c>
      <x:c r="I892" s="35" t="str">
        <x:v>PASS</x:v>
      </x:c>
      <x:c r="J892" s="35" t="str">
        <x:v>PASS</x:v>
      </x:c>
      <x:c r="K892" s="35" t="str">
        <x:v>PASS</x:v>
      </x:c>
      <x:c r="L892" s="35" t="str">
        <x:v>FAIL</x:v>
      </x:c>
      <x:c r="M892" s="35" t="str">
        <x:v>numeric coverage for applicable metric</x:v>
      </x:c>
      <x:c r="N892" s="35" t="str">
        <x:v>Gemini-3.8-flash/Result/Cli_19/result.json</x:v>
      </x:c>
      <x:c r="O892" s="39" t="n">
        <x:f>IF(AND(G892="RECORDED",ISNUMBER(H892)),H892,"")</x:f>
        <x:v>0</x:v>
      </x:c>
      <x:c r="P892" s="35" t="str">
        <x:v>INCONCLUSIVE</x:v>
      </x:c>
      <x:c r="Q892" s="35" t="str">
        <x:v>Gemini-3.8-flash/Result/Cli_19/result.json</x:v>
      </x:c>
    </x:row>
    <x:row r="893">
      <x:c r="A893" s="35" t="str">
        <x:v>gemini</x:v>
      </x:c>
      <x:c r="B893" s="35" t="str">
        <x:v>Cli</x:v>
      </x:c>
      <x:c r="C893" s="35" t="str">
        <x:v>Round1</x:v>
      </x:c>
      <x:c r="D893" s="35" t="str">
        <x:v>Cli_2</x:v>
      </x:c>
      <x:c r="E893" s="35" t="str">
        <x:v>Condition</x:v>
      </x:c>
      <x:c r="F893" s="35" t="n">
        <x:v>42</x:v>
      </x:c>
      <x:c r="G893" s="35" t="str">
        <x:v>RECORDED</x:v>
      </x:c>
      <x:c r="H893" s="39" t="n">
        <x:f>IF(ISNUMBER('Data'!N39),'Data'!N39*100,"")</x:f>
        <x:v>0</x:v>
      </x:c>
      <x:c r="I893" s="35" t="str">
        <x:v>PASS</x:v>
      </x:c>
      <x:c r="J893" s="35" t="str">
        <x:v>PASS</x:v>
      </x:c>
      <x:c r="K893" s="35" t="str">
        <x:v>PASS</x:v>
      </x:c>
      <x:c r="L893" s="35" t="str">
        <x:v>FAIL</x:v>
      </x:c>
      <x:c r="M893" s="35" t="str">
        <x:v>numeric coverage for applicable metric</x:v>
      </x:c>
      <x:c r="N893" s="35" t="str">
        <x:v>Gemini-3.8-flash/Result/Cli_2/result.json</x:v>
      </x:c>
      <x:c r="O893" s="39" t="n">
        <x:f>IF(AND(G893="RECORDED",ISNUMBER(H893)),H893,"")</x:f>
        <x:v>0</x:v>
      </x:c>
      <x:c r="P893" s="35" t="str">
        <x:v>INCONCLUSIVE</x:v>
      </x:c>
      <x:c r="Q893" s="35" t="str">
        <x:v>Gemini-3.8-flash/Result/Cli_2/result.json</x:v>
      </x:c>
    </x:row>
    <x:row r="894">
      <x:c r="A894" s="35" t="str">
        <x:v>gemini</x:v>
      </x:c>
      <x:c r="B894" s="35" t="str">
        <x:v>Cli</x:v>
      </x:c>
      <x:c r="C894" s="35" t="str">
        <x:v>Round1</x:v>
      </x:c>
      <x:c r="D894" s="35" t="str">
        <x:v>Cli_20</x:v>
      </x:c>
      <x:c r="E894" s="35" t="str">
        <x:v>Condition</x:v>
      </x:c>
      <x:c r="F894" s="35" t="n">
        <x:v>42</x:v>
      </x:c>
      <x:c r="G894" s="35" t="str">
        <x:v>RECORDED</x:v>
      </x:c>
      <x:c r="H894" s="39" t="n">
        <x:f>IF(ISNUMBER('Data'!N40),'Data'!N40*100,"")</x:f>
        <x:v>0</x:v>
      </x:c>
      <x:c r="I894" s="35" t="str">
        <x:v>PASS</x:v>
      </x:c>
      <x:c r="J894" s="35" t="str">
        <x:v>PASS</x:v>
      </x:c>
      <x:c r="K894" s="35" t="str">
        <x:v>PASS</x:v>
      </x:c>
      <x:c r="L894" s="35" t="str">
        <x:v>FAIL</x:v>
      </x:c>
      <x:c r="M894" s="35" t="str">
        <x:v>numeric coverage for applicable metric</x:v>
      </x:c>
      <x:c r="N894" s="35" t="str">
        <x:v>Gemini-3.8-flash/Result/Cli_20/result.json</x:v>
      </x:c>
      <x:c r="O894" s="39" t="n">
        <x:f>IF(AND(G894="RECORDED",ISNUMBER(H894)),H894,"")</x:f>
        <x:v>0</x:v>
      </x:c>
      <x:c r="P894" s="35" t="str">
        <x:v>INCONCLUSIVE</x:v>
      </x:c>
      <x:c r="Q894" s="35" t="str">
        <x:v>Gemini-3.8-flash/Result/Cli_20/result.json</x:v>
      </x:c>
    </x:row>
    <x:row r="895">
      <x:c r="A895" s="35" t="str">
        <x:v>gemini</x:v>
      </x:c>
      <x:c r="B895" s="35" t="str">
        <x:v>Cli</x:v>
      </x:c>
      <x:c r="C895" s="35" t="str">
        <x:v>Round1</x:v>
      </x:c>
      <x:c r="D895" s="35" t="str">
        <x:v>Cli_21</x:v>
      </x:c>
      <x:c r="E895" s="35" t="str">
        <x:v>Condition</x:v>
      </x:c>
      <x:c r="F895" s="35"/>
      <x:c r="G895" s="35" t="str">
        <x:v>A</x:v>
      </x:c>
      <x:c r="H895" s="39" t="str">
        <x:f>IF(ISNUMBER('Data'!N41),'Data'!N41*100,"")</x:f>
      </x:c>
      <x:c r="I895" s="35"/>
      <x:c r="J895" s="35" t="str">
        <x:v>PASS</x:v>
      </x:c>
      <x:c r="K895" s="35" t="str">
        <x:v>FAIL</x:v>
      </x:c>
      <x:c r="L895" s="35" t="str">
        <x:v>NOT_RUN</x:v>
      </x:c>
      <x:c r="M895" s="35" t="str">
        <x:v>coverage unavailable or execution/compile failed</x:v>
      </x:c>
      <x:c r="N895" s="35" t="str">
        <x:v>Gemini-3.8-flash/Result/Cli_21/result.json</x:v>
      </x:c>
      <x:c r="O895" s="39" t="str">
        <x:f>IF(AND(G895="RECORDED",ISNUMBER(H895)),H895,"")</x:f>
      </x:c>
      <x:c r="P895" s="35" t="str">
        <x:v>NOT_AVAILABLE</x:v>
      </x:c>
      <x:c r="Q895" s="35" t="str">
        <x:v>Gemini-3.8-flash/Result/Cli_21/result.json</x:v>
      </x:c>
    </x:row>
    <x:row r="896">
      <x:c r="A896" s="35" t="str">
        <x:v>gemini</x:v>
      </x:c>
      <x:c r="B896" s="35" t="str">
        <x:v>Cli</x:v>
      </x:c>
      <x:c r="C896" s="35" t="str">
        <x:v>Round1</x:v>
      </x:c>
      <x:c r="D896" s="35" t="str">
        <x:v>Cli_22</x:v>
      </x:c>
      <x:c r="E896" s="35" t="str">
        <x:v>Condition</x:v>
      </x:c>
      <x:c r="F896" s="35" t="n">
        <x:v>38</x:v>
      </x:c>
      <x:c r="G896" s="35" t="str">
        <x:v>RECORDED</x:v>
      </x:c>
      <x:c r="H896" s="39" t="n">
        <x:f>IF(ISNUMBER('Data'!N42),'Data'!N42*100,"")</x:f>
        <x:v>0</x:v>
      </x:c>
      <x:c r="I896" s="35" t="str">
        <x:v>PASS</x:v>
      </x:c>
      <x:c r="J896" s="35" t="str">
        <x:v>PASS</x:v>
      </x:c>
      <x:c r="K896" s="35" t="str">
        <x:v>PASS</x:v>
      </x:c>
      <x:c r="L896" s="35" t="str">
        <x:v>FAIL</x:v>
      </x:c>
      <x:c r="M896" s="35" t="str">
        <x:v>numeric coverage for applicable metric</x:v>
      </x:c>
      <x:c r="N896" s="35" t="str">
        <x:v>Gemini-3.8-flash/Result/Cli_22/result.json</x:v>
      </x:c>
      <x:c r="O896" s="39" t="n">
        <x:f>IF(AND(G896="RECORDED",ISNUMBER(H896)),H896,"")</x:f>
        <x:v>0</x:v>
      </x:c>
      <x:c r="P896" s="35" t="str">
        <x:v>INCONCLUSIVE</x:v>
      </x:c>
      <x:c r="Q896" s="35" t="str">
        <x:v>Gemini-3.8-flash/Result/Cli_22/result.json</x:v>
      </x:c>
    </x:row>
    <x:row r="897">
      <x:c r="A897" s="35" t="str">
        <x:v>gemini</x:v>
      </x:c>
      <x:c r="B897" s="35" t="str">
        <x:v>Cli</x:v>
      </x:c>
      <x:c r="C897" s="35" t="str">
        <x:v>Round1</x:v>
      </x:c>
      <x:c r="D897" s="35" t="str">
        <x:v>Cli_23</x:v>
      </x:c>
      <x:c r="E897" s="35" t="str">
        <x:v>Condition</x:v>
      </x:c>
      <x:c r="F897" s="35" t="n">
        <x:v>108</x:v>
      </x:c>
      <x:c r="G897" s="35" t="str">
        <x:v>RECORDED</x:v>
      </x:c>
      <x:c r="H897" s="39" t="n">
        <x:f>IF(ISNUMBER('Data'!N43),'Data'!N43*100,"")</x:f>
        <x:v>0</x:v>
      </x:c>
      <x:c r="I897" s="35" t="str">
        <x:v>PASS</x:v>
      </x:c>
      <x:c r="J897" s="35" t="str">
        <x:v>PASS</x:v>
      </x:c>
      <x:c r="K897" s="35" t="str">
        <x:v>PASS</x:v>
      </x:c>
      <x:c r="L897" s="35" t="str">
        <x:v>FAIL</x:v>
      </x:c>
      <x:c r="M897" s="35" t="str">
        <x:v>numeric coverage for applicable metric</x:v>
      </x:c>
      <x:c r="N897" s="35" t="str">
        <x:v>Gemini-3.8-flash/Result/Cli_23/result.json</x:v>
      </x:c>
      <x:c r="O897" s="39" t="n">
        <x:f>IF(AND(G897="RECORDED",ISNUMBER(H897)),H897,"")</x:f>
        <x:v>0</x:v>
      </x:c>
      <x:c r="P897" s="35" t="str">
        <x:v>INCONCLUSIVE</x:v>
      </x:c>
      <x:c r="Q897" s="35" t="str">
        <x:v>Gemini-3.8-flash/Result/Cli_23/result.json</x:v>
      </x:c>
    </x:row>
    <x:row r="898">
      <x:c r="A898" s="35" t="str">
        <x:v>gemini</x:v>
      </x:c>
      <x:c r="B898" s="35" t="str">
        <x:v>Cli</x:v>
      </x:c>
      <x:c r="C898" s="35" t="str">
        <x:v>Round1</x:v>
      </x:c>
      <x:c r="D898" s="35" t="str">
        <x:v>Cli_24</x:v>
      </x:c>
      <x:c r="E898" s="35" t="str">
        <x:v>Condition</x:v>
      </x:c>
      <x:c r="F898" s="35" t="n">
        <x:v>112</x:v>
      </x:c>
      <x:c r="G898" s="35" t="str">
        <x:v>RECORDED</x:v>
      </x:c>
      <x:c r="H898" s="39" t="n">
        <x:f>IF(ISNUMBER('Data'!N44),'Data'!N44*100,"")</x:f>
        <x:v>0</x:v>
      </x:c>
      <x:c r="I898" s="35" t="str">
        <x:v>PASS</x:v>
      </x:c>
      <x:c r="J898" s="35" t="str">
        <x:v>PASS</x:v>
      </x:c>
      <x:c r="K898" s="35" t="str">
        <x:v>PASS</x:v>
      </x:c>
      <x:c r="L898" s="35" t="str">
        <x:v>FAIL</x:v>
      </x:c>
      <x:c r="M898" s="35" t="str">
        <x:v>numeric coverage for applicable metric</x:v>
      </x:c>
      <x:c r="N898" s="35" t="str">
        <x:v>Gemini-3.8-flash/Result/Cli_24/result.json</x:v>
      </x:c>
      <x:c r="O898" s="39" t="n">
        <x:f>IF(AND(G898="RECORDED",ISNUMBER(H898)),H898,"")</x:f>
        <x:v>0</x:v>
      </x:c>
      <x:c r="P898" s="35" t="str">
        <x:v>INCONCLUSIVE</x:v>
      </x:c>
      <x:c r="Q898" s="35" t="str">
        <x:v>Gemini-3.8-flash/Result/Cli_24/result.json</x:v>
      </x:c>
    </x:row>
    <x:row r="899">
      <x:c r="A899" s="35" t="str">
        <x:v>gemini</x:v>
      </x:c>
      <x:c r="B899" s="35" t="str">
        <x:v>Cli</x:v>
      </x:c>
      <x:c r="C899" s="35" t="str">
        <x:v>Round1</x:v>
      </x:c>
      <x:c r="D899" s="35" t="str">
        <x:v>Cli_25</x:v>
      </x:c>
      <x:c r="E899" s="35" t="str">
        <x:v>Condition</x:v>
      </x:c>
      <x:c r="F899" s="35" t="n">
        <x:v>112</x:v>
      </x:c>
      <x:c r="G899" s="35" t="str">
        <x:v>RECORDED</x:v>
      </x:c>
      <x:c r="H899" s="39" t="n">
        <x:f>IF(ISNUMBER('Data'!N45),'Data'!N45*100,"")</x:f>
        <x:v>0</x:v>
      </x:c>
      <x:c r="I899" s="35" t="str">
        <x:v>PASS</x:v>
      </x:c>
      <x:c r="J899" s="35" t="str">
        <x:v>PASS</x:v>
      </x:c>
      <x:c r="K899" s="35" t="str">
        <x:v>PASS</x:v>
      </x:c>
      <x:c r="L899" s="35" t="str">
        <x:v>FAIL</x:v>
      </x:c>
      <x:c r="M899" s="35" t="str">
        <x:v>numeric coverage for applicable metric</x:v>
      </x:c>
      <x:c r="N899" s="35" t="str">
        <x:v>Gemini-3.8-flash/Result/Cli_25/result.json</x:v>
      </x:c>
      <x:c r="O899" s="39" t="n">
        <x:f>IF(AND(G899="RECORDED",ISNUMBER(H899)),H899,"")</x:f>
        <x:v>0</x:v>
      </x:c>
      <x:c r="P899" s="35" t="str">
        <x:v>INCONCLUSIVE</x:v>
      </x:c>
      <x:c r="Q899" s="35" t="str">
        <x:v>Gemini-3.8-flash/Result/Cli_25/result.json</x:v>
      </x:c>
    </x:row>
    <x:row r="900">
      <x:c r="A900" s="35" t="str">
        <x:v>gemini</x:v>
      </x:c>
      <x:c r="B900" s="35" t="str">
        <x:v>Cli</x:v>
      </x:c>
      <x:c r="C900" s="35" t="str">
        <x:v>Round1</x:v>
      </x:c>
      <x:c r="D900" s="35" t="str">
        <x:v>Cli_26</x:v>
      </x:c>
      <x:c r="E900" s="35" t="str">
        <x:v>Condition</x:v>
      </x:c>
      <x:c r="F900" s="35" t="n">
        <x:v>4</x:v>
      </x:c>
      <x:c r="G900" s="35" t="str">
        <x:v>RECORDED</x:v>
      </x:c>
      <x:c r="H900" s="39" t="n">
        <x:f>IF(ISNUMBER('Data'!N46),'Data'!N46*100,"")</x:f>
        <x:v>0</x:v>
      </x:c>
      <x:c r="I900" s="35" t="str">
        <x:v>PASS</x:v>
      </x:c>
      <x:c r="J900" s="35" t="str">
        <x:v>PASS</x:v>
      </x:c>
      <x:c r="K900" s="35" t="str">
        <x:v>PASS</x:v>
      </x:c>
      <x:c r="L900" s="35" t="str">
        <x:v>FAIL</x:v>
      </x:c>
      <x:c r="M900" s="35" t="str">
        <x:v>numeric coverage for applicable metric</x:v>
      </x:c>
      <x:c r="N900" s="35" t="str">
        <x:v>Gemini-3.8-flash/Result/Cli_26/result.json</x:v>
      </x:c>
      <x:c r="O900" s="39" t="n">
        <x:f>IF(AND(G900="RECORDED",ISNUMBER(H900)),H900,"")</x:f>
        <x:v>0</x:v>
      </x:c>
      <x:c r="P900" s="35" t="str">
        <x:v>INCONCLUSIVE</x:v>
      </x:c>
      <x:c r="Q900" s="35" t="str">
        <x:v>Gemini-3.8-flash/Result/Cli_26/result.json</x:v>
      </x:c>
    </x:row>
    <x:row r="901">
      <x:c r="A901" s="35" t="str">
        <x:v>gemini</x:v>
      </x:c>
      <x:c r="B901" s="35" t="str">
        <x:v>Cli</x:v>
      </x:c>
      <x:c r="C901" s="35" t="str">
        <x:v>Round1</x:v>
      </x:c>
      <x:c r="D901" s="35" t="str">
        <x:v>Cli_27</x:v>
      </x:c>
      <x:c r="E901" s="35" t="str">
        <x:v>Condition</x:v>
      </x:c>
      <x:c r="F901" s="35" t="n">
        <x:v>12</x:v>
      </x:c>
      <x:c r="G901" s="35" t="str">
        <x:v>RECORDED</x:v>
      </x:c>
      <x:c r="H901" s="39" t="n">
        <x:f>IF(ISNUMBER('Data'!N47),'Data'!N47*100,"")</x:f>
        <x:v>0</x:v>
      </x:c>
      <x:c r="I901" s="35" t="str">
        <x:v>PASS</x:v>
      </x:c>
      <x:c r="J901" s="35" t="str">
        <x:v>PASS</x:v>
      </x:c>
      <x:c r="K901" s="35" t="str">
        <x:v>PASS</x:v>
      </x:c>
      <x:c r="L901" s="35" t="str">
        <x:v>FAIL</x:v>
      </x:c>
      <x:c r="M901" s="35" t="str">
        <x:v>numeric coverage for applicable metric</x:v>
      </x:c>
      <x:c r="N901" s="35" t="str">
        <x:v>Gemini-3.8-flash/Result/Cli_27/result.json</x:v>
      </x:c>
      <x:c r="O901" s="39" t="n">
        <x:f>IF(AND(G901="RECORDED",ISNUMBER(H901)),H901,"")</x:f>
        <x:v>0</x:v>
      </x:c>
      <x:c r="P901" s="35" t="str">
        <x:v>INCONCLUSIVE</x:v>
      </x:c>
      <x:c r="Q901" s="35" t="str">
        <x:v>Gemini-3.8-flash/Result/Cli_27/result.json</x:v>
      </x:c>
    </x:row>
    <x:row r="902">
      <x:c r="A902" s="35" t="str">
        <x:v>gemini</x:v>
      </x:c>
      <x:c r="B902" s="35" t="str">
        <x:v>Cli</x:v>
      </x:c>
      <x:c r="C902" s="35" t="str">
        <x:v>Round1</x:v>
      </x:c>
      <x:c r="D902" s="35" t="str">
        <x:v>Cli_28</x:v>
      </x:c>
      <x:c r="E902" s="35" t="str">
        <x:v>Condition</x:v>
      </x:c>
      <x:c r="F902" s="35" t="n">
        <x:v>68</x:v>
      </x:c>
      <x:c r="G902" s="35" t="str">
        <x:v>RECORDED</x:v>
      </x:c>
      <x:c r="H902" s="39" t="n">
        <x:f>IF(ISNUMBER('Data'!N48),'Data'!N48*100,"")</x:f>
        <x:v>0</x:v>
      </x:c>
      <x:c r="I902" s="35" t="str">
        <x:v>PASS</x:v>
      </x:c>
      <x:c r="J902" s="35" t="str">
        <x:v>PASS</x:v>
      </x:c>
      <x:c r="K902" s="35" t="str">
        <x:v>PASS</x:v>
      </x:c>
      <x:c r="L902" s="35" t="str">
        <x:v>FAIL</x:v>
      </x:c>
      <x:c r="M902" s="35" t="str">
        <x:v>numeric coverage for applicable metric</x:v>
      </x:c>
      <x:c r="N902" s="35" t="str">
        <x:v>Gemini-3.8-flash/Result/Cli_28/result.json</x:v>
      </x:c>
      <x:c r="O902" s="39" t="n">
        <x:f>IF(AND(G902="RECORDED",ISNUMBER(H902)),H902,"")</x:f>
        <x:v>0</x:v>
      </x:c>
      <x:c r="P902" s="35" t="str">
        <x:v>INCONCLUSIVE</x:v>
      </x:c>
      <x:c r="Q902" s="35" t="str">
        <x:v>Gemini-3.8-flash/Result/Cli_28/result.json</x:v>
      </x:c>
    </x:row>
    <x:row r="903">
      <x:c r="A903" s="35" t="str">
        <x:v>gemini</x:v>
      </x:c>
      <x:c r="B903" s="35" t="str">
        <x:v>Cli</x:v>
      </x:c>
      <x:c r="C903" s="35" t="str">
        <x:v>Round1</x:v>
      </x:c>
      <x:c r="D903" s="35" t="str">
        <x:v>Cli_29</x:v>
      </x:c>
      <x:c r="E903" s="35" t="str">
        <x:v>Condition</x:v>
      </x:c>
      <x:c r="F903" s="35" t="n">
        <x:v>10</x:v>
      </x:c>
      <x:c r="G903" s="35" t="str">
        <x:v>RECORDED</x:v>
      </x:c>
      <x:c r="H903" s="39" t="n">
        <x:f>IF(ISNUMBER('Data'!N49),'Data'!N49*100,"")</x:f>
        <x:v>0</x:v>
      </x:c>
      <x:c r="I903" s="35" t="str">
        <x:v>PASS</x:v>
      </x:c>
      <x:c r="J903" s="35" t="str">
        <x:v>PASS</x:v>
      </x:c>
      <x:c r="K903" s="35" t="str">
        <x:v>PASS</x:v>
      </x:c>
      <x:c r="L903" s="35" t="str">
        <x:v>FAIL</x:v>
      </x:c>
      <x:c r="M903" s="35" t="str">
        <x:v>numeric coverage for applicable metric</x:v>
      </x:c>
      <x:c r="N903" s="35" t="str">
        <x:v>Gemini-3.8-flash/Result/Cli_29/result.json</x:v>
      </x:c>
      <x:c r="O903" s="39" t="n">
        <x:f>IF(AND(G903="RECORDED",ISNUMBER(H903)),H903,"")</x:f>
        <x:v>0</x:v>
      </x:c>
      <x:c r="P903" s="35" t="str">
        <x:v>INCONCLUSIVE</x:v>
      </x:c>
      <x:c r="Q903" s="35" t="str">
        <x:v>Gemini-3.8-flash/Result/Cli_29/result.json</x:v>
      </x:c>
    </x:row>
    <x:row r="904">
      <x:c r="A904" s="35" t="str">
        <x:v>gemini</x:v>
      </x:c>
      <x:c r="B904" s="35" t="str">
        <x:v>Cli</x:v>
      </x:c>
      <x:c r="C904" s="35" t="str">
        <x:v>Round1</x:v>
      </x:c>
      <x:c r="D904" s="35" t="str">
        <x:v>Cli_3</x:v>
      </x:c>
      <x:c r="E904" s="35" t="str">
        <x:v>Condition</x:v>
      </x:c>
      <x:c r="F904" s="35" t="n">
        <x:v>20</x:v>
      </x:c>
      <x:c r="G904" s="35" t="str">
        <x:v>RECORDED</x:v>
      </x:c>
      <x:c r="H904" s="39" t="n">
        <x:f>IF(ISNUMBER('Data'!N50),'Data'!N50*100,"")</x:f>
        <x:v>0</x:v>
      </x:c>
      <x:c r="I904" s="35" t="str">
        <x:v>PASS</x:v>
      </x:c>
      <x:c r="J904" s="35" t="str">
        <x:v>PASS</x:v>
      </x:c>
      <x:c r="K904" s="35" t="str">
        <x:v>PASS</x:v>
      </x:c>
      <x:c r="L904" s="35" t="str">
        <x:v>FAIL</x:v>
      </x:c>
      <x:c r="M904" s="35" t="str">
        <x:v>numeric coverage for applicable metric</x:v>
      </x:c>
      <x:c r="N904" s="35" t="str">
        <x:v>Gemini-3.8-flash/Result/Cli_3/result.json</x:v>
      </x:c>
      <x:c r="O904" s="39" t="n">
        <x:f>IF(AND(G904="RECORDED",ISNUMBER(H904)),H904,"")</x:f>
        <x:v>0</x:v>
      </x:c>
      <x:c r="P904" s="35" t="str">
        <x:v>INCONCLUSIVE</x:v>
      </x:c>
      <x:c r="Q904" s="35" t="str">
        <x:v>Gemini-3.8-flash/Result/Cli_3/result.json</x:v>
      </x:c>
    </x:row>
    <x:row r="905">
      <x:c r="A905" s="35" t="str">
        <x:v>gemini</x:v>
      </x:c>
      <x:c r="B905" s="35" t="str">
        <x:v>Cli</x:v>
      </x:c>
      <x:c r="C905" s="35" t="str">
        <x:v>Round1</x:v>
      </x:c>
      <x:c r="D905" s="35" t="str">
        <x:v>Cli_30</x:v>
      </x:c>
      <x:c r="E905" s="35" t="str">
        <x:v>Condition</x:v>
      </x:c>
      <x:c r="F905" s="35" t="n">
        <x:v>218</x:v>
      </x:c>
      <x:c r="G905" s="35" t="str">
        <x:v>RECORDED</x:v>
      </x:c>
      <x:c r="H905" s="39" t="n">
        <x:f>IF(ISNUMBER('Data'!N51),'Data'!N51*100,"")</x:f>
        <x:v>0</x:v>
      </x:c>
      <x:c r="I905" s="35" t="str">
        <x:v>PASS</x:v>
      </x:c>
      <x:c r="J905" s="35" t="str">
        <x:v>PASS</x:v>
      </x:c>
      <x:c r="K905" s="35" t="str">
        <x:v>PASS</x:v>
      </x:c>
      <x:c r="L905" s="35" t="str">
        <x:v>FAIL</x:v>
      </x:c>
      <x:c r="M905" s="35" t="str">
        <x:v>numeric coverage for applicable metric</x:v>
      </x:c>
      <x:c r="N905" s="35" t="str">
        <x:v>Gemini-3.8-flash/Result/Cli_30/result.json</x:v>
      </x:c>
      <x:c r="O905" s="39" t="n">
        <x:f>IF(AND(G905="RECORDED",ISNUMBER(H905)),H905,"")</x:f>
        <x:v>0</x:v>
      </x:c>
      <x:c r="P905" s="35" t="str">
        <x:v>INCONCLUSIVE</x:v>
      </x:c>
      <x:c r="Q905" s="35" t="str">
        <x:v>Gemini-3.8-flash/Result/Cli_30/result.json</x:v>
      </x:c>
    </x:row>
    <x:row r="906">
      <x:c r="A906" s="35" t="str">
        <x:v>gemini</x:v>
      </x:c>
      <x:c r="B906" s="35" t="str">
        <x:v>Cli</x:v>
      </x:c>
      <x:c r="C906" s="35" t="str">
        <x:v>Round1</x:v>
      </x:c>
      <x:c r="D906" s="35" t="str">
        <x:v>Cli_31</x:v>
      </x:c>
      <x:c r="E906" s="35" t="str">
        <x:v>Condition</x:v>
      </x:c>
      <x:c r="F906" s="35" t="n">
        <x:v>208</x:v>
      </x:c>
      <x:c r="G906" s="35" t="str">
        <x:v>RECORDED</x:v>
      </x:c>
      <x:c r="H906" s="39" t="n">
        <x:f>IF(ISNUMBER('Data'!N52),'Data'!N52*100,"")</x:f>
        <x:v>0</x:v>
      </x:c>
      <x:c r="I906" s="35" t="str">
        <x:v>PASS</x:v>
      </x:c>
      <x:c r="J906" s="35" t="str">
        <x:v>PASS</x:v>
      </x:c>
      <x:c r="K906" s="35" t="str">
        <x:v>PASS</x:v>
      </x:c>
      <x:c r="L906" s="35" t="str">
        <x:v>FAIL</x:v>
      </x:c>
      <x:c r="M906" s="35" t="str">
        <x:v>numeric coverage for applicable metric</x:v>
      </x:c>
      <x:c r="N906" s="35" t="str">
        <x:v>Gemini-3.8-flash/Result/Cli_31/result.json</x:v>
      </x:c>
      <x:c r="O906" s="39" t="n">
        <x:f>IF(AND(G906="RECORDED",ISNUMBER(H906)),H906,"")</x:f>
        <x:v>0</x:v>
      </x:c>
      <x:c r="P906" s="35" t="str">
        <x:v>INCONCLUSIVE</x:v>
      </x:c>
      <x:c r="Q906" s="35" t="str">
        <x:v>Gemini-3.8-flash/Result/Cli_31/result.json</x:v>
      </x:c>
    </x:row>
    <x:row r="907">
      <x:c r="A907" s="35" t="str">
        <x:v>gemini</x:v>
      </x:c>
      <x:c r="B907" s="35" t="str">
        <x:v>Cli</x:v>
      </x:c>
      <x:c r="C907" s="35" t="str">
        <x:v>Round1</x:v>
      </x:c>
      <x:c r="D907" s="35" t="str">
        <x:v>Cli_32</x:v>
      </x:c>
      <x:c r="E907" s="35" t="str">
        <x:v>Condition</x:v>
      </x:c>
      <x:c r="F907" s="35" t="n">
        <x:v>122</x:v>
      </x:c>
      <x:c r="G907" s="35" t="str">
        <x:v>RECORDED</x:v>
      </x:c>
      <x:c r="H907" s="39" t="n">
        <x:f>IF(ISNUMBER('Data'!N53),'Data'!N53*100,"")</x:f>
        <x:v>0</x:v>
      </x:c>
      <x:c r="I907" s="35" t="str">
        <x:v>PASS</x:v>
      </x:c>
      <x:c r="J907" s="35" t="str">
        <x:v>PASS</x:v>
      </x:c>
      <x:c r="K907" s="35" t="str">
        <x:v>PASS</x:v>
      </x:c>
      <x:c r="L907" s="35" t="str">
        <x:v>FAIL</x:v>
      </x:c>
      <x:c r="M907" s="35" t="str">
        <x:v>numeric coverage for applicable metric</x:v>
      </x:c>
      <x:c r="N907" s="35" t="str">
        <x:v>Gemini-3.8-flash/Result/Cli_32/result.json</x:v>
      </x:c>
      <x:c r="O907" s="39" t="n">
        <x:f>IF(AND(G907="RECORDED",ISNUMBER(H907)),H907,"")</x:f>
        <x:v>0</x:v>
      </x:c>
      <x:c r="P907" s="35" t="str">
        <x:v>INCONCLUSIVE</x:v>
      </x:c>
      <x:c r="Q907" s="35" t="str">
        <x:v>Gemini-3.8-flash/Result/Cli_32/result.json</x:v>
      </x:c>
    </x:row>
    <x:row r="908">
      <x:c r="A908" s="35" t="str">
        <x:v>gemini</x:v>
      </x:c>
      <x:c r="B908" s="35" t="str">
        <x:v>Cli</x:v>
      </x:c>
      <x:c r="C908" s="35" t="str">
        <x:v>Round1</x:v>
      </x:c>
      <x:c r="D908" s="35" t="str">
        <x:v>Cli_33</x:v>
      </x:c>
      <x:c r="E908" s="35" t="str">
        <x:v>Condition</x:v>
      </x:c>
      <x:c r="F908" s="35" t="n">
        <x:v>114</x:v>
      </x:c>
      <x:c r="G908" s="35" t="str">
        <x:v>RECORDED</x:v>
      </x:c>
      <x:c r="H908" s="39" t="n">
        <x:f>IF(ISNUMBER('Data'!N54),'Data'!N54*100,"")</x:f>
        <x:v>0</x:v>
      </x:c>
      <x:c r="I908" s="35" t="str">
        <x:v>PASS</x:v>
      </x:c>
      <x:c r="J908" s="35" t="str">
        <x:v>PASS</x:v>
      </x:c>
      <x:c r="K908" s="35" t="str">
        <x:v>PASS</x:v>
      </x:c>
      <x:c r="L908" s="35" t="str">
        <x:v>FAIL</x:v>
      </x:c>
      <x:c r="M908" s="35" t="str">
        <x:v>numeric coverage for applicable metric</x:v>
      </x:c>
      <x:c r="N908" s="35" t="str">
        <x:v>Gemini-3.8-flash/Result/Cli_33/result.json</x:v>
      </x:c>
      <x:c r="O908" s="39" t="n">
        <x:f>IF(AND(G908="RECORDED",ISNUMBER(H908)),H908,"")</x:f>
        <x:v>0</x:v>
      </x:c>
      <x:c r="P908" s="35" t="str">
        <x:v>INCONCLUSIVE</x:v>
      </x:c>
      <x:c r="Q908" s="35" t="str">
        <x:v>Gemini-3.8-flash/Result/Cli_33/result.json</x:v>
      </x:c>
    </x:row>
    <x:row r="909">
      <x:c r="A909" s="35" t="str">
        <x:v>gemini</x:v>
      </x:c>
      <x:c r="B909" s="35" t="str">
        <x:v>Cli</x:v>
      </x:c>
      <x:c r="C909" s="35" t="str">
        <x:v>Round1</x:v>
      </x:c>
      <x:c r="D909" s="35" t="str">
        <x:v>Cli_34</x:v>
      </x:c>
      <x:c r="E909" s="35" t="str">
        <x:v>Condition</x:v>
      </x:c>
      <x:c r="F909" s="35" t="n">
        <x:v>88</x:v>
      </x:c>
      <x:c r="G909" s="35" t="str">
        <x:v>RECORDED</x:v>
      </x:c>
      <x:c r="H909" s="39" t="n">
        <x:f>IF(ISNUMBER('Data'!N55),'Data'!N55*100,"")</x:f>
        <x:v>0</x:v>
      </x:c>
      <x:c r="I909" s="35" t="str">
        <x:v>PASS</x:v>
      </x:c>
      <x:c r="J909" s="35" t="str">
        <x:v>PASS</x:v>
      </x:c>
      <x:c r="K909" s="35" t="str">
        <x:v>PASS</x:v>
      </x:c>
      <x:c r="L909" s="35" t="str">
        <x:v>FAIL</x:v>
      </x:c>
      <x:c r="M909" s="35" t="str">
        <x:v>numeric coverage for applicable metric</x:v>
      </x:c>
      <x:c r="N909" s="35" t="str">
        <x:v>Gemini-3.8-flash/Result/Cli_34/result.json</x:v>
      </x:c>
      <x:c r="O909" s="39" t="n">
        <x:f>IF(AND(G909="RECORDED",ISNUMBER(H909)),H909,"")</x:f>
        <x:v>0</x:v>
      </x:c>
      <x:c r="P909" s="35" t="str">
        <x:v>INCONCLUSIVE</x:v>
      </x:c>
      <x:c r="Q909" s="35" t="str">
        <x:v>Gemini-3.8-flash/Result/Cli_34/result.json</x:v>
      </x:c>
    </x:row>
    <x:row r="910">
      <x:c r="A910" s="35" t="str">
        <x:v>gemini</x:v>
      </x:c>
      <x:c r="B910" s="35" t="str">
        <x:v>Cli</x:v>
      </x:c>
      <x:c r="C910" s="35" t="str">
        <x:v>Round1</x:v>
      </x:c>
      <x:c r="D910" s="35" t="str">
        <x:v>Cli_35</x:v>
      </x:c>
      <x:c r="E910" s="35" t="str">
        <x:v>Condition</x:v>
      </x:c>
      <x:c r="F910" s="35" t="n">
        <x:v>20</x:v>
      </x:c>
      <x:c r="G910" s="35" t="str">
        <x:v>RECORDED</x:v>
      </x:c>
      <x:c r="H910" s="39" t="n">
        <x:f>IF(ISNUMBER('Data'!N56),'Data'!N56*100,"")</x:f>
        <x:v>100</x:v>
      </x:c>
      <x:c r="I910" s="35" t="str">
        <x:v>PASS</x:v>
      </x:c>
      <x:c r="J910" s="35" t="str">
        <x:v>PASS</x:v>
      </x:c>
      <x:c r="K910" s="35" t="str">
        <x:v>PASS</x:v>
      </x:c>
      <x:c r="L910" s="35" t="str">
        <x:v>FAIL</x:v>
      </x:c>
      <x:c r="M910" s="35" t="str">
        <x:v>numeric coverage for applicable metric</x:v>
      </x:c>
      <x:c r="N910" s="35" t="str">
        <x:v>Gemini-3.8-flash/Result/Cli_35/result.json</x:v>
      </x:c>
      <x:c r="O910" s="39" t="n">
        <x:f>IF(AND(G910="RECORDED",ISNUMBER(H910)),H910,"")</x:f>
        <x:v>100</x:v>
      </x:c>
      <x:c r="P910" s="35" t="str">
        <x:v>INCONCLUSIVE</x:v>
      </x:c>
      <x:c r="Q910" s="35" t="str">
        <x:v>Gemini-3.8-flash/Result/Cli_35/result.json</x:v>
      </x:c>
    </x:row>
    <x:row r="911">
      <x:c r="A911" s="35" t="str">
        <x:v>gemini</x:v>
      </x:c>
      <x:c r="B911" s="35" t="str">
        <x:v>Cli</x:v>
      </x:c>
      <x:c r="C911" s="35" t="str">
        <x:v>Round1</x:v>
      </x:c>
      <x:c r="D911" s="35" t="str">
        <x:v>Cli_36</x:v>
      </x:c>
      <x:c r="E911" s="35" t="str">
        <x:v>Condition</x:v>
      </x:c>
      <x:c r="F911" s="35" t="n">
        <x:v>36</x:v>
      </x:c>
      <x:c r="G911" s="35" t="str">
        <x:v>RECORDED</x:v>
      </x:c>
      <x:c r="H911" s="39" t="n">
        <x:f>IF(ISNUMBER('Data'!N57),'Data'!N57*100,"")</x:f>
        <x:v>100</x:v>
      </x:c>
      <x:c r="I911" s="35" t="str">
        <x:v>PASS</x:v>
      </x:c>
      <x:c r="J911" s="35" t="str">
        <x:v>PASS</x:v>
      </x:c>
      <x:c r="K911" s="35" t="str">
        <x:v>PASS</x:v>
      </x:c>
      <x:c r="L911" s="35" t="str">
        <x:v>PASS</x:v>
      </x:c>
      <x:c r="M911" s="35" t="str">
        <x:v>numeric coverage for applicable metric</x:v>
      </x:c>
      <x:c r="N911" s="35" t="str">
        <x:v>Gemini-3.8-flash/Result/Cli_36/result.json</x:v>
      </x:c>
      <x:c r="O911" s="39" t="n">
        <x:f>IF(AND(G911="RECORDED",ISNUMBER(H911)),H911,"")</x:f>
        <x:v>100</x:v>
      </x:c>
      <x:c r="P911" s="35" t="str">
        <x:v>NOT_REVEALING</x:v>
      </x:c>
      <x:c r="Q911" s="35" t="str">
        <x:v>Gemini-3.8-flash/Result/Cli_36/result.json</x:v>
      </x:c>
    </x:row>
    <x:row r="912">
      <x:c r="A912" s="35" t="str">
        <x:v>gemini</x:v>
      </x:c>
      <x:c r="B912" s="35" t="str">
        <x:v>Cli</x:v>
      </x:c>
      <x:c r="C912" s="35" t="str">
        <x:v>Round1</x:v>
      </x:c>
      <x:c r="D912" s="35" t="str">
        <x:v>Cli_37</x:v>
      </x:c>
      <x:c r="E912" s="35" t="str">
        <x:v>Condition</x:v>
      </x:c>
      <x:c r="F912" s="35" t="n">
        <x:v>158</x:v>
      </x:c>
      <x:c r="G912" s="35" t="str">
        <x:v>RECORDED</x:v>
      </x:c>
      <x:c r="H912" s="39" t="n">
        <x:f>IF(ISNUMBER('Data'!N58),'Data'!N58*100,"")</x:f>
        <x:v>84.18</x:v>
      </x:c>
      <x:c r="I912" s="35" t="str">
        <x:v>PASS</x:v>
      </x:c>
      <x:c r="J912" s="35" t="str">
        <x:v>PASS</x:v>
      </x:c>
      <x:c r="K912" s="35" t="str">
        <x:v>PASS</x:v>
      </x:c>
      <x:c r="L912" s="35" t="str">
        <x:v>PASS</x:v>
      </x:c>
      <x:c r="M912" s="35" t="str">
        <x:v>numeric coverage for applicable metric</x:v>
      </x:c>
      <x:c r="N912" s="35" t="str">
        <x:v>Gemini-3.8-flash/Result/Cli_37/result.json</x:v>
      </x:c>
      <x:c r="O912" s="39" t="n">
        <x:f>IF(AND(G912="RECORDED",ISNUMBER(H912)),H912,"")</x:f>
        <x:v>84.18</x:v>
      </x:c>
      <x:c r="P912" s="35" t="str">
        <x:v>NOT_REVEALING</x:v>
      </x:c>
      <x:c r="Q912" s="35" t="str">
        <x:v>Gemini-3.8-flash/Result/Cli_37/result.json</x:v>
      </x:c>
    </x:row>
    <x:row r="913">
      <x:c r="A913" s="35" t="str">
        <x:v>gemini</x:v>
      </x:c>
      <x:c r="B913" s="35" t="str">
        <x:v>Cli</x:v>
      </x:c>
      <x:c r="C913" s="35" t="str">
        <x:v>Round1</x:v>
      </x:c>
      <x:c r="D913" s="35" t="str">
        <x:v>Cli_38</x:v>
      </x:c>
      <x:c r="E913" s="35" t="str">
        <x:v>Condition</x:v>
      </x:c>
      <x:c r="F913" s="35" t="n">
        <x:v>158</x:v>
      </x:c>
      <x:c r="G913" s="35" t="str">
        <x:v>RECORDED</x:v>
      </x:c>
      <x:c r="H913" s="39" t="n">
        <x:f>IF(ISNUMBER('Data'!N59),'Data'!N59*100,"")</x:f>
        <x:v>83.54</x:v>
      </x:c>
      <x:c r="I913" s="35" t="str">
        <x:v>PASS</x:v>
      </x:c>
      <x:c r="J913" s="35" t="str">
        <x:v>PASS</x:v>
      </x:c>
      <x:c r="K913" s="35" t="str">
        <x:v>PASS</x:v>
      </x:c>
      <x:c r="L913" s="35" t="str">
        <x:v>FAIL</x:v>
      </x:c>
      <x:c r="M913" s="35" t="str">
        <x:v>numeric coverage for applicable metric</x:v>
      </x:c>
      <x:c r="N913" s="35" t="str">
        <x:v>Gemini-3.8-flash/Result/Cli_38/result.json</x:v>
      </x:c>
      <x:c r="O913" s="39" t="n">
        <x:f>IF(AND(G913="RECORDED",ISNUMBER(H913)),H913,"")</x:f>
        <x:v>83.54</x:v>
      </x:c>
      <x:c r="P913" s="35" t="str">
        <x:v>INCONCLUSIVE</x:v>
      </x:c>
      <x:c r="Q913" s="35" t="str">
        <x:v>Gemini-3.8-flash/Result/Cli_38/result.json</x:v>
      </x:c>
    </x:row>
    <x:row r="914">
      <x:c r="A914" s="35" t="str">
        <x:v>gemini</x:v>
      </x:c>
      <x:c r="B914" s="35" t="str">
        <x:v>Cli</x:v>
      </x:c>
      <x:c r="C914" s="35" t="str">
        <x:v>Round1</x:v>
      </x:c>
      <x:c r="D914" s="35" t="str">
        <x:v>Cli_39</x:v>
      </x:c>
      <x:c r="E914" s="35" t="str">
        <x:v>Condition</x:v>
      </x:c>
      <x:c r="F914" s="35" t="n">
        <x:v>20</x:v>
      </x:c>
      <x:c r="G914" s="35" t="str">
        <x:v>RECORDED</x:v>
      </x:c>
      <x:c r="H914" s="39" t="n">
        <x:f>IF(ISNUMBER('Data'!N60),'Data'!N60*100,"")</x:f>
        <x:v>100</x:v>
      </x:c>
      <x:c r="I914" s="35" t="str">
        <x:v>PASS</x:v>
      </x:c>
      <x:c r="J914" s="35" t="str">
        <x:v>PASS</x:v>
      </x:c>
      <x:c r="K914" s="35" t="str">
        <x:v>PASS</x:v>
      </x:c>
      <x:c r="L914" s="35" t="str">
        <x:v>PASS</x:v>
      </x:c>
      <x:c r="M914" s="35" t="str">
        <x:v>numeric coverage for applicable metric</x:v>
      </x:c>
      <x:c r="N914" s="35" t="str">
        <x:v>Gemini-3.8-flash/Result/Cli_39/result.json</x:v>
      </x:c>
      <x:c r="O914" s="39" t="n">
        <x:f>IF(AND(G914="RECORDED",ISNUMBER(H914)),H914,"")</x:f>
        <x:v>100</x:v>
      </x:c>
      <x:c r="P914" s="35" t="str">
        <x:v>INCONCLUSIVE</x:v>
      </x:c>
      <x:c r="Q914" s="35" t="str">
        <x:v>Gemini-3.8-flash/Result/Cli_39/result.json</x:v>
      </x:c>
    </x:row>
    <x:row r="915">
      <x:c r="A915" s="35" t="str">
        <x:v>gemini</x:v>
      </x:c>
      <x:c r="B915" s="35" t="str">
        <x:v>Cli</x:v>
      </x:c>
      <x:c r="C915" s="35" t="str">
        <x:v>Round1</x:v>
      </x:c>
      <x:c r="D915" s="35" t="str">
        <x:v>Cli_4</x:v>
      </x:c>
      <x:c r="E915" s="35" t="str">
        <x:v>Condition</x:v>
      </x:c>
      <x:c r="F915" s="35" t="n">
        <x:v>68</x:v>
      </x:c>
      <x:c r="G915" s="35" t="str">
        <x:v>RECORDED</x:v>
      </x:c>
      <x:c r="H915" s="39" t="n">
        <x:f>IF(ISNUMBER('Data'!N61),'Data'!N61*100,"")</x:f>
        <x:v>0</x:v>
      </x:c>
      <x:c r="I915" s="35" t="str">
        <x:v>PASS</x:v>
      </x:c>
      <x:c r="J915" s="35" t="str">
        <x:v>PASS</x:v>
      </x:c>
      <x:c r="K915" s="35" t="str">
        <x:v>PASS</x:v>
      </x:c>
      <x:c r="L915" s="35" t="str">
        <x:v>FAIL</x:v>
      </x:c>
      <x:c r="M915" s="35" t="str">
        <x:v>numeric coverage for applicable metric</x:v>
      </x:c>
      <x:c r="N915" s="35" t="str">
        <x:v>Gemini-3.8-flash/Result/Cli_4/result.json</x:v>
      </x:c>
      <x:c r="O915" s="39" t="n">
        <x:f>IF(AND(G915="RECORDED",ISNUMBER(H915)),H915,"")</x:f>
        <x:v>0</x:v>
      </x:c>
      <x:c r="P915" s="35" t="str">
        <x:v>INCONCLUSIVE</x:v>
      </x:c>
      <x:c r="Q915" s="35" t="str">
        <x:v>Gemini-3.8-flash/Result/Cli_4/result.json</x:v>
      </x:c>
    </x:row>
    <x:row r="916">
      <x:c r="A916" s="35" t="str">
        <x:v>gemini</x:v>
      </x:c>
      <x:c r="B916" s="35" t="str">
        <x:v>Cli</x:v>
      </x:c>
      <x:c r="C916" s="35" t="str">
        <x:v>Round1</x:v>
      </x:c>
      <x:c r="D916" s="35" t="str">
        <x:v>Cli_40</x:v>
      </x:c>
      <x:c r="E916" s="35" t="str">
        <x:v>Condition</x:v>
      </x:c>
      <x:c r="F916" s="35"/>
      <x:c r="G916" s="35" t="str">
        <x:v>A</x:v>
      </x:c>
      <x:c r="H916" s="39" t="str">
        <x:f>IF(ISNUMBER('Data'!N62),'Data'!N62*100,"")</x:f>
      </x:c>
      <x:c r="I916" s="35"/>
      <x:c r="J916" s="35" t="str">
        <x:v>PASS</x:v>
      </x:c>
      <x:c r="K916" s="35" t="str">
        <x:v>FAIL</x:v>
      </x:c>
      <x:c r="L916" s="35" t="str">
        <x:v>NOT_RUN</x:v>
      </x:c>
      <x:c r="M916" s="35" t="str">
        <x:v>coverage unavailable or execution/compile failed</x:v>
      </x:c>
      <x:c r="N916" s="35" t="str">
        <x:v>Gemini-3.8-flash/Result/Cli_40/result.json</x:v>
      </x:c>
      <x:c r="O916" s="39" t="str">
        <x:f>IF(AND(G916="RECORDED",ISNUMBER(H916)),H916,"")</x:f>
      </x:c>
      <x:c r="P916" s="35" t="str">
        <x:v>NOT_AVAILABLE</x:v>
      </x:c>
      <x:c r="Q916" s="35" t="str">
        <x:v>Gemini-3.8-flash/Result/Cli_40/result.json</x:v>
      </x:c>
    </x:row>
    <x:row r="917">
      <x:c r="A917" s="35" t="str">
        <x:v>gemini</x:v>
      </x:c>
      <x:c r="B917" s="35" t="str">
        <x:v>Cli</x:v>
      </x:c>
      <x:c r="C917" s="35" t="str">
        <x:v>Round1</x:v>
      </x:c>
      <x:c r="D917" s="35" t="str">
        <x:v>Cli_5</x:v>
      </x:c>
      <x:c r="E917" s="35" t="str">
        <x:v>Condition</x:v>
      </x:c>
      <x:c r="F917" s="35" t="n">
        <x:v>8</x:v>
      </x:c>
      <x:c r="G917" s="35" t="str">
        <x:v>RECORDED</x:v>
      </x:c>
      <x:c r="H917" s="39" t="n">
        <x:f>IF(ISNUMBER('Data'!N63),'Data'!N63*100,"")</x:f>
        <x:v>0</x:v>
      </x:c>
      <x:c r="I917" s="35" t="str">
        <x:v>PASS</x:v>
      </x:c>
      <x:c r="J917" s="35" t="str">
        <x:v>PASS</x:v>
      </x:c>
      <x:c r="K917" s="35" t="str">
        <x:v>PASS</x:v>
      </x:c>
      <x:c r="L917" s="35" t="str">
        <x:v>FAIL</x:v>
      </x:c>
      <x:c r="M917" s="35" t="str">
        <x:v>numeric coverage for applicable metric</x:v>
      </x:c>
      <x:c r="N917" s="35" t="str">
        <x:v>Gemini-3.8-flash/Result/Cli_5/result.json</x:v>
      </x:c>
      <x:c r="O917" s="39" t="n">
        <x:f>IF(AND(G917="RECORDED",ISNUMBER(H917)),H917,"")</x:f>
        <x:v>0</x:v>
      </x:c>
      <x:c r="P917" s="35" t="str">
        <x:v>INCONCLUSIVE</x:v>
      </x:c>
      <x:c r="Q917" s="35" t="str">
        <x:v>Gemini-3.8-flash/Result/Cli_5/result.json</x:v>
      </x:c>
    </x:row>
    <x:row r="918">
      <x:c r="A918" s="35" t="str">
        <x:v>gemini</x:v>
      </x:c>
      <x:c r="B918" s="35" t="str">
        <x:v>Cli</x:v>
      </x:c>
      <x:c r="C918" s="35" t="str">
        <x:v>Round1</x:v>
      </x:c>
      <x:c r="D918" s="35" t="str">
        <x:v>Cli_7</x:v>
      </x:c>
      <x:c r="E918" s="35" t="str">
        <x:v>Condition</x:v>
      </x:c>
      <x:c r="F918" s="35" t="n">
        <x:v>27</x:v>
      </x:c>
      <x:c r="G918" s="35" t="str">
        <x:v>RECORDED</x:v>
      </x:c>
      <x:c r="H918" s="39" t="n">
        <x:f>IF(ISNUMBER('Data'!N64),'Data'!N64*100,"")</x:f>
        <x:v>0</x:v>
      </x:c>
      <x:c r="I918" s="35" t="str">
        <x:v>PASS</x:v>
      </x:c>
      <x:c r="J918" s="35" t="str">
        <x:v>PASS</x:v>
      </x:c>
      <x:c r="K918" s="35" t="str">
        <x:v>PASS</x:v>
      </x:c>
      <x:c r="L918" s="35" t="str">
        <x:v>FAIL</x:v>
      </x:c>
      <x:c r="M918" s="35" t="str">
        <x:v>numeric coverage for applicable metric</x:v>
      </x:c>
      <x:c r="N918" s="35" t="str">
        <x:v>Gemini-3.8-flash/Result/Cli_7/result.json</x:v>
      </x:c>
      <x:c r="O918" s="39" t="n">
        <x:f>IF(AND(G918="RECORDED",ISNUMBER(H918)),H918,"")</x:f>
        <x:v>0</x:v>
      </x:c>
      <x:c r="P918" s="35" t="str">
        <x:v>INCONCLUSIVE</x:v>
      </x:c>
      <x:c r="Q918" s="35" t="str">
        <x:v>Gemini-3.8-flash/Result/Cli_7/result.json</x:v>
      </x:c>
    </x:row>
    <x:row r="919">
      <x:c r="A919" s="35" t="str">
        <x:v>gemini</x:v>
      </x:c>
      <x:c r="B919" s="35" t="str">
        <x:v>Cli</x:v>
      </x:c>
      <x:c r="C919" s="35" t="str">
        <x:v>Round1</x:v>
      </x:c>
      <x:c r="D919" s="35" t="str">
        <x:v>Cli_8</x:v>
      </x:c>
      <x:c r="E919" s="35" t="str">
        <x:v>Condition</x:v>
      </x:c>
      <x:c r="F919" s="35" t="n">
        <x:v>104</x:v>
      </x:c>
      <x:c r="G919" s="35" t="str">
        <x:v>RECORDED</x:v>
      </x:c>
      <x:c r="H919" s="39" t="n">
        <x:f>IF(ISNUMBER('Data'!N65),'Data'!N65*100,"")</x:f>
        <x:v>0</x:v>
      </x:c>
      <x:c r="I919" s="35" t="str">
        <x:v>PASS</x:v>
      </x:c>
      <x:c r="J919" s="35" t="str">
        <x:v>PASS</x:v>
      </x:c>
      <x:c r="K919" s="35" t="str">
        <x:v>PASS</x:v>
      </x:c>
      <x:c r="L919" s="35" t="str">
        <x:v>FAIL</x:v>
      </x:c>
      <x:c r="M919" s="35" t="str">
        <x:v>numeric coverage for applicable metric</x:v>
      </x:c>
      <x:c r="N919" s="35" t="str">
        <x:v>Gemini-3.8-flash/Result/Cli_8/result.json</x:v>
      </x:c>
      <x:c r="O919" s="39" t="n">
        <x:f>IF(AND(G919="RECORDED",ISNUMBER(H919)),H919,"")</x:f>
        <x:v>0</x:v>
      </x:c>
      <x:c r="P919" s="35" t="str">
        <x:v>INCONCLUSIVE</x:v>
      </x:c>
      <x:c r="Q919" s="35" t="str">
        <x:v>Gemini-3.8-flash/Result/Cli_8/result.json</x:v>
      </x:c>
    </x:row>
    <x:row r="920">
      <x:c r="A920" s="35" t="str">
        <x:v>gemini</x:v>
      </x:c>
      <x:c r="B920" s="35" t="str">
        <x:v>Cli</x:v>
      </x:c>
      <x:c r="C920" s="35" t="str">
        <x:v>Round1</x:v>
      </x:c>
      <x:c r="D920" s="35" t="str">
        <x:v>Cli_9</x:v>
      </x:c>
      <x:c r="E920" s="35" t="str">
        <x:v>Condition</x:v>
      </x:c>
      <x:c r="F920" s="35" t="n">
        <x:v>70</x:v>
      </x:c>
      <x:c r="G920" s="35" t="str">
        <x:v>RECORDED</x:v>
      </x:c>
      <x:c r="H920" s="39" t="n">
        <x:f>IF(ISNUMBER('Data'!N66),'Data'!N66*100,"")</x:f>
        <x:v>0</x:v>
      </x:c>
      <x:c r="I920" s="35" t="str">
        <x:v>PASS</x:v>
      </x:c>
      <x:c r="J920" s="35" t="str">
        <x:v>PASS</x:v>
      </x:c>
      <x:c r="K920" s="35" t="str">
        <x:v>PASS</x:v>
      </x:c>
      <x:c r="L920" s="35" t="str">
        <x:v>FAIL</x:v>
      </x:c>
      <x:c r="M920" s="35" t="str">
        <x:v>numeric coverage for applicable metric</x:v>
      </x:c>
      <x:c r="N920" s="35" t="str">
        <x:v>Gemini-3.8-flash/Result/Cli_9/result.json</x:v>
      </x:c>
      <x:c r="O920" s="39" t="n">
        <x:f>IF(AND(G920="RECORDED",ISNUMBER(H920)),H920,"")</x:f>
        <x:v>0</x:v>
      </x:c>
      <x:c r="P920" s="35" t="str">
        <x:v>INCONCLUSIVE</x:v>
      </x:c>
      <x:c r="Q920" s="35" t="str">
        <x:v>Gemini-3.8-flash/Result/Cli_9/result.json</x:v>
      </x:c>
    </x:row>
    <x:row r="921">
      <x:c r="A921" s="35" t="str">
        <x:v>gemini</x:v>
      </x:c>
      <x:c r="B921" s="35" t="str">
        <x:v>Closure</x:v>
      </x:c>
      <x:c r="C921" s="35" t="str">
        <x:v>Round1</x:v>
      </x:c>
      <x:c r="D921" s="35" t="str">
        <x:v>Closure_1</x:v>
      </x:c>
      <x:c r="E921" s="35" t="str">
        <x:v>Condition</x:v>
      </x:c>
      <x:c r="F921" s="35"/>
      <x:c r="G921" s="35" t="str">
        <x:v>A</x:v>
      </x:c>
      <x:c r="H921" s="39" t="str">
        <x:f>IF(ISNUMBER('Data'!N67),'Data'!N67*100,"")</x:f>
      </x:c>
      <x:c r="I921" s="35"/>
      <x:c r="J921" s="35" t="str">
        <x:v>PASS</x:v>
      </x:c>
      <x:c r="K921" s="35" t="str">
        <x:v>FAIL</x:v>
      </x:c>
      <x:c r="L921" s="35" t="str">
        <x:v>NOT_RUN</x:v>
      </x:c>
      <x:c r="M921" s="35" t="str">
        <x:v>coverage unavailable or execution/compile failed</x:v>
      </x:c>
      <x:c r="N921" s="35" t="str">
        <x:v>Gemini-3.8-flash/Result/Closure_1/result.json</x:v>
      </x:c>
      <x:c r="O921" s="39" t="str">
        <x:f>IF(AND(G921="RECORDED",ISNUMBER(H921)),H921,"")</x:f>
      </x:c>
      <x:c r="P921" s="35" t="str">
        <x:v>NOT_AVAILABLE</x:v>
      </x:c>
      <x:c r="Q921" s="35" t="str">
        <x:v>Gemini-3.8-flash/Result/Closure_1/result.json</x:v>
      </x:c>
    </x:row>
    <x:row r="922">
      <x:c r="A922" s="35" t="str">
        <x:v>gemini</x:v>
      </x:c>
      <x:c r="B922" s="35" t="str">
        <x:v>Closure</x:v>
      </x:c>
      <x:c r="C922" s="35" t="str">
        <x:v>Round1</x:v>
      </x:c>
      <x:c r="D922" s="35" t="str">
        <x:v>Closure_10</x:v>
      </x:c>
      <x:c r="E922" s="35" t="str">
        <x:v>Condition</x:v>
      </x:c>
      <x:c r="F922" s="35"/>
      <x:c r="G922" s="35" t="str">
        <x:v>A</x:v>
      </x:c>
      <x:c r="H922" s="39" t="str">
        <x:f>IF(ISNUMBER('Data'!N68),'Data'!N68*100,"")</x:f>
      </x:c>
      <x:c r="I922" s="35"/>
      <x:c r="J922" s="35" t="str">
        <x:v>PASS</x:v>
      </x:c>
      <x:c r="K922" s="35" t="str">
        <x:v>FAIL</x:v>
      </x:c>
      <x:c r="L922" s="35" t="str">
        <x:v>NOT_RUN</x:v>
      </x:c>
      <x:c r="M922" s="35" t="str">
        <x:v>coverage unavailable or execution/compile failed</x:v>
      </x:c>
      <x:c r="N922" s="35" t="str">
        <x:v>Gemini-3.8-flash/Result/Closure_10/result.json</x:v>
      </x:c>
      <x:c r="O922" s="39" t="str">
        <x:f>IF(AND(G922="RECORDED",ISNUMBER(H922)),H922,"")</x:f>
      </x:c>
      <x:c r="P922" s="35" t="str">
        <x:v>NOT_AVAILABLE</x:v>
      </x:c>
      <x:c r="Q922" s="35" t="str">
        <x:v>Gemini-3.8-flash/Result/Closure_10/result.json</x:v>
      </x:c>
    </x:row>
    <x:row r="923">
      <x:c r="A923" s="35" t="str">
        <x:v>gemini</x:v>
      </x:c>
      <x:c r="B923" s="35" t="str">
        <x:v>Closure</x:v>
      </x:c>
      <x:c r="C923" s="35" t="str">
        <x:v>Round1</x:v>
      </x:c>
      <x:c r="D923" s="35" t="str">
        <x:v>Closure_100</x:v>
      </x:c>
      <x:c r="E923" s="35" t="str">
        <x:v>Condition</x:v>
      </x:c>
      <x:c r="F923" s="35"/>
      <x:c r="G923" s="35" t="str">
        <x:v>A</x:v>
      </x:c>
      <x:c r="H923" s="39" t="str">
        <x:f>IF(ISNUMBER('Data'!N69),'Data'!N69*100,"")</x:f>
      </x:c>
      <x:c r="I923" s="35"/>
      <x:c r="J923" s="35" t="str">
        <x:v>PASS</x:v>
      </x:c>
      <x:c r="K923" s="35" t="str">
        <x:v>FAIL</x:v>
      </x:c>
      <x:c r="L923" s="35" t="str">
        <x:v>NOT_RUN</x:v>
      </x:c>
      <x:c r="M923" s="35" t="str">
        <x:v>coverage unavailable or execution/compile failed</x:v>
      </x:c>
      <x:c r="N923" s="35" t="str">
        <x:v>Gemini-3.8-flash/Result/Closure_100/result.json</x:v>
      </x:c>
      <x:c r="O923" s="39" t="str">
        <x:f>IF(AND(G923="RECORDED",ISNUMBER(H923)),H923,"")</x:f>
      </x:c>
      <x:c r="P923" s="35" t="str">
        <x:v>NOT_AVAILABLE</x:v>
      </x:c>
      <x:c r="Q923" s="35" t="str">
        <x:v>Gemini-3.8-flash/Result/Closure_100/result.json</x:v>
      </x:c>
    </x:row>
    <x:row r="924">
      <x:c r="A924" s="35" t="str">
        <x:v>gemini</x:v>
      </x:c>
      <x:c r="B924" s="35" t="str">
        <x:v>Closure</x:v>
      </x:c>
      <x:c r="C924" s="35" t="str">
        <x:v>Round1</x:v>
      </x:c>
      <x:c r="D924" s="35" t="str">
        <x:v>Closure_101</x:v>
      </x:c>
      <x:c r="E924" s="35" t="str">
        <x:v>Condition</x:v>
      </x:c>
      <x:c r="F924" s="35" t="n">
        <x:v>24</x:v>
      </x:c>
      <x:c r="G924" s="35" t="str">
        <x:v>RECORDED</x:v>
      </x:c>
      <x:c r="H924" s="39" t="n">
        <x:f>IF(ISNUMBER('Data'!N70),'Data'!N70*100,"")</x:f>
        <x:v>87.5</x:v>
      </x:c>
      <x:c r="I924" s="35" t="str">
        <x:v>PASS</x:v>
      </x:c>
      <x:c r="J924" s="35" t="str">
        <x:v>PASS</x:v>
      </x:c>
      <x:c r="K924" s="35" t="str">
        <x:v>PASS</x:v>
      </x:c>
      <x:c r="L924" s="35" t="str">
        <x:v>FAIL</x:v>
      </x:c>
      <x:c r="M924" s="35" t="str">
        <x:v>numeric coverage for applicable metric</x:v>
      </x:c>
      <x:c r="N924" s="35" t="str">
        <x:v>Gemini-3.8-flash/Result/Closure_101/result.json</x:v>
      </x:c>
      <x:c r="O924" s="39" t="n">
        <x:f>IF(AND(G924="RECORDED",ISNUMBER(H924)),H924,"")</x:f>
        <x:v>87.5</x:v>
      </x:c>
      <x:c r="P924" s="35" t="str">
        <x:v>INCONCLUSIVE</x:v>
      </x:c>
      <x:c r="Q924" s="35" t="str">
        <x:v>Gemini-3.8-flash/Result/Closure_101/result.json</x:v>
      </x:c>
    </x:row>
    <x:row r="925">
      <x:c r="A925" s="35" t="str">
        <x:v>gemini</x:v>
      </x:c>
      <x:c r="B925" s="35" t="str">
        <x:v>Closure</x:v>
      </x:c>
      <x:c r="C925" s="35" t="str">
        <x:v>Round1</x:v>
      </x:c>
      <x:c r="D925" s="35" t="str">
        <x:v>Closure_102</x:v>
      </x:c>
      <x:c r="E925" s="35" t="str">
        <x:v>Condition</x:v>
      </x:c>
      <x:c r="F925" s="35"/>
      <x:c r="G925" s="35" t="str">
        <x:v>A</x:v>
      </x:c>
      <x:c r="H925" s="39" t="str">
        <x:f>IF(ISNUMBER('Data'!N71),'Data'!N71*100,"")</x:f>
      </x:c>
      <x:c r="I925" s="35"/>
      <x:c r="J925" s="35" t="str">
        <x:v>PASS</x:v>
      </x:c>
      <x:c r="K925" s="35" t="str">
        <x:v>FAIL</x:v>
      </x:c>
      <x:c r="L925" s="35" t="str">
        <x:v>NOT_RUN</x:v>
      </x:c>
      <x:c r="M925" s="35" t="str">
        <x:v>coverage unavailable or execution/compile failed</x:v>
      </x:c>
      <x:c r="N925" s="35" t="str">
        <x:v>Gemini-3.8-flash/Result/Closure_102/result.json</x:v>
      </x:c>
      <x:c r="O925" s="39" t="str">
        <x:f>IF(AND(G925="RECORDED",ISNUMBER(H925)),H925,"")</x:f>
      </x:c>
      <x:c r="P925" s="35" t="str">
        <x:v>NOT_AVAILABLE</x:v>
      </x:c>
      <x:c r="Q925" s="35" t="str">
        <x:v>Gemini-3.8-flash/Result/Closure_102/result.json</x:v>
      </x:c>
    </x:row>
    <x:row r="926">
      <x:c r="A926" s="35" t="str">
        <x:v>gemini</x:v>
      </x:c>
      <x:c r="B926" s="35" t="str">
        <x:v>Closure</x:v>
      </x:c>
      <x:c r="C926" s="35" t="str">
        <x:v>Round1</x:v>
      </x:c>
      <x:c r="D926" s="35" t="str">
        <x:v>Closure_103</x:v>
      </x:c>
      <x:c r="E926" s="35" t="str">
        <x:v>Condition</x:v>
      </x:c>
      <x:c r="F926" s="35"/>
      <x:c r="G926" s="35" t="str">
        <x:v>A</x:v>
      </x:c>
      <x:c r="H926" s="39" t="str">
        <x:f>IF(ISNUMBER('Data'!N72),'Data'!N72*100,"")</x:f>
      </x:c>
      <x:c r="I926" s="35"/>
      <x:c r="J926" s="35" t="str">
        <x:v>PASS</x:v>
      </x:c>
      <x:c r="K926" s="35" t="str">
        <x:v>FAIL</x:v>
      </x:c>
      <x:c r="L926" s="35" t="str">
        <x:v>NOT_RUN</x:v>
      </x:c>
      <x:c r="M926" s="35" t="str">
        <x:v>coverage unavailable or execution/compile failed</x:v>
      </x:c>
      <x:c r="N926" s="35" t="str">
        <x:v>Gemini-3.8-flash/Result/Closure_103/result.json</x:v>
      </x:c>
      <x:c r="O926" s="39" t="str">
        <x:f>IF(AND(G926="RECORDED",ISNUMBER(H926)),H926,"")</x:f>
      </x:c>
      <x:c r="P926" s="35" t="str">
        <x:v>NOT_AVAILABLE</x:v>
      </x:c>
      <x:c r="Q926" s="35" t="str">
        <x:v>Gemini-3.8-flash/Result/Closure_103/result.json</x:v>
      </x:c>
    </x:row>
    <x:row r="927">
      <x:c r="A927" s="35" t="str">
        <x:v>gemini</x:v>
      </x:c>
      <x:c r="B927" s="35" t="str">
        <x:v>Closure</x:v>
      </x:c>
      <x:c r="C927" s="35" t="str">
        <x:v>Round1</x:v>
      </x:c>
      <x:c r="D927" s="35" t="str">
        <x:v>Closure_104</x:v>
      </x:c>
      <x:c r="E927" s="35" t="str">
        <x:v>Condition</x:v>
      </x:c>
      <x:c r="F927" s="35"/>
      <x:c r="G927" s="35" t="str">
        <x:v>A</x:v>
      </x:c>
      <x:c r="H927" s="39" t="str">
        <x:f>IF(ISNUMBER('Data'!N73),'Data'!N73*100,"")</x:f>
      </x:c>
      <x:c r="I927" s="35"/>
      <x:c r="J927" s="35" t="str">
        <x:v>PASS</x:v>
      </x:c>
      <x:c r="K927" s="35" t="str">
        <x:v>FAIL</x:v>
      </x:c>
      <x:c r="L927" s="35" t="str">
        <x:v>NOT_RUN</x:v>
      </x:c>
      <x:c r="M927" s="35" t="str">
        <x:v>coverage unavailable or execution/compile failed</x:v>
      </x:c>
      <x:c r="N927" s="35" t="str">
        <x:v>Gemini-3.8-flash/Result/Closure_104/result.json</x:v>
      </x:c>
      <x:c r="O927" s="39" t="str">
        <x:f>IF(AND(G927="RECORDED",ISNUMBER(H927)),H927,"")</x:f>
      </x:c>
      <x:c r="P927" s="35" t="str">
        <x:v>NOT_AVAILABLE</x:v>
      </x:c>
      <x:c r="Q927" s="35" t="str">
        <x:v>Gemini-3.8-flash/Result/Closure_104/result.json</x:v>
      </x:c>
    </x:row>
    <x:row r="928">
      <x:c r="A928" s="35" t="str">
        <x:v>gemini</x:v>
      </x:c>
      <x:c r="B928" s="35" t="str">
        <x:v>Closure</x:v>
      </x:c>
      <x:c r="C928" s="35" t="str">
        <x:v>Round1</x:v>
      </x:c>
      <x:c r="D928" s="35" t="str">
        <x:v>Closure_105</x:v>
      </x:c>
      <x:c r="E928" s="35" t="str">
        <x:v>Condition</x:v>
      </x:c>
      <x:c r="F928" s="35" t="n">
        <x:v>739</x:v>
      </x:c>
      <x:c r="G928" s="35" t="str">
        <x:v>RECORDED</x:v>
      </x:c>
      <x:c r="H928" s="39" t="n">
        <x:f>IF(ISNUMBER('Data'!N74),'Data'!N74*100,"")</x:f>
        <x:v>33.56</x:v>
      </x:c>
      <x:c r="I928" s="35" t="str">
        <x:v>PASS</x:v>
      </x:c>
      <x:c r="J928" s="35" t="str">
        <x:v>PASS</x:v>
      </x:c>
      <x:c r="K928" s="35" t="str">
        <x:v>PASS</x:v>
      </x:c>
      <x:c r="L928" s="35" t="str">
        <x:v>FAIL</x:v>
      </x:c>
      <x:c r="M928" s="35" t="str">
        <x:v>numeric coverage for applicable metric</x:v>
      </x:c>
      <x:c r="N928" s="35" t="str">
        <x:v>Gemini-3.8-flash/Result/Closure_105/result.json</x:v>
      </x:c>
      <x:c r="O928" s="39" t="n">
        <x:f>IF(AND(G928="RECORDED",ISNUMBER(H928)),H928,"")</x:f>
        <x:v>33.56</x:v>
      </x:c>
      <x:c r="P928" s="35" t="str">
        <x:v>INCONCLUSIVE</x:v>
      </x:c>
      <x:c r="Q928" s="35" t="str">
        <x:v>Gemini-3.8-flash/Result/Closure_105/result.json</x:v>
      </x:c>
    </x:row>
    <x:row r="929">
      <x:c r="A929" s="35" t="str">
        <x:v>gemini</x:v>
      </x:c>
      <x:c r="B929" s="35" t="str">
        <x:v>Closure</x:v>
      </x:c>
      <x:c r="C929" s="35" t="str">
        <x:v>Round1</x:v>
      </x:c>
      <x:c r="D929" s="35" t="str">
        <x:v>Closure_106</x:v>
      </x:c>
      <x:c r="E929" s="35" t="str">
        <x:v>Condition</x:v>
      </x:c>
      <x:c r="F929" s="35"/>
      <x:c r="G929" s="35" t="str">
        <x:v>A</x:v>
      </x:c>
      <x:c r="H929" s="39" t="str">
        <x:f>IF(ISNUMBER('Data'!N75),'Data'!N75*100,"")</x:f>
      </x:c>
      <x:c r="I929" s="35"/>
      <x:c r="J929" s="35" t="str">
        <x:v>PASS</x:v>
      </x:c>
      <x:c r="K929" s="35" t="str">
        <x:v>FAIL</x:v>
      </x:c>
      <x:c r="L929" s="35" t="str">
        <x:v>NOT_RUN</x:v>
      </x:c>
      <x:c r="M929" s="35" t="str">
        <x:v>coverage unavailable or execution/compile failed</x:v>
      </x:c>
      <x:c r="N929" s="35" t="str">
        <x:v>Gemini-3.8-flash/Result/Closure_106/result.json</x:v>
      </x:c>
      <x:c r="O929" s="39" t="str">
        <x:f>IF(AND(G929="RECORDED",ISNUMBER(H929)),H929,"")</x:f>
      </x:c>
      <x:c r="P929" s="35" t="str">
        <x:v>NOT_AVAILABLE</x:v>
      </x:c>
      <x:c r="Q929" s="35" t="str">
        <x:v>Gemini-3.8-flash/Result/Closure_106/result.json</x:v>
      </x:c>
    </x:row>
    <x:row r="930">
      <x:c r="A930" s="35" t="str">
        <x:v>gemini</x:v>
      </x:c>
      <x:c r="B930" s="35" t="str">
        <x:v>Closure</x:v>
      </x:c>
      <x:c r="C930" s="35" t="str">
        <x:v>Round1</x:v>
      </x:c>
      <x:c r="D930" s="35" t="str">
        <x:v>Closure_107</x:v>
      </x:c>
      <x:c r="E930" s="35" t="str">
        <x:v>Condition</x:v>
      </x:c>
      <x:c r="F930" s="35"/>
      <x:c r="G930" s="35" t="str">
        <x:v>A</x:v>
      </x:c>
      <x:c r="H930" s="39" t="str">
        <x:f>IF(ISNUMBER('Data'!N76),'Data'!N76*100,"")</x:f>
      </x:c>
      <x:c r="I930" s="35"/>
      <x:c r="J930" s="35" t="str">
        <x:v>PASS</x:v>
      </x:c>
      <x:c r="K930" s="35" t="str">
        <x:v>FAIL</x:v>
      </x:c>
      <x:c r="L930" s="35" t="str">
        <x:v>NOT_RUN</x:v>
      </x:c>
      <x:c r="M930" s="35" t="str">
        <x:v>coverage unavailable or execution/compile failed</x:v>
      </x:c>
      <x:c r="N930" s="35" t="str">
        <x:v>Gemini-3.8-flash/Result/Closure_107/result.json</x:v>
      </x:c>
      <x:c r="O930" s="39" t="str">
        <x:f>IF(AND(G930="RECORDED",ISNUMBER(H930)),H930,"")</x:f>
      </x:c>
      <x:c r="P930" s="35" t="str">
        <x:v>NOT_AVAILABLE</x:v>
      </x:c>
      <x:c r="Q930" s="35" t="str">
        <x:v>Gemini-3.8-flash/Result/Closure_107/result.json</x:v>
      </x:c>
    </x:row>
    <x:row r="931">
      <x:c r="A931" s="35" t="str">
        <x:v>gemini</x:v>
      </x:c>
      <x:c r="B931" s="35" t="str">
        <x:v>Closure</x:v>
      </x:c>
      <x:c r="C931" s="35" t="str">
        <x:v>Round1</x:v>
      </x:c>
      <x:c r="D931" s="35" t="str">
        <x:v>Closure_108</x:v>
      </x:c>
      <x:c r="E931" s="35" t="str">
        <x:v>Condition</x:v>
      </x:c>
      <x:c r="F931" s="35" t="n">
        <x:v>150</x:v>
      </x:c>
      <x:c r="G931" s="35" t="str">
        <x:v>RECORDED</x:v>
      </x:c>
      <x:c r="H931" s="39" t="n">
        <x:f>IF(ISNUMBER('Data'!N77),'Data'!N77*100,"")</x:f>
        <x:v>70.67</x:v>
      </x:c>
      <x:c r="I931" s="35" t="str">
        <x:v>PASS</x:v>
      </x:c>
      <x:c r="J931" s="35" t="str">
        <x:v>PASS</x:v>
      </x:c>
      <x:c r="K931" s="35" t="str">
        <x:v>PASS</x:v>
      </x:c>
      <x:c r="L931" s="35" t="str">
        <x:v>FAIL</x:v>
      </x:c>
      <x:c r="M931" s="35" t="str">
        <x:v>numeric coverage for applicable metric</x:v>
      </x:c>
      <x:c r="N931" s="35" t="str">
        <x:v>Gemini-3.8-flash/Result/Closure_108/result.json</x:v>
      </x:c>
      <x:c r="O931" s="39" t="n">
        <x:f>IF(AND(G931="RECORDED",ISNUMBER(H931)),H931,"")</x:f>
        <x:v>70.67</x:v>
      </x:c>
      <x:c r="P931" s="35" t="str">
        <x:v>INCONCLUSIVE</x:v>
      </x:c>
      <x:c r="Q931" s="35" t="str">
        <x:v>Gemini-3.8-flash/Result/Closure_108/result.json</x:v>
      </x:c>
    </x:row>
    <x:row r="932">
      <x:c r="A932" s="35" t="str">
        <x:v>gemini</x:v>
      </x:c>
      <x:c r="B932" s="35" t="str">
        <x:v>Closure</x:v>
      </x:c>
      <x:c r="C932" s="35" t="str">
        <x:v>Round1</x:v>
      </x:c>
      <x:c r="D932" s="35" t="str">
        <x:v>Closure_109</x:v>
      </x:c>
      <x:c r="E932" s="35" t="str">
        <x:v>Condition</x:v>
      </x:c>
      <x:c r="F932" s="35"/>
      <x:c r="G932" s="35" t="str">
        <x:v>A</x:v>
      </x:c>
      <x:c r="H932" s="39" t="str">
        <x:f>IF(ISNUMBER('Data'!N78),'Data'!N78*100,"")</x:f>
      </x:c>
      <x:c r="I932" s="35"/>
      <x:c r="J932" s="35" t="str">
        <x:v>PASS</x:v>
      </x:c>
      <x:c r="K932" s="35" t="str">
        <x:v>FAIL</x:v>
      </x:c>
      <x:c r="L932" s="35" t="str">
        <x:v>NOT_RUN</x:v>
      </x:c>
      <x:c r="M932" s="35" t="str">
        <x:v>coverage unavailable or execution/compile failed</x:v>
      </x:c>
      <x:c r="N932" s="35" t="str">
        <x:v>Gemini-3.8-flash/Result/Closure_109/result.json</x:v>
      </x:c>
      <x:c r="O932" s="39" t="str">
        <x:f>IF(AND(G932="RECORDED",ISNUMBER(H932)),H932,"")</x:f>
      </x:c>
      <x:c r="P932" s="35" t="str">
        <x:v>NOT_AVAILABLE</x:v>
      </x:c>
      <x:c r="Q932" s="35" t="str">
        <x:v>Gemini-3.8-flash/Result/Closure_109/result.json</x:v>
      </x:c>
    </x:row>
    <x:row r="933">
      <x:c r="A933" s="35" t="str">
        <x:v>gemini</x:v>
      </x:c>
      <x:c r="B933" s="35" t="str">
        <x:v>Closure</x:v>
      </x:c>
      <x:c r="C933" s="35" t="str">
        <x:v>Round1</x:v>
      </x:c>
      <x:c r="D933" s="35" t="str">
        <x:v>Closure_11</x:v>
      </x:c>
      <x:c r="E933" s="35" t="str">
        <x:v>Condition</x:v>
      </x:c>
      <x:c r="F933" s="35" t="n">
        <x:v>549</x:v>
      </x:c>
      <x:c r="G933" s="35" t="str">
        <x:v>RECORDED</x:v>
      </x:c>
      <x:c r="H933" s="39" t="n">
        <x:f>IF(ISNUMBER('Data'!N79),'Data'!N79*100,"")</x:f>
        <x:v>31.509999999999998</x:v>
      </x:c>
      <x:c r="I933" s="35" t="str">
        <x:v>PASS</x:v>
      </x:c>
      <x:c r="J933" s="35" t="str">
        <x:v>PASS</x:v>
      </x:c>
      <x:c r="K933" s="35" t="str">
        <x:v>PASS</x:v>
      </x:c>
      <x:c r="L933" s="35" t="str">
        <x:v>FAIL</x:v>
      </x:c>
      <x:c r="M933" s="35" t="str">
        <x:v>numeric coverage for applicable metric</x:v>
      </x:c>
      <x:c r="N933" s="35" t="str">
        <x:v>Gemini-3.8-flash/Result/Closure_11/result.json</x:v>
      </x:c>
      <x:c r="O933" s="39" t="n">
        <x:f>IF(AND(G933="RECORDED",ISNUMBER(H933)),H933,"")</x:f>
        <x:v>31.509999999999998</x:v>
      </x:c>
      <x:c r="P933" s="35" t="str">
        <x:v>INCONCLUSIVE</x:v>
      </x:c>
      <x:c r="Q933" s="35" t="str">
        <x:v>Gemini-3.8-flash/Result/Closure_11/result.json</x:v>
      </x:c>
    </x:row>
    <x:row r="934">
      <x:c r="A934" s="35" t="str">
        <x:v>gemini</x:v>
      </x:c>
      <x:c r="B934" s="35" t="str">
        <x:v>Closure</x:v>
      </x:c>
      <x:c r="C934" s="35" t="str">
        <x:v>Round1</x:v>
      </x:c>
      <x:c r="D934" s="35" t="str">
        <x:v>Closure_110</x:v>
      </x:c>
      <x:c r="E934" s="35" t="str">
        <x:v>Condition</x:v>
      </x:c>
      <x:c r="F934" s="35"/>
      <x:c r="G934" s="35" t="str">
        <x:v>A</x:v>
      </x:c>
      <x:c r="H934" s="39" t="str">
        <x:f>IF(ISNUMBER('Data'!N80),'Data'!N80*100,"")</x:f>
      </x:c>
      <x:c r="I934" s="35"/>
      <x:c r="J934" s="35" t="str">
        <x:v>PASS</x:v>
      </x:c>
      <x:c r="K934" s="35" t="str">
        <x:v>FAIL</x:v>
      </x:c>
      <x:c r="L934" s="35" t="str">
        <x:v>NOT_RUN</x:v>
      </x:c>
      <x:c r="M934" s="35" t="str">
        <x:v>coverage unavailable or execution/compile failed</x:v>
      </x:c>
      <x:c r="N934" s="35" t="str">
        <x:v>Gemini-3.8-flash/Result/Closure_110/result.json</x:v>
      </x:c>
      <x:c r="O934" s="39" t="str">
        <x:f>IF(AND(G934="RECORDED",ISNUMBER(H934)),H934,"")</x:f>
      </x:c>
      <x:c r="P934" s="35" t="str">
        <x:v>NOT_AVAILABLE</x:v>
      </x:c>
      <x:c r="Q934" s="35" t="str">
        <x:v>Gemini-3.8-flash/Result/Closure_110/result.json</x:v>
      </x:c>
    </x:row>
    <x:row r="935">
      <x:c r="A935" s="35" t="str">
        <x:v>gemini</x:v>
      </x:c>
      <x:c r="B935" s="35" t="str">
        <x:v>Closure</x:v>
      </x:c>
      <x:c r="C935" s="35" t="str">
        <x:v>Round1</x:v>
      </x:c>
      <x:c r="D935" s="35" t="str">
        <x:v>Closure_111</x:v>
      </x:c>
      <x:c r="E935" s="35" t="str">
        <x:v>Condition</x:v>
      </x:c>
      <x:c r="F935" s="35"/>
      <x:c r="G935" s="35" t="str">
        <x:v>A</x:v>
      </x:c>
      <x:c r="H935" s="39" t="str">
        <x:f>IF(ISNUMBER('Data'!N81),'Data'!N81*100,"")</x:f>
      </x:c>
      <x:c r="I935" s="35"/>
      <x:c r="J935" s="35" t="str">
        <x:v>PASS</x:v>
      </x:c>
      <x:c r="K935" s="35" t="str">
        <x:v>FAIL</x:v>
      </x:c>
      <x:c r="L935" s="35" t="str">
        <x:v>NOT_RUN</x:v>
      </x:c>
      <x:c r="M935" s="35" t="str">
        <x:v>coverage unavailable or execution/compile failed</x:v>
      </x:c>
      <x:c r="N935" s="35" t="str">
        <x:v>Gemini-3.8-flash/Result/Closure_111/result.json</x:v>
      </x:c>
      <x:c r="O935" s="39" t="str">
        <x:f>IF(AND(G935="RECORDED",ISNUMBER(H935)),H935,"")</x:f>
      </x:c>
      <x:c r="P935" s="35" t="str">
        <x:v>NOT_AVAILABLE</x:v>
      </x:c>
      <x:c r="Q935" s="35" t="str">
        <x:v>Gemini-3.8-flash/Result/Closure_111/result.json</x:v>
      </x:c>
    </x:row>
    <x:row r="936">
      <x:c r="A936" s="35" t="str">
        <x:v>gemini</x:v>
      </x:c>
      <x:c r="B936" s="35" t="str">
        <x:v>Closure</x:v>
      </x:c>
      <x:c r="C936" s="35" t="str">
        <x:v>Round1</x:v>
      </x:c>
      <x:c r="D936" s="35" t="str">
        <x:v>Closure_112</x:v>
      </x:c>
      <x:c r="E936" s="35" t="str">
        <x:v>Condition</x:v>
      </x:c>
      <x:c r="F936" s="35"/>
      <x:c r="G936" s="35" t="str">
        <x:v>A</x:v>
      </x:c>
      <x:c r="H936" s="39" t="str">
        <x:f>IF(ISNUMBER('Data'!N82),'Data'!N82*100,"")</x:f>
      </x:c>
      <x:c r="I936" s="35"/>
      <x:c r="J936" s="35" t="str">
        <x:v>PASS</x:v>
      </x:c>
      <x:c r="K936" s="35" t="str">
        <x:v>FAIL</x:v>
      </x:c>
      <x:c r="L936" s="35" t="str">
        <x:v>NOT_RUN</x:v>
      </x:c>
      <x:c r="M936" s="35" t="str">
        <x:v>coverage unavailable or execution/compile failed</x:v>
      </x:c>
      <x:c r="N936" s="35" t="str">
        <x:v>Gemini-3.8-flash/Result/Closure_112/result.json</x:v>
      </x:c>
      <x:c r="O936" s="39" t="str">
        <x:f>IF(AND(G936="RECORDED",ISNUMBER(H936)),H936,"")</x:f>
      </x:c>
      <x:c r="P936" s="35" t="str">
        <x:v>NOT_AVAILABLE</x:v>
      </x:c>
      <x:c r="Q936" s="35" t="str">
        <x:v>Gemini-3.8-flash/Result/Closure_112/result.json</x:v>
      </x:c>
    </x:row>
    <x:row r="937">
      <x:c r="A937" s="35" t="str">
        <x:v>gemini</x:v>
      </x:c>
      <x:c r="B937" s="35" t="str">
        <x:v>Closure</x:v>
      </x:c>
      <x:c r="C937" s="35" t="str">
        <x:v>Round1</x:v>
      </x:c>
      <x:c r="D937" s="35" t="str">
        <x:v>Closure_113</x:v>
      </x:c>
      <x:c r="E937" s="35" t="str">
        <x:v>Condition</x:v>
      </x:c>
      <x:c r="F937" s="35"/>
      <x:c r="G937" s="35" t="str">
        <x:v>A</x:v>
      </x:c>
      <x:c r="H937" s="39" t="str">
        <x:f>IF(ISNUMBER('Data'!N83),'Data'!N83*100,"")</x:f>
      </x:c>
      <x:c r="I937" s="35"/>
      <x:c r="J937" s="35" t="str">
        <x:v>PASS</x:v>
      </x:c>
      <x:c r="K937" s="35" t="str">
        <x:v>FAIL</x:v>
      </x:c>
      <x:c r="L937" s="35" t="str">
        <x:v>NOT_RUN</x:v>
      </x:c>
      <x:c r="M937" s="35" t="str">
        <x:v>coverage unavailable or execution/compile failed</x:v>
      </x:c>
      <x:c r="N937" s="35" t="str">
        <x:v>Gemini-3.8-flash/Result/Closure_113/result.json</x:v>
      </x:c>
      <x:c r="O937" s="39" t="str">
        <x:f>IF(AND(G937="RECORDED",ISNUMBER(H937)),H937,"")</x:f>
      </x:c>
      <x:c r="P937" s="35" t="str">
        <x:v>NOT_AVAILABLE</x:v>
      </x:c>
      <x:c r="Q937" s="35" t="str">
        <x:v>Gemini-3.8-flash/Result/Closure_113/result.json</x:v>
      </x:c>
    </x:row>
    <x:row r="938">
      <x:c r="A938" s="35" t="str">
        <x:v>gemini</x:v>
      </x:c>
      <x:c r="B938" s="35" t="str">
        <x:v>Closure</x:v>
      </x:c>
      <x:c r="C938" s="35" t="str">
        <x:v>Round1</x:v>
      </x:c>
      <x:c r="D938" s="35" t="str">
        <x:v>Closure_114</x:v>
      </x:c>
      <x:c r="E938" s="35" t="str">
        <x:v>Condition</x:v>
      </x:c>
      <x:c r="F938" s="35"/>
      <x:c r="G938" s="35" t="str">
        <x:v>A</x:v>
      </x:c>
      <x:c r="H938" s="39" t="str">
        <x:f>IF(ISNUMBER('Data'!N84),'Data'!N84*100,"")</x:f>
      </x:c>
      <x:c r="I938" s="35"/>
      <x:c r="J938" s="35" t="str">
        <x:v>PASS</x:v>
      </x:c>
      <x:c r="K938" s="35" t="str">
        <x:v>FAIL</x:v>
      </x:c>
      <x:c r="L938" s="35" t="str">
        <x:v>NOT_RUN</x:v>
      </x:c>
      <x:c r="M938" s="35" t="str">
        <x:v>coverage unavailable or execution/compile failed</x:v>
      </x:c>
      <x:c r="N938" s="35" t="str">
        <x:v>Gemini-3.8-flash/Result/Closure_114/result.json</x:v>
      </x:c>
      <x:c r="O938" s="39" t="str">
        <x:f>IF(AND(G938="RECORDED",ISNUMBER(H938)),H938,"")</x:f>
      </x:c>
      <x:c r="P938" s="35" t="str">
        <x:v>NOT_AVAILABLE</x:v>
      </x:c>
      <x:c r="Q938" s="35" t="str">
        <x:v>Gemini-3.8-flash/Result/Closure_114/result.json</x:v>
      </x:c>
    </x:row>
    <x:row r="939">
      <x:c r="A939" s="35" t="str">
        <x:v>gemini</x:v>
      </x:c>
      <x:c r="B939" s="35" t="str">
        <x:v>Closure</x:v>
      </x:c>
      <x:c r="C939" s="35" t="str">
        <x:v>Round1</x:v>
      </x:c>
      <x:c r="D939" s="35" t="str">
        <x:v>Closure_115</x:v>
      </x:c>
      <x:c r="E939" s="35" t="str">
        <x:v>Condition</x:v>
      </x:c>
      <x:c r="F939" s="35"/>
      <x:c r="G939" s="35" t="str">
        <x:v>A</x:v>
      </x:c>
      <x:c r="H939" s="39" t="str">
        <x:f>IF(ISNUMBER('Data'!N85),'Data'!N85*100,"")</x:f>
      </x:c>
      <x:c r="I939" s="35"/>
      <x:c r="J939" s="35" t="str">
        <x:v>PASS</x:v>
      </x:c>
      <x:c r="K939" s="35" t="str">
        <x:v>FAIL</x:v>
      </x:c>
      <x:c r="L939" s="35" t="str">
        <x:v>NOT_RUN</x:v>
      </x:c>
      <x:c r="M939" s="35" t="str">
        <x:v>coverage unavailable or execution/compile failed</x:v>
      </x:c>
      <x:c r="N939" s="35" t="str">
        <x:v>Gemini-3.8-flash/Result/Closure_115/result.json</x:v>
      </x:c>
      <x:c r="O939" s="39" t="str">
        <x:f>IF(AND(G939="RECORDED",ISNUMBER(H939)),H939,"")</x:f>
      </x:c>
      <x:c r="P939" s="35" t="str">
        <x:v>NOT_AVAILABLE</x:v>
      </x:c>
      <x:c r="Q939" s="35" t="str">
        <x:v>Gemini-3.8-flash/Result/Closure_115/result.json</x:v>
      </x:c>
    </x:row>
    <x:row r="940">
      <x:c r="A940" s="35" t="str">
        <x:v>gemini</x:v>
      </x:c>
      <x:c r="B940" s="35" t="str">
        <x:v>Closure</x:v>
      </x:c>
      <x:c r="C940" s="35" t="str">
        <x:v>Round1</x:v>
      </x:c>
      <x:c r="D940" s="35" t="str">
        <x:v>Closure_116</x:v>
      </x:c>
      <x:c r="E940" s="35" t="str">
        <x:v>Condition</x:v>
      </x:c>
      <x:c r="F940" s="35"/>
      <x:c r="G940" s="35" t="str">
        <x:v>A</x:v>
      </x:c>
      <x:c r="H940" s="39" t="str">
        <x:f>IF(ISNUMBER('Data'!N86),'Data'!N86*100,"")</x:f>
      </x:c>
      <x:c r="I940" s="35"/>
      <x:c r="J940" s="35" t="str">
        <x:v>PASS</x:v>
      </x:c>
      <x:c r="K940" s="35" t="str">
        <x:v>FAIL</x:v>
      </x:c>
      <x:c r="L940" s="35" t="str">
        <x:v>NOT_RUN</x:v>
      </x:c>
      <x:c r="M940" s="35" t="str">
        <x:v>coverage unavailable or execution/compile failed</x:v>
      </x:c>
      <x:c r="N940" s="35" t="str">
        <x:v>Gemini-3.8-flash/Result/Closure_116/result.json</x:v>
      </x:c>
      <x:c r="O940" s="39" t="str">
        <x:f>IF(AND(G940="RECORDED",ISNUMBER(H940)),H940,"")</x:f>
      </x:c>
      <x:c r="P940" s="35" t="str">
        <x:v>NOT_AVAILABLE</x:v>
      </x:c>
      <x:c r="Q940" s="35" t="str">
        <x:v>Gemini-3.8-flash/Result/Closure_116/result.json</x:v>
      </x:c>
    </x:row>
    <x:row r="941">
      <x:c r="A941" s="35" t="str">
        <x:v>gemini</x:v>
      </x:c>
      <x:c r="B941" s="35" t="str">
        <x:v>Closure</x:v>
      </x:c>
      <x:c r="C941" s="35" t="str">
        <x:v>Round1</x:v>
      </x:c>
      <x:c r="D941" s="35" t="str">
        <x:v>Closure_117</x:v>
      </x:c>
      <x:c r="E941" s="35" t="str">
        <x:v>Condition</x:v>
      </x:c>
      <x:c r="F941" s="35"/>
      <x:c r="G941" s="35" t="str">
        <x:v>A</x:v>
      </x:c>
      <x:c r="H941" s="39" t="str">
        <x:f>IF(ISNUMBER('Data'!N87),'Data'!N87*100,"")</x:f>
      </x:c>
      <x:c r="I941" s="35"/>
      <x:c r="J941" s="35" t="str">
        <x:v>PASS</x:v>
      </x:c>
      <x:c r="K941" s="35" t="str">
        <x:v>FAIL</x:v>
      </x:c>
      <x:c r="L941" s="35" t="str">
        <x:v>NOT_RUN</x:v>
      </x:c>
      <x:c r="M941" s="35" t="str">
        <x:v>coverage unavailable or execution/compile failed</x:v>
      </x:c>
      <x:c r="N941" s="35" t="str">
        <x:v>Gemini-3.8-flash/Result/Closure_117/result.json</x:v>
      </x:c>
      <x:c r="O941" s="39" t="str">
        <x:f>IF(AND(G941="RECORDED",ISNUMBER(H941)),H941,"")</x:f>
      </x:c>
      <x:c r="P941" s="35" t="str">
        <x:v>NOT_AVAILABLE</x:v>
      </x:c>
      <x:c r="Q941" s="35" t="str">
        <x:v>Gemini-3.8-flash/Result/Closure_117/result.json</x:v>
      </x:c>
    </x:row>
    <x:row r="942">
      <x:c r="A942" s="35" t="str">
        <x:v>gemini</x:v>
      </x:c>
      <x:c r="B942" s="35" t="str">
        <x:v>Closure</x:v>
      </x:c>
      <x:c r="C942" s="35" t="str">
        <x:v>Round1</x:v>
      </x:c>
      <x:c r="D942" s="35" t="str">
        <x:v>Closure_118</x:v>
      </x:c>
      <x:c r="E942" s="35" t="str">
        <x:v>Condition</x:v>
      </x:c>
      <x:c r="F942" s="35"/>
      <x:c r="G942" s="35" t="str">
        <x:v>A</x:v>
      </x:c>
      <x:c r="H942" s="39" t="str">
        <x:f>IF(ISNUMBER('Data'!N88),'Data'!N88*100,"")</x:f>
      </x:c>
      <x:c r="I942" s="35"/>
      <x:c r="J942" s="35" t="str">
        <x:v>PASS</x:v>
      </x:c>
      <x:c r="K942" s="35" t="str">
        <x:v>FAIL</x:v>
      </x:c>
      <x:c r="L942" s="35" t="str">
        <x:v>NOT_RUN</x:v>
      </x:c>
      <x:c r="M942" s="35" t="str">
        <x:v>coverage unavailable or execution/compile failed</x:v>
      </x:c>
      <x:c r="N942" s="35" t="str">
        <x:v>Gemini-3.8-flash/Result/Closure_118/result.json</x:v>
      </x:c>
      <x:c r="O942" s="39" t="str">
        <x:f>IF(AND(G942="RECORDED",ISNUMBER(H942)),H942,"")</x:f>
      </x:c>
      <x:c r="P942" s="35" t="str">
        <x:v>NOT_AVAILABLE</x:v>
      </x:c>
      <x:c r="Q942" s="35" t="str">
        <x:v>Gemini-3.8-flash/Result/Closure_118/result.json</x:v>
      </x:c>
    </x:row>
    <x:row r="943">
      <x:c r="A943" s="35" t="str">
        <x:v>gemini</x:v>
      </x:c>
      <x:c r="B943" s="35" t="str">
        <x:v>Closure</x:v>
      </x:c>
      <x:c r="C943" s="35" t="str">
        <x:v>Round1</x:v>
      </x:c>
      <x:c r="D943" s="35" t="str">
        <x:v>Closure_119</x:v>
      </x:c>
      <x:c r="E943" s="35" t="str">
        <x:v>Condition</x:v>
      </x:c>
      <x:c r="F943" s="35" t="n">
        <x:v>346</x:v>
      </x:c>
      <x:c r="G943" s="35" t="str">
        <x:v>RECORDED</x:v>
      </x:c>
      <x:c r="H943" s="39" t="n">
        <x:f>IF(ISNUMBER('Data'!N89),'Data'!N89*100,"")</x:f>
        <x:v>53.47</x:v>
      </x:c>
      <x:c r="I943" s="35" t="str">
        <x:v>PASS</x:v>
      </x:c>
      <x:c r="J943" s="35" t="str">
        <x:v>PASS</x:v>
      </x:c>
      <x:c r="K943" s="35" t="str">
        <x:v>PASS</x:v>
      </x:c>
      <x:c r="L943" s="35" t="str">
        <x:v>FAIL</x:v>
      </x:c>
      <x:c r="M943" s="35" t="str">
        <x:v>numeric coverage for applicable metric</x:v>
      </x:c>
      <x:c r="N943" s="35" t="str">
        <x:v>Gemini-3.8-flash/Result/Closure_119/result.json</x:v>
      </x:c>
      <x:c r="O943" s="39" t="n">
        <x:f>IF(AND(G943="RECORDED",ISNUMBER(H943)),H943,"")</x:f>
        <x:v>53.47</x:v>
      </x:c>
      <x:c r="P943" s="35" t="str">
        <x:v>INCONCLUSIVE</x:v>
      </x:c>
      <x:c r="Q943" s="35" t="str">
        <x:v>Gemini-3.8-flash/Result/Closure_119/result.json</x:v>
      </x:c>
    </x:row>
    <x:row r="944">
      <x:c r="A944" s="35" t="str">
        <x:v>gemini</x:v>
      </x:c>
      <x:c r="B944" s="35" t="str">
        <x:v>Closure</x:v>
      </x:c>
      <x:c r="C944" s="35" t="str">
        <x:v>Round1</x:v>
      </x:c>
      <x:c r="D944" s="35" t="str">
        <x:v>Closure_12</x:v>
      </x:c>
      <x:c r="E944" s="35" t="str">
        <x:v>Condition</x:v>
      </x:c>
      <x:c r="F944" s="35" t="n">
        <x:v>48</x:v>
      </x:c>
      <x:c r="G944" s="35" t="str">
        <x:v>RECORDED</x:v>
      </x:c>
      <x:c r="H944" s="39" t="n">
        <x:f>IF(ISNUMBER('Data'!N90),'Data'!N90*100,"")</x:f>
        <x:v>79.17</x:v>
      </x:c>
      <x:c r="I944" s="35" t="str">
        <x:v>PASS</x:v>
      </x:c>
      <x:c r="J944" s="35" t="str">
        <x:v>PASS</x:v>
      </x:c>
      <x:c r="K944" s="35" t="str">
        <x:v>PASS</x:v>
      </x:c>
      <x:c r="L944" s="35" t="str">
        <x:v>FAIL</x:v>
      </x:c>
      <x:c r="M944" s="35" t="str">
        <x:v>numeric coverage for applicable metric</x:v>
      </x:c>
      <x:c r="N944" s="35" t="str">
        <x:v>Gemini-3.8-flash/Result/Closure_12/result.json</x:v>
      </x:c>
      <x:c r="O944" s="39" t="n">
        <x:f>IF(AND(G944="RECORDED",ISNUMBER(H944)),H944,"")</x:f>
        <x:v>79.17</x:v>
      </x:c>
      <x:c r="P944" s="35" t="str">
        <x:v>INCONCLUSIVE</x:v>
      </x:c>
      <x:c r="Q944" s="35" t="str">
        <x:v>Gemini-3.8-flash/Result/Closure_12/result.json</x:v>
      </x:c>
    </x:row>
    <x:row r="945">
      <x:c r="A945" s="35" t="str">
        <x:v>gemini</x:v>
      </x:c>
      <x:c r="B945" s="35" t="str">
        <x:v>Closure</x:v>
      </x:c>
      <x:c r="C945" s="35" t="str">
        <x:v>Round1</x:v>
      </x:c>
      <x:c r="D945" s="35" t="str">
        <x:v>Closure_120</x:v>
      </x:c>
      <x:c r="E945" s="35" t="str">
        <x:v>Condition</x:v>
      </x:c>
      <x:c r="F945" s="35"/>
      <x:c r="G945" s="35" t="str">
        <x:v>A</x:v>
      </x:c>
      <x:c r="H945" s="39" t="str">
        <x:f>IF(ISNUMBER('Data'!N91),'Data'!N91*100,"")</x:f>
      </x:c>
      <x:c r="I945" s="35"/>
      <x:c r="J945" s="35" t="str">
        <x:v>PASS</x:v>
      </x:c>
      <x:c r="K945" s="35" t="str">
        <x:v>FAIL</x:v>
      </x:c>
      <x:c r="L945" s="35" t="str">
        <x:v>NOT_RUN</x:v>
      </x:c>
      <x:c r="M945" s="35" t="str">
        <x:v>coverage unavailable or execution/compile failed</x:v>
      </x:c>
      <x:c r="N945" s="35" t="str">
        <x:v>Gemini-3.8-flash/Result/Closure_120/result.json</x:v>
      </x:c>
      <x:c r="O945" s="39" t="str">
        <x:f>IF(AND(G945="RECORDED",ISNUMBER(H945)),H945,"")</x:f>
      </x:c>
      <x:c r="P945" s="35" t="str">
        <x:v>NOT_AVAILABLE</x:v>
      </x:c>
      <x:c r="Q945" s="35" t="str">
        <x:v>Gemini-3.8-flash/Result/Closure_120/result.json</x:v>
      </x:c>
    </x:row>
    <x:row r="946">
      <x:c r="A946" s="35" t="str">
        <x:v>gemini</x:v>
      </x:c>
      <x:c r="B946" s="35" t="str">
        <x:v>Closure</x:v>
      </x:c>
      <x:c r="C946" s="35" t="str">
        <x:v>Round1</x:v>
      </x:c>
      <x:c r="D946" s="35" t="str">
        <x:v>Closure_121</x:v>
      </x:c>
      <x:c r="E946" s="35" t="str">
        <x:v>Condition</x:v>
      </x:c>
      <x:c r="F946" s="35" t="n">
        <x:v>236</x:v>
      </x:c>
      <x:c r="G946" s="35" t="str">
        <x:v>RECORDED</x:v>
      </x:c>
      <x:c r="H946" s="39" t="n">
        <x:f>IF(ISNUMBER('Data'!N92),'Data'!N92*100,"")</x:f>
        <x:v>1.27</x:v>
      </x:c>
      <x:c r="I946" s="35" t="str">
        <x:v>PASS</x:v>
      </x:c>
      <x:c r="J946" s="35" t="str">
        <x:v>PASS</x:v>
      </x:c>
      <x:c r="K946" s="35" t="str">
        <x:v>PASS</x:v>
      </x:c>
      <x:c r="L946" s="35" t="str">
        <x:v>FAIL</x:v>
      </x:c>
      <x:c r="M946" s="35" t="str">
        <x:v>numeric coverage for applicable metric</x:v>
      </x:c>
      <x:c r="N946" s="35" t="str">
        <x:v>Gemini-3.8-flash/Result/Closure_121/result.json</x:v>
      </x:c>
      <x:c r="O946" s="39" t="n">
        <x:f>IF(AND(G946="RECORDED",ISNUMBER(H946)),H946,"")</x:f>
        <x:v>1.27</x:v>
      </x:c>
      <x:c r="P946" s="35" t="str">
        <x:v>INCONCLUSIVE</x:v>
      </x:c>
      <x:c r="Q946" s="35" t="str">
        <x:v>Gemini-3.8-flash/Result/Closure_121/result.json</x:v>
      </x:c>
    </x:row>
    <x:row r="947">
      <x:c r="A947" s="35" t="str">
        <x:v>gemini</x:v>
      </x:c>
      <x:c r="B947" s="35" t="str">
        <x:v>Closure</x:v>
      </x:c>
      <x:c r="C947" s="35" t="str">
        <x:v>Round1</x:v>
      </x:c>
      <x:c r="D947" s="35" t="str">
        <x:v>Closure_122</x:v>
      </x:c>
      <x:c r="E947" s="35" t="str">
        <x:v>Condition</x:v>
      </x:c>
      <x:c r="F947" s="35"/>
      <x:c r="G947" s="35" t="str">
        <x:v>A</x:v>
      </x:c>
      <x:c r="H947" s="39" t="str">
        <x:f>IF(ISNUMBER('Data'!N93),'Data'!N93*100,"")</x:f>
      </x:c>
      <x:c r="I947" s="35"/>
      <x:c r="J947" s="35" t="str">
        <x:v>PASS</x:v>
      </x:c>
      <x:c r="K947" s="35" t="str">
        <x:v>FAIL</x:v>
      </x:c>
      <x:c r="L947" s="35" t="str">
        <x:v>NOT_RUN</x:v>
      </x:c>
      <x:c r="M947" s="35" t="str">
        <x:v>coverage unavailable or execution/compile failed</x:v>
      </x:c>
      <x:c r="N947" s="35" t="str">
        <x:v>Gemini-3.8-flash/Result/Closure_122/result.json</x:v>
      </x:c>
      <x:c r="O947" s="39" t="str">
        <x:f>IF(AND(G947="RECORDED",ISNUMBER(H947)),H947,"")</x:f>
      </x:c>
      <x:c r="P947" s="35" t="str">
        <x:v>NOT_AVAILABLE</x:v>
      </x:c>
      <x:c r="Q947" s="35" t="str">
        <x:v>Gemini-3.8-flash/Result/Closure_122/result.json</x:v>
      </x:c>
    </x:row>
    <x:row r="948">
      <x:c r="A948" s="35" t="str">
        <x:v>gemini</x:v>
      </x:c>
      <x:c r="B948" s="35" t="str">
        <x:v>Closure</x:v>
      </x:c>
      <x:c r="C948" s="35" t="str">
        <x:v>Round1</x:v>
      </x:c>
      <x:c r="D948" s="35" t="str">
        <x:v>Closure_123</x:v>
      </x:c>
      <x:c r="E948" s="35" t="str">
        <x:v>Condition</x:v>
      </x:c>
      <x:c r="F948" s="35"/>
      <x:c r="G948" s="35" t="str">
        <x:v>A</x:v>
      </x:c>
      <x:c r="H948" s="39" t="str">
        <x:f>IF(ISNUMBER('Data'!N94),'Data'!N94*100,"")</x:f>
      </x:c>
      <x:c r="I948" s="35"/>
      <x:c r="J948" s="35" t="str">
        <x:v>PASS</x:v>
      </x:c>
      <x:c r="K948" s="35" t="str">
        <x:v>FAIL</x:v>
      </x:c>
      <x:c r="L948" s="35" t="str">
        <x:v>NOT_RUN</x:v>
      </x:c>
      <x:c r="M948" s="35" t="str">
        <x:v>coverage unavailable or execution/compile failed</x:v>
      </x:c>
      <x:c r="N948" s="35" t="str">
        <x:v>Gemini-3.8-flash/Result/Closure_123/result.json</x:v>
      </x:c>
      <x:c r="O948" s="39" t="str">
        <x:f>IF(AND(G948="RECORDED",ISNUMBER(H948)),H948,"")</x:f>
      </x:c>
      <x:c r="P948" s="35" t="str">
        <x:v>NOT_AVAILABLE</x:v>
      </x:c>
      <x:c r="Q948" s="35" t="str">
        <x:v>Gemini-3.8-flash/Result/Closure_123/result.json</x:v>
      </x:c>
    </x:row>
    <x:row r="949">
      <x:c r="A949" s="35" t="str">
        <x:v>gemini</x:v>
      </x:c>
      <x:c r="B949" s="35" t="str">
        <x:v>Closure</x:v>
      </x:c>
      <x:c r="C949" s="35" t="str">
        <x:v>Round1</x:v>
      </x:c>
      <x:c r="D949" s="35" t="str">
        <x:v>Closure_124</x:v>
      </x:c>
      <x:c r="E949" s="35" t="str">
        <x:v>Condition</x:v>
      </x:c>
      <x:c r="F949" s="35"/>
      <x:c r="G949" s="35" t="str">
        <x:v>A</x:v>
      </x:c>
      <x:c r="H949" s="39" t="str">
        <x:f>IF(ISNUMBER('Data'!N95),'Data'!N95*100,"")</x:f>
      </x:c>
      <x:c r="I949" s="35"/>
      <x:c r="J949" s="35" t="str">
        <x:v>PASS</x:v>
      </x:c>
      <x:c r="K949" s="35" t="str">
        <x:v>FAIL</x:v>
      </x:c>
      <x:c r="L949" s="35" t="str">
        <x:v>NOT_RUN</x:v>
      </x:c>
      <x:c r="M949" s="35" t="str">
        <x:v>coverage unavailable or execution/compile failed</x:v>
      </x:c>
      <x:c r="N949" s="35" t="str">
        <x:v>Gemini-3.8-flash/Result/Closure_124/result.json</x:v>
      </x:c>
      <x:c r="O949" s="39" t="str">
        <x:f>IF(AND(G949="RECORDED",ISNUMBER(H949)),H949,"")</x:f>
      </x:c>
      <x:c r="P949" s="35" t="str">
        <x:v>NOT_AVAILABLE</x:v>
      </x:c>
      <x:c r="Q949" s="35" t="str">
        <x:v>Gemini-3.8-flash/Result/Closure_124/result.json</x:v>
      </x:c>
    </x:row>
    <x:row r="950">
      <x:c r="A950" s="35" t="str">
        <x:v>gemini</x:v>
      </x:c>
      <x:c r="B950" s="35" t="str">
        <x:v>Closure</x:v>
      </x:c>
      <x:c r="C950" s="35" t="str">
        <x:v>Round1</x:v>
      </x:c>
      <x:c r="D950" s="35" t="str">
        <x:v>Closure_125</x:v>
      </x:c>
      <x:c r="E950" s="35" t="str">
        <x:v>Condition</x:v>
      </x:c>
      <x:c r="F950" s="35"/>
      <x:c r="G950" s="35" t="str">
        <x:v>A</x:v>
      </x:c>
      <x:c r="H950" s="39" t="str">
        <x:f>IF(ISNUMBER('Data'!N96),'Data'!N96*100,"")</x:f>
      </x:c>
      <x:c r="I950" s="35"/>
      <x:c r="J950" s="35" t="str">
        <x:v>PASS</x:v>
      </x:c>
      <x:c r="K950" s="35" t="str">
        <x:v>FAIL</x:v>
      </x:c>
      <x:c r="L950" s="35" t="str">
        <x:v>NOT_RUN</x:v>
      </x:c>
      <x:c r="M950" s="35" t="str">
        <x:v>coverage unavailable or execution/compile failed</x:v>
      </x:c>
      <x:c r="N950" s="35" t="str">
        <x:v>Gemini-3.8-flash/Result/Closure_125/result.json</x:v>
      </x:c>
      <x:c r="O950" s="39" t="str">
        <x:f>IF(AND(G950="RECORDED",ISNUMBER(H950)),H950,"")</x:f>
      </x:c>
      <x:c r="P950" s="35" t="str">
        <x:v>NOT_AVAILABLE</x:v>
      </x:c>
      <x:c r="Q950" s="35" t="str">
        <x:v>Gemini-3.8-flash/Result/Closure_125/result.json</x:v>
      </x:c>
    </x:row>
    <x:row r="951">
      <x:c r="A951" s="35" t="str">
        <x:v>gemini</x:v>
      </x:c>
      <x:c r="B951" s="35" t="str">
        <x:v>Closure</x:v>
      </x:c>
      <x:c r="C951" s="35" t="str">
        <x:v>Round1</x:v>
      </x:c>
      <x:c r="D951" s="35" t="str">
        <x:v>Closure_126</x:v>
      </x:c>
      <x:c r="E951" s="35" t="str">
        <x:v>Condition</x:v>
      </x:c>
      <x:c r="F951" s="35"/>
      <x:c r="G951" s="35" t="str">
        <x:v>A</x:v>
      </x:c>
      <x:c r="H951" s="39" t="str">
        <x:f>IF(ISNUMBER('Data'!N97),'Data'!N97*100,"")</x:f>
      </x:c>
      <x:c r="I951" s="35"/>
      <x:c r="J951" s="35" t="str">
        <x:v>PASS</x:v>
      </x:c>
      <x:c r="K951" s="35" t="str">
        <x:v>FAIL</x:v>
      </x:c>
      <x:c r="L951" s="35" t="str">
        <x:v>NOT_RUN</x:v>
      </x:c>
      <x:c r="M951" s="35" t="str">
        <x:v>coverage unavailable or execution/compile failed</x:v>
      </x:c>
      <x:c r="N951" s="35" t="str">
        <x:v>Gemini-3.8-flash/Result/Closure_126/result.json</x:v>
      </x:c>
      <x:c r="O951" s="39" t="str">
        <x:f>IF(AND(G951="RECORDED",ISNUMBER(H951)),H951,"")</x:f>
      </x:c>
      <x:c r="P951" s="35" t="str">
        <x:v>NOT_AVAILABLE</x:v>
      </x:c>
      <x:c r="Q951" s="35" t="str">
        <x:v>Gemini-3.8-flash/Result/Closure_126/result.json</x:v>
      </x:c>
    </x:row>
    <x:row r="952">
      <x:c r="A952" s="35" t="str">
        <x:v>gemini</x:v>
      </x:c>
      <x:c r="B952" s="35" t="str">
        <x:v>Closure</x:v>
      </x:c>
      <x:c r="C952" s="35" t="str">
        <x:v>Round1</x:v>
      </x:c>
      <x:c r="D952" s="35" t="str">
        <x:v>Closure_127</x:v>
      </x:c>
      <x:c r="E952" s="35" t="str">
        <x:v>Condition</x:v>
      </x:c>
      <x:c r="F952" s="35"/>
      <x:c r="G952" s="35" t="str">
        <x:v>A</x:v>
      </x:c>
      <x:c r="H952" s="39" t="str">
        <x:f>IF(ISNUMBER('Data'!N98),'Data'!N98*100,"")</x:f>
      </x:c>
      <x:c r="I952" s="35"/>
      <x:c r="J952" s="35" t="str">
        <x:v>PASS</x:v>
      </x:c>
      <x:c r="K952" s="35" t="str">
        <x:v>FAIL</x:v>
      </x:c>
      <x:c r="L952" s="35" t="str">
        <x:v>NOT_RUN</x:v>
      </x:c>
      <x:c r="M952" s="35" t="str">
        <x:v>coverage unavailable or execution/compile failed</x:v>
      </x:c>
      <x:c r="N952" s="35" t="str">
        <x:v>Gemini-3.8-flash/Result/Closure_127/result.json</x:v>
      </x:c>
      <x:c r="O952" s="39" t="str">
        <x:f>IF(AND(G952="RECORDED",ISNUMBER(H952)),H952,"")</x:f>
      </x:c>
      <x:c r="P952" s="35" t="str">
        <x:v>NOT_AVAILABLE</x:v>
      </x:c>
      <x:c r="Q952" s="35" t="str">
        <x:v>Gemini-3.8-flash/Result/Closure_127/result.json</x:v>
      </x:c>
    </x:row>
    <x:row r="953">
      <x:c r="A953" s="35" t="str">
        <x:v>gemini</x:v>
      </x:c>
      <x:c r="B953" s="35" t="str">
        <x:v>Closure</x:v>
      </x:c>
      <x:c r="C953" s="35" t="str">
        <x:v>Round1</x:v>
      </x:c>
      <x:c r="D953" s="35" t="str">
        <x:v>Closure_128</x:v>
      </x:c>
      <x:c r="E953" s="35" t="str">
        <x:v>Condition</x:v>
      </x:c>
      <x:c r="F953" s="35"/>
      <x:c r="G953" s="35" t="str">
        <x:v>A</x:v>
      </x:c>
      <x:c r="H953" s="39" t="str">
        <x:f>IF(ISNUMBER('Data'!N99),'Data'!N99*100,"")</x:f>
      </x:c>
      <x:c r="I953" s="35"/>
      <x:c r="J953" s="35" t="str">
        <x:v>PASS</x:v>
      </x:c>
      <x:c r="K953" s="35" t="str">
        <x:v>FAIL</x:v>
      </x:c>
      <x:c r="L953" s="35" t="str">
        <x:v>NOT_RUN</x:v>
      </x:c>
      <x:c r="M953" s="35" t="str">
        <x:v>coverage unavailable or execution/compile failed</x:v>
      </x:c>
      <x:c r="N953" s="35" t="str">
        <x:v>Gemini-3.8-flash/Result/Closure_128/result.json</x:v>
      </x:c>
      <x:c r="O953" s="39" t="str">
        <x:f>IF(AND(G953="RECORDED",ISNUMBER(H953)),H953,"")</x:f>
      </x:c>
      <x:c r="P953" s="35" t="str">
        <x:v>NOT_AVAILABLE</x:v>
      </x:c>
      <x:c r="Q953" s="35" t="str">
        <x:v>Gemini-3.8-flash/Result/Closure_128/result.json</x:v>
      </x:c>
    </x:row>
    <x:row r="954">
      <x:c r="A954" s="35" t="str">
        <x:v>gemini</x:v>
      </x:c>
      <x:c r="B954" s="35" t="str">
        <x:v>Closure</x:v>
      </x:c>
      <x:c r="C954" s="35" t="str">
        <x:v>Round1</x:v>
      </x:c>
      <x:c r="D954" s="35" t="str">
        <x:v>Closure_129</x:v>
      </x:c>
      <x:c r="E954" s="35" t="str">
        <x:v>Condition</x:v>
      </x:c>
      <x:c r="F954" s="35"/>
      <x:c r="G954" s="35" t="str">
        <x:v>A</x:v>
      </x:c>
      <x:c r="H954" s="39" t="str">
        <x:f>IF(ISNUMBER('Data'!N100),'Data'!N100*100,"")</x:f>
      </x:c>
      <x:c r="I954" s="35"/>
      <x:c r="J954" s="35" t="str">
        <x:v>PASS</x:v>
      </x:c>
      <x:c r="K954" s="35" t="str">
        <x:v>FAIL</x:v>
      </x:c>
      <x:c r="L954" s="35" t="str">
        <x:v>NOT_RUN</x:v>
      </x:c>
      <x:c r="M954" s="35" t="str">
        <x:v>coverage unavailable or execution/compile failed</x:v>
      </x:c>
      <x:c r="N954" s="35" t="str">
        <x:v>Gemini-3.8-flash/Result/Closure_129/result.json</x:v>
      </x:c>
      <x:c r="O954" s="39" t="str">
        <x:f>IF(AND(G954="RECORDED",ISNUMBER(H954)),H954,"")</x:f>
      </x:c>
      <x:c r="P954" s="35" t="str">
        <x:v>NOT_AVAILABLE</x:v>
      </x:c>
      <x:c r="Q954" s="35" t="str">
        <x:v>Gemini-3.8-flash/Result/Closure_129/result.json</x:v>
      </x:c>
    </x:row>
    <x:row r="955">
      <x:c r="A955" s="35" t="str">
        <x:v>gemini</x:v>
      </x:c>
      <x:c r="B955" s="35" t="str">
        <x:v>Closure</x:v>
      </x:c>
      <x:c r="C955" s="35" t="str">
        <x:v>Round1</x:v>
      </x:c>
      <x:c r="D955" s="35" t="str">
        <x:v>Closure_13</x:v>
      </x:c>
      <x:c r="E955" s="35" t="str">
        <x:v>Condition</x:v>
      </x:c>
      <x:c r="F955" s="35"/>
      <x:c r="G955" s="35" t="str">
        <x:v>A</x:v>
      </x:c>
      <x:c r="H955" s="39" t="str">
        <x:f>IF(ISNUMBER('Data'!N101),'Data'!N101*100,"")</x:f>
      </x:c>
      <x:c r="I955" s="35"/>
      <x:c r="J955" s="35" t="str">
        <x:v>PASS</x:v>
      </x:c>
      <x:c r="K955" s="35" t="str">
        <x:v>FAIL</x:v>
      </x:c>
      <x:c r="L955" s="35" t="str">
        <x:v>NOT_RUN</x:v>
      </x:c>
      <x:c r="M955" s="35" t="str">
        <x:v>coverage unavailable or execution/compile failed</x:v>
      </x:c>
      <x:c r="N955" s="35" t="str">
        <x:v>Gemini-3.8-flash/Result/Closure_13/result.json</x:v>
      </x:c>
      <x:c r="O955" s="39" t="str">
        <x:f>IF(AND(G955="RECORDED",ISNUMBER(H955)),H955,"")</x:f>
      </x:c>
      <x:c r="P955" s="35" t="str">
        <x:v>NOT_AVAILABLE</x:v>
      </x:c>
      <x:c r="Q955" s="35" t="str">
        <x:v>Gemini-3.8-flash/Result/Closure_13/result.json</x:v>
      </x:c>
    </x:row>
    <x:row r="956">
      <x:c r="A956" s="35" t="str">
        <x:v>gemini</x:v>
      </x:c>
      <x:c r="B956" s="35" t="str">
        <x:v>Closure</x:v>
      </x:c>
      <x:c r="C956" s="35" t="str">
        <x:v>Round1</x:v>
      </x:c>
      <x:c r="D956" s="35" t="str">
        <x:v>Closure_130</x:v>
      </x:c>
      <x:c r="E956" s="35" t="str">
        <x:v>Condition</x:v>
      </x:c>
      <x:c r="F956" s="35"/>
      <x:c r="G956" s="35" t="str">
        <x:v>A</x:v>
      </x:c>
      <x:c r="H956" s="39" t="str">
        <x:f>IF(ISNUMBER('Data'!N102),'Data'!N102*100,"")</x:f>
      </x:c>
      <x:c r="I956" s="35"/>
      <x:c r="J956" s="35" t="str">
        <x:v>PASS</x:v>
      </x:c>
      <x:c r="K956" s="35" t="str">
        <x:v>FAIL</x:v>
      </x:c>
      <x:c r="L956" s="35" t="str">
        <x:v>NOT_RUN</x:v>
      </x:c>
      <x:c r="M956" s="35" t="str">
        <x:v>coverage unavailable or execution/compile failed</x:v>
      </x:c>
      <x:c r="N956" s="35" t="str">
        <x:v>Gemini-3.8-flash/Result/Closure_130/result.json</x:v>
      </x:c>
      <x:c r="O956" s="39" t="str">
        <x:f>IF(AND(G956="RECORDED",ISNUMBER(H956)),H956,"")</x:f>
      </x:c>
      <x:c r="P956" s="35" t="str">
        <x:v>NOT_AVAILABLE</x:v>
      </x:c>
      <x:c r="Q956" s="35" t="str">
        <x:v>Gemini-3.8-flash/Result/Closure_130/result.json</x:v>
      </x:c>
    </x:row>
    <x:row r="957">
      <x:c r="A957" s="35" t="str">
        <x:v>gemini</x:v>
      </x:c>
      <x:c r="B957" s="35" t="str">
        <x:v>Closure</x:v>
      </x:c>
      <x:c r="C957" s="35" t="str">
        <x:v>Round1</x:v>
      </x:c>
      <x:c r="D957" s="35" t="str">
        <x:v>Closure_131</x:v>
      </x:c>
      <x:c r="E957" s="35" t="str">
        <x:v>Condition</x:v>
      </x:c>
      <x:c r="F957" s="35" t="n">
        <x:v>165</x:v>
      </x:c>
      <x:c r="G957" s="35" t="str">
        <x:v>RECORDED</x:v>
      </x:c>
      <x:c r="H957" s="39" t="n">
        <x:f>IF(ISNUMBER('Data'!N103),'Data'!N103*100,"")</x:f>
        <x:v>83.64</x:v>
      </x:c>
      <x:c r="I957" s="35" t="str">
        <x:v>PASS</x:v>
      </x:c>
      <x:c r="J957" s="35" t="str">
        <x:v>PASS</x:v>
      </x:c>
      <x:c r="K957" s="35" t="str">
        <x:v>PASS</x:v>
      </x:c>
      <x:c r="L957" s="35" t="str">
        <x:v>FAIL</x:v>
      </x:c>
      <x:c r="M957" s="35" t="str">
        <x:v>numeric coverage for applicable metric</x:v>
      </x:c>
      <x:c r="N957" s="35" t="str">
        <x:v>Gemini-3.8-flash/Result/Closure_131/result.json</x:v>
      </x:c>
      <x:c r="O957" s="39" t="n">
        <x:f>IF(AND(G957="RECORDED",ISNUMBER(H957)),H957,"")</x:f>
        <x:v>83.64</x:v>
      </x:c>
      <x:c r="P957" s="35" t="str">
        <x:v>REVEALING</x:v>
      </x:c>
      <x:c r="Q957" s="35" t="str">
        <x:v>Gemini-3.8-flash/Result/Closure_131/result.json</x:v>
      </x:c>
    </x:row>
    <x:row r="958">
      <x:c r="A958" s="35" t="str">
        <x:v>gemini</x:v>
      </x:c>
      <x:c r="B958" s="35" t="str">
        <x:v>Closure</x:v>
      </x:c>
      <x:c r="C958" s="35" t="str">
        <x:v>Round1</x:v>
      </x:c>
      <x:c r="D958" s="35" t="str">
        <x:v>Closure_132</x:v>
      </x:c>
      <x:c r="E958" s="35" t="str">
        <x:v>Condition</x:v>
      </x:c>
      <x:c r="F958" s="35"/>
      <x:c r="G958" s="35" t="str">
        <x:v>A</x:v>
      </x:c>
      <x:c r="H958" s="39" t="str">
        <x:f>IF(ISNUMBER('Data'!N104),'Data'!N104*100,"")</x:f>
      </x:c>
      <x:c r="I958" s="35"/>
      <x:c r="J958" s="35" t="str">
        <x:v>PASS</x:v>
      </x:c>
      <x:c r="K958" s="35" t="str">
        <x:v>FAIL</x:v>
      </x:c>
      <x:c r="L958" s="35" t="str">
        <x:v>NOT_RUN</x:v>
      </x:c>
      <x:c r="M958" s="35" t="str">
        <x:v>coverage unavailable or execution/compile failed</x:v>
      </x:c>
      <x:c r="N958" s="35" t="str">
        <x:v>Gemini-3.8-flash/Result/Closure_132/result.json</x:v>
      </x:c>
      <x:c r="O958" s="39" t="str">
        <x:f>IF(AND(G958="RECORDED",ISNUMBER(H958)),H958,"")</x:f>
      </x:c>
      <x:c r="P958" s="35" t="str">
        <x:v>NOT_AVAILABLE</x:v>
      </x:c>
      <x:c r="Q958" s="35" t="str">
        <x:v>Gemini-3.8-flash/Result/Closure_132/result.json</x:v>
      </x:c>
    </x:row>
    <x:row r="959">
      <x:c r="A959" s="35" t="str">
        <x:v>gemini</x:v>
      </x:c>
      <x:c r="B959" s="35" t="str">
        <x:v>Closure</x:v>
      </x:c>
      <x:c r="C959" s="35" t="str">
        <x:v>Round1</x:v>
      </x:c>
      <x:c r="D959" s="35" t="str">
        <x:v>Closure_133</x:v>
      </x:c>
      <x:c r="E959" s="35" t="str">
        <x:v>Condition</x:v>
      </x:c>
      <x:c r="F959" s="35"/>
      <x:c r="G959" s="35" t="str">
        <x:v>A</x:v>
      </x:c>
      <x:c r="H959" s="39" t="str">
        <x:f>IF(ISNUMBER('Data'!N105),'Data'!N105*100,"")</x:f>
      </x:c>
      <x:c r="I959" s="35"/>
      <x:c r="J959" s="35" t="str">
        <x:v>PASS</x:v>
      </x:c>
      <x:c r="K959" s="35" t="str">
        <x:v>FAIL</x:v>
      </x:c>
      <x:c r="L959" s="35" t="str">
        <x:v>NOT_RUN</x:v>
      </x:c>
      <x:c r="M959" s="35" t="str">
        <x:v>coverage unavailable or execution/compile failed</x:v>
      </x:c>
      <x:c r="N959" s="35" t="str">
        <x:v>Gemini-3.8-flash/Result/Closure_133/result.json</x:v>
      </x:c>
      <x:c r="O959" s="39" t="str">
        <x:f>IF(AND(G959="RECORDED",ISNUMBER(H959)),H959,"")</x:f>
      </x:c>
      <x:c r="P959" s="35" t="str">
        <x:v>NOT_AVAILABLE</x:v>
      </x:c>
      <x:c r="Q959" s="35" t="str">
        <x:v>Gemini-3.8-flash/Result/Closure_133/result.json</x:v>
      </x:c>
    </x:row>
    <x:row r="960">
      <x:c r="A960" s="35" t="str">
        <x:v>gemini</x:v>
      </x:c>
      <x:c r="B960" s="35" t="str">
        <x:v>Closure</x:v>
      </x:c>
      <x:c r="C960" s="35" t="str">
        <x:v>Round1</x:v>
      </x:c>
      <x:c r="D960" s="35" t="str">
        <x:v>Closure_134</x:v>
      </x:c>
      <x:c r="E960" s="35" t="str">
        <x:v>Condition</x:v>
      </x:c>
      <x:c r="F960" s="35"/>
      <x:c r="G960" s="35" t="str">
        <x:v>A</x:v>
      </x:c>
      <x:c r="H960" s="39" t="str">
        <x:f>IF(ISNUMBER('Data'!N106),'Data'!N106*100,"")</x:f>
      </x:c>
      <x:c r="I960" s="35"/>
      <x:c r="J960" s="35" t="str">
        <x:v>PASS</x:v>
      </x:c>
      <x:c r="K960" s="35" t="str">
        <x:v>FAIL</x:v>
      </x:c>
      <x:c r="L960" s="35" t="str">
        <x:v>NOT_RUN</x:v>
      </x:c>
      <x:c r="M960" s="35" t="str">
        <x:v>coverage unavailable or execution/compile failed</x:v>
      </x:c>
      <x:c r="N960" s="35" t="str">
        <x:v>Gemini-3.8-flash/Result/Closure_134/result.json</x:v>
      </x:c>
      <x:c r="O960" s="39" t="str">
        <x:f>IF(AND(G960="RECORDED",ISNUMBER(H960)),H960,"")</x:f>
      </x:c>
      <x:c r="P960" s="35" t="str">
        <x:v>NOT_AVAILABLE</x:v>
      </x:c>
      <x:c r="Q960" s="35" t="str">
        <x:v>Gemini-3.8-flash/Result/Closure_134/result.json</x:v>
      </x:c>
    </x:row>
    <x:row r="961">
      <x:c r="A961" s="35" t="str">
        <x:v>gemini</x:v>
      </x:c>
      <x:c r="B961" s="35" t="str">
        <x:v>Closure</x:v>
      </x:c>
      <x:c r="C961" s="35" t="str">
        <x:v>Round1</x:v>
      </x:c>
      <x:c r="D961" s="35" t="str">
        <x:v>Closure_135</x:v>
      </x:c>
      <x:c r="E961" s="35" t="str">
        <x:v>Condition</x:v>
      </x:c>
      <x:c r="F961" s="35"/>
      <x:c r="G961" s="35" t="str">
        <x:v>A</x:v>
      </x:c>
      <x:c r="H961" s="39" t="str">
        <x:f>IF(ISNUMBER('Data'!N107),'Data'!N107*100,"")</x:f>
      </x:c>
      <x:c r="I961" s="35"/>
      <x:c r="J961" s="35" t="str">
        <x:v>PASS</x:v>
      </x:c>
      <x:c r="K961" s="35" t="str">
        <x:v>FAIL</x:v>
      </x:c>
      <x:c r="L961" s="35" t="str">
        <x:v>NOT_RUN</x:v>
      </x:c>
      <x:c r="M961" s="35" t="str">
        <x:v>coverage unavailable or execution/compile failed</x:v>
      </x:c>
      <x:c r="N961" s="35" t="str">
        <x:v>Gemini-3.8-flash/Result/Closure_135/result.json</x:v>
      </x:c>
      <x:c r="O961" s="39" t="str">
        <x:f>IF(AND(G961="RECORDED",ISNUMBER(H961)),H961,"")</x:f>
      </x:c>
      <x:c r="P961" s="35" t="str">
        <x:v>NOT_AVAILABLE</x:v>
      </x:c>
      <x:c r="Q961" s="35" t="str">
        <x:v>Gemini-3.8-flash/Result/Closure_135/result.json</x:v>
      </x:c>
    </x:row>
    <x:row r="962">
      <x:c r="A962" s="35" t="str">
        <x:v>gemini</x:v>
      </x:c>
      <x:c r="B962" s="35" t="str">
        <x:v>Closure</x:v>
      </x:c>
      <x:c r="C962" s="35" t="str">
        <x:v>Round1</x:v>
      </x:c>
      <x:c r="D962" s="35" t="str">
        <x:v>Closure_136</x:v>
      </x:c>
      <x:c r="E962" s="35" t="str">
        <x:v>Condition</x:v>
      </x:c>
      <x:c r="F962" s="35"/>
      <x:c r="G962" s="35" t="str">
        <x:v>A</x:v>
      </x:c>
      <x:c r="H962" s="39" t="str">
        <x:f>IF(ISNUMBER('Data'!N108),'Data'!N108*100,"")</x:f>
      </x:c>
      <x:c r="I962" s="35"/>
      <x:c r="J962" s="35" t="str">
        <x:v>PASS</x:v>
      </x:c>
      <x:c r="K962" s="35" t="str">
        <x:v>FAIL</x:v>
      </x:c>
      <x:c r="L962" s="35" t="str">
        <x:v>NOT_RUN</x:v>
      </x:c>
      <x:c r="M962" s="35" t="str">
        <x:v>coverage unavailable or execution/compile failed</x:v>
      </x:c>
      <x:c r="N962" s="35" t="str">
        <x:v>Gemini-3.8-flash/Result/Closure_136/result.json</x:v>
      </x:c>
      <x:c r="O962" s="39" t="str">
        <x:f>IF(AND(G962="RECORDED",ISNUMBER(H962)),H962,"")</x:f>
      </x:c>
      <x:c r="P962" s="35" t="str">
        <x:v>NOT_AVAILABLE</x:v>
      </x:c>
      <x:c r="Q962" s="35" t="str">
        <x:v>Gemini-3.8-flash/Result/Closure_136/result.json</x:v>
      </x:c>
    </x:row>
    <x:row r="963">
      <x:c r="A963" s="35" t="str">
        <x:v>gemini</x:v>
      </x:c>
      <x:c r="B963" s="35" t="str">
        <x:v>Closure</x:v>
      </x:c>
      <x:c r="C963" s="35" t="str">
        <x:v>Round1</x:v>
      </x:c>
      <x:c r="D963" s="35" t="str">
        <x:v>Closure_137</x:v>
      </x:c>
      <x:c r="E963" s="35" t="str">
        <x:v>Condition</x:v>
      </x:c>
      <x:c r="F963" s="35"/>
      <x:c r="G963" s="35" t="str">
        <x:v>A</x:v>
      </x:c>
      <x:c r="H963" s="39" t="str">
        <x:f>IF(ISNUMBER('Data'!N109),'Data'!N109*100,"")</x:f>
      </x:c>
      <x:c r="I963" s="35"/>
      <x:c r="J963" s="35" t="str">
        <x:v>PASS</x:v>
      </x:c>
      <x:c r="K963" s="35" t="str">
        <x:v>FAIL</x:v>
      </x:c>
      <x:c r="L963" s="35" t="str">
        <x:v>NOT_RUN</x:v>
      </x:c>
      <x:c r="M963" s="35" t="str">
        <x:v>coverage unavailable or execution/compile failed</x:v>
      </x:c>
      <x:c r="N963" s="35" t="str">
        <x:v>Gemini-3.8-flash/Result/Closure_137/result.json</x:v>
      </x:c>
      <x:c r="O963" s="39" t="str">
        <x:f>IF(AND(G963="RECORDED",ISNUMBER(H963)),H963,"")</x:f>
      </x:c>
      <x:c r="P963" s="35" t="str">
        <x:v>NOT_AVAILABLE</x:v>
      </x:c>
      <x:c r="Q963" s="35" t="str">
        <x:v>Gemini-3.8-flash/Result/Closure_137/result.json</x:v>
      </x:c>
    </x:row>
    <x:row r="964">
      <x:c r="A964" s="35" t="str">
        <x:v>gemini</x:v>
      </x:c>
      <x:c r="B964" s="35" t="str">
        <x:v>Closure</x:v>
      </x:c>
      <x:c r="C964" s="35" t="str">
        <x:v>Round1</x:v>
      </x:c>
      <x:c r="D964" s="35" t="str">
        <x:v>Closure_138</x:v>
      </x:c>
      <x:c r="E964" s="35" t="str">
        <x:v>Condition</x:v>
      </x:c>
      <x:c r="F964" s="35"/>
      <x:c r="G964" s="35" t="str">
        <x:v>A</x:v>
      </x:c>
      <x:c r="H964" s="39" t="str">
        <x:f>IF(ISNUMBER('Data'!N110),'Data'!N110*100,"")</x:f>
      </x:c>
      <x:c r="I964" s="35"/>
      <x:c r="J964" s="35" t="str">
        <x:v>PASS</x:v>
      </x:c>
      <x:c r="K964" s="35" t="str">
        <x:v>FAIL</x:v>
      </x:c>
      <x:c r="L964" s="35" t="str">
        <x:v>NOT_RUN</x:v>
      </x:c>
      <x:c r="M964" s="35" t="str">
        <x:v>coverage unavailable or execution/compile failed</x:v>
      </x:c>
      <x:c r="N964" s="35" t="str">
        <x:v>Gemini-3.8-flash/Result/Closure_138/result.json</x:v>
      </x:c>
      <x:c r="O964" s="39" t="str">
        <x:f>IF(AND(G964="RECORDED",ISNUMBER(H964)),H964,"")</x:f>
      </x:c>
      <x:c r="P964" s="35" t="str">
        <x:v>NOT_AVAILABLE</x:v>
      </x:c>
      <x:c r="Q964" s="35" t="str">
        <x:v>Gemini-3.8-flash/Result/Closure_138/result.json</x:v>
      </x:c>
    </x:row>
    <x:row r="965">
      <x:c r="A965" s="35" t="str">
        <x:v>gemini</x:v>
      </x:c>
      <x:c r="B965" s="35" t="str">
        <x:v>Closure</x:v>
      </x:c>
      <x:c r="C965" s="35" t="str">
        <x:v>Round1</x:v>
      </x:c>
      <x:c r="D965" s="35" t="str">
        <x:v>Closure_139</x:v>
      </x:c>
      <x:c r="E965" s="35" t="str">
        <x:v>Condition</x:v>
      </x:c>
      <x:c r="F965" s="35"/>
      <x:c r="G965" s="35" t="str">
        <x:v>A</x:v>
      </x:c>
      <x:c r="H965" s="39" t="str">
        <x:f>IF(ISNUMBER('Data'!N111),'Data'!N111*100,"")</x:f>
      </x:c>
      <x:c r="I965" s="35"/>
      <x:c r="J965" s="35" t="str">
        <x:v>PASS</x:v>
      </x:c>
      <x:c r="K965" s="35" t="str">
        <x:v>FAIL</x:v>
      </x:c>
      <x:c r="L965" s="35" t="str">
        <x:v>NOT_RUN</x:v>
      </x:c>
      <x:c r="M965" s="35" t="str">
        <x:v>coverage unavailable or execution/compile failed</x:v>
      </x:c>
      <x:c r="N965" s="35" t="str">
        <x:v>Gemini-3.8-flash/Result/Closure_139/result.json</x:v>
      </x:c>
      <x:c r="O965" s="39" t="str">
        <x:f>IF(AND(G965="RECORDED",ISNUMBER(H965)),H965,"")</x:f>
      </x:c>
      <x:c r="P965" s="35" t="str">
        <x:v>NOT_AVAILABLE</x:v>
      </x:c>
      <x:c r="Q965" s="35" t="str">
        <x:v>Gemini-3.8-flash/Result/Closure_139/result.json</x:v>
      </x:c>
    </x:row>
    <x:row r="966">
      <x:c r="A966" s="35" t="str">
        <x:v>gemini</x:v>
      </x:c>
      <x:c r="B966" s="35" t="str">
        <x:v>Closure</x:v>
      </x:c>
      <x:c r="C966" s="35" t="str">
        <x:v>Round1</x:v>
      </x:c>
      <x:c r="D966" s="35" t="str">
        <x:v>Closure_14</x:v>
      </x:c>
      <x:c r="E966" s="35" t="str">
        <x:v>Condition</x:v>
      </x:c>
      <x:c r="F966" s="35"/>
      <x:c r="G966" s="35" t="str">
        <x:v>A</x:v>
      </x:c>
      <x:c r="H966" s="39" t="str">
        <x:f>IF(ISNUMBER('Data'!N112),'Data'!N112*100,"")</x:f>
      </x:c>
      <x:c r="I966" s="35"/>
      <x:c r="J966" s="35" t="str">
        <x:v>PASS</x:v>
      </x:c>
      <x:c r="K966" s="35" t="str">
        <x:v>FAIL</x:v>
      </x:c>
      <x:c r="L966" s="35" t="str">
        <x:v>NOT_RUN</x:v>
      </x:c>
      <x:c r="M966" s="35" t="str">
        <x:v>coverage unavailable or execution/compile failed</x:v>
      </x:c>
      <x:c r="N966" s="35" t="str">
        <x:v>Gemini-3.8-flash/Result/Closure_14/result.json</x:v>
      </x:c>
      <x:c r="O966" s="39" t="str">
        <x:f>IF(AND(G966="RECORDED",ISNUMBER(H966)),H966,"")</x:f>
      </x:c>
      <x:c r="P966" s="35" t="str">
        <x:v>NOT_AVAILABLE</x:v>
      </x:c>
      <x:c r="Q966" s="35" t="str">
        <x:v>Gemini-3.8-flash/Result/Closure_14/result.json</x:v>
      </x:c>
    </x:row>
    <x:row r="967">
      <x:c r="A967" s="35" t="str">
        <x:v>gemini</x:v>
      </x:c>
      <x:c r="B967" s="35" t="str">
        <x:v>Closure</x:v>
      </x:c>
      <x:c r="C967" s="35" t="str">
        <x:v>Round1</x:v>
      </x:c>
      <x:c r="D967" s="35" t="str">
        <x:v>Closure_140</x:v>
      </x:c>
      <x:c r="E967" s="35" t="str">
        <x:v>Condition</x:v>
      </x:c>
      <x:c r="F967" s="35"/>
      <x:c r="G967" s="35" t="str">
        <x:v>A</x:v>
      </x:c>
      <x:c r="H967" s="39" t="str">
        <x:f>IF(ISNUMBER('Data'!N113),'Data'!N113*100,"")</x:f>
      </x:c>
      <x:c r="I967" s="35"/>
      <x:c r="J967" s="35" t="str">
        <x:v>PASS</x:v>
      </x:c>
      <x:c r="K967" s="35" t="str">
        <x:v>FAIL</x:v>
      </x:c>
      <x:c r="L967" s="35" t="str">
        <x:v>NOT_RUN</x:v>
      </x:c>
      <x:c r="M967" s="35" t="str">
        <x:v>coverage unavailable or execution/compile failed</x:v>
      </x:c>
      <x:c r="N967" s="35" t="str">
        <x:v>Gemini-3.8-flash/Result/Closure_140/result.json</x:v>
      </x:c>
      <x:c r="O967" s="39" t="str">
        <x:f>IF(AND(G967="RECORDED",ISNUMBER(H967)),H967,"")</x:f>
      </x:c>
      <x:c r="P967" s="35" t="str">
        <x:v>NOT_AVAILABLE</x:v>
      </x:c>
      <x:c r="Q967" s="35" t="str">
        <x:v>Gemini-3.8-flash/Result/Closure_140/result.json</x:v>
      </x:c>
    </x:row>
    <x:row r="968">
      <x:c r="A968" s="35" t="str">
        <x:v>gemini</x:v>
      </x:c>
      <x:c r="B968" s="35" t="str">
        <x:v>Closure</x:v>
      </x:c>
      <x:c r="C968" s="35" t="str">
        <x:v>Round1</x:v>
      </x:c>
      <x:c r="D968" s="35" t="str">
        <x:v>Closure_141</x:v>
      </x:c>
      <x:c r="E968" s="35" t="str">
        <x:v>Condition</x:v>
      </x:c>
      <x:c r="F968" s="35"/>
      <x:c r="G968" s="35" t="str">
        <x:v>A</x:v>
      </x:c>
      <x:c r="H968" s="39" t="str">
        <x:f>IF(ISNUMBER('Data'!N114),'Data'!N114*100,"")</x:f>
      </x:c>
      <x:c r="I968" s="35"/>
      <x:c r="J968" s="35" t="str">
        <x:v>PASS</x:v>
      </x:c>
      <x:c r="K968" s="35" t="str">
        <x:v>FAIL</x:v>
      </x:c>
      <x:c r="L968" s="35" t="str">
        <x:v>NOT_RUN</x:v>
      </x:c>
      <x:c r="M968" s="35" t="str">
        <x:v>coverage unavailable or execution/compile failed</x:v>
      </x:c>
      <x:c r="N968" s="35" t="str">
        <x:v>Gemini-3.8-flash/Result/Closure_141/result.json</x:v>
      </x:c>
      <x:c r="O968" s="39" t="str">
        <x:f>IF(AND(G968="RECORDED",ISNUMBER(H968)),H968,"")</x:f>
      </x:c>
      <x:c r="P968" s="35" t="str">
        <x:v>NOT_AVAILABLE</x:v>
      </x:c>
      <x:c r="Q968" s="35" t="str">
        <x:v>Gemini-3.8-flash/Result/Closure_141/result.json</x:v>
      </x:c>
    </x:row>
    <x:row r="969">
      <x:c r="A969" s="35" t="str">
        <x:v>gemini</x:v>
      </x:c>
      <x:c r="B969" s="35" t="str">
        <x:v>Closure</x:v>
      </x:c>
      <x:c r="C969" s="35" t="str">
        <x:v>Round1</x:v>
      </x:c>
      <x:c r="D969" s="35" t="str">
        <x:v>Closure_142</x:v>
      </x:c>
      <x:c r="E969" s="35" t="str">
        <x:v>Condition</x:v>
      </x:c>
      <x:c r="F969" s="35"/>
      <x:c r="G969" s="35" t="str">
        <x:v>A</x:v>
      </x:c>
      <x:c r="H969" s="39" t="str">
        <x:f>IF(ISNUMBER('Data'!N115),'Data'!N115*100,"")</x:f>
      </x:c>
      <x:c r="I969" s="35"/>
      <x:c r="J969" s="35" t="str">
        <x:v>PASS</x:v>
      </x:c>
      <x:c r="K969" s="35" t="str">
        <x:v>FAIL</x:v>
      </x:c>
      <x:c r="L969" s="35" t="str">
        <x:v>NOT_RUN</x:v>
      </x:c>
      <x:c r="M969" s="35" t="str">
        <x:v>coverage unavailable or execution/compile failed</x:v>
      </x:c>
      <x:c r="N969" s="35" t="str">
        <x:v>Gemini-3.8-flash/Result/Closure_142/result.json</x:v>
      </x:c>
      <x:c r="O969" s="39" t="str">
        <x:f>IF(AND(G969="RECORDED",ISNUMBER(H969)),H969,"")</x:f>
      </x:c>
      <x:c r="P969" s="35" t="str">
        <x:v>NOT_AVAILABLE</x:v>
      </x:c>
      <x:c r="Q969" s="35" t="str">
        <x:v>Gemini-3.8-flash/Result/Closure_142/result.json</x:v>
      </x:c>
    </x:row>
    <x:row r="970">
      <x:c r="A970" s="35" t="str">
        <x:v>gemini</x:v>
      </x:c>
      <x:c r="B970" s="35" t="str">
        <x:v>Closure</x:v>
      </x:c>
      <x:c r="C970" s="35" t="str">
        <x:v>Round1</x:v>
      </x:c>
      <x:c r="D970" s="35" t="str">
        <x:v>Closure_143</x:v>
      </x:c>
      <x:c r="E970" s="35" t="str">
        <x:v>Condition</x:v>
      </x:c>
      <x:c r="F970" s="35" t="n">
        <x:v>206</x:v>
      </x:c>
      <x:c r="G970" s="35" t="str">
        <x:v>RECORDED</x:v>
      </x:c>
      <x:c r="H970" s="39" t="n">
        <x:f>IF(ISNUMBER('Data'!N116),'Data'!N116*100,"")</x:f>
        <x:v>2.91</x:v>
      </x:c>
      <x:c r="I970" s="35" t="str">
        <x:v>PASS</x:v>
      </x:c>
      <x:c r="J970" s="35" t="str">
        <x:v>PASS</x:v>
      </x:c>
      <x:c r="K970" s="35" t="str">
        <x:v>PASS</x:v>
      </x:c>
      <x:c r="L970" s="35" t="str">
        <x:v>PASS</x:v>
      </x:c>
      <x:c r="M970" s="35" t="str">
        <x:v>numeric coverage for applicable metric</x:v>
      </x:c>
      <x:c r="N970" s="35" t="str">
        <x:v>Gemini-3.8-flash/Result/Closure_143/result.json</x:v>
      </x:c>
      <x:c r="O970" s="39" t="n">
        <x:f>IF(AND(G970="RECORDED",ISNUMBER(H970)),H970,"")</x:f>
        <x:v>2.91</x:v>
      </x:c>
      <x:c r="P970" s="35" t="str">
        <x:v>NOT_REVEALING</x:v>
      </x:c>
      <x:c r="Q970" s="35" t="str">
        <x:v>Gemini-3.8-flash/Result/Closure_143/result.json</x:v>
      </x:c>
    </x:row>
    <x:row r="971">
      <x:c r="A971" s="35" t="str">
        <x:v>gemini</x:v>
      </x:c>
      <x:c r="B971" s="35" t="str">
        <x:v>Closure</x:v>
      </x:c>
      <x:c r="C971" s="35" t="str">
        <x:v>Round1</x:v>
      </x:c>
      <x:c r="D971" s="35" t="str">
        <x:v>Closure_144</x:v>
      </x:c>
      <x:c r="E971" s="35" t="str">
        <x:v>Condition</x:v>
      </x:c>
      <x:c r="F971" s="35" t="n">
        <x:v>900</x:v>
      </x:c>
      <x:c r="G971" s="35" t="str">
        <x:v>RECORDED</x:v>
      </x:c>
      <x:c r="H971" s="39" t="n">
        <x:f>IF(ISNUMBER('Data'!N117),'Data'!N117*100,"")</x:f>
        <x:v>3.8900000000000006</x:v>
      </x:c>
      <x:c r="I971" s="35" t="str">
        <x:v>PASS</x:v>
      </x:c>
      <x:c r="J971" s="35" t="str">
        <x:v>PASS</x:v>
      </x:c>
      <x:c r="K971" s="35" t="str">
        <x:v>PASS</x:v>
      </x:c>
      <x:c r="L971" s="35" t="str">
        <x:v>FAIL</x:v>
      </x:c>
      <x:c r="M971" s="35" t="str">
        <x:v>numeric coverage for applicable metric</x:v>
      </x:c>
      <x:c r="N971" s="35" t="str">
        <x:v>Gemini-3.8-flash/Result/Closure_144/result.json</x:v>
      </x:c>
      <x:c r="O971" s="39" t="n">
        <x:f>IF(AND(G971="RECORDED",ISNUMBER(H971)),H971,"")</x:f>
        <x:v>3.8900000000000006</x:v>
      </x:c>
      <x:c r="P971" s="35" t="str">
        <x:v>INCONCLUSIVE</x:v>
      </x:c>
      <x:c r="Q971" s="35" t="str">
        <x:v>Gemini-3.8-flash/Result/Closure_144/result.json</x:v>
      </x:c>
    </x:row>
    <x:row r="972">
      <x:c r="A972" s="35" t="str">
        <x:v>gemini</x:v>
      </x:c>
      <x:c r="B972" s="35" t="str">
        <x:v>Closure</x:v>
      </x:c>
      <x:c r="C972" s="35" t="str">
        <x:v>Round1</x:v>
      </x:c>
      <x:c r="D972" s="35" t="str">
        <x:v>Closure_145</x:v>
      </x:c>
      <x:c r="E972" s="35" t="str">
        <x:v>Condition</x:v>
      </x:c>
      <x:c r="F972" s="35"/>
      <x:c r="G972" s="35" t="str">
        <x:v>A</x:v>
      </x:c>
      <x:c r="H972" s="39" t="str">
        <x:f>IF(ISNUMBER('Data'!N118),'Data'!N118*100,"")</x:f>
      </x:c>
      <x:c r="I972" s="35"/>
      <x:c r="J972" s="35" t="str">
        <x:v>PASS</x:v>
      </x:c>
      <x:c r="K972" s="35" t="str">
        <x:v>FAIL</x:v>
      </x:c>
      <x:c r="L972" s="35" t="str">
        <x:v>NOT_RUN</x:v>
      </x:c>
      <x:c r="M972" s="35" t="str">
        <x:v>coverage unavailable or execution/compile failed</x:v>
      </x:c>
      <x:c r="N972" s="35" t="str">
        <x:v>Gemini-3.8-flash/Result/Closure_145/result.json</x:v>
      </x:c>
      <x:c r="O972" s="39" t="str">
        <x:f>IF(AND(G972="RECORDED",ISNUMBER(H972)),H972,"")</x:f>
      </x:c>
      <x:c r="P972" s="35" t="str">
        <x:v>NOT_AVAILABLE</x:v>
      </x:c>
      <x:c r="Q972" s="35" t="str">
        <x:v>Gemini-3.8-flash/Result/Closure_145/result.json</x:v>
      </x:c>
    </x:row>
    <x:row r="973">
      <x:c r="A973" s="35" t="str">
        <x:v>gemini</x:v>
      </x:c>
      <x:c r="B973" s="35" t="str">
        <x:v>Closure</x:v>
      </x:c>
      <x:c r="C973" s="35" t="str">
        <x:v>Round1</x:v>
      </x:c>
      <x:c r="D973" s="35" t="str">
        <x:v>Closure_146</x:v>
      </x:c>
      <x:c r="E973" s="35" t="str">
        <x:v>Condition</x:v>
      </x:c>
      <x:c r="F973" s="35"/>
      <x:c r="G973" s="35" t="str">
        <x:v>A</x:v>
      </x:c>
      <x:c r="H973" s="39" t="str">
        <x:f>IF(ISNUMBER('Data'!N119),'Data'!N119*100,"")</x:f>
      </x:c>
      <x:c r="I973" s="35"/>
      <x:c r="J973" s="35" t="str">
        <x:v>PASS</x:v>
      </x:c>
      <x:c r="K973" s="35" t="str">
        <x:v>FAIL</x:v>
      </x:c>
      <x:c r="L973" s="35" t="str">
        <x:v>NOT_RUN</x:v>
      </x:c>
      <x:c r="M973" s="35" t="str">
        <x:v>coverage unavailable or execution/compile failed</x:v>
      </x:c>
      <x:c r="N973" s="35" t="str">
        <x:v>Gemini-3.8-flash/Result/Closure_146/result.json</x:v>
      </x:c>
      <x:c r="O973" s="39" t="str">
        <x:f>IF(AND(G973="RECORDED",ISNUMBER(H973)),H973,"")</x:f>
      </x:c>
      <x:c r="P973" s="35" t="str">
        <x:v>NOT_AVAILABLE</x:v>
      </x:c>
      <x:c r="Q973" s="35" t="str">
        <x:v>Gemini-3.8-flash/Result/Closure_146/result.json</x:v>
      </x:c>
    </x:row>
    <x:row r="974">
      <x:c r="A974" s="35" t="str">
        <x:v>gemini</x:v>
      </x:c>
      <x:c r="B974" s="35" t="str">
        <x:v>Closure</x:v>
      </x:c>
      <x:c r="C974" s="35" t="str">
        <x:v>Round1</x:v>
      </x:c>
      <x:c r="D974" s="35" t="str">
        <x:v>Closure_147</x:v>
      </x:c>
      <x:c r="E974" s="35" t="str">
        <x:v>Condition</x:v>
      </x:c>
      <x:c r="F974" s="35"/>
      <x:c r="G974" s="35" t="str">
        <x:v>A</x:v>
      </x:c>
      <x:c r="H974" s="39" t="str">
        <x:f>IF(ISNUMBER('Data'!N120),'Data'!N120*100,"")</x:f>
      </x:c>
      <x:c r="I974" s="35"/>
      <x:c r="J974" s="35" t="str">
        <x:v>PASS</x:v>
      </x:c>
      <x:c r="K974" s="35" t="str">
        <x:v>FAIL</x:v>
      </x:c>
      <x:c r="L974" s="35" t="str">
        <x:v>NOT_RUN</x:v>
      </x:c>
      <x:c r="M974" s="35" t="str">
        <x:v>coverage unavailable or execution/compile failed</x:v>
      </x:c>
      <x:c r="N974" s="35" t="str">
        <x:v>Gemini-3.8-flash/Result/Closure_147/result.json</x:v>
      </x:c>
      <x:c r="O974" s="39" t="str">
        <x:f>IF(AND(G974="RECORDED",ISNUMBER(H974)),H974,"")</x:f>
      </x:c>
      <x:c r="P974" s="35" t="str">
        <x:v>NOT_AVAILABLE</x:v>
      </x:c>
      <x:c r="Q974" s="35" t="str">
        <x:v>Gemini-3.8-flash/Result/Closure_147/result.json</x:v>
      </x:c>
    </x:row>
    <x:row r="975">
      <x:c r="A975" s="35" t="str">
        <x:v>gemini</x:v>
      </x:c>
      <x:c r="B975" s="35" t="str">
        <x:v>Closure</x:v>
      </x:c>
      <x:c r="C975" s="35" t="str">
        <x:v>Round1</x:v>
      </x:c>
      <x:c r="D975" s="35" t="str">
        <x:v>Closure_148</x:v>
      </x:c>
      <x:c r="E975" s="35" t="str">
        <x:v>Condition</x:v>
      </x:c>
      <x:c r="F975" s="35"/>
      <x:c r="G975" s="35" t="str">
        <x:v>A</x:v>
      </x:c>
      <x:c r="H975" s="39" t="str">
        <x:f>IF(ISNUMBER('Data'!N121),'Data'!N121*100,"")</x:f>
      </x:c>
      <x:c r="I975" s="35"/>
      <x:c r="J975" s="35" t="str">
        <x:v>PASS</x:v>
      </x:c>
      <x:c r="K975" s="35" t="str">
        <x:v>FAIL</x:v>
      </x:c>
      <x:c r="L975" s="35" t="str">
        <x:v>NOT_RUN</x:v>
      </x:c>
      <x:c r="M975" s="35" t="str">
        <x:v>coverage unavailable or execution/compile failed</x:v>
      </x:c>
      <x:c r="N975" s="35" t="str">
        <x:v>Gemini-3.8-flash/Result/Closure_148/result.json</x:v>
      </x:c>
      <x:c r="O975" s="39" t="str">
        <x:f>IF(AND(G975="RECORDED",ISNUMBER(H975)),H975,"")</x:f>
      </x:c>
      <x:c r="P975" s="35" t="str">
        <x:v>NOT_AVAILABLE</x:v>
      </x:c>
      <x:c r="Q975" s="35" t="str">
        <x:v>Gemini-3.8-flash/Result/Closure_148/result.json</x:v>
      </x:c>
    </x:row>
    <x:row r="976">
      <x:c r="A976" s="35" t="str">
        <x:v>gemini</x:v>
      </x:c>
      <x:c r="B976" s="35" t="str">
        <x:v>Closure</x:v>
      </x:c>
      <x:c r="C976" s="35" t="str">
        <x:v>Round1</x:v>
      </x:c>
      <x:c r="D976" s="35" t="str">
        <x:v>Closure_149</x:v>
      </x:c>
      <x:c r="E976" s="35" t="str">
        <x:v>Condition</x:v>
      </x:c>
      <x:c r="F976" s="35"/>
      <x:c r="G976" s="35" t="str">
        <x:v>A</x:v>
      </x:c>
      <x:c r="H976" s="39" t="str">
        <x:f>IF(ISNUMBER('Data'!N122),'Data'!N122*100,"")</x:f>
      </x:c>
      <x:c r="I976" s="35"/>
      <x:c r="J976" s="35" t="str">
        <x:v>PASS</x:v>
      </x:c>
      <x:c r="K976" s="35" t="str">
        <x:v>FAIL</x:v>
      </x:c>
      <x:c r="L976" s="35" t="str">
        <x:v>NOT_RUN</x:v>
      </x:c>
      <x:c r="M976" s="35" t="str">
        <x:v>coverage unavailable or execution/compile failed</x:v>
      </x:c>
      <x:c r="N976" s="35" t="str">
        <x:v>Gemini-3.8-flash/Result/Closure_149/result.json</x:v>
      </x:c>
      <x:c r="O976" s="39" t="str">
        <x:f>IF(AND(G976="RECORDED",ISNUMBER(H976)),H976,"")</x:f>
      </x:c>
      <x:c r="P976" s="35" t="str">
        <x:v>NOT_AVAILABLE</x:v>
      </x:c>
      <x:c r="Q976" s="35" t="str">
        <x:v>Gemini-3.8-flash/Result/Closure_149/result.json</x:v>
      </x:c>
    </x:row>
    <x:row r="977">
      <x:c r="A977" s="35" t="str">
        <x:v>gemini</x:v>
      </x:c>
      <x:c r="B977" s="35" t="str">
        <x:v>Closure</x:v>
      </x:c>
      <x:c r="C977" s="35" t="str">
        <x:v>Round1</x:v>
      </x:c>
      <x:c r="D977" s="35" t="str">
        <x:v>Closure_15</x:v>
      </x:c>
      <x:c r="E977" s="35" t="str">
        <x:v>Condition</x:v>
      </x:c>
      <x:c r="F977" s="35"/>
      <x:c r="G977" s="35" t="str">
        <x:v>A</x:v>
      </x:c>
      <x:c r="H977" s="39" t="str">
        <x:f>IF(ISNUMBER('Data'!N123),'Data'!N123*100,"")</x:f>
      </x:c>
      <x:c r="I977" s="35"/>
      <x:c r="J977" s="35" t="str">
        <x:v>PASS</x:v>
      </x:c>
      <x:c r="K977" s="35" t="str">
        <x:v>FAIL</x:v>
      </x:c>
      <x:c r="L977" s="35" t="str">
        <x:v>NOT_RUN</x:v>
      </x:c>
      <x:c r="M977" s="35" t="str">
        <x:v>coverage unavailable or execution/compile failed</x:v>
      </x:c>
      <x:c r="N977" s="35" t="str">
        <x:v>Gemini-3.8-flash/Result/Closure_15/result.json</x:v>
      </x:c>
      <x:c r="O977" s="39" t="str">
        <x:f>IF(AND(G977="RECORDED",ISNUMBER(H977)),H977,"")</x:f>
      </x:c>
      <x:c r="P977" s="35" t="str">
        <x:v>NOT_AVAILABLE</x:v>
      </x:c>
      <x:c r="Q977" s="35" t="str">
        <x:v>Gemini-3.8-flash/Result/Closure_15/result.json</x:v>
      </x:c>
    </x:row>
    <x:row r="978">
      <x:c r="A978" s="35" t="str">
        <x:v>gemini</x:v>
      </x:c>
      <x:c r="B978" s="35" t="str">
        <x:v>Closure</x:v>
      </x:c>
      <x:c r="C978" s="35" t="str">
        <x:v>Round1</x:v>
      </x:c>
      <x:c r="D978" s="35" t="str">
        <x:v>Closure_150</x:v>
      </x:c>
      <x:c r="E978" s="35" t="str">
        <x:v>Condition</x:v>
      </x:c>
      <x:c r="F978" s="35"/>
      <x:c r="G978" s="35" t="str">
        <x:v>A</x:v>
      </x:c>
      <x:c r="H978" s="39" t="str">
        <x:f>IF(ISNUMBER('Data'!N124),'Data'!N124*100,"")</x:f>
      </x:c>
      <x:c r="I978" s="35"/>
      <x:c r="J978" s="35" t="str">
        <x:v>PASS</x:v>
      </x:c>
      <x:c r="K978" s="35" t="str">
        <x:v>FAIL</x:v>
      </x:c>
      <x:c r="L978" s="35" t="str">
        <x:v>NOT_RUN</x:v>
      </x:c>
      <x:c r="M978" s="35" t="str">
        <x:v>coverage unavailable or execution/compile failed</x:v>
      </x:c>
      <x:c r="N978" s="35" t="str">
        <x:v>Gemini-3.8-flash/Result/Closure_150/result.json</x:v>
      </x:c>
      <x:c r="O978" s="39" t="str">
        <x:f>IF(AND(G978="RECORDED",ISNUMBER(H978)),H978,"")</x:f>
      </x:c>
      <x:c r="P978" s="35" t="str">
        <x:v>NOT_AVAILABLE</x:v>
      </x:c>
      <x:c r="Q978" s="35" t="str">
        <x:v>Gemini-3.8-flash/Result/Closure_150/result.json</x:v>
      </x:c>
    </x:row>
    <x:row r="979">
      <x:c r="A979" s="35" t="str">
        <x:v>gemini</x:v>
      </x:c>
      <x:c r="B979" s="35" t="str">
        <x:v>Closure</x:v>
      </x:c>
      <x:c r="C979" s="35" t="str">
        <x:v>Round1</x:v>
      </x:c>
      <x:c r="D979" s="35" t="str">
        <x:v>Closure_151</x:v>
      </x:c>
      <x:c r="E979" s="35" t="str">
        <x:v>Condition</x:v>
      </x:c>
      <x:c r="F979" s="35"/>
      <x:c r="G979" s="35" t="str">
        <x:v>A</x:v>
      </x:c>
      <x:c r="H979" s="39" t="str">
        <x:f>IF(ISNUMBER('Data'!N125),'Data'!N125*100,"")</x:f>
      </x:c>
      <x:c r="I979" s="35"/>
      <x:c r="J979" s="35" t="str">
        <x:v>PASS</x:v>
      </x:c>
      <x:c r="K979" s="35" t="str">
        <x:v>FAIL</x:v>
      </x:c>
      <x:c r="L979" s="35" t="str">
        <x:v>NOT_RUN</x:v>
      </x:c>
      <x:c r="M979" s="35" t="str">
        <x:v>coverage unavailable or execution/compile failed</x:v>
      </x:c>
      <x:c r="N979" s="35" t="str">
        <x:v>Gemini-3.8-flash/Result/Closure_151/result.json</x:v>
      </x:c>
      <x:c r="O979" s="39" t="str">
        <x:f>IF(AND(G979="RECORDED",ISNUMBER(H979)),H979,"")</x:f>
      </x:c>
      <x:c r="P979" s="35" t="str">
        <x:v>NOT_AVAILABLE</x:v>
      </x:c>
      <x:c r="Q979" s="35" t="str">
        <x:v>Gemini-3.8-flash/Result/Closure_151/result.json</x:v>
      </x:c>
    </x:row>
    <x:row r="980">
      <x:c r="A980" s="35" t="str">
        <x:v>gemini</x:v>
      </x:c>
      <x:c r="B980" s="35" t="str">
        <x:v>Closure</x:v>
      </x:c>
      <x:c r="C980" s="35" t="str">
        <x:v>Round1</x:v>
      </x:c>
      <x:c r="D980" s="35" t="str">
        <x:v>Closure_152</x:v>
      </x:c>
      <x:c r="E980" s="35" t="str">
        <x:v>Condition</x:v>
      </x:c>
      <x:c r="F980" s="35"/>
      <x:c r="G980" s="35" t="str">
        <x:v>A</x:v>
      </x:c>
      <x:c r="H980" s="39" t="str">
        <x:f>IF(ISNUMBER('Data'!N126),'Data'!N126*100,"")</x:f>
      </x:c>
      <x:c r="I980" s="35"/>
      <x:c r="J980" s="35" t="str">
        <x:v>PASS</x:v>
      </x:c>
      <x:c r="K980" s="35" t="str">
        <x:v>FAIL</x:v>
      </x:c>
      <x:c r="L980" s="35" t="str">
        <x:v>NOT_RUN</x:v>
      </x:c>
      <x:c r="M980" s="35" t="str">
        <x:v>coverage unavailable or execution/compile failed</x:v>
      </x:c>
      <x:c r="N980" s="35" t="str">
        <x:v>Gemini-3.8-flash/Result/Closure_152/result.json</x:v>
      </x:c>
      <x:c r="O980" s="39" t="str">
        <x:f>IF(AND(G980="RECORDED",ISNUMBER(H980)),H980,"")</x:f>
      </x:c>
      <x:c r="P980" s="35" t="str">
        <x:v>NOT_AVAILABLE</x:v>
      </x:c>
      <x:c r="Q980" s="35" t="str">
        <x:v>Gemini-3.8-flash/Result/Closure_152/result.json</x:v>
      </x:c>
    </x:row>
    <x:row r="981">
      <x:c r="A981" s="35" t="str">
        <x:v>gemini</x:v>
      </x:c>
      <x:c r="B981" s="35" t="str">
        <x:v>Closure</x:v>
      </x:c>
      <x:c r="C981" s="35" t="str">
        <x:v>Round1</x:v>
      </x:c>
      <x:c r="D981" s="35" t="str">
        <x:v>Closure_153</x:v>
      </x:c>
      <x:c r="E981" s="35" t="str">
        <x:v>Condition</x:v>
      </x:c>
      <x:c r="F981" s="35"/>
      <x:c r="G981" s="35" t="str">
        <x:v>A</x:v>
      </x:c>
      <x:c r="H981" s="39" t="str">
        <x:f>IF(ISNUMBER('Data'!N127),'Data'!N127*100,"")</x:f>
      </x:c>
      <x:c r="I981" s="35"/>
      <x:c r="J981" s="35" t="str">
        <x:v>PASS</x:v>
      </x:c>
      <x:c r="K981" s="35" t="str">
        <x:v>FAIL</x:v>
      </x:c>
      <x:c r="L981" s="35" t="str">
        <x:v>NOT_RUN</x:v>
      </x:c>
      <x:c r="M981" s="35" t="str">
        <x:v>coverage unavailable or execution/compile failed</x:v>
      </x:c>
      <x:c r="N981" s="35" t="str">
        <x:v>Gemini-3.8-flash/Result/Closure_153/result.json</x:v>
      </x:c>
      <x:c r="O981" s="39" t="str">
        <x:f>IF(AND(G981="RECORDED",ISNUMBER(H981)),H981,"")</x:f>
      </x:c>
      <x:c r="P981" s="35" t="str">
        <x:v>NOT_AVAILABLE</x:v>
      </x:c>
      <x:c r="Q981" s="35" t="str">
        <x:v>Gemini-3.8-flash/Result/Closure_153/result.json</x:v>
      </x:c>
    </x:row>
    <x:row r="982">
      <x:c r="A982" s="35" t="str">
        <x:v>gemini</x:v>
      </x:c>
      <x:c r="B982" s="35" t="str">
        <x:v>Closure</x:v>
      </x:c>
      <x:c r="C982" s="35" t="str">
        <x:v>Round1</x:v>
      </x:c>
      <x:c r="D982" s="35" t="str">
        <x:v>Closure_154</x:v>
      </x:c>
      <x:c r="E982" s="35" t="str">
        <x:v>Condition</x:v>
      </x:c>
      <x:c r="F982" s="35"/>
      <x:c r="G982" s="35" t="str">
        <x:v>A</x:v>
      </x:c>
      <x:c r="H982" s="39" t="str">
        <x:f>IF(ISNUMBER('Data'!N128),'Data'!N128*100,"")</x:f>
      </x:c>
      <x:c r="I982" s="35"/>
      <x:c r="J982" s="35" t="str">
        <x:v>PASS</x:v>
      </x:c>
      <x:c r="K982" s="35" t="str">
        <x:v>FAIL</x:v>
      </x:c>
      <x:c r="L982" s="35" t="str">
        <x:v>NOT_RUN</x:v>
      </x:c>
      <x:c r="M982" s="35" t="str">
        <x:v>coverage unavailable or execution/compile failed</x:v>
      </x:c>
      <x:c r="N982" s="35" t="str">
        <x:v>Gemini-3.8-flash/Result/Closure_154/result.json</x:v>
      </x:c>
      <x:c r="O982" s="39" t="str">
        <x:f>IF(AND(G982="RECORDED",ISNUMBER(H982)),H982,"")</x:f>
      </x:c>
      <x:c r="P982" s="35" t="str">
        <x:v>NOT_AVAILABLE</x:v>
      </x:c>
      <x:c r="Q982" s="35" t="str">
        <x:v>Gemini-3.8-flash/Result/Closure_154/result.json</x:v>
      </x:c>
    </x:row>
    <x:row r="983">
      <x:c r="A983" s="35" t="str">
        <x:v>gemini</x:v>
      </x:c>
      <x:c r="B983" s="35" t="str">
        <x:v>Closure</x:v>
      </x:c>
      <x:c r="C983" s="35" t="str">
        <x:v>Round1</x:v>
      </x:c>
      <x:c r="D983" s="35" t="str">
        <x:v>Closure_155</x:v>
      </x:c>
      <x:c r="E983" s="35" t="str">
        <x:v>Condition</x:v>
      </x:c>
      <x:c r="F983" s="35"/>
      <x:c r="G983" s="35" t="str">
        <x:v>A</x:v>
      </x:c>
      <x:c r="H983" s="39" t="str">
        <x:f>IF(ISNUMBER('Data'!N129),'Data'!N129*100,"")</x:f>
      </x:c>
      <x:c r="I983" s="35"/>
      <x:c r="J983" s="35" t="str">
        <x:v>PASS</x:v>
      </x:c>
      <x:c r="K983" s="35" t="str">
        <x:v>FAIL</x:v>
      </x:c>
      <x:c r="L983" s="35" t="str">
        <x:v>NOT_RUN</x:v>
      </x:c>
      <x:c r="M983" s="35" t="str">
        <x:v>coverage unavailable or execution/compile failed</x:v>
      </x:c>
      <x:c r="N983" s="35" t="str">
        <x:v>Gemini-3.8-flash/Result/Closure_155/result.json</x:v>
      </x:c>
      <x:c r="O983" s="39" t="str">
        <x:f>IF(AND(G983="RECORDED",ISNUMBER(H983)),H983,"")</x:f>
      </x:c>
      <x:c r="P983" s="35" t="str">
        <x:v>NOT_AVAILABLE</x:v>
      </x:c>
      <x:c r="Q983" s="35" t="str">
        <x:v>Gemini-3.8-flash/Result/Closure_155/result.json</x:v>
      </x:c>
    </x:row>
    <x:row r="984">
      <x:c r="A984" s="35" t="str">
        <x:v>gemini</x:v>
      </x:c>
      <x:c r="B984" s="35" t="str">
        <x:v>Closure</x:v>
      </x:c>
      <x:c r="C984" s="35" t="str">
        <x:v>Round1</x:v>
      </x:c>
      <x:c r="D984" s="35" t="str">
        <x:v>Closure_156</x:v>
      </x:c>
      <x:c r="E984" s="35" t="str">
        <x:v>Condition</x:v>
      </x:c>
      <x:c r="F984" s="35"/>
      <x:c r="G984" s="35" t="str">
        <x:v>A</x:v>
      </x:c>
      <x:c r="H984" s="39" t="str">
        <x:f>IF(ISNUMBER('Data'!N130),'Data'!N130*100,"")</x:f>
      </x:c>
      <x:c r="I984" s="35"/>
      <x:c r="J984" s="35" t="str">
        <x:v>PASS</x:v>
      </x:c>
      <x:c r="K984" s="35" t="str">
        <x:v>FAIL</x:v>
      </x:c>
      <x:c r="L984" s="35" t="str">
        <x:v>NOT_RUN</x:v>
      </x:c>
      <x:c r="M984" s="35" t="str">
        <x:v>coverage unavailable or execution/compile failed</x:v>
      </x:c>
      <x:c r="N984" s="35" t="str">
        <x:v>Gemini-3.8-flash/Result/Closure_156/result.json</x:v>
      </x:c>
      <x:c r="O984" s="39" t="str">
        <x:f>IF(AND(G984="RECORDED",ISNUMBER(H984)),H984,"")</x:f>
      </x:c>
      <x:c r="P984" s="35" t="str">
        <x:v>NOT_AVAILABLE</x:v>
      </x:c>
      <x:c r="Q984" s="35" t="str">
        <x:v>Gemini-3.8-flash/Result/Closure_156/result.json</x:v>
      </x:c>
    </x:row>
    <x:row r="985">
      <x:c r="A985" s="35" t="str">
        <x:v>gemini</x:v>
      </x:c>
      <x:c r="B985" s="35" t="str">
        <x:v>Closure</x:v>
      </x:c>
      <x:c r="C985" s="35" t="str">
        <x:v>Round1</x:v>
      </x:c>
      <x:c r="D985" s="35" t="str">
        <x:v>Closure_157</x:v>
      </x:c>
      <x:c r="E985" s="35" t="str">
        <x:v>Condition</x:v>
      </x:c>
      <x:c r="F985" s="35"/>
      <x:c r="G985" s="35" t="str">
        <x:v>A</x:v>
      </x:c>
      <x:c r="H985" s="39" t="str">
        <x:f>IF(ISNUMBER('Data'!N131),'Data'!N131*100,"")</x:f>
      </x:c>
      <x:c r="I985" s="35"/>
      <x:c r="J985" s="35" t="str">
        <x:v>PASS</x:v>
      </x:c>
      <x:c r="K985" s="35" t="str">
        <x:v>FAIL</x:v>
      </x:c>
      <x:c r="L985" s="35" t="str">
        <x:v>NOT_RUN</x:v>
      </x:c>
      <x:c r="M985" s="35" t="str">
        <x:v>coverage unavailable or execution/compile failed</x:v>
      </x:c>
      <x:c r="N985" s="35" t="str">
        <x:v>Gemini-3.8-flash/Result/Closure_157/result.json</x:v>
      </x:c>
      <x:c r="O985" s="39" t="str">
        <x:f>IF(AND(G985="RECORDED",ISNUMBER(H985)),H985,"")</x:f>
      </x:c>
      <x:c r="P985" s="35" t="str">
        <x:v>NOT_AVAILABLE</x:v>
      </x:c>
      <x:c r="Q985" s="35" t="str">
        <x:v>Gemini-3.8-flash/Result/Closure_157/result.json</x:v>
      </x:c>
    </x:row>
    <x:row r="986">
      <x:c r="A986" s="35" t="str">
        <x:v>gemini</x:v>
      </x:c>
      <x:c r="B986" s="35" t="str">
        <x:v>Closure</x:v>
      </x:c>
      <x:c r="C986" s="35" t="str">
        <x:v>Round1</x:v>
      </x:c>
      <x:c r="D986" s="35" t="str">
        <x:v>Closure_158</x:v>
      </x:c>
      <x:c r="E986" s="35" t="str">
        <x:v>Condition</x:v>
      </x:c>
      <x:c r="F986" s="35"/>
      <x:c r="G986" s="35" t="str">
        <x:v>A</x:v>
      </x:c>
      <x:c r="H986" s="39" t="str">
        <x:f>IF(ISNUMBER('Data'!N132),'Data'!N132*100,"")</x:f>
      </x:c>
      <x:c r="I986" s="35"/>
      <x:c r="J986" s="35" t="str">
        <x:v>PASS</x:v>
      </x:c>
      <x:c r="K986" s="35" t="str">
        <x:v>FAIL</x:v>
      </x:c>
      <x:c r="L986" s="35" t="str">
        <x:v>NOT_RUN</x:v>
      </x:c>
      <x:c r="M986" s="35" t="str">
        <x:v>coverage unavailable or execution/compile failed</x:v>
      </x:c>
      <x:c r="N986" s="35" t="str">
        <x:v>Gemini-3.8-flash/Result/Closure_158/result.json</x:v>
      </x:c>
      <x:c r="O986" s="39" t="str">
        <x:f>IF(AND(G986="RECORDED",ISNUMBER(H986)),H986,"")</x:f>
      </x:c>
      <x:c r="P986" s="35" t="str">
        <x:v>NOT_AVAILABLE</x:v>
      </x:c>
      <x:c r="Q986" s="35" t="str">
        <x:v>Gemini-3.8-flash/Result/Closure_158/result.json</x:v>
      </x:c>
    </x:row>
    <x:row r="987">
      <x:c r="A987" s="35" t="str">
        <x:v>gemini</x:v>
      </x:c>
      <x:c r="B987" s="35" t="str">
        <x:v>Closure</x:v>
      </x:c>
      <x:c r="C987" s="35" t="str">
        <x:v>Round1</x:v>
      </x:c>
      <x:c r="D987" s="35" t="str">
        <x:v>Closure_159</x:v>
      </x:c>
      <x:c r="E987" s="35" t="str">
        <x:v>Condition</x:v>
      </x:c>
      <x:c r="F987" s="35"/>
      <x:c r="G987" s="35" t="str">
        <x:v>A</x:v>
      </x:c>
      <x:c r="H987" s="39" t="str">
        <x:f>IF(ISNUMBER('Data'!N133),'Data'!N133*100,"")</x:f>
      </x:c>
      <x:c r="I987" s="35"/>
      <x:c r="J987" s="35" t="str">
        <x:v>PASS</x:v>
      </x:c>
      <x:c r="K987" s="35" t="str">
        <x:v>FAIL</x:v>
      </x:c>
      <x:c r="L987" s="35" t="str">
        <x:v>NOT_RUN</x:v>
      </x:c>
      <x:c r="M987" s="35" t="str">
        <x:v>coverage unavailable or execution/compile failed</x:v>
      </x:c>
      <x:c r="N987" s="35" t="str">
        <x:v>Gemini-3.8-flash/Result/Closure_159/result.json</x:v>
      </x:c>
      <x:c r="O987" s="39" t="str">
        <x:f>IF(AND(G987="RECORDED",ISNUMBER(H987)),H987,"")</x:f>
      </x:c>
      <x:c r="P987" s="35" t="str">
        <x:v>NOT_AVAILABLE</x:v>
      </x:c>
      <x:c r="Q987" s="35" t="str">
        <x:v>Gemini-3.8-flash/Result/Closure_159/result.json</x:v>
      </x:c>
    </x:row>
    <x:row r="988">
      <x:c r="A988" s="35" t="str">
        <x:v>gemini</x:v>
      </x:c>
      <x:c r="B988" s="35" t="str">
        <x:v>Closure</x:v>
      </x:c>
      <x:c r="C988" s="35" t="str">
        <x:v>Round1</x:v>
      </x:c>
      <x:c r="D988" s="35" t="str">
        <x:v>Closure_16</x:v>
      </x:c>
      <x:c r="E988" s="35" t="str">
        <x:v>Condition</x:v>
      </x:c>
      <x:c r="F988" s="35"/>
      <x:c r="G988" s="35" t="str">
        <x:v>A</x:v>
      </x:c>
      <x:c r="H988" s="39" t="str">
        <x:f>IF(ISNUMBER('Data'!N134),'Data'!N134*100,"")</x:f>
      </x:c>
      <x:c r="I988" s="35"/>
      <x:c r="J988" s="35" t="str">
        <x:v>PASS</x:v>
      </x:c>
      <x:c r="K988" s="35" t="str">
        <x:v>FAIL</x:v>
      </x:c>
      <x:c r="L988" s="35" t="str">
        <x:v>NOT_RUN</x:v>
      </x:c>
      <x:c r="M988" s="35" t="str">
        <x:v>coverage unavailable or execution/compile failed</x:v>
      </x:c>
      <x:c r="N988" s="35" t="str">
        <x:v>Gemini-3.8-flash/Result/Closure_16/result.json</x:v>
      </x:c>
      <x:c r="O988" s="39" t="str">
        <x:f>IF(AND(G988="RECORDED",ISNUMBER(H988)),H988,"")</x:f>
      </x:c>
      <x:c r="P988" s="35" t="str">
        <x:v>NOT_AVAILABLE</x:v>
      </x:c>
      <x:c r="Q988" s="35" t="str">
        <x:v>Gemini-3.8-flash/Result/Closure_16/result.json</x:v>
      </x:c>
    </x:row>
    <x:row r="989">
      <x:c r="A989" s="35" t="str">
        <x:v>gemini</x:v>
      </x:c>
      <x:c r="B989" s="35" t="str">
        <x:v>Closure</x:v>
      </x:c>
      <x:c r="C989" s="35" t="str">
        <x:v>Round1</x:v>
      </x:c>
      <x:c r="D989" s="35" t="str">
        <x:v>Closure_160</x:v>
      </x:c>
      <x:c r="E989" s="35" t="str">
        <x:v>Condition</x:v>
      </x:c>
      <x:c r="F989" s="35"/>
      <x:c r="G989" s="35" t="str">
        <x:v>A</x:v>
      </x:c>
      <x:c r="H989" s="39" t="str">
        <x:f>IF(ISNUMBER('Data'!N135),'Data'!N135*100,"")</x:f>
      </x:c>
      <x:c r="I989" s="35"/>
      <x:c r="J989" s="35" t="str">
        <x:v>PASS</x:v>
      </x:c>
      <x:c r="K989" s="35" t="str">
        <x:v>FAIL</x:v>
      </x:c>
      <x:c r="L989" s="35" t="str">
        <x:v>NOT_RUN</x:v>
      </x:c>
      <x:c r="M989" s="35" t="str">
        <x:v>coverage unavailable or execution/compile failed</x:v>
      </x:c>
      <x:c r="N989" s="35" t="str">
        <x:v>Gemini-3.8-flash/Result/Closure_160/result.json</x:v>
      </x:c>
      <x:c r="O989" s="39" t="str">
        <x:f>IF(AND(G989="RECORDED",ISNUMBER(H989)),H989,"")</x:f>
      </x:c>
      <x:c r="P989" s="35" t="str">
        <x:v>NOT_AVAILABLE</x:v>
      </x:c>
      <x:c r="Q989" s="35" t="str">
        <x:v>Gemini-3.8-flash/Result/Closure_160/result.json</x:v>
      </x:c>
    </x:row>
    <x:row r="990">
      <x:c r="A990" s="35" t="str">
        <x:v>gemini</x:v>
      </x:c>
      <x:c r="B990" s="35" t="str">
        <x:v>Closure</x:v>
      </x:c>
      <x:c r="C990" s="35" t="str">
        <x:v>Round1</x:v>
      </x:c>
      <x:c r="D990" s="35" t="str">
        <x:v>Closure_161</x:v>
      </x:c>
      <x:c r="E990" s="35" t="str">
        <x:v>Condition</x:v>
      </x:c>
      <x:c r="F990" s="35" t="n">
        <x:v>498</x:v>
      </x:c>
      <x:c r="G990" s="35" t="str">
        <x:v>RECORDED</x:v>
      </x:c>
      <x:c r="H990" s="39" t="n">
        <x:f>IF(ISNUMBER('Data'!N136),'Data'!N136*100,"")</x:f>
        <x:v>30.72</x:v>
      </x:c>
      <x:c r="I990" s="35" t="str">
        <x:v>PASS</x:v>
      </x:c>
      <x:c r="J990" s="35" t="str">
        <x:v>PASS</x:v>
      </x:c>
      <x:c r="K990" s="35" t="str">
        <x:v>PASS</x:v>
      </x:c>
      <x:c r="L990" s="35" t="str">
        <x:v>FAIL</x:v>
      </x:c>
      <x:c r="M990" s="35" t="str">
        <x:v>numeric coverage for applicable metric</x:v>
      </x:c>
      <x:c r="N990" s="35" t="str">
        <x:v>Gemini-3.8-flash/Result/Closure_161/result.json</x:v>
      </x:c>
      <x:c r="O990" s="39" t="n">
        <x:f>IF(AND(G990="RECORDED",ISNUMBER(H990)),H990,"")</x:f>
        <x:v>30.72</x:v>
      </x:c>
      <x:c r="P990" s="35" t="str">
        <x:v>INCONCLUSIVE</x:v>
      </x:c>
      <x:c r="Q990" s="35" t="str">
        <x:v>Gemini-3.8-flash/Result/Closure_161/result.json</x:v>
      </x:c>
    </x:row>
    <x:row r="991">
      <x:c r="A991" s="35" t="str">
        <x:v>gemini</x:v>
      </x:c>
      <x:c r="B991" s="35" t="str">
        <x:v>Closure</x:v>
      </x:c>
      <x:c r="C991" s="35" t="str">
        <x:v>Round1</x:v>
      </x:c>
      <x:c r="D991" s="35" t="str">
        <x:v>Closure_162</x:v>
      </x:c>
      <x:c r="E991" s="35" t="str">
        <x:v>Condition</x:v>
      </x:c>
      <x:c r="F991" s="35"/>
      <x:c r="G991" s="35" t="str">
        <x:v>A</x:v>
      </x:c>
      <x:c r="H991" s="39" t="str">
        <x:f>IF(ISNUMBER('Data'!N137),'Data'!N137*100,"")</x:f>
      </x:c>
      <x:c r="I991" s="35"/>
      <x:c r="J991" s="35" t="str">
        <x:v>PASS</x:v>
      </x:c>
      <x:c r="K991" s="35" t="str">
        <x:v>FAIL</x:v>
      </x:c>
      <x:c r="L991" s="35" t="str">
        <x:v>NOT_RUN</x:v>
      </x:c>
      <x:c r="M991" s="35" t="str">
        <x:v>coverage unavailable or execution/compile failed</x:v>
      </x:c>
      <x:c r="N991" s="35" t="str">
        <x:v>Gemini-3.8-flash/Result/Closure_162/result.json</x:v>
      </x:c>
      <x:c r="O991" s="39" t="str">
        <x:f>IF(AND(G991="RECORDED",ISNUMBER(H991)),H991,"")</x:f>
      </x:c>
      <x:c r="P991" s="35" t="str">
        <x:v>NOT_AVAILABLE</x:v>
      </x:c>
      <x:c r="Q991" s="35" t="str">
        <x:v>Gemini-3.8-flash/Result/Closure_162/result.json</x:v>
      </x:c>
    </x:row>
    <x:row r="992">
      <x:c r="A992" s="35" t="str">
        <x:v>gemini</x:v>
      </x:c>
      <x:c r="B992" s="35" t="str">
        <x:v>Closure</x:v>
      </x:c>
      <x:c r="C992" s="35" t="str">
        <x:v>Round1</x:v>
      </x:c>
      <x:c r="D992" s="35" t="str">
        <x:v>Closure_163</x:v>
      </x:c>
      <x:c r="E992" s="35" t="str">
        <x:v>Condition</x:v>
      </x:c>
      <x:c r="F992" s="35"/>
      <x:c r="G992" s="35" t="str">
        <x:v>A</x:v>
      </x:c>
      <x:c r="H992" s="39" t="str">
        <x:f>IF(ISNUMBER('Data'!N138),'Data'!N138*100,"")</x:f>
      </x:c>
      <x:c r="I992" s="35"/>
      <x:c r="J992" s="35" t="str">
        <x:v>PASS</x:v>
      </x:c>
      <x:c r="K992" s="35" t="str">
        <x:v>FAIL</x:v>
      </x:c>
      <x:c r="L992" s="35" t="str">
        <x:v>NOT_RUN</x:v>
      </x:c>
      <x:c r="M992" s="35" t="str">
        <x:v>coverage unavailable or execution/compile failed</x:v>
      </x:c>
      <x:c r="N992" s="35" t="str">
        <x:v>Gemini-3.8-flash/Result/Closure_163/result.json</x:v>
      </x:c>
      <x:c r="O992" s="39" t="str">
        <x:f>IF(AND(G992="RECORDED",ISNUMBER(H992)),H992,"")</x:f>
      </x:c>
      <x:c r="P992" s="35" t="str">
        <x:v>NOT_AVAILABLE</x:v>
      </x:c>
      <x:c r="Q992" s="35" t="str">
        <x:v>Gemini-3.8-flash/Result/Closure_163/result.json</x:v>
      </x:c>
    </x:row>
    <x:row r="993">
      <x:c r="A993" s="35" t="str">
        <x:v>gemini</x:v>
      </x:c>
      <x:c r="B993" s="35" t="str">
        <x:v>Closure</x:v>
      </x:c>
      <x:c r="C993" s="35" t="str">
        <x:v>Round1</x:v>
      </x:c>
      <x:c r="D993" s="35" t="str">
        <x:v>Closure_164</x:v>
      </x:c>
      <x:c r="E993" s="35" t="str">
        <x:v>Condition</x:v>
      </x:c>
      <x:c r="F993" s="35"/>
      <x:c r="G993" s="35" t="str">
        <x:v>A</x:v>
      </x:c>
      <x:c r="H993" s="39" t="str">
        <x:f>IF(ISNUMBER('Data'!N139),'Data'!N139*100,"")</x:f>
      </x:c>
      <x:c r="I993" s="35"/>
      <x:c r="J993" s="35" t="str">
        <x:v>PASS</x:v>
      </x:c>
      <x:c r="K993" s="35" t="str">
        <x:v>FAIL</x:v>
      </x:c>
      <x:c r="L993" s="35" t="str">
        <x:v>NOT_RUN</x:v>
      </x:c>
      <x:c r="M993" s="35" t="str">
        <x:v>coverage unavailable or execution/compile failed</x:v>
      </x:c>
      <x:c r="N993" s="35" t="str">
        <x:v>Gemini-3.8-flash/Result/Closure_164/result.json</x:v>
      </x:c>
      <x:c r="O993" s="39" t="str">
        <x:f>IF(AND(G993="RECORDED",ISNUMBER(H993)),H993,"")</x:f>
      </x:c>
      <x:c r="P993" s="35" t="str">
        <x:v>NOT_AVAILABLE</x:v>
      </x:c>
      <x:c r="Q993" s="35" t="str">
        <x:v>Gemini-3.8-flash/Result/Closure_164/result.json</x:v>
      </x:c>
    </x:row>
    <x:row r="994">
      <x:c r="A994" s="35" t="str">
        <x:v>gemini</x:v>
      </x:c>
      <x:c r="B994" s="35" t="str">
        <x:v>Closure</x:v>
      </x:c>
      <x:c r="C994" s="35" t="str">
        <x:v>Round1</x:v>
      </x:c>
      <x:c r="D994" s="35" t="str">
        <x:v>Closure_165</x:v>
      </x:c>
      <x:c r="E994" s="35" t="str">
        <x:v>Condition</x:v>
      </x:c>
      <x:c r="F994" s="35" t="n">
        <x:v>287</x:v>
      </x:c>
      <x:c r="G994" s="35" t="str">
        <x:v>RECORDED</x:v>
      </x:c>
      <x:c r="H994" s="39" t="n">
        <x:f>IF(ISNUMBER('Data'!N140),'Data'!N140*100,"")</x:f>
        <x:v>14.980000000000002</x:v>
      </x:c>
      <x:c r="I994" s="35" t="str">
        <x:v>PASS</x:v>
      </x:c>
      <x:c r="J994" s="35" t="str">
        <x:v>PASS</x:v>
      </x:c>
      <x:c r="K994" s="35" t="str">
        <x:v>PASS</x:v>
      </x:c>
      <x:c r="L994" s="35" t="str">
        <x:v>PASS</x:v>
      </x:c>
      <x:c r="M994" s="35" t="str">
        <x:v>numeric coverage for applicable metric</x:v>
      </x:c>
      <x:c r="N994" s="35" t="str">
        <x:v>Gemini-3.8-flash/Result/Closure_165/result.json</x:v>
      </x:c>
      <x:c r="O994" s="39" t="n">
        <x:f>IF(AND(G994="RECORDED",ISNUMBER(H994)),H994,"")</x:f>
        <x:v>14.980000000000002</x:v>
      </x:c>
      <x:c r="P994" s="35" t="str">
        <x:v>NOT_REVEALING</x:v>
      </x:c>
      <x:c r="Q994" s="35" t="str">
        <x:v>Gemini-3.8-flash/Result/Closure_165/result.json</x:v>
      </x:c>
    </x:row>
    <x:row r="995">
      <x:c r="A995" s="35" t="str">
        <x:v>gemini</x:v>
      </x:c>
      <x:c r="B995" s="35" t="str">
        <x:v>Closure</x:v>
      </x:c>
      <x:c r="C995" s="35" t="str">
        <x:v>Round1</x:v>
      </x:c>
      <x:c r="D995" s="35" t="str">
        <x:v>Closure_166</x:v>
      </x:c>
      <x:c r="E995" s="35" t="str">
        <x:v>Condition</x:v>
      </x:c>
      <x:c r="F995" s="35"/>
      <x:c r="G995" s="35" t="str">
        <x:v>A</x:v>
      </x:c>
      <x:c r="H995" s="39" t="str">
        <x:f>IF(ISNUMBER('Data'!N141),'Data'!N141*100,"")</x:f>
      </x:c>
      <x:c r="I995" s="35"/>
      <x:c r="J995" s="35" t="str">
        <x:v>PASS</x:v>
      </x:c>
      <x:c r="K995" s="35" t="str">
        <x:v>FAIL</x:v>
      </x:c>
      <x:c r="L995" s="35" t="str">
        <x:v>NOT_RUN</x:v>
      </x:c>
      <x:c r="M995" s="35" t="str">
        <x:v>coverage unavailable or execution/compile failed</x:v>
      </x:c>
      <x:c r="N995" s="35" t="str">
        <x:v>Gemini-3.8-flash/Result/Closure_166/result.json</x:v>
      </x:c>
      <x:c r="O995" s="39" t="str">
        <x:f>IF(AND(G995="RECORDED",ISNUMBER(H995)),H995,"")</x:f>
      </x:c>
      <x:c r="P995" s="35" t="str">
        <x:v>NOT_AVAILABLE</x:v>
      </x:c>
      <x:c r="Q995" s="35" t="str">
        <x:v>Gemini-3.8-flash/Result/Closure_166/result.json</x:v>
      </x:c>
    </x:row>
    <x:row r="996">
      <x:c r="A996" s="35" t="str">
        <x:v>gemini</x:v>
      </x:c>
      <x:c r="B996" s="35" t="str">
        <x:v>Closure</x:v>
      </x:c>
      <x:c r="C996" s="35" t="str">
        <x:v>Round1</x:v>
      </x:c>
      <x:c r="D996" s="35" t="str">
        <x:v>Closure_167</x:v>
      </x:c>
      <x:c r="E996" s="35" t="str">
        <x:v>Condition</x:v>
      </x:c>
      <x:c r="F996" s="35"/>
      <x:c r="G996" s="35" t="str">
        <x:v>A</x:v>
      </x:c>
      <x:c r="H996" s="39" t="str">
        <x:f>IF(ISNUMBER('Data'!N142),'Data'!N142*100,"")</x:f>
      </x:c>
      <x:c r="I996" s="35"/>
      <x:c r="J996" s="35" t="str">
        <x:v>PASS</x:v>
      </x:c>
      <x:c r="K996" s="35" t="str">
        <x:v>FAIL</x:v>
      </x:c>
      <x:c r="L996" s="35" t="str">
        <x:v>NOT_RUN</x:v>
      </x:c>
      <x:c r="M996" s="35" t="str">
        <x:v>coverage unavailable or execution/compile failed</x:v>
      </x:c>
      <x:c r="N996" s="35" t="str">
        <x:v>Gemini-3.8-flash/Result/Closure_167/result.json</x:v>
      </x:c>
      <x:c r="O996" s="39" t="str">
        <x:f>IF(AND(G996="RECORDED",ISNUMBER(H996)),H996,"")</x:f>
      </x:c>
      <x:c r="P996" s="35" t="str">
        <x:v>NOT_AVAILABLE</x:v>
      </x:c>
      <x:c r="Q996" s="35" t="str">
        <x:v>Gemini-3.8-flash/Result/Closure_167/result.json</x:v>
      </x:c>
    </x:row>
    <x:row r="997">
      <x:c r="A997" s="35" t="str">
        <x:v>gemini</x:v>
      </x:c>
      <x:c r="B997" s="35" t="str">
        <x:v>Closure</x:v>
      </x:c>
      <x:c r="C997" s="35" t="str">
        <x:v>Round1</x:v>
      </x:c>
      <x:c r="D997" s="35" t="str">
        <x:v>Closure_168</x:v>
      </x:c>
      <x:c r="E997" s="35" t="str">
        <x:v>Condition</x:v>
      </x:c>
      <x:c r="F997" s="35"/>
      <x:c r="G997" s="35" t="str">
        <x:v>A</x:v>
      </x:c>
      <x:c r="H997" s="39" t="str">
        <x:f>IF(ISNUMBER('Data'!N143),'Data'!N143*100,"")</x:f>
      </x:c>
      <x:c r="I997" s="35"/>
      <x:c r="J997" s="35" t="str">
        <x:v>PASS</x:v>
      </x:c>
      <x:c r="K997" s="35" t="str">
        <x:v>FAIL</x:v>
      </x:c>
      <x:c r="L997" s="35" t="str">
        <x:v>NOT_RUN</x:v>
      </x:c>
      <x:c r="M997" s="35" t="str">
        <x:v>coverage unavailable or execution/compile failed</x:v>
      </x:c>
      <x:c r="N997" s="35" t="str">
        <x:v>Gemini-3.8-flash/Result/Closure_168/result.json</x:v>
      </x:c>
      <x:c r="O997" s="39" t="str">
        <x:f>IF(AND(G997="RECORDED",ISNUMBER(H997)),H997,"")</x:f>
      </x:c>
      <x:c r="P997" s="35" t="str">
        <x:v>NOT_AVAILABLE</x:v>
      </x:c>
      <x:c r="Q997" s="35" t="str">
        <x:v>Gemini-3.8-flash/Result/Closure_168/result.json</x:v>
      </x:c>
    </x:row>
    <x:row r="998">
      <x:c r="A998" s="35" t="str">
        <x:v>gemini</x:v>
      </x:c>
      <x:c r="B998" s="35" t="str">
        <x:v>Closure</x:v>
      </x:c>
      <x:c r="C998" s="35" t="str">
        <x:v>Round1</x:v>
      </x:c>
      <x:c r="D998" s="35" t="str">
        <x:v>Closure_169</x:v>
      </x:c>
      <x:c r="E998" s="35" t="str">
        <x:v>Condition</x:v>
      </x:c>
      <x:c r="F998" s="35"/>
      <x:c r="G998" s="35" t="str">
        <x:v>A</x:v>
      </x:c>
      <x:c r="H998" s="39" t="str">
        <x:f>IF(ISNUMBER('Data'!N144),'Data'!N144*100,"")</x:f>
      </x:c>
      <x:c r="I998" s="35"/>
      <x:c r="J998" s="35" t="str">
        <x:v>PASS</x:v>
      </x:c>
      <x:c r="K998" s="35" t="str">
        <x:v>FAIL</x:v>
      </x:c>
      <x:c r="L998" s="35" t="str">
        <x:v>NOT_RUN</x:v>
      </x:c>
      <x:c r="M998" s="35" t="str">
        <x:v>coverage unavailable or execution/compile failed</x:v>
      </x:c>
      <x:c r="N998" s="35" t="str">
        <x:v>Gemini-3.8-flash/Result/Closure_169/result.json</x:v>
      </x:c>
      <x:c r="O998" s="39" t="str">
        <x:f>IF(AND(G998="RECORDED",ISNUMBER(H998)),H998,"")</x:f>
      </x:c>
      <x:c r="P998" s="35" t="str">
        <x:v>NOT_AVAILABLE</x:v>
      </x:c>
      <x:c r="Q998" s="35" t="str">
        <x:v>Gemini-3.8-flash/Result/Closure_169/result.json</x:v>
      </x:c>
    </x:row>
    <x:row r="999">
      <x:c r="A999" s="35" t="str">
        <x:v>gemini</x:v>
      </x:c>
      <x:c r="B999" s="35" t="str">
        <x:v>Closure</x:v>
      </x:c>
      <x:c r="C999" s="35" t="str">
        <x:v>Round1</x:v>
      </x:c>
      <x:c r="D999" s="35" t="str">
        <x:v>Closure_17</x:v>
      </x:c>
      <x:c r="E999" s="35" t="str">
        <x:v>Condition</x:v>
      </x:c>
      <x:c r="F999" s="35"/>
      <x:c r="G999" s="35" t="str">
        <x:v>A</x:v>
      </x:c>
      <x:c r="H999" s="39" t="str">
        <x:f>IF(ISNUMBER('Data'!N145),'Data'!N145*100,"")</x:f>
      </x:c>
      <x:c r="I999" s="35"/>
      <x:c r="J999" s="35" t="str">
        <x:v>PASS</x:v>
      </x:c>
      <x:c r="K999" s="35" t="str">
        <x:v>FAIL</x:v>
      </x:c>
      <x:c r="L999" s="35" t="str">
        <x:v>NOT_RUN</x:v>
      </x:c>
      <x:c r="M999" s="35" t="str">
        <x:v>coverage unavailable or execution/compile failed</x:v>
      </x:c>
      <x:c r="N999" s="35" t="str">
        <x:v>Gemini-3.8-flash/Result/Closure_17/result.json</x:v>
      </x:c>
      <x:c r="O999" s="39" t="str">
        <x:f>IF(AND(G999="RECORDED",ISNUMBER(H999)),H999,"")</x:f>
      </x:c>
      <x:c r="P999" s="35" t="str">
        <x:v>NOT_AVAILABLE</x:v>
      </x:c>
      <x:c r="Q999" s="35" t="str">
        <x:v>Gemini-3.8-flash/Result/Closure_17/result.json</x:v>
      </x:c>
    </x:row>
    <x:row r="1000">
      <x:c r="A1000" s="35" t="str">
        <x:v>gemini</x:v>
      </x:c>
      <x:c r="B1000" s="35" t="str">
        <x:v>Closure</x:v>
      </x:c>
      <x:c r="C1000" s="35" t="str">
        <x:v>Round1</x:v>
      </x:c>
      <x:c r="D1000" s="35" t="str">
        <x:v>Closure_170</x:v>
      </x:c>
      <x:c r="E1000" s="35" t="str">
        <x:v>Condition</x:v>
      </x:c>
      <x:c r="F1000" s="35"/>
      <x:c r="G1000" s="35" t="str">
        <x:v>A</x:v>
      </x:c>
      <x:c r="H1000" s="39" t="str">
        <x:f>IF(ISNUMBER('Data'!N146),'Data'!N146*100,"")</x:f>
      </x:c>
      <x:c r="I1000" s="35"/>
      <x:c r="J1000" s="35" t="str">
        <x:v>PASS</x:v>
      </x:c>
      <x:c r="K1000" s="35" t="str">
        <x:v>FAIL</x:v>
      </x:c>
      <x:c r="L1000" s="35" t="str">
        <x:v>NOT_RUN</x:v>
      </x:c>
      <x:c r="M1000" s="35" t="str">
        <x:v>coverage unavailable or execution/compile failed</x:v>
      </x:c>
      <x:c r="N1000" s="35" t="str">
        <x:v>Gemini-3.8-flash/Result/Closure_170/result.json</x:v>
      </x:c>
      <x:c r="O1000" s="39" t="str">
        <x:f>IF(AND(G1000="RECORDED",ISNUMBER(H1000)),H1000,"")</x:f>
      </x:c>
      <x:c r="P1000" s="35" t="str">
        <x:v>NOT_AVAILABLE</x:v>
      </x:c>
      <x:c r="Q1000" s="35" t="str">
        <x:v>Gemini-3.8-flash/Result/Closure_170/result.json</x:v>
      </x:c>
    </x:row>
    <x:row r="1001">
      <x:c r="A1001" s="35" t="str">
        <x:v>gemini</x:v>
      </x:c>
      <x:c r="B1001" s="35" t="str">
        <x:v>Closure</x:v>
      </x:c>
      <x:c r="C1001" s="35" t="str">
        <x:v>Round1</x:v>
      </x:c>
      <x:c r="D1001" s="35" t="str">
        <x:v>Closure_171</x:v>
      </x:c>
      <x:c r="E1001" s="35" t="str">
        <x:v>Condition</x:v>
      </x:c>
      <x:c r="F1001" s="35"/>
      <x:c r="G1001" s="35" t="str">
        <x:v>A</x:v>
      </x:c>
      <x:c r="H1001" s="39" t="str">
        <x:f>IF(ISNUMBER('Data'!N147),'Data'!N147*100,"")</x:f>
      </x:c>
      <x:c r="I1001" s="35"/>
      <x:c r="J1001" s="35" t="str">
        <x:v>PASS</x:v>
      </x:c>
      <x:c r="K1001" s="35" t="str">
        <x:v>FAIL</x:v>
      </x:c>
      <x:c r="L1001" s="35" t="str">
        <x:v>NOT_RUN</x:v>
      </x:c>
      <x:c r="M1001" s="35" t="str">
        <x:v>coverage unavailable or execution/compile failed</x:v>
      </x:c>
      <x:c r="N1001" s="35" t="str">
        <x:v>Gemini-3.8-flash/Result/Closure_171/result.json</x:v>
      </x:c>
      <x:c r="O1001" s="39" t="str">
        <x:f>IF(AND(G1001="RECORDED",ISNUMBER(H1001)),H1001,"")</x:f>
      </x:c>
      <x:c r="P1001" s="35" t="str">
        <x:v>NOT_AVAILABLE</x:v>
      </x:c>
      <x:c r="Q1001" s="35" t="str">
        <x:v>Gemini-3.8-flash/Result/Closure_171/result.json</x:v>
      </x:c>
    </x:row>
    <x:row r="1002">
      <x:c r="A1002" s="35" t="str">
        <x:v>gemini</x:v>
      </x:c>
      <x:c r="B1002" s="35" t="str">
        <x:v>Closure</x:v>
      </x:c>
      <x:c r="C1002" s="35" t="str">
        <x:v>Round1</x:v>
      </x:c>
      <x:c r="D1002" s="35" t="str">
        <x:v>Closure_172</x:v>
      </x:c>
      <x:c r="E1002" s="35" t="str">
        <x:v>Condition</x:v>
      </x:c>
      <x:c r="F1002" s="35" t="n">
        <x:v>762</x:v>
      </x:c>
      <x:c r="G1002" s="35" t="str">
        <x:v>RECORDED</x:v>
      </x:c>
      <x:c r="H1002" s="39" t="n">
        <x:f>IF(ISNUMBER('Data'!N148),'Data'!N148*100,"")</x:f>
        <x:v>0</x:v>
      </x:c>
      <x:c r="I1002" s="35" t="str">
        <x:v>PASS</x:v>
      </x:c>
      <x:c r="J1002" s="35" t="str">
        <x:v>PASS</x:v>
      </x:c>
      <x:c r="K1002" s="35" t="str">
        <x:v>PASS</x:v>
      </x:c>
      <x:c r="L1002" s="35" t="str">
        <x:v>FAIL</x:v>
      </x:c>
      <x:c r="M1002" s="35" t="str">
        <x:v>numeric coverage for applicable metric</x:v>
      </x:c>
      <x:c r="N1002" s="35" t="str">
        <x:v>Gemini-3.8-flash/Result/Closure_172/result.json</x:v>
      </x:c>
      <x:c r="O1002" s="39" t="n">
        <x:f>IF(AND(G1002="RECORDED",ISNUMBER(H1002)),H1002,"")</x:f>
        <x:v>0</x:v>
      </x:c>
      <x:c r="P1002" s="35" t="str">
        <x:v>INCONCLUSIVE</x:v>
      </x:c>
      <x:c r="Q1002" s="35" t="str">
        <x:v>Gemini-3.8-flash/Result/Closure_172/result.json</x:v>
      </x:c>
    </x:row>
    <x:row r="1003">
      <x:c r="A1003" s="35" t="str">
        <x:v>gemini</x:v>
      </x:c>
      <x:c r="B1003" s="35" t="str">
        <x:v>Closure</x:v>
      </x:c>
      <x:c r="C1003" s="35" t="str">
        <x:v>Round1</x:v>
      </x:c>
      <x:c r="D1003" s="35" t="str">
        <x:v>Closure_173</x:v>
      </x:c>
      <x:c r="E1003" s="35" t="str">
        <x:v>Condition</x:v>
      </x:c>
      <x:c r="F1003" s="35"/>
      <x:c r="G1003" s="35" t="str">
        <x:v>A</x:v>
      </x:c>
      <x:c r="H1003" s="39" t="str">
        <x:f>IF(ISNUMBER('Data'!N149),'Data'!N149*100,"")</x:f>
      </x:c>
      <x:c r="I1003" s="35"/>
      <x:c r="J1003" s="35" t="str">
        <x:v>PASS</x:v>
      </x:c>
      <x:c r="K1003" s="35" t="str">
        <x:v>FAIL</x:v>
      </x:c>
      <x:c r="L1003" s="35" t="str">
        <x:v>NOT_RUN</x:v>
      </x:c>
      <x:c r="M1003" s="35" t="str">
        <x:v>coverage unavailable or execution/compile failed</x:v>
      </x:c>
      <x:c r="N1003" s="35" t="str">
        <x:v>Gemini-3.8-flash/Result/Closure_173/result.json</x:v>
      </x:c>
      <x:c r="O1003" s="39" t="str">
        <x:f>IF(AND(G1003="RECORDED",ISNUMBER(H1003)),H1003,"")</x:f>
      </x:c>
      <x:c r="P1003" s="35" t="str">
        <x:v>NOT_AVAILABLE</x:v>
      </x:c>
      <x:c r="Q1003" s="35" t="str">
        <x:v>Gemini-3.8-flash/Result/Closure_173/result.json</x:v>
      </x:c>
    </x:row>
    <x:row r="1004">
      <x:c r="A1004" s="35" t="str">
        <x:v>gemini</x:v>
      </x:c>
      <x:c r="B1004" s="35" t="str">
        <x:v>Closure</x:v>
      </x:c>
      <x:c r="C1004" s="35" t="str">
        <x:v>Round1</x:v>
      </x:c>
      <x:c r="D1004" s="35" t="str">
        <x:v>Closure_174</x:v>
      </x:c>
      <x:c r="E1004" s="35" t="str">
        <x:v>Condition</x:v>
      </x:c>
      <x:c r="F1004" s="35" t="n">
        <x:v>1244</x:v>
      </x:c>
      <x:c r="G1004" s="35" t="str">
        <x:v>RECORDED</x:v>
      </x:c>
      <x:c r="H1004" s="39" t="n">
        <x:f>IF(ISNUMBER('Data'!N150),'Data'!N150*100,"")</x:f>
        <x:v>1.13</x:v>
      </x:c>
      <x:c r="I1004" s="35" t="str">
        <x:v>PASS</x:v>
      </x:c>
      <x:c r="J1004" s="35" t="str">
        <x:v>PASS</x:v>
      </x:c>
      <x:c r="K1004" s="35" t="str">
        <x:v>PASS</x:v>
      </x:c>
      <x:c r="L1004" s="35" t="str">
        <x:v>PASS</x:v>
      </x:c>
      <x:c r="M1004" s="35" t="str">
        <x:v>numeric coverage for applicable metric</x:v>
      </x:c>
      <x:c r="N1004" s="35" t="str">
        <x:v>Gemini-3.8-flash/Result/Closure_174/result.json</x:v>
      </x:c>
      <x:c r="O1004" s="39" t="n">
        <x:f>IF(AND(G1004="RECORDED",ISNUMBER(H1004)),H1004,"")</x:f>
        <x:v>1.13</x:v>
      </x:c>
      <x:c r="P1004" s="35" t="str">
        <x:v>INCONCLUSIVE</x:v>
      </x:c>
      <x:c r="Q1004" s="35" t="str">
        <x:v>Gemini-3.8-flash/Result/Closure_174/result.json</x:v>
      </x:c>
    </x:row>
    <x:row r="1005">
      <x:c r="A1005" s="35" t="str">
        <x:v>gemini</x:v>
      </x:c>
      <x:c r="B1005" s="35" t="str">
        <x:v>Closure</x:v>
      </x:c>
      <x:c r="C1005" s="35" t="str">
        <x:v>Round1</x:v>
      </x:c>
      <x:c r="D1005" s="35" t="str">
        <x:v>Closure_175</x:v>
      </x:c>
      <x:c r="E1005" s="35" t="str">
        <x:v>Condition</x:v>
      </x:c>
      <x:c r="F1005" s="35"/>
      <x:c r="G1005" s="35" t="str">
        <x:v>A</x:v>
      </x:c>
      <x:c r="H1005" s="39" t="str">
        <x:f>IF(ISNUMBER('Data'!N151),'Data'!N151*100,"")</x:f>
      </x:c>
      <x:c r="I1005" s="35"/>
      <x:c r="J1005" s="35" t="str">
        <x:v>PASS</x:v>
      </x:c>
      <x:c r="K1005" s="35" t="str">
        <x:v>FAIL</x:v>
      </x:c>
      <x:c r="L1005" s="35" t="str">
        <x:v>NOT_RUN</x:v>
      </x:c>
      <x:c r="M1005" s="35" t="str">
        <x:v>coverage unavailable or execution/compile failed</x:v>
      </x:c>
      <x:c r="N1005" s="35" t="str">
        <x:v>Gemini-3.8-flash/Result/Closure_175/result.json</x:v>
      </x:c>
      <x:c r="O1005" s="39" t="str">
        <x:f>IF(AND(G1005="RECORDED",ISNUMBER(H1005)),H1005,"")</x:f>
      </x:c>
      <x:c r="P1005" s="35" t="str">
        <x:v>NOT_AVAILABLE</x:v>
      </x:c>
      <x:c r="Q1005" s="35" t="str">
        <x:v>Gemini-3.8-flash/Result/Closure_175/result.json</x:v>
      </x:c>
    </x:row>
    <x:row r="1006">
      <x:c r="A1006" s="35" t="str">
        <x:v>gemini</x:v>
      </x:c>
      <x:c r="B1006" s="35" t="str">
        <x:v>Closure</x:v>
      </x:c>
      <x:c r="C1006" s="35" t="str">
        <x:v>Round1</x:v>
      </x:c>
      <x:c r="D1006" s="35" t="str">
        <x:v>Closure_176</x:v>
      </x:c>
      <x:c r="E1006" s="35" t="str">
        <x:v>Condition</x:v>
      </x:c>
      <x:c r="F1006" s="35"/>
      <x:c r="G1006" s="35" t="str">
        <x:v>A</x:v>
      </x:c>
      <x:c r="H1006" s="39" t="str">
        <x:f>IF(ISNUMBER('Data'!N152),'Data'!N152*100,"")</x:f>
      </x:c>
      <x:c r="I1006" s="35"/>
      <x:c r="J1006" s="35" t="str">
        <x:v>PASS</x:v>
      </x:c>
      <x:c r="K1006" s="35" t="str">
        <x:v>FAIL</x:v>
      </x:c>
      <x:c r="L1006" s="35" t="str">
        <x:v>NOT_RUN</x:v>
      </x:c>
      <x:c r="M1006" s="35" t="str">
        <x:v>coverage unavailable or execution/compile failed</x:v>
      </x:c>
      <x:c r="N1006" s="35" t="str">
        <x:v>Gemini-3.8-flash/Result/Closure_176/result.json</x:v>
      </x:c>
      <x:c r="O1006" s="39" t="str">
        <x:f>IF(AND(G1006="RECORDED",ISNUMBER(H1006)),H1006,"")</x:f>
      </x:c>
      <x:c r="P1006" s="35" t="str">
        <x:v>NOT_AVAILABLE</x:v>
      </x:c>
      <x:c r="Q1006" s="35" t="str">
        <x:v>Gemini-3.8-flash/Result/Closure_176/result.json</x:v>
      </x:c>
    </x:row>
    <x:row r="1007">
      <x:c r="A1007" s="35" t="str">
        <x:v>gemini</x:v>
      </x:c>
      <x:c r="B1007" s="35" t="str">
        <x:v>Closure</x:v>
      </x:c>
      <x:c r="C1007" s="35" t="str">
        <x:v>Round1</x:v>
      </x:c>
      <x:c r="D1007" s="35" t="str">
        <x:v>Closure_18</x:v>
      </x:c>
      <x:c r="E1007" s="35" t="str">
        <x:v>Condition</x:v>
      </x:c>
      <x:c r="F1007" s="35"/>
      <x:c r="G1007" s="35" t="str">
        <x:v>A</x:v>
      </x:c>
      <x:c r="H1007" s="39" t="str">
        <x:f>IF(ISNUMBER('Data'!N153),'Data'!N153*100,"")</x:f>
      </x:c>
      <x:c r="I1007" s="35"/>
      <x:c r="J1007" s="35" t="str">
        <x:v>PASS</x:v>
      </x:c>
      <x:c r="K1007" s="35" t="str">
        <x:v>FAIL</x:v>
      </x:c>
      <x:c r="L1007" s="35" t="str">
        <x:v>NOT_RUN</x:v>
      </x:c>
      <x:c r="M1007" s="35" t="str">
        <x:v>coverage unavailable or execution/compile failed</x:v>
      </x:c>
      <x:c r="N1007" s="35" t="str">
        <x:v>Gemini-3.8-flash/Result/Closure_18/result.json</x:v>
      </x:c>
      <x:c r="O1007" s="39" t="str">
        <x:f>IF(AND(G1007="RECORDED",ISNUMBER(H1007)),H1007,"")</x:f>
      </x:c>
      <x:c r="P1007" s="35" t="str">
        <x:v>NOT_AVAILABLE</x:v>
      </x:c>
      <x:c r="Q1007" s="35" t="str">
        <x:v>Gemini-3.8-flash/Result/Closure_18/result.json</x:v>
      </x:c>
    </x:row>
    <x:row r="1008">
      <x:c r="A1008" s="35" t="str">
        <x:v>gemini</x:v>
      </x:c>
      <x:c r="B1008" s="35" t="str">
        <x:v>Closure</x:v>
      </x:c>
      <x:c r="C1008" s="35" t="str">
        <x:v>Round1</x:v>
      </x:c>
      <x:c r="D1008" s="35" t="str">
        <x:v>Closure_19</x:v>
      </x:c>
      <x:c r="E1008" s="35" t="str">
        <x:v>Condition</x:v>
      </x:c>
      <x:c r="F1008" s="35"/>
      <x:c r="G1008" s="35" t="str">
        <x:v>A</x:v>
      </x:c>
      <x:c r="H1008" s="39" t="str">
        <x:f>IF(ISNUMBER('Data'!N154),'Data'!N154*100,"")</x:f>
      </x:c>
      <x:c r="I1008" s="35"/>
      <x:c r="J1008" s="35" t="str">
        <x:v>PASS</x:v>
      </x:c>
      <x:c r="K1008" s="35" t="str">
        <x:v>FAIL</x:v>
      </x:c>
      <x:c r="L1008" s="35" t="str">
        <x:v>NOT_RUN</x:v>
      </x:c>
      <x:c r="M1008" s="35" t="str">
        <x:v>coverage unavailable or execution/compile failed</x:v>
      </x:c>
      <x:c r="N1008" s="35" t="str">
        <x:v>Gemini-3.8-flash/Result/Closure_19/result.json</x:v>
      </x:c>
      <x:c r="O1008" s="39" t="str">
        <x:f>IF(AND(G1008="RECORDED",ISNUMBER(H1008)),H1008,"")</x:f>
      </x:c>
      <x:c r="P1008" s="35" t="str">
        <x:v>NOT_AVAILABLE</x:v>
      </x:c>
      <x:c r="Q1008" s="35" t="str">
        <x:v>Gemini-3.8-flash/Result/Closure_19/result.json</x:v>
      </x:c>
    </x:row>
    <x:row r="1009">
      <x:c r="A1009" s="35" t="str">
        <x:v>gemini</x:v>
      </x:c>
      <x:c r="B1009" s="35" t="str">
        <x:v>Closure</x:v>
      </x:c>
      <x:c r="C1009" s="35" t="str">
        <x:v>Round1</x:v>
      </x:c>
      <x:c r="D1009" s="35" t="str">
        <x:v>Closure_2</x:v>
      </x:c>
      <x:c r="E1009" s="35" t="str">
        <x:v>Condition</x:v>
      </x:c>
      <x:c r="F1009" s="35"/>
      <x:c r="G1009" s="35" t="str">
        <x:v>A</x:v>
      </x:c>
      <x:c r="H1009" s="39" t="str">
        <x:f>IF(ISNUMBER('Data'!N155),'Data'!N155*100,"")</x:f>
      </x:c>
      <x:c r="I1009" s="35"/>
      <x:c r="J1009" s="35" t="str">
        <x:v>PASS</x:v>
      </x:c>
      <x:c r="K1009" s="35" t="str">
        <x:v>FAIL</x:v>
      </x:c>
      <x:c r="L1009" s="35" t="str">
        <x:v>NOT_RUN</x:v>
      </x:c>
      <x:c r="M1009" s="35" t="str">
        <x:v>coverage unavailable or execution/compile failed</x:v>
      </x:c>
      <x:c r="N1009" s="35" t="str">
        <x:v>Gemini-3.8-flash/Result/Closure_2/result.json</x:v>
      </x:c>
      <x:c r="O1009" s="39" t="str">
        <x:f>IF(AND(G1009="RECORDED",ISNUMBER(H1009)),H1009,"")</x:f>
      </x:c>
      <x:c r="P1009" s="35" t="str">
        <x:v>NOT_AVAILABLE</x:v>
      </x:c>
      <x:c r="Q1009" s="35" t="str">
        <x:v>Gemini-3.8-flash/Result/Closure_2/result.json</x:v>
      </x:c>
    </x:row>
    <x:row r="1010">
      <x:c r="A1010" s="35" t="str">
        <x:v>gemini</x:v>
      </x:c>
      <x:c r="B1010" s="35" t="str">
        <x:v>Closure</x:v>
      </x:c>
      <x:c r="C1010" s="35" t="str">
        <x:v>Round1</x:v>
      </x:c>
      <x:c r="D1010" s="35" t="str">
        <x:v>Closure_20</x:v>
      </x:c>
      <x:c r="E1010" s="35" t="str">
        <x:v>Condition</x:v>
      </x:c>
      <x:c r="F1010" s="35" t="n">
        <x:v>526</x:v>
      </x:c>
      <x:c r="G1010" s="35" t="str">
        <x:v>RECORDED</x:v>
      </x:c>
      <x:c r="H1010" s="39" t="n">
        <x:f>IF(ISNUMBER('Data'!N156),'Data'!N156*100,"")</x:f>
        <x:v>6.08</x:v>
      </x:c>
      <x:c r="I1010" s="35" t="str">
        <x:v>PASS</x:v>
      </x:c>
      <x:c r="J1010" s="35" t="str">
        <x:v>PASS</x:v>
      </x:c>
      <x:c r="K1010" s="35" t="str">
        <x:v>PASS</x:v>
      </x:c>
      <x:c r="L1010" s="35" t="str">
        <x:v>FAIL</x:v>
      </x:c>
      <x:c r="M1010" s="35" t="str">
        <x:v>numeric coverage for applicable metric</x:v>
      </x:c>
      <x:c r="N1010" s="35" t="str">
        <x:v>Gemini-3.8-flash/Result/Closure_20/result.json</x:v>
      </x:c>
      <x:c r="O1010" s="39" t="n">
        <x:f>IF(AND(G1010="RECORDED",ISNUMBER(H1010)),H1010,"")</x:f>
        <x:v>6.08</x:v>
      </x:c>
      <x:c r="P1010" s="35" t="str">
        <x:v>INCONCLUSIVE</x:v>
      </x:c>
      <x:c r="Q1010" s="35" t="str">
        <x:v>Gemini-3.8-flash/Result/Closure_20/result.json</x:v>
      </x:c>
    </x:row>
    <x:row r="1011">
      <x:c r="A1011" s="35" t="str">
        <x:v>gemini</x:v>
      </x:c>
      <x:c r="B1011" s="35" t="str">
        <x:v>Closure</x:v>
      </x:c>
      <x:c r="C1011" s="35" t="str">
        <x:v>Round1</x:v>
      </x:c>
      <x:c r="D1011" s="35" t="str">
        <x:v>Closure_21</x:v>
      </x:c>
      <x:c r="E1011" s="35" t="str">
        <x:v>Condition</x:v>
      </x:c>
      <x:c r="F1011" s="35"/>
      <x:c r="G1011" s="35" t="str">
        <x:v>A</x:v>
      </x:c>
      <x:c r="H1011" s="39" t="str">
        <x:f>IF(ISNUMBER('Data'!N157),'Data'!N157*100,"")</x:f>
      </x:c>
      <x:c r="I1011" s="35"/>
      <x:c r="J1011" s="35" t="str">
        <x:v>PASS</x:v>
      </x:c>
      <x:c r="K1011" s="35" t="str">
        <x:v>FAIL</x:v>
      </x:c>
      <x:c r="L1011" s="35" t="str">
        <x:v>NOT_RUN</x:v>
      </x:c>
      <x:c r="M1011" s="35" t="str">
        <x:v>coverage unavailable or execution/compile failed</x:v>
      </x:c>
      <x:c r="N1011" s="35" t="str">
        <x:v>Gemini-3.8-flash/Result/Closure_21/result.json</x:v>
      </x:c>
      <x:c r="O1011" s="39" t="str">
        <x:f>IF(AND(G1011="RECORDED",ISNUMBER(H1011)),H1011,"")</x:f>
      </x:c>
      <x:c r="P1011" s="35" t="str">
        <x:v>NOT_AVAILABLE</x:v>
      </x:c>
      <x:c r="Q1011" s="35" t="str">
        <x:v>Gemini-3.8-flash/Result/Closure_21/result.json</x:v>
      </x:c>
    </x:row>
    <x:row r="1012">
      <x:c r="A1012" s="35" t="str">
        <x:v>gemini</x:v>
      </x:c>
      <x:c r="B1012" s="35" t="str">
        <x:v>Closure</x:v>
      </x:c>
      <x:c r="C1012" s="35" t="str">
        <x:v>Round1</x:v>
      </x:c>
      <x:c r="D1012" s="35" t="str">
        <x:v>Closure_22</x:v>
      </x:c>
      <x:c r="E1012" s="35" t="str">
        <x:v>Condition</x:v>
      </x:c>
      <x:c r="F1012" s="35"/>
      <x:c r="G1012" s="35" t="str">
        <x:v>A</x:v>
      </x:c>
      <x:c r="H1012" s="39" t="str">
        <x:f>IF(ISNUMBER('Data'!N158),'Data'!N158*100,"")</x:f>
      </x:c>
      <x:c r="I1012" s="35"/>
      <x:c r="J1012" s="35" t="str">
        <x:v>PASS</x:v>
      </x:c>
      <x:c r="K1012" s="35" t="str">
        <x:v>FAIL</x:v>
      </x:c>
      <x:c r="L1012" s="35" t="str">
        <x:v>NOT_RUN</x:v>
      </x:c>
      <x:c r="M1012" s="35" t="str">
        <x:v>coverage unavailable or execution/compile failed</x:v>
      </x:c>
      <x:c r="N1012" s="35" t="str">
        <x:v>Gemini-3.8-flash/Result/Closure_22/result.json</x:v>
      </x:c>
      <x:c r="O1012" s="39" t="str">
        <x:f>IF(AND(G1012="RECORDED",ISNUMBER(H1012)),H1012,"")</x:f>
      </x:c>
      <x:c r="P1012" s="35" t="str">
        <x:v>NOT_AVAILABLE</x:v>
      </x:c>
      <x:c r="Q1012" s="35" t="str">
        <x:v>Gemini-3.8-flash/Result/Closure_22/result.json</x:v>
      </x:c>
    </x:row>
    <x:row r="1013">
      <x:c r="A1013" s="35" t="str">
        <x:v>gemini</x:v>
      </x:c>
      <x:c r="B1013" s="35" t="str">
        <x:v>Closure</x:v>
      </x:c>
      <x:c r="C1013" s="35" t="str">
        <x:v>Round1</x:v>
      </x:c>
      <x:c r="D1013" s="35" t="str">
        <x:v>Closure_23</x:v>
      </x:c>
      <x:c r="E1013" s="35" t="str">
        <x:v>Condition</x:v>
      </x:c>
      <x:c r="F1013" s="35"/>
      <x:c r="G1013" s="35" t="str">
        <x:v>A</x:v>
      </x:c>
      <x:c r="H1013" s="39" t="str">
        <x:f>IF(ISNUMBER('Data'!N159),'Data'!N159*100,"")</x:f>
      </x:c>
      <x:c r="I1013" s="35"/>
      <x:c r="J1013" s="35" t="str">
        <x:v>PASS</x:v>
      </x:c>
      <x:c r="K1013" s="35" t="str">
        <x:v>FAIL</x:v>
      </x:c>
      <x:c r="L1013" s="35" t="str">
        <x:v>NOT_RUN</x:v>
      </x:c>
      <x:c r="M1013" s="35" t="str">
        <x:v>coverage unavailable or execution/compile failed</x:v>
      </x:c>
      <x:c r="N1013" s="35" t="str">
        <x:v>Gemini-3.8-flash/Result/Closure_23/result.json</x:v>
      </x:c>
      <x:c r="O1013" s="39" t="str">
        <x:f>IF(AND(G1013="RECORDED",ISNUMBER(H1013)),H1013,"")</x:f>
      </x:c>
      <x:c r="P1013" s="35" t="str">
        <x:v>NOT_AVAILABLE</x:v>
      </x:c>
      <x:c r="Q1013" s="35" t="str">
        <x:v>Gemini-3.8-flash/Result/Closure_23/result.json</x:v>
      </x:c>
    </x:row>
    <x:row r="1014">
      <x:c r="A1014" s="35" t="str">
        <x:v>gemini</x:v>
      </x:c>
      <x:c r="B1014" s="35" t="str">
        <x:v>Closure</x:v>
      </x:c>
      <x:c r="C1014" s="35" t="str">
        <x:v>Round1</x:v>
      </x:c>
      <x:c r="D1014" s="35" t="str">
        <x:v>Closure_24</x:v>
      </x:c>
      <x:c r="E1014" s="35" t="str">
        <x:v>Condition</x:v>
      </x:c>
      <x:c r="F1014" s="35"/>
      <x:c r="G1014" s="35" t="str">
        <x:v>A</x:v>
      </x:c>
      <x:c r="H1014" s="39" t="str">
        <x:f>IF(ISNUMBER('Data'!N160),'Data'!N160*100,"")</x:f>
      </x:c>
      <x:c r="I1014" s="35"/>
      <x:c r="J1014" s="35" t="str">
        <x:v>PASS</x:v>
      </x:c>
      <x:c r="K1014" s="35" t="str">
        <x:v>FAIL</x:v>
      </x:c>
      <x:c r="L1014" s="35" t="str">
        <x:v>NOT_RUN</x:v>
      </x:c>
      <x:c r="M1014" s="35" t="str">
        <x:v>coverage unavailable or execution/compile failed</x:v>
      </x:c>
      <x:c r="N1014" s="35" t="str">
        <x:v>Gemini-3.8-flash/Result/Closure_24/result.json</x:v>
      </x:c>
      <x:c r="O1014" s="39" t="str">
        <x:f>IF(AND(G1014="RECORDED",ISNUMBER(H1014)),H1014,"")</x:f>
      </x:c>
      <x:c r="P1014" s="35" t="str">
        <x:v>NOT_AVAILABLE</x:v>
      </x:c>
      <x:c r="Q1014" s="35" t="str">
        <x:v>Gemini-3.8-flash/Result/Closure_24/result.json</x:v>
      </x:c>
    </x:row>
    <x:row r="1015">
      <x:c r="A1015" s="35" t="str">
        <x:v>gemini</x:v>
      </x:c>
      <x:c r="B1015" s="35" t="str">
        <x:v>Closure</x:v>
      </x:c>
      <x:c r="C1015" s="35" t="str">
        <x:v>Round1</x:v>
      </x:c>
      <x:c r="D1015" s="35" t="str">
        <x:v>Closure_25</x:v>
      </x:c>
      <x:c r="E1015" s="35" t="str">
        <x:v>Condition</x:v>
      </x:c>
      <x:c r="F1015" s="35"/>
      <x:c r="G1015" s="35" t="str">
        <x:v>A</x:v>
      </x:c>
      <x:c r="H1015" s="39" t="str">
        <x:f>IF(ISNUMBER('Data'!N161),'Data'!N161*100,"")</x:f>
      </x:c>
      <x:c r="I1015" s="35"/>
      <x:c r="J1015" s="35" t="str">
        <x:v>PASS</x:v>
      </x:c>
      <x:c r="K1015" s="35" t="str">
        <x:v>FAIL</x:v>
      </x:c>
      <x:c r="L1015" s="35" t="str">
        <x:v>NOT_RUN</x:v>
      </x:c>
      <x:c r="M1015" s="35" t="str">
        <x:v>coverage unavailable or execution/compile failed</x:v>
      </x:c>
      <x:c r="N1015" s="35" t="str">
        <x:v>Gemini-3.8-flash/Result/Closure_25/result.json</x:v>
      </x:c>
      <x:c r="O1015" s="39" t="str">
        <x:f>IF(AND(G1015="RECORDED",ISNUMBER(H1015)),H1015,"")</x:f>
      </x:c>
      <x:c r="P1015" s="35" t="str">
        <x:v>NOT_AVAILABLE</x:v>
      </x:c>
      <x:c r="Q1015" s="35" t="str">
        <x:v>Gemini-3.8-flash/Result/Closure_25/result.json</x:v>
      </x:c>
    </x:row>
    <x:row r="1016">
      <x:c r="A1016" s="35" t="str">
        <x:v>gemini</x:v>
      </x:c>
      <x:c r="B1016" s="35" t="str">
        <x:v>Closure</x:v>
      </x:c>
      <x:c r="C1016" s="35" t="str">
        <x:v>Round1</x:v>
      </x:c>
      <x:c r="D1016" s="35" t="str">
        <x:v>Closure_26</x:v>
      </x:c>
      <x:c r="E1016" s="35" t="str">
        <x:v>Condition</x:v>
      </x:c>
      <x:c r="F1016" s="35"/>
      <x:c r="G1016" s="35" t="str">
        <x:v>A</x:v>
      </x:c>
      <x:c r="H1016" s="39" t="str">
        <x:f>IF(ISNUMBER('Data'!N162),'Data'!N162*100,"")</x:f>
      </x:c>
      <x:c r="I1016" s="35"/>
      <x:c r="J1016" s="35" t="str">
        <x:v>PASS</x:v>
      </x:c>
      <x:c r="K1016" s="35" t="str">
        <x:v>FAIL</x:v>
      </x:c>
      <x:c r="L1016" s="35" t="str">
        <x:v>NOT_RUN</x:v>
      </x:c>
      <x:c r="M1016" s="35" t="str">
        <x:v>coverage unavailable or execution/compile failed</x:v>
      </x:c>
      <x:c r="N1016" s="35" t="str">
        <x:v>Gemini-3.8-flash/Result/Closure_26/result.json</x:v>
      </x:c>
      <x:c r="O1016" s="39" t="str">
        <x:f>IF(AND(G1016="RECORDED",ISNUMBER(H1016)),H1016,"")</x:f>
      </x:c>
      <x:c r="P1016" s="35" t="str">
        <x:v>NOT_AVAILABLE</x:v>
      </x:c>
      <x:c r="Q1016" s="35" t="str">
        <x:v>Gemini-3.8-flash/Result/Closure_26/result.json</x:v>
      </x:c>
    </x:row>
    <x:row r="1017">
      <x:c r="A1017" s="35" t="str">
        <x:v>gemini</x:v>
      </x:c>
      <x:c r="B1017" s="35" t="str">
        <x:v>Closure</x:v>
      </x:c>
      <x:c r="C1017" s="35" t="str">
        <x:v>Round1</x:v>
      </x:c>
      <x:c r="D1017" s="35" t="str">
        <x:v>Closure_27</x:v>
      </x:c>
      <x:c r="E1017" s="35" t="str">
        <x:v>Condition</x:v>
      </x:c>
      <x:c r="F1017" s="35"/>
      <x:c r="G1017" s="35" t="str">
        <x:v>A</x:v>
      </x:c>
      <x:c r="H1017" s="39" t="str">
        <x:f>IF(ISNUMBER('Data'!N163),'Data'!N163*100,"")</x:f>
      </x:c>
      <x:c r="I1017" s="35"/>
      <x:c r="J1017" s="35" t="str">
        <x:v>PASS</x:v>
      </x:c>
      <x:c r="K1017" s="35" t="str">
        <x:v>FAIL</x:v>
      </x:c>
      <x:c r="L1017" s="35" t="str">
        <x:v>NOT_RUN</x:v>
      </x:c>
      <x:c r="M1017" s="35" t="str">
        <x:v>coverage unavailable or execution/compile failed</x:v>
      </x:c>
      <x:c r="N1017" s="35" t="str">
        <x:v>Gemini-3.8-flash/Result/Closure_27/result.json</x:v>
      </x:c>
      <x:c r="O1017" s="39" t="str">
        <x:f>IF(AND(G1017="RECORDED",ISNUMBER(H1017)),H1017,"")</x:f>
      </x:c>
      <x:c r="P1017" s="35" t="str">
        <x:v>NOT_AVAILABLE</x:v>
      </x:c>
      <x:c r="Q1017" s="35" t="str">
        <x:v>Gemini-3.8-flash/Result/Closure_27/result.json</x:v>
      </x:c>
    </x:row>
    <x:row r="1018">
      <x:c r="A1018" s="35" t="str">
        <x:v>gemini</x:v>
      </x:c>
      <x:c r="B1018" s="35" t="str">
        <x:v>Closure</x:v>
      </x:c>
      <x:c r="C1018" s="35" t="str">
        <x:v>Round1</x:v>
      </x:c>
      <x:c r="D1018" s="35" t="str">
        <x:v>Closure_28</x:v>
      </x:c>
      <x:c r="E1018" s="35" t="str">
        <x:v>Condition</x:v>
      </x:c>
      <x:c r="F1018" s="35" t="n">
        <x:v>2</x:v>
      </x:c>
      <x:c r="G1018" s="35" t="str">
        <x:v>RECORDED</x:v>
      </x:c>
      <x:c r="H1018" s="39" t="n">
        <x:f>IF(ISNUMBER('Data'!N164),'Data'!N164*100,"")</x:f>
        <x:v>100</x:v>
      </x:c>
      <x:c r="I1018" s="35" t="str">
        <x:v>PASS</x:v>
      </x:c>
      <x:c r="J1018" s="35" t="str">
        <x:v>PASS</x:v>
      </x:c>
      <x:c r="K1018" s="35" t="str">
        <x:v>PASS</x:v>
      </x:c>
      <x:c r="L1018" s="35" t="str">
        <x:v>PASS</x:v>
      </x:c>
      <x:c r="M1018" s="35" t="str">
        <x:v>numeric coverage for applicable metric</x:v>
      </x:c>
      <x:c r="N1018" s="35" t="str">
        <x:v>Gemini-3.8-flash/Result/Closure_28/result.json</x:v>
      </x:c>
      <x:c r="O1018" s="39" t="n">
        <x:f>IF(AND(G1018="RECORDED",ISNUMBER(H1018)),H1018,"")</x:f>
        <x:v>100</x:v>
      </x:c>
      <x:c r="P1018" s="35" t="str">
        <x:v>NOT_REVEALING</x:v>
      </x:c>
      <x:c r="Q1018" s="35" t="str">
        <x:v>Gemini-3.8-flash/Result/Closure_28/result.json</x:v>
      </x:c>
    </x:row>
    <x:row r="1019">
      <x:c r="A1019" s="35" t="str">
        <x:v>gemini</x:v>
      </x:c>
      <x:c r="B1019" s="35" t="str">
        <x:v>Closure</x:v>
      </x:c>
      <x:c r="C1019" s="35" t="str">
        <x:v>Round1</x:v>
      </x:c>
      <x:c r="D1019" s="35" t="str">
        <x:v>Closure_29</x:v>
      </x:c>
      <x:c r="E1019" s="35" t="str">
        <x:v>Condition</x:v>
      </x:c>
      <x:c r="F1019" s="35"/>
      <x:c r="G1019" s="35" t="str">
        <x:v>A</x:v>
      </x:c>
      <x:c r="H1019" s="39" t="str">
        <x:f>IF(ISNUMBER('Data'!N165),'Data'!N165*100,"")</x:f>
      </x:c>
      <x:c r="I1019" s="35"/>
      <x:c r="J1019" s="35" t="str">
        <x:v>PASS</x:v>
      </x:c>
      <x:c r="K1019" s="35" t="str">
        <x:v>FAIL</x:v>
      </x:c>
      <x:c r="L1019" s="35" t="str">
        <x:v>NOT_RUN</x:v>
      </x:c>
      <x:c r="M1019" s="35" t="str">
        <x:v>coverage unavailable or execution/compile failed</x:v>
      </x:c>
      <x:c r="N1019" s="35" t="str">
        <x:v>Gemini-3.8-flash/Result/Closure_29/result.json</x:v>
      </x:c>
      <x:c r="O1019" s="39" t="str">
        <x:f>IF(AND(G1019="RECORDED",ISNUMBER(H1019)),H1019,"")</x:f>
      </x:c>
      <x:c r="P1019" s="35" t="str">
        <x:v>NOT_AVAILABLE</x:v>
      </x:c>
      <x:c r="Q1019" s="35" t="str">
        <x:v>Gemini-3.8-flash/Result/Closure_29/result.json</x:v>
      </x:c>
    </x:row>
    <x:row r="1020">
      <x:c r="A1020" s="35" t="str">
        <x:v>gemini</x:v>
      </x:c>
      <x:c r="B1020" s="35" t="str">
        <x:v>Closure</x:v>
      </x:c>
      <x:c r="C1020" s="35" t="str">
        <x:v>Round1</x:v>
      </x:c>
      <x:c r="D1020" s="35" t="str">
        <x:v>Closure_3</x:v>
      </x:c>
      <x:c r="E1020" s="35" t="str">
        <x:v>Condition</x:v>
      </x:c>
      <x:c r="F1020" s="35"/>
      <x:c r="G1020" s="35" t="str">
        <x:v>A</x:v>
      </x:c>
      <x:c r="H1020" s="39" t="str">
        <x:f>IF(ISNUMBER('Data'!N166),'Data'!N166*100,"")</x:f>
      </x:c>
      <x:c r="I1020" s="35"/>
      <x:c r="J1020" s="35" t="str">
        <x:v>PASS</x:v>
      </x:c>
      <x:c r="K1020" s="35" t="str">
        <x:v>FAIL</x:v>
      </x:c>
      <x:c r="L1020" s="35" t="str">
        <x:v>NOT_RUN</x:v>
      </x:c>
      <x:c r="M1020" s="35" t="str">
        <x:v>coverage unavailable or execution/compile failed</x:v>
      </x:c>
      <x:c r="N1020" s="35" t="str">
        <x:v>Gemini-3.8-flash/Result/Closure_3/result.json</x:v>
      </x:c>
      <x:c r="O1020" s="39" t="str">
        <x:f>IF(AND(G1020="RECORDED",ISNUMBER(H1020)),H1020,"")</x:f>
      </x:c>
      <x:c r="P1020" s="35" t="str">
        <x:v>NOT_AVAILABLE</x:v>
      </x:c>
      <x:c r="Q1020" s="35" t="str">
        <x:v>Gemini-3.8-flash/Result/Closure_3/result.json</x:v>
      </x:c>
    </x:row>
    <x:row r="1021">
      <x:c r="A1021" s="35" t="str">
        <x:v>gemini</x:v>
      </x:c>
      <x:c r="B1021" s="35" t="str">
        <x:v>Closure</x:v>
      </x:c>
      <x:c r="C1021" s="35" t="str">
        <x:v>Round1</x:v>
      </x:c>
      <x:c r="D1021" s="35" t="str">
        <x:v>Closure_30</x:v>
      </x:c>
      <x:c r="E1021" s="35" t="str">
        <x:v>Condition</x:v>
      </x:c>
      <x:c r="F1021" s="35"/>
      <x:c r="G1021" s="35" t="str">
        <x:v>A</x:v>
      </x:c>
      <x:c r="H1021" s="39" t="str">
        <x:f>IF(ISNUMBER('Data'!N167),'Data'!N167*100,"")</x:f>
      </x:c>
      <x:c r="I1021" s="35"/>
      <x:c r="J1021" s="35" t="str">
        <x:v>PASS</x:v>
      </x:c>
      <x:c r="K1021" s="35" t="str">
        <x:v>FAIL</x:v>
      </x:c>
      <x:c r="L1021" s="35" t="str">
        <x:v>NOT_RUN</x:v>
      </x:c>
      <x:c r="M1021" s="35" t="str">
        <x:v>coverage unavailable or execution/compile failed</x:v>
      </x:c>
      <x:c r="N1021" s="35" t="str">
        <x:v>Gemini-3.8-flash/Result/Closure_30/result.json</x:v>
      </x:c>
      <x:c r="O1021" s="39" t="str">
        <x:f>IF(AND(G1021="RECORDED",ISNUMBER(H1021)),H1021,"")</x:f>
      </x:c>
      <x:c r="P1021" s="35" t="str">
        <x:v>NOT_AVAILABLE</x:v>
      </x:c>
      <x:c r="Q1021" s="35" t="str">
        <x:v>Gemini-3.8-flash/Result/Closure_30/result.json</x:v>
      </x:c>
    </x:row>
    <x:row r="1022">
      <x:c r="A1022" s="35" t="str">
        <x:v>gemini</x:v>
      </x:c>
      <x:c r="B1022" s="35" t="str">
        <x:v>Closure</x:v>
      </x:c>
      <x:c r="C1022" s="35" t="str">
        <x:v>Round1</x:v>
      </x:c>
      <x:c r="D1022" s="35" t="str">
        <x:v>Closure_31</x:v>
      </x:c>
      <x:c r="E1022" s="35" t="str">
        <x:v>Condition</x:v>
      </x:c>
      <x:c r="F1022" s="35"/>
      <x:c r="G1022" s="35" t="str">
        <x:v>A</x:v>
      </x:c>
      <x:c r="H1022" s="39" t="str">
        <x:f>IF(ISNUMBER('Data'!N168),'Data'!N168*100,"")</x:f>
      </x:c>
      <x:c r="I1022" s="35"/>
      <x:c r="J1022" s="35" t="str">
        <x:v>PASS</x:v>
      </x:c>
      <x:c r="K1022" s="35" t="str">
        <x:v>FAIL</x:v>
      </x:c>
      <x:c r="L1022" s="35" t="str">
        <x:v>NOT_RUN</x:v>
      </x:c>
      <x:c r="M1022" s="35" t="str">
        <x:v>coverage unavailable or execution/compile failed</x:v>
      </x:c>
      <x:c r="N1022" s="35" t="str">
        <x:v>Gemini-3.8-flash/Result/Closure_31/result.json</x:v>
      </x:c>
      <x:c r="O1022" s="39" t="str">
        <x:f>IF(AND(G1022="RECORDED",ISNUMBER(H1022)),H1022,"")</x:f>
      </x:c>
      <x:c r="P1022" s="35" t="str">
        <x:v>NOT_AVAILABLE</x:v>
      </x:c>
      <x:c r="Q1022" s="35" t="str">
        <x:v>Gemini-3.8-flash/Result/Closure_31/result.json</x:v>
      </x:c>
    </x:row>
    <x:row r="1023">
      <x:c r="A1023" s="35" t="str">
        <x:v>gemini</x:v>
      </x:c>
      <x:c r="B1023" s="35" t="str">
        <x:v>Closure</x:v>
      </x:c>
      <x:c r="C1023" s="35" t="str">
        <x:v>Round1</x:v>
      </x:c>
      <x:c r="D1023" s="35" t="str">
        <x:v>Closure_32</x:v>
      </x:c>
      <x:c r="E1023" s="35" t="str">
        <x:v>Condition</x:v>
      </x:c>
      <x:c r="F1023" s="35"/>
      <x:c r="G1023" s="35" t="str">
        <x:v>A</x:v>
      </x:c>
      <x:c r="H1023" s="39" t="str">
        <x:f>IF(ISNUMBER('Data'!N169),'Data'!N169*100,"")</x:f>
      </x:c>
      <x:c r="I1023" s="35"/>
      <x:c r="J1023" s="35" t="str">
        <x:v>PASS</x:v>
      </x:c>
      <x:c r="K1023" s="35" t="str">
        <x:v>FAIL</x:v>
      </x:c>
      <x:c r="L1023" s="35" t="str">
        <x:v>NOT_RUN</x:v>
      </x:c>
      <x:c r="M1023" s="35" t="str">
        <x:v>coverage unavailable or execution/compile failed</x:v>
      </x:c>
      <x:c r="N1023" s="35" t="str">
        <x:v>Gemini-3.8-flash/Result/Closure_32/result.json</x:v>
      </x:c>
      <x:c r="O1023" s="39" t="str">
        <x:f>IF(AND(G1023="RECORDED",ISNUMBER(H1023)),H1023,"")</x:f>
      </x:c>
      <x:c r="P1023" s="35" t="str">
        <x:v>NOT_AVAILABLE</x:v>
      </x:c>
      <x:c r="Q1023" s="35" t="str">
        <x:v>Gemini-3.8-flash/Result/Closure_32/result.json</x:v>
      </x:c>
    </x:row>
    <x:row r="1024">
      <x:c r="A1024" s="35" t="str">
        <x:v>gemini</x:v>
      </x:c>
      <x:c r="B1024" s="35" t="str">
        <x:v>Closure</x:v>
      </x:c>
      <x:c r="C1024" s="35" t="str">
        <x:v>Round1</x:v>
      </x:c>
      <x:c r="D1024" s="35" t="str">
        <x:v>Closure_33</x:v>
      </x:c>
      <x:c r="E1024" s="35" t="str">
        <x:v>Condition</x:v>
      </x:c>
      <x:c r="F1024" s="35"/>
      <x:c r="G1024" s="35" t="str">
        <x:v>A</x:v>
      </x:c>
      <x:c r="H1024" s="39" t="str">
        <x:f>IF(ISNUMBER('Data'!N170),'Data'!N170*100,"")</x:f>
      </x:c>
      <x:c r="I1024" s="35"/>
      <x:c r="J1024" s="35" t="str">
        <x:v>PASS</x:v>
      </x:c>
      <x:c r="K1024" s="35" t="str">
        <x:v>FAIL</x:v>
      </x:c>
      <x:c r="L1024" s="35" t="str">
        <x:v>NOT_RUN</x:v>
      </x:c>
      <x:c r="M1024" s="35" t="str">
        <x:v>coverage unavailable or execution/compile failed</x:v>
      </x:c>
      <x:c r="N1024" s="35" t="str">
        <x:v>Gemini-3.8-flash/Result/Closure_33/result.json</x:v>
      </x:c>
      <x:c r="O1024" s="39" t="str">
        <x:f>IF(AND(G1024="RECORDED",ISNUMBER(H1024)),H1024,"")</x:f>
      </x:c>
      <x:c r="P1024" s="35" t="str">
        <x:v>NOT_AVAILABLE</x:v>
      </x:c>
      <x:c r="Q1024" s="35" t="str">
        <x:v>Gemini-3.8-flash/Result/Closure_33/result.json</x:v>
      </x:c>
    </x:row>
    <x:row r="1025">
      <x:c r="A1025" s="35" t="str">
        <x:v>gemini</x:v>
      </x:c>
      <x:c r="B1025" s="35" t="str">
        <x:v>Closure</x:v>
      </x:c>
      <x:c r="C1025" s="35" t="str">
        <x:v>Round1</x:v>
      </x:c>
      <x:c r="D1025" s="35" t="str">
        <x:v>Closure_34</x:v>
      </x:c>
      <x:c r="E1025" s="35" t="str">
        <x:v>Condition</x:v>
      </x:c>
      <x:c r="F1025" s="35"/>
      <x:c r="G1025" s="35" t="str">
        <x:v>A</x:v>
      </x:c>
      <x:c r="H1025" s="39" t="str">
        <x:f>IF(ISNUMBER('Data'!N171),'Data'!N171*100,"")</x:f>
      </x:c>
      <x:c r="I1025" s="35"/>
      <x:c r="J1025" s="35" t="str">
        <x:v>PASS</x:v>
      </x:c>
      <x:c r="K1025" s="35" t="str">
        <x:v>FAIL</x:v>
      </x:c>
      <x:c r="L1025" s="35" t="str">
        <x:v>NOT_RUN</x:v>
      </x:c>
      <x:c r="M1025" s="35" t="str">
        <x:v>coverage unavailable or execution/compile failed</x:v>
      </x:c>
      <x:c r="N1025" s="35" t="str">
        <x:v>Gemini-3.8-flash/Result/Closure_34/result.json</x:v>
      </x:c>
      <x:c r="O1025" s="39" t="str">
        <x:f>IF(AND(G1025="RECORDED",ISNUMBER(H1025)),H1025,"")</x:f>
      </x:c>
      <x:c r="P1025" s="35" t="str">
        <x:v>NOT_AVAILABLE</x:v>
      </x:c>
      <x:c r="Q1025" s="35" t="str">
        <x:v>Gemini-3.8-flash/Result/Closure_34/result.json</x:v>
      </x:c>
    </x:row>
    <x:row r="1026">
      <x:c r="A1026" s="35" t="str">
        <x:v>gemini</x:v>
      </x:c>
      <x:c r="B1026" s="35" t="str">
        <x:v>Closure</x:v>
      </x:c>
      <x:c r="C1026" s="35" t="str">
        <x:v>Round1</x:v>
      </x:c>
      <x:c r="D1026" s="35" t="str">
        <x:v>Closure_35</x:v>
      </x:c>
      <x:c r="E1026" s="35" t="str">
        <x:v>Condition</x:v>
      </x:c>
      <x:c r="F1026" s="35"/>
      <x:c r="G1026" s="35" t="str">
        <x:v>A</x:v>
      </x:c>
      <x:c r="H1026" s="39" t="str">
        <x:f>IF(ISNUMBER('Data'!N172),'Data'!N172*100,"")</x:f>
      </x:c>
      <x:c r="I1026" s="35"/>
      <x:c r="J1026" s="35" t="str">
        <x:v>PASS</x:v>
      </x:c>
      <x:c r="K1026" s="35" t="str">
        <x:v>FAIL</x:v>
      </x:c>
      <x:c r="L1026" s="35" t="str">
        <x:v>NOT_RUN</x:v>
      </x:c>
      <x:c r="M1026" s="35" t="str">
        <x:v>coverage unavailable or execution/compile failed</x:v>
      </x:c>
      <x:c r="N1026" s="35" t="str">
        <x:v>Gemini-3.8-flash/Result/Closure_35/result.json</x:v>
      </x:c>
      <x:c r="O1026" s="39" t="str">
        <x:f>IF(AND(G1026="RECORDED",ISNUMBER(H1026)),H1026,"")</x:f>
      </x:c>
      <x:c r="P1026" s="35" t="str">
        <x:v>NOT_AVAILABLE</x:v>
      </x:c>
      <x:c r="Q1026" s="35" t="str">
        <x:v>Gemini-3.8-flash/Result/Closure_35/result.json</x:v>
      </x:c>
    </x:row>
    <x:row r="1027">
      <x:c r="A1027" s="35" t="str">
        <x:v>gemini</x:v>
      </x:c>
      <x:c r="B1027" s="35" t="str">
        <x:v>Closure</x:v>
      </x:c>
      <x:c r="C1027" s="35" t="str">
        <x:v>Round1</x:v>
      </x:c>
      <x:c r="D1027" s="35" t="str">
        <x:v>Closure_36</x:v>
      </x:c>
      <x:c r="E1027" s="35" t="str">
        <x:v>Condition</x:v>
      </x:c>
      <x:c r="F1027" s="35"/>
      <x:c r="G1027" s="35" t="str">
        <x:v>A</x:v>
      </x:c>
      <x:c r="H1027" s="39" t="str">
        <x:f>IF(ISNUMBER('Data'!N173),'Data'!N173*100,"")</x:f>
      </x:c>
      <x:c r="I1027" s="35"/>
      <x:c r="J1027" s="35" t="str">
        <x:v>PASS</x:v>
      </x:c>
      <x:c r="K1027" s="35" t="str">
        <x:v>FAIL</x:v>
      </x:c>
      <x:c r="L1027" s="35" t="str">
        <x:v>NOT_RUN</x:v>
      </x:c>
      <x:c r="M1027" s="35" t="str">
        <x:v>coverage unavailable or execution/compile failed</x:v>
      </x:c>
      <x:c r="N1027" s="35" t="str">
        <x:v>Gemini-3.8-flash/Result/Closure_36/result.json</x:v>
      </x:c>
      <x:c r="O1027" s="39" t="str">
        <x:f>IF(AND(G1027="RECORDED",ISNUMBER(H1027)),H1027,"")</x:f>
      </x:c>
      <x:c r="P1027" s="35" t="str">
        <x:v>NOT_AVAILABLE</x:v>
      </x:c>
      <x:c r="Q1027" s="35" t="str">
        <x:v>Gemini-3.8-flash/Result/Closure_36/result.json</x:v>
      </x:c>
    </x:row>
    <x:row r="1028">
      <x:c r="A1028" s="35" t="str">
        <x:v>gemini</x:v>
      </x:c>
      <x:c r="B1028" s="35" t="str">
        <x:v>Closure</x:v>
      </x:c>
      <x:c r="C1028" s="35" t="str">
        <x:v>Round1</x:v>
      </x:c>
      <x:c r="D1028" s="35" t="str">
        <x:v>Closure_37</x:v>
      </x:c>
      <x:c r="E1028" s="35" t="str">
        <x:v>Condition</x:v>
      </x:c>
      <x:c r="F1028" s="35"/>
      <x:c r="G1028" s="35" t="str">
        <x:v>A</x:v>
      </x:c>
      <x:c r="H1028" s="39" t="str">
        <x:f>IF(ISNUMBER('Data'!N174),'Data'!N174*100,"")</x:f>
      </x:c>
      <x:c r="I1028" s="35"/>
      <x:c r="J1028" s="35" t="str">
        <x:v>PASS</x:v>
      </x:c>
      <x:c r="K1028" s="35" t="str">
        <x:v>FAIL</x:v>
      </x:c>
      <x:c r="L1028" s="35" t="str">
        <x:v>NOT_RUN</x:v>
      </x:c>
      <x:c r="M1028" s="35" t="str">
        <x:v>coverage unavailable or execution/compile failed</x:v>
      </x:c>
      <x:c r="N1028" s="35" t="str">
        <x:v>Gemini-3.8-flash/Result/Closure_37/result.json</x:v>
      </x:c>
      <x:c r="O1028" s="39" t="str">
        <x:f>IF(AND(G1028="RECORDED",ISNUMBER(H1028)),H1028,"")</x:f>
      </x:c>
      <x:c r="P1028" s="35" t="str">
        <x:v>NOT_AVAILABLE</x:v>
      </x:c>
      <x:c r="Q1028" s="35" t="str">
        <x:v>Gemini-3.8-flash/Result/Closure_37/result.json</x:v>
      </x:c>
    </x:row>
    <x:row r="1029">
      <x:c r="A1029" s="35" t="str">
        <x:v>gemini</x:v>
      </x:c>
      <x:c r="B1029" s="35" t="str">
        <x:v>Closure</x:v>
      </x:c>
      <x:c r="C1029" s="35" t="str">
        <x:v>Round1</x:v>
      </x:c>
      <x:c r="D1029" s="35" t="str">
        <x:v>Closure_38</x:v>
      </x:c>
      <x:c r="E1029" s="35" t="str">
        <x:v>Condition</x:v>
      </x:c>
      <x:c r="F1029" s="35" t="n">
        <x:v>64</x:v>
      </x:c>
      <x:c r="G1029" s="35" t="str">
        <x:v>RECORDED</x:v>
      </x:c>
      <x:c r="H1029" s="39" t="n">
        <x:f>IF(ISNUMBER('Data'!N175),'Data'!N175*100,"")</x:f>
        <x:v>67.19</x:v>
      </x:c>
      <x:c r="I1029" s="35" t="str">
        <x:v>PASS</x:v>
      </x:c>
      <x:c r="J1029" s="35" t="str">
        <x:v>PASS</x:v>
      </x:c>
      <x:c r="K1029" s="35" t="str">
        <x:v>PASS</x:v>
      </x:c>
      <x:c r="L1029" s="35" t="str">
        <x:v>FAIL</x:v>
      </x:c>
      <x:c r="M1029" s="35" t="str">
        <x:v>numeric coverage for applicable metric</x:v>
      </x:c>
      <x:c r="N1029" s="35" t="str">
        <x:v>Gemini-3.8-flash/Result/Closure_38/result.json</x:v>
      </x:c>
      <x:c r="O1029" s="39" t="n">
        <x:f>IF(AND(G1029="RECORDED",ISNUMBER(H1029)),H1029,"")</x:f>
        <x:v>67.19</x:v>
      </x:c>
      <x:c r="P1029" s="35" t="str">
        <x:v>INCONCLUSIVE</x:v>
      </x:c>
      <x:c r="Q1029" s="35" t="str">
        <x:v>Gemini-3.8-flash/Result/Closure_38/result.json</x:v>
      </x:c>
    </x:row>
    <x:row r="1030">
      <x:c r="A1030" s="35" t="str">
        <x:v>gemini</x:v>
      </x:c>
      <x:c r="B1030" s="35" t="str">
        <x:v>Closure</x:v>
      </x:c>
      <x:c r="C1030" s="35" t="str">
        <x:v>Round1</x:v>
      </x:c>
      <x:c r="D1030" s="35" t="str">
        <x:v>Closure_39</x:v>
      </x:c>
      <x:c r="E1030" s="35" t="str">
        <x:v>Condition</x:v>
      </x:c>
      <x:c r="F1030" s="35"/>
      <x:c r="G1030" s="35" t="str">
        <x:v>A</x:v>
      </x:c>
      <x:c r="H1030" s="39" t="str">
        <x:f>IF(ISNUMBER('Data'!N176),'Data'!N176*100,"")</x:f>
      </x:c>
      <x:c r="I1030" s="35"/>
      <x:c r="J1030" s="35" t="str">
        <x:v>PASS</x:v>
      </x:c>
      <x:c r="K1030" s="35" t="str">
        <x:v>FAIL</x:v>
      </x:c>
      <x:c r="L1030" s="35" t="str">
        <x:v>NOT_RUN</x:v>
      </x:c>
      <x:c r="M1030" s="35" t="str">
        <x:v>coverage unavailable or execution/compile failed</x:v>
      </x:c>
      <x:c r="N1030" s="35" t="str">
        <x:v>Gemini-3.8-flash/Result/Closure_39/result.json</x:v>
      </x:c>
      <x:c r="O1030" s="39" t="str">
        <x:f>IF(AND(G1030="RECORDED",ISNUMBER(H1030)),H1030,"")</x:f>
      </x:c>
      <x:c r="P1030" s="35" t="str">
        <x:v>NOT_AVAILABLE</x:v>
      </x:c>
      <x:c r="Q1030" s="35" t="str">
        <x:v>Gemini-3.8-flash/Result/Closure_39/result.json</x:v>
      </x:c>
    </x:row>
    <x:row r="1031">
      <x:c r="A1031" s="35" t="str">
        <x:v>gemini</x:v>
      </x:c>
      <x:c r="B1031" s="35" t="str">
        <x:v>Closure</x:v>
      </x:c>
      <x:c r="C1031" s="35" t="str">
        <x:v>Round1</x:v>
      </x:c>
      <x:c r="D1031" s="35" t="str">
        <x:v>Closure_4</x:v>
      </x:c>
      <x:c r="E1031" s="35" t="str">
        <x:v>Condition</x:v>
      </x:c>
      <x:c r="F1031" s="35"/>
      <x:c r="G1031" s="35" t="str">
        <x:v>A</x:v>
      </x:c>
      <x:c r="H1031" s="39" t="str">
        <x:f>IF(ISNUMBER('Data'!N177),'Data'!N177*100,"")</x:f>
      </x:c>
      <x:c r="I1031" s="35"/>
      <x:c r="J1031" s="35" t="str">
        <x:v>PASS</x:v>
      </x:c>
      <x:c r="K1031" s="35" t="str">
        <x:v>FAIL</x:v>
      </x:c>
      <x:c r="L1031" s="35" t="str">
        <x:v>NOT_RUN</x:v>
      </x:c>
      <x:c r="M1031" s="35" t="str">
        <x:v>coverage unavailable or execution/compile failed</x:v>
      </x:c>
      <x:c r="N1031" s="35" t="str">
        <x:v>Gemini-3.8-flash/Result/Closure_4/result.json</x:v>
      </x:c>
      <x:c r="O1031" s="39" t="str">
        <x:f>IF(AND(G1031="RECORDED",ISNUMBER(H1031)),H1031,"")</x:f>
      </x:c>
      <x:c r="P1031" s="35" t="str">
        <x:v>NOT_AVAILABLE</x:v>
      </x:c>
      <x:c r="Q1031" s="35" t="str">
        <x:v>Gemini-3.8-flash/Result/Closure_4/result.json</x:v>
      </x:c>
    </x:row>
    <x:row r="1032">
      <x:c r="A1032" s="35" t="str">
        <x:v>gemini</x:v>
      </x:c>
      <x:c r="B1032" s="35" t="str">
        <x:v>Closure</x:v>
      </x:c>
      <x:c r="C1032" s="35" t="str">
        <x:v>Round1</x:v>
      </x:c>
      <x:c r="D1032" s="35" t="str">
        <x:v>Closure_40</x:v>
      </x:c>
      <x:c r="E1032" s="35" t="str">
        <x:v>Condition</x:v>
      </x:c>
      <x:c r="F1032" s="35"/>
      <x:c r="G1032" s="35" t="str">
        <x:v>A</x:v>
      </x:c>
      <x:c r="H1032" s="39" t="str">
        <x:f>IF(ISNUMBER('Data'!N178),'Data'!N178*100,"")</x:f>
      </x:c>
      <x:c r="I1032" s="35"/>
      <x:c r="J1032" s="35" t="str">
        <x:v>PASS</x:v>
      </x:c>
      <x:c r="K1032" s="35" t="str">
        <x:v>FAIL</x:v>
      </x:c>
      <x:c r="L1032" s="35" t="str">
        <x:v>NOT_RUN</x:v>
      </x:c>
      <x:c r="M1032" s="35" t="str">
        <x:v>coverage unavailable or execution/compile failed</x:v>
      </x:c>
      <x:c r="N1032" s="35" t="str">
        <x:v>Gemini-3.8-flash/Result/Closure_40/result.json</x:v>
      </x:c>
      <x:c r="O1032" s="39" t="str">
        <x:f>IF(AND(G1032="RECORDED",ISNUMBER(H1032)),H1032,"")</x:f>
      </x:c>
      <x:c r="P1032" s="35" t="str">
        <x:v>NOT_AVAILABLE</x:v>
      </x:c>
      <x:c r="Q1032" s="35" t="str">
        <x:v>Gemini-3.8-flash/Result/Closure_40/result.json</x:v>
      </x:c>
    </x:row>
    <x:row r="1033">
      <x:c r="A1033" s="35" t="str">
        <x:v>gemini</x:v>
      </x:c>
      <x:c r="B1033" s="35" t="str">
        <x:v>Closure</x:v>
      </x:c>
      <x:c r="C1033" s="35" t="str">
        <x:v>Round1</x:v>
      </x:c>
      <x:c r="D1033" s="35" t="str">
        <x:v>Closure_41</x:v>
      </x:c>
      <x:c r="E1033" s="35" t="str">
        <x:v>Condition</x:v>
      </x:c>
      <x:c r="F1033" s="35"/>
      <x:c r="G1033" s="35" t="str">
        <x:v>A</x:v>
      </x:c>
      <x:c r="H1033" s="39" t="str">
        <x:f>IF(ISNUMBER('Data'!N179),'Data'!N179*100,"")</x:f>
      </x:c>
      <x:c r="I1033" s="35"/>
      <x:c r="J1033" s="35" t="str">
        <x:v>PASS</x:v>
      </x:c>
      <x:c r="K1033" s="35" t="str">
        <x:v>FAIL</x:v>
      </x:c>
      <x:c r="L1033" s="35" t="str">
        <x:v>NOT_RUN</x:v>
      </x:c>
      <x:c r="M1033" s="35" t="str">
        <x:v>coverage unavailable or execution/compile failed</x:v>
      </x:c>
      <x:c r="N1033" s="35" t="str">
        <x:v>Gemini-3.8-flash/Result/Closure_41/result.json</x:v>
      </x:c>
      <x:c r="O1033" s="39" t="str">
        <x:f>IF(AND(G1033="RECORDED",ISNUMBER(H1033)),H1033,"")</x:f>
      </x:c>
      <x:c r="P1033" s="35" t="str">
        <x:v>NOT_AVAILABLE</x:v>
      </x:c>
      <x:c r="Q1033" s="35" t="str">
        <x:v>Gemini-3.8-flash/Result/Closure_41/result.json</x:v>
      </x:c>
    </x:row>
    <x:row r="1034">
      <x:c r="A1034" s="35" t="str">
        <x:v>gemini</x:v>
      </x:c>
      <x:c r="B1034" s="35" t="str">
        <x:v>Closure</x:v>
      </x:c>
      <x:c r="C1034" s="35" t="str">
        <x:v>Round1</x:v>
      </x:c>
      <x:c r="D1034" s="35" t="str">
        <x:v>Closure_42</x:v>
      </x:c>
      <x:c r="E1034" s="35" t="str">
        <x:v>Condition</x:v>
      </x:c>
      <x:c r="F1034" s="35"/>
      <x:c r="G1034" s="35" t="str">
        <x:v>A</x:v>
      </x:c>
      <x:c r="H1034" s="39" t="str">
        <x:f>IF(ISNUMBER('Data'!N180),'Data'!N180*100,"")</x:f>
      </x:c>
      <x:c r="I1034" s="35"/>
      <x:c r="J1034" s="35" t="str">
        <x:v>PASS</x:v>
      </x:c>
      <x:c r="K1034" s="35" t="str">
        <x:v>FAIL</x:v>
      </x:c>
      <x:c r="L1034" s="35" t="str">
        <x:v>NOT_RUN</x:v>
      </x:c>
      <x:c r="M1034" s="35" t="str">
        <x:v>coverage unavailable or execution/compile failed</x:v>
      </x:c>
      <x:c r="N1034" s="35" t="str">
        <x:v>Gemini-3.8-flash/Result/Closure_42/result.json</x:v>
      </x:c>
      <x:c r="O1034" s="39" t="str">
        <x:f>IF(AND(G1034="RECORDED",ISNUMBER(H1034)),H1034,"")</x:f>
      </x:c>
      <x:c r="P1034" s="35" t="str">
        <x:v>NOT_AVAILABLE</x:v>
      </x:c>
      <x:c r="Q1034" s="35" t="str">
        <x:v>Gemini-3.8-flash/Result/Closure_42/result.json</x:v>
      </x:c>
    </x:row>
    <x:row r="1035">
      <x:c r="A1035" s="35" t="str">
        <x:v>gemini</x:v>
      </x:c>
      <x:c r="B1035" s="35" t="str">
        <x:v>Closure</x:v>
      </x:c>
      <x:c r="C1035" s="35" t="str">
        <x:v>Round1</x:v>
      </x:c>
      <x:c r="D1035" s="35" t="str">
        <x:v>Closure_43</x:v>
      </x:c>
      <x:c r="E1035" s="35" t="str">
        <x:v>Condition</x:v>
      </x:c>
      <x:c r="F1035" s="35"/>
      <x:c r="G1035" s="35" t="str">
        <x:v>A</x:v>
      </x:c>
      <x:c r="H1035" s="39" t="str">
        <x:f>IF(ISNUMBER('Data'!N181),'Data'!N181*100,"")</x:f>
      </x:c>
      <x:c r="I1035" s="35"/>
      <x:c r="J1035" s="35" t="str">
        <x:v>PASS</x:v>
      </x:c>
      <x:c r="K1035" s="35" t="str">
        <x:v>FAIL</x:v>
      </x:c>
      <x:c r="L1035" s="35" t="str">
        <x:v>NOT_RUN</x:v>
      </x:c>
      <x:c r="M1035" s="35" t="str">
        <x:v>coverage unavailable or execution/compile failed</x:v>
      </x:c>
      <x:c r="N1035" s="35" t="str">
        <x:v>Gemini-3.8-flash/Result/Closure_43/result.json</x:v>
      </x:c>
      <x:c r="O1035" s="39" t="str">
        <x:f>IF(AND(G1035="RECORDED",ISNUMBER(H1035)),H1035,"")</x:f>
      </x:c>
      <x:c r="P1035" s="35" t="str">
        <x:v>NOT_AVAILABLE</x:v>
      </x:c>
      <x:c r="Q1035" s="35" t="str">
        <x:v>Gemini-3.8-flash/Result/Closure_43/result.json</x:v>
      </x:c>
    </x:row>
    <x:row r="1036">
      <x:c r="A1036" s="35" t="str">
        <x:v>gemini</x:v>
      </x:c>
      <x:c r="B1036" s="35" t="str">
        <x:v>Closure</x:v>
      </x:c>
      <x:c r="C1036" s="35" t="str">
        <x:v>Round1</x:v>
      </x:c>
      <x:c r="D1036" s="35" t="str">
        <x:v>Closure_44</x:v>
      </x:c>
      <x:c r="E1036" s="35" t="str">
        <x:v>Condition</x:v>
      </x:c>
      <x:c r="F1036" s="35" t="n">
        <x:v>60</x:v>
      </x:c>
      <x:c r="G1036" s="35" t="str">
        <x:v>RECORDED</x:v>
      </x:c>
      <x:c r="H1036" s="39" t="n">
        <x:f>IF(ISNUMBER('Data'!N182),'Data'!N182*100,"")</x:f>
        <x:v>88.33</x:v>
      </x:c>
      <x:c r="I1036" s="35" t="str">
        <x:v>PASS</x:v>
      </x:c>
      <x:c r="J1036" s="35" t="str">
        <x:v>PASS</x:v>
      </x:c>
      <x:c r="K1036" s="35" t="str">
        <x:v>PASS</x:v>
      </x:c>
      <x:c r="L1036" s="35" t="str">
        <x:v>FAIL</x:v>
      </x:c>
      <x:c r="M1036" s="35" t="str">
        <x:v>numeric coverage for applicable metric</x:v>
      </x:c>
      <x:c r="N1036" s="35" t="str">
        <x:v>Gemini-3.8-flash/Result/Closure_44/result.json</x:v>
      </x:c>
      <x:c r="O1036" s="39" t="n">
        <x:f>IF(AND(G1036="RECORDED",ISNUMBER(H1036)),H1036,"")</x:f>
        <x:v>88.33</x:v>
      </x:c>
      <x:c r="P1036" s="35" t="str">
        <x:v>NOT_AVAILABLE</x:v>
      </x:c>
      <x:c r="Q1036" s="35" t="str">
        <x:v>Gemini-3.8-flash/Result/Closure_44/result.json</x:v>
      </x:c>
    </x:row>
    <x:row r="1037">
      <x:c r="A1037" s="35" t="str">
        <x:v>gemini</x:v>
      </x:c>
      <x:c r="B1037" s="35" t="str">
        <x:v>Closure</x:v>
      </x:c>
      <x:c r="C1037" s="35" t="str">
        <x:v>Round1</x:v>
      </x:c>
      <x:c r="D1037" s="35" t="str">
        <x:v>Closure_45</x:v>
      </x:c>
      <x:c r="E1037" s="35" t="str">
        <x:v>Condition</x:v>
      </x:c>
      <x:c r="F1037" s="35"/>
      <x:c r="G1037" s="35" t="str">
        <x:v>A</x:v>
      </x:c>
      <x:c r="H1037" s="39" t="str">
        <x:f>IF(ISNUMBER('Data'!N183),'Data'!N183*100,"")</x:f>
      </x:c>
      <x:c r="I1037" s="35"/>
      <x:c r="J1037" s="35" t="str">
        <x:v>PASS</x:v>
      </x:c>
      <x:c r="K1037" s="35" t="str">
        <x:v>FAIL</x:v>
      </x:c>
      <x:c r="L1037" s="35" t="str">
        <x:v>NOT_RUN</x:v>
      </x:c>
      <x:c r="M1037" s="35" t="str">
        <x:v>coverage unavailable or execution/compile failed</x:v>
      </x:c>
      <x:c r="N1037" s="35" t="str">
        <x:v>Gemini-3.8-flash/Result/Closure_45/result.json</x:v>
      </x:c>
      <x:c r="O1037" s="39" t="str">
        <x:f>IF(AND(G1037="RECORDED",ISNUMBER(H1037)),H1037,"")</x:f>
      </x:c>
      <x:c r="P1037" s="35" t="str">
        <x:v>NOT_AVAILABLE</x:v>
      </x:c>
      <x:c r="Q1037" s="35" t="str">
        <x:v>Gemini-3.8-flash/Result/Closure_45/result.json</x:v>
      </x:c>
    </x:row>
    <x:row r="1038">
      <x:c r="A1038" s="35" t="str">
        <x:v>gemini</x:v>
      </x:c>
      <x:c r="B1038" s="35" t="str">
        <x:v>Closure</x:v>
      </x:c>
      <x:c r="C1038" s="35" t="str">
        <x:v>Round1</x:v>
      </x:c>
      <x:c r="D1038" s="35" t="str">
        <x:v>Closure_46</x:v>
      </x:c>
      <x:c r="E1038" s="35" t="str">
        <x:v>Condition</x:v>
      </x:c>
      <x:c r="F1038" s="35"/>
      <x:c r="G1038" s="35" t="str">
        <x:v>A</x:v>
      </x:c>
      <x:c r="H1038" s="39" t="str">
        <x:f>IF(ISNUMBER('Data'!N184),'Data'!N184*100,"")</x:f>
      </x:c>
      <x:c r="I1038" s="35"/>
      <x:c r="J1038" s="35" t="str">
        <x:v>PASS</x:v>
      </x:c>
      <x:c r="K1038" s="35" t="str">
        <x:v>FAIL</x:v>
      </x:c>
      <x:c r="L1038" s="35" t="str">
        <x:v>NOT_RUN</x:v>
      </x:c>
      <x:c r="M1038" s="35" t="str">
        <x:v>coverage unavailable or execution/compile failed</x:v>
      </x:c>
      <x:c r="N1038" s="35" t="str">
        <x:v>Gemini-3.8-flash/Result/Closure_46/result.json</x:v>
      </x:c>
      <x:c r="O1038" s="39" t="str">
        <x:f>IF(AND(G1038="RECORDED",ISNUMBER(H1038)),H1038,"")</x:f>
      </x:c>
      <x:c r="P1038" s="35" t="str">
        <x:v>NOT_AVAILABLE</x:v>
      </x:c>
      <x:c r="Q1038" s="35" t="str">
        <x:v>Gemini-3.8-flash/Result/Closure_46/result.json</x:v>
      </x:c>
    </x:row>
    <x:row r="1039">
      <x:c r="A1039" s="35" t="str">
        <x:v>gemini</x:v>
      </x:c>
      <x:c r="B1039" s="35" t="str">
        <x:v>Closure</x:v>
      </x:c>
      <x:c r="C1039" s="35" t="str">
        <x:v>Round1</x:v>
      </x:c>
      <x:c r="D1039" s="35" t="str">
        <x:v>Closure_47</x:v>
      </x:c>
      <x:c r="E1039" s="35" t="str">
        <x:v>Condition</x:v>
      </x:c>
      <x:c r="F1039" s="35"/>
      <x:c r="G1039" s="35" t="str">
        <x:v>A</x:v>
      </x:c>
      <x:c r="H1039" s="39" t="str">
        <x:f>IF(ISNUMBER('Data'!N185),'Data'!N185*100,"")</x:f>
      </x:c>
      <x:c r="I1039" s="35"/>
      <x:c r="J1039" s="35" t="str">
        <x:v>PASS</x:v>
      </x:c>
      <x:c r="K1039" s="35" t="str">
        <x:v>FAIL</x:v>
      </x:c>
      <x:c r="L1039" s="35" t="str">
        <x:v>NOT_RUN</x:v>
      </x:c>
      <x:c r="M1039" s="35" t="str">
        <x:v>coverage unavailable or execution/compile failed</x:v>
      </x:c>
      <x:c r="N1039" s="35" t="str">
        <x:v>Gemini-3.8-flash/Result/Closure_47/result.json</x:v>
      </x:c>
      <x:c r="O1039" s="39" t="str">
        <x:f>IF(AND(G1039="RECORDED",ISNUMBER(H1039)),H1039,"")</x:f>
      </x:c>
      <x:c r="P1039" s="35" t="str">
        <x:v>NOT_AVAILABLE</x:v>
      </x:c>
      <x:c r="Q1039" s="35" t="str">
        <x:v>Gemini-3.8-flash/Result/Closure_47/result.json</x:v>
      </x:c>
    </x:row>
    <x:row r="1040">
      <x:c r="A1040" s="35" t="str">
        <x:v>gemini</x:v>
      </x:c>
      <x:c r="B1040" s="35" t="str">
        <x:v>Closure</x:v>
      </x:c>
      <x:c r="C1040" s="35" t="str">
        <x:v>Round1</x:v>
      </x:c>
      <x:c r="D1040" s="35" t="str">
        <x:v>Closure_48</x:v>
      </x:c>
      <x:c r="E1040" s="35" t="str">
        <x:v>Condition</x:v>
      </x:c>
      <x:c r="F1040" s="35"/>
      <x:c r="G1040" s="35" t="str">
        <x:v>A</x:v>
      </x:c>
      <x:c r="H1040" s="39" t="str">
        <x:f>IF(ISNUMBER('Data'!N186),'Data'!N186*100,"")</x:f>
      </x:c>
      <x:c r="I1040" s="35"/>
      <x:c r="J1040" s="35"/>
      <x:c r="K1040" s="35"/>
      <x:c r="L1040" s="35" t="str">
        <x:v>NOT_RUN</x:v>
      </x:c>
      <x:c r="M1040" s="35" t="str">
        <x:v>coverage unavailable or execution/compile failed</x:v>
      </x:c>
      <x:c r="N1040" s="35" t="str">
        <x:v>Gemini-3.8-flash/Result/Closure_48/result.json</x:v>
      </x:c>
      <x:c r="O1040" s="39" t="str">
        <x:f>IF(AND(G1040="RECORDED",ISNUMBER(H1040)),H1040,"")</x:f>
      </x:c>
      <x:c r="P1040" s="35" t="str">
        <x:v>NOT_AVAILABLE</x:v>
      </x:c>
      <x:c r="Q1040" s="35" t="str">
        <x:v>Gemini-3.8-flash/Result/Closure_48/result.json</x:v>
      </x:c>
    </x:row>
    <x:row r="1041">
      <x:c r="A1041" s="35" t="str">
        <x:v>gemini</x:v>
      </x:c>
      <x:c r="B1041" s="35" t="str">
        <x:v>Closure</x:v>
      </x:c>
      <x:c r="C1041" s="35" t="str">
        <x:v>Round1</x:v>
      </x:c>
      <x:c r="D1041" s="35" t="str">
        <x:v>Closure_49</x:v>
      </x:c>
      <x:c r="E1041" s="35" t="str">
        <x:v>Condition</x:v>
      </x:c>
      <x:c r="F1041" s="35"/>
      <x:c r="G1041" s="35" t="str">
        <x:v>A</x:v>
      </x:c>
      <x:c r="H1041" s="39" t="str">
        <x:f>IF(ISNUMBER('Data'!N187),'Data'!N187*100,"")</x:f>
      </x:c>
      <x:c r="I1041" s="35"/>
      <x:c r="J1041" s="35"/>
      <x:c r="K1041" s="35"/>
      <x:c r="L1041" s="35" t="str">
        <x:v>NOT_RUN</x:v>
      </x:c>
      <x:c r="M1041" s="35" t="str">
        <x:v>coverage unavailable or execution/compile failed</x:v>
      </x:c>
      <x:c r="N1041" s="35" t="str">
        <x:v>Gemini-3.8-flash/Result/Closure_49/result.json</x:v>
      </x:c>
      <x:c r="O1041" s="39" t="str">
        <x:f>IF(AND(G1041="RECORDED",ISNUMBER(H1041)),H1041,"")</x:f>
      </x:c>
      <x:c r="P1041" s="35" t="str">
        <x:v>NOT_AVAILABLE</x:v>
      </x:c>
      <x:c r="Q1041" s="35" t="str">
        <x:v>Gemini-3.8-flash/Result/Closure_49/result.json</x:v>
      </x:c>
    </x:row>
    <x:row r="1042">
      <x:c r="A1042" s="35" t="str">
        <x:v>gemini</x:v>
      </x:c>
      <x:c r="B1042" s="35" t="str">
        <x:v>Closure</x:v>
      </x:c>
      <x:c r="C1042" s="35" t="str">
        <x:v>Round1</x:v>
      </x:c>
      <x:c r="D1042" s="35" t="str">
        <x:v>Closure_5</x:v>
      </x:c>
      <x:c r="E1042" s="35" t="str">
        <x:v>Condition</x:v>
      </x:c>
      <x:c r="F1042" s="35"/>
      <x:c r="G1042" s="35" t="str">
        <x:v>A</x:v>
      </x:c>
      <x:c r="H1042" s="39" t="str">
        <x:f>IF(ISNUMBER('Data'!N188),'Data'!N188*100,"")</x:f>
      </x:c>
      <x:c r="I1042" s="35"/>
      <x:c r="J1042" s="35" t="str">
        <x:v>PASS</x:v>
      </x:c>
      <x:c r="K1042" s="35" t="str">
        <x:v>FAIL</x:v>
      </x:c>
      <x:c r="L1042" s="35" t="str">
        <x:v>NOT_RUN</x:v>
      </x:c>
      <x:c r="M1042" s="35" t="str">
        <x:v>coverage unavailable or execution/compile failed</x:v>
      </x:c>
      <x:c r="N1042" s="35" t="str">
        <x:v>Gemini-3.8-flash/Result/Closure_5/result.json</x:v>
      </x:c>
      <x:c r="O1042" s="39" t="str">
        <x:f>IF(AND(G1042="RECORDED",ISNUMBER(H1042)),H1042,"")</x:f>
      </x:c>
      <x:c r="P1042" s="35" t="str">
        <x:v>NOT_AVAILABLE</x:v>
      </x:c>
      <x:c r="Q1042" s="35" t="str">
        <x:v>Gemini-3.8-flash/Result/Closure_5/result.json</x:v>
      </x:c>
    </x:row>
    <x:row r="1043">
      <x:c r="A1043" s="35" t="str">
        <x:v>gemini</x:v>
      </x:c>
      <x:c r="B1043" s="35" t="str">
        <x:v>Closure</x:v>
      </x:c>
      <x:c r="C1043" s="35" t="str">
        <x:v>Round1</x:v>
      </x:c>
      <x:c r="D1043" s="35" t="str">
        <x:v>Closure_50</x:v>
      </x:c>
      <x:c r="E1043" s="35" t="str">
        <x:v>Condition</x:v>
      </x:c>
      <x:c r="F1043" s="35"/>
      <x:c r="G1043" s="35" t="str">
        <x:v>A</x:v>
      </x:c>
      <x:c r="H1043" s="39" t="str">
        <x:f>IF(ISNUMBER('Data'!N189),'Data'!N189*100,"")</x:f>
      </x:c>
      <x:c r="I1043" s="35"/>
      <x:c r="J1043" s="35"/>
      <x:c r="K1043" s="35"/>
      <x:c r="L1043" s="35" t="str">
        <x:v>NOT_RUN</x:v>
      </x:c>
      <x:c r="M1043" s="35" t="str">
        <x:v>coverage unavailable or execution/compile failed</x:v>
      </x:c>
      <x:c r="N1043" s="35" t="str">
        <x:v>Gemini-3.8-flash/Result/Closure_50/result.json</x:v>
      </x:c>
      <x:c r="O1043" s="39" t="str">
        <x:f>IF(AND(G1043="RECORDED",ISNUMBER(H1043)),H1043,"")</x:f>
      </x:c>
      <x:c r="P1043" s="35" t="str">
        <x:v>NOT_AVAILABLE</x:v>
      </x:c>
      <x:c r="Q1043" s="35" t="str">
        <x:v>Gemini-3.8-flash/Result/Closure_50/result.json</x:v>
      </x:c>
    </x:row>
    <x:row r="1044">
      <x:c r="A1044" s="35" t="str">
        <x:v>gemini</x:v>
      </x:c>
      <x:c r="B1044" s="35" t="str">
        <x:v>Closure</x:v>
      </x:c>
      <x:c r="C1044" s="35" t="str">
        <x:v>Round1</x:v>
      </x:c>
      <x:c r="D1044" s="35" t="str">
        <x:v>Closure_51</x:v>
      </x:c>
      <x:c r="E1044" s="35" t="str">
        <x:v>Condition</x:v>
      </x:c>
      <x:c r="F1044" s="35"/>
      <x:c r="G1044" s="35" t="str">
        <x:v>A</x:v>
      </x:c>
      <x:c r="H1044" s="39" t="str">
        <x:f>IF(ISNUMBER('Data'!N190),'Data'!N190*100,"")</x:f>
      </x:c>
      <x:c r="I1044" s="35"/>
      <x:c r="J1044" s="35"/>
      <x:c r="K1044" s="35"/>
      <x:c r="L1044" s="35" t="str">
        <x:v>NOT_RUN</x:v>
      </x:c>
      <x:c r="M1044" s="35" t="str">
        <x:v>coverage unavailable or execution/compile failed</x:v>
      </x:c>
      <x:c r="N1044" s="35" t="str">
        <x:v>Gemini-3.8-flash/Result/Closure_51/result.json</x:v>
      </x:c>
      <x:c r="O1044" s="39" t="str">
        <x:f>IF(AND(G1044="RECORDED",ISNUMBER(H1044)),H1044,"")</x:f>
      </x:c>
      <x:c r="P1044" s="35" t="str">
        <x:v>NOT_AVAILABLE</x:v>
      </x:c>
      <x:c r="Q1044" s="35" t="str">
        <x:v>Gemini-3.8-flash/Result/Closure_51/result.json</x:v>
      </x:c>
    </x:row>
    <x:row r="1045">
      <x:c r="A1045" s="35" t="str">
        <x:v>gemini</x:v>
      </x:c>
      <x:c r="B1045" s="35" t="str">
        <x:v>Closure</x:v>
      </x:c>
      <x:c r="C1045" s="35" t="str">
        <x:v>Round1</x:v>
      </x:c>
      <x:c r="D1045" s="35" t="str">
        <x:v>Closure_52</x:v>
      </x:c>
      <x:c r="E1045" s="35" t="str">
        <x:v>Condition</x:v>
      </x:c>
      <x:c r="F1045" s="35"/>
      <x:c r="G1045" s="35" t="str">
        <x:v>A</x:v>
      </x:c>
      <x:c r="H1045" s="39" t="str">
        <x:f>IF(ISNUMBER('Data'!N191),'Data'!N191*100,"")</x:f>
      </x:c>
      <x:c r="I1045" s="35"/>
      <x:c r="J1045" s="35"/>
      <x:c r="K1045" s="35"/>
      <x:c r="L1045" s="35" t="str">
        <x:v>NOT_RUN</x:v>
      </x:c>
      <x:c r="M1045" s="35" t="str">
        <x:v>coverage unavailable or execution/compile failed</x:v>
      </x:c>
      <x:c r="N1045" s="35" t="str">
        <x:v>Gemini-3.8-flash/Result/Closure_52/result.json</x:v>
      </x:c>
      <x:c r="O1045" s="39" t="str">
        <x:f>IF(AND(G1045="RECORDED",ISNUMBER(H1045)),H1045,"")</x:f>
      </x:c>
      <x:c r="P1045" s="35" t="str">
        <x:v>NOT_AVAILABLE</x:v>
      </x:c>
      <x:c r="Q1045" s="35" t="str">
        <x:v>Gemini-3.8-flash/Result/Closure_52/result.json</x:v>
      </x:c>
    </x:row>
    <x:row r="1046">
      <x:c r="A1046" s="35" t="str">
        <x:v>gemini</x:v>
      </x:c>
      <x:c r="B1046" s="35" t="str">
        <x:v>Closure</x:v>
      </x:c>
      <x:c r="C1046" s="35" t="str">
        <x:v>Round1</x:v>
      </x:c>
      <x:c r="D1046" s="35" t="str">
        <x:v>Closure_53</x:v>
      </x:c>
      <x:c r="E1046" s="35" t="str">
        <x:v>Condition</x:v>
      </x:c>
      <x:c r="F1046" s="35"/>
      <x:c r="G1046" s="35" t="str">
        <x:v>A</x:v>
      </x:c>
      <x:c r="H1046" s="39" t="str">
        <x:f>IF(ISNUMBER('Data'!N192),'Data'!N192*100,"")</x:f>
      </x:c>
      <x:c r="I1046" s="35"/>
      <x:c r="J1046" s="35"/>
      <x:c r="K1046" s="35"/>
      <x:c r="L1046" s="35" t="str">
        <x:v>NOT_RUN</x:v>
      </x:c>
      <x:c r="M1046" s="35" t="str">
        <x:v>coverage unavailable or execution/compile failed</x:v>
      </x:c>
      <x:c r="N1046" s="35" t="str">
        <x:v>Gemini-3.8-flash/Result/Closure_53/result.json</x:v>
      </x:c>
      <x:c r="O1046" s="39" t="str">
        <x:f>IF(AND(G1046="RECORDED",ISNUMBER(H1046)),H1046,"")</x:f>
      </x:c>
      <x:c r="P1046" s="35" t="str">
        <x:v>NOT_AVAILABLE</x:v>
      </x:c>
      <x:c r="Q1046" s="35" t="str">
        <x:v>Gemini-3.8-flash/Result/Closure_53/result.json</x:v>
      </x:c>
    </x:row>
    <x:row r="1047">
      <x:c r="A1047" s="35" t="str">
        <x:v>gemini</x:v>
      </x:c>
      <x:c r="B1047" s="35" t="str">
        <x:v>Closure</x:v>
      </x:c>
      <x:c r="C1047" s="35" t="str">
        <x:v>Round1</x:v>
      </x:c>
      <x:c r="D1047" s="35" t="str">
        <x:v>Closure_54</x:v>
      </x:c>
      <x:c r="E1047" s="35" t="str">
        <x:v>Condition</x:v>
      </x:c>
      <x:c r="F1047" s="35"/>
      <x:c r="G1047" s="35" t="str">
        <x:v>A</x:v>
      </x:c>
      <x:c r="H1047" s="39" t="str">
        <x:f>IF(ISNUMBER('Data'!N193),'Data'!N193*100,"")</x:f>
      </x:c>
      <x:c r="I1047" s="35"/>
      <x:c r="J1047" s="35"/>
      <x:c r="K1047" s="35"/>
      <x:c r="L1047" s="35" t="str">
        <x:v>NOT_RUN</x:v>
      </x:c>
      <x:c r="M1047" s="35" t="str">
        <x:v>coverage unavailable or execution/compile failed</x:v>
      </x:c>
      <x:c r="N1047" s="35" t="str">
        <x:v>Gemini-3.8-flash/Result/Closure_54/result.json</x:v>
      </x:c>
      <x:c r="O1047" s="39" t="str">
        <x:f>IF(AND(G1047="RECORDED",ISNUMBER(H1047)),H1047,"")</x:f>
      </x:c>
      <x:c r="P1047" s="35" t="str">
        <x:v>NOT_AVAILABLE</x:v>
      </x:c>
      <x:c r="Q1047" s="35" t="str">
        <x:v>Gemini-3.8-flash/Result/Closure_54/result.json</x:v>
      </x:c>
    </x:row>
    <x:row r="1048">
      <x:c r="A1048" s="35" t="str">
        <x:v>gemini</x:v>
      </x:c>
      <x:c r="B1048" s="35" t="str">
        <x:v>Closure</x:v>
      </x:c>
      <x:c r="C1048" s="35" t="str">
        <x:v>Round1</x:v>
      </x:c>
      <x:c r="D1048" s="35" t="str">
        <x:v>Closure_55</x:v>
      </x:c>
      <x:c r="E1048" s="35" t="str">
        <x:v>Condition</x:v>
      </x:c>
      <x:c r="F1048" s="35"/>
      <x:c r="G1048" s="35" t="str">
        <x:v>A</x:v>
      </x:c>
      <x:c r="H1048" s="39" t="str">
        <x:f>IF(ISNUMBER('Data'!N194),'Data'!N194*100,"")</x:f>
      </x:c>
      <x:c r="I1048" s="35"/>
      <x:c r="J1048" s="35"/>
      <x:c r="K1048" s="35"/>
      <x:c r="L1048" s="35" t="str">
        <x:v>NOT_RUN</x:v>
      </x:c>
      <x:c r="M1048" s="35" t="str">
        <x:v>coverage unavailable or execution/compile failed</x:v>
      </x:c>
      <x:c r="N1048" s="35" t="str">
        <x:v>Gemini-3.8-flash/Result/Closure_55/result.json</x:v>
      </x:c>
      <x:c r="O1048" s="39" t="str">
        <x:f>IF(AND(G1048="RECORDED",ISNUMBER(H1048)),H1048,"")</x:f>
      </x:c>
      <x:c r="P1048" s="35" t="str">
        <x:v>NOT_AVAILABLE</x:v>
      </x:c>
      <x:c r="Q1048" s="35" t="str">
        <x:v>Gemini-3.8-flash/Result/Closure_55/result.json</x:v>
      </x:c>
    </x:row>
    <x:row r="1049">
      <x:c r="A1049" s="35" t="str">
        <x:v>gemini</x:v>
      </x:c>
      <x:c r="B1049" s="35" t="str">
        <x:v>Closure</x:v>
      </x:c>
      <x:c r="C1049" s="35" t="str">
        <x:v>Round1</x:v>
      </x:c>
      <x:c r="D1049" s="35" t="str">
        <x:v>Closure_56</x:v>
      </x:c>
      <x:c r="E1049" s="35" t="str">
        <x:v>Condition</x:v>
      </x:c>
      <x:c r="F1049" s="35"/>
      <x:c r="G1049" s="35" t="str">
        <x:v>A</x:v>
      </x:c>
      <x:c r="H1049" s="39" t="str">
        <x:f>IF(ISNUMBER('Data'!N195),'Data'!N195*100,"")</x:f>
      </x:c>
      <x:c r="I1049" s="35"/>
      <x:c r="J1049" s="35" t="str">
        <x:v>PASS</x:v>
      </x:c>
      <x:c r="K1049" s="35" t="str">
        <x:v>FAIL</x:v>
      </x:c>
      <x:c r="L1049" s="35" t="str">
        <x:v>NOT_RUN</x:v>
      </x:c>
      <x:c r="M1049" s="35" t="str">
        <x:v>coverage unavailable or execution/compile failed</x:v>
      </x:c>
      <x:c r="N1049" s="35" t="str">
        <x:v>Gemini-3.8-flash/Result/Closure_56/result.json</x:v>
      </x:c>
      <x:c r="O1049" s="39" t="str">
        <x:f>IF(AND(G1049="RECORDED",ISNUMBER(H1049)),H1049,"")</x:f>
      </x:c>
      <x:c r="P1049" s="35" t="str">
        <x:v>NOT_AVAILABLE</x:v>
      </x:c>
      <x:c r="Q1049" s="35" t="str">
        <x:v>Gemini-3.8-flash/Result/Closure_56/result.json</x:v>
      </x:c>
    </x:row>
    <x:row r="1050">
      <x:c r="A1050" s="35" t="str">
        <x:v>gemini</x:v>
      </x:c>
      <x:c r="B1050" s="35" t="str">
        <x:v>Closure</x:v>
      </x:c>
      <x:c r="C1050" s="35" t="str">
        <x:v>Round1</x:v>
      </x:c>
      <x:c r="D1050" s="35" t="str">
        <x:v>Closure_57</x:v>
      </x:c>
      <x:c r="E1050" s="35" t="str">
        <x:v>Condition</x:v>
      </x:c>
      <x:c r="F1050" s="35"/>
      <x:c r="G1050" s="35" t="str">
        <x:v>A</x:v>
      </x:c>
      <x:c r="H1050" s="39" t="str">
        <x:f>IF(ISNUMBER('Data'!N196),'Data'!N196*100,"")</x:f>
      </x:c>
      <x:c r="I1050" s="35"/>
      <x:c r="J1050" s="35" t="str">
        <x:v>PASS</x:v>
      </x:c>
      <x:c r="K1050" s="35" t="str">
        <x:v>FAIL</x:v>
      </x:c>
      <x:c r="L1050" s="35" t="str">
        <x:v>NOT_RUN</x:v>
      </x:c>
      <x:c r="M1050" s="35" t="str">
        <x:v>coverage unavailable or execution/compile failed</x:v>
      </x:c>
      <x:c r="N1050" s="35" t="str">
        <x:v>Gemini-3.8-flash/Result/Closure_57/result.json</x:v>
      </x:c>
      <x:c r="O1050" s="39" t="str">
        <x:f>IF(AND(G1050="RECORDED",ISNUMBER(H1050)),H1050,"")</x:f>
      </x:c>
      <x:c r="P1050" s="35" t="str">
        <x:v>NOT_AVAILABLE</x:v>
      </x:c>
      <x:c r="Q1050" s="35" t="str">
        <x:v>Gemini-3.8-flash/Result/Closure_57/result.json</x:v>
      </x:c>
    </x:row>
    <x:row r="1051">
      <x:c r="A1051" s="35" t="str">
        <x:v>gemini</x:v>
      </x:c>
      <x:c r="B1051" s="35" t="str">
        <x:v>Closure</x:v>
      </x:c>
      <x:c r="C1051" s="35" t="str">
        <x:v>Round1</x:v>
      </x:c>
      <x:c r="D1051" s="35" t="str">
        <x:v>Closure_58</x:v>
      </x:c>
      <x:c r="E1051" s="35" t="str">
        <x:v>Condition</x:v>
      </x:c>
      <x:c r="F1051" s="35"/>
      <x:c r="G1051" s="35" t="str">
        <x:v>A</x:v>
      </x:c>
      <x:c r="H1051" s="39" t="str">
        <x:f>IF(ISNUMBER('Data'!N197),'Data'!N197*100,"")</x:f>
      </x:c>
      <x:c r="I1051" s="35"/>
      <x:c r="J1051" s="35" t="str">
        <x:v>PASS</x:v>
      </x:c>
      <x:c r="K1051" s="35" t="str">
        <x:v>FAIL</x:v>
      </x:c>
      <x:c r="L1051" s="35" t="str">
        <x:v>NOT_RUN</x:v>
      </x:c>
      <x:c r="M1051" s="35" t="str">
        <x:v>coverage unavailable or execution/compile failed</x:v>
      </x:c>
      <x:c r="N1051" s="35" t="str">
        <x:v>Gemini-3.8-flash/Result/Closure_58/result.json</x:v>
      </x:c>
      <x:c r="O1051" s="39" t="str">
        <x:f>IF(AND(G1051="RECORDED",ISNUMBER(H1051)),H1051,"")</x:f>
      </x:c>
      <x:c r="P1051" s="35" t="str">
        <x:v>NOT_AVAILABLE</x:v>
      </x:c>
      <x:c r="Q1051" s="35" t="str">
        <x:v>Gemini-3.8-flash/Result/Closure_58/result.json</x:v>
      </x:c>
    </x:row>
    <x:row r="1052">
      <x:c r="A1052" s="35" t="str">
        <x:v>gemini</x:v>
      </x:c>
      <x:c r="B1052" s="35" t="str">
        <x:v>Closure</x:v>
      </x:c>
      <x:c r="C1052" s="35" t="str">
        <x:v>Round1</x:v>
      </x:c>
      <x:c r="D1052" s="35" t="str">
        <x:v>Closure_59</x:v>
      </x:c>
      <x:c r="E1052" s="35" t="str">
        <x:v>Condition</x:v>
      </x:c>
      <x:c r="F1052" s="35"/>
      <x:c r="G1052" s="35" t="str">
        <x:v>A</x:v>
      </x:c>
      <x:c r="H1052" s="39" t="str">
        <x:f>IF(ISNUMBER('Data'!N198),'Data'!N198*100,"")</x:f>
      </x:c>
      <x:c r="I1052" s="35"/>
      <x:c r="J1052" s="35" t="str">
        <x:v>PASS</x:v>
      </x:c>
      <x:c r="K1052" s="35" t="str">
        <x:v>FAIL</x:v>
      </x:c>
      <x:c r="L1052" s="35" t="str">
        <x:v>NOT_RUN</x:v>
      </x:c>
      <x:c r="M1052" s="35" t="str">
        <x:v>coverage unavailable or execution/compile failed</x:v>
      </x:c>
      <x:c r="N1052" s="35" t="str">
        <x:v>Gemini-3.8-flash/Result/Closure_59/result.json</x:v>
      </x:c>
      <x:c r="O1052" s="39" t="str">
        <x:f>IF(AND(G1052="RECORDED",ISNUMBER(H1052)),H1052,"")</x:f>
      </x:c>
      <x:c r="P1052" s="35" t="str">
        <x:v>NOT_AVAILABLE</x:v>
      </x:c>
      <x:c r="Q1052" s="35" t="str">
        <x:v>Gemini-3.8-flash/Result/Closure_59/result.json</x:v>
      </x:c>
    </x:row>
    <x:row r="1053">
      <x:c r="A1053" s="35" t="str">
        <x:v>gemini</x:v>
      </x:c>
      <x:c r="B1053" s="35" t="str">
        <x:v>Closure</x:v>
      </x:c>
      <x:c r="C1053" s="35" t="str">
        <x:v>Round1</x:v>
      </x:c>
      <x:c r="D1053" s="35" t="str">
        <x:v>Closure_6</x:v>
      </x:c>
      <x:c r="E1053" s="35" t="str">
        <x:v>Condition</x:v>
      </x:c>
      <x:c r="F1053" s="35"/>
      <x:c r="G1053" s="35" t="str">
        <x:v>A</x:v>
      </x:c>
      <x:c r="H1053" s="39" t="str">
        <x:f>IF(ISNUMBER('Data'!N199),'Data'!N199*100,"")</x:f>
      </x:c>
      <x:c r="I1053" s="35"/>
      <x:c r="J1053" s="35" t="str">
        <x:v>PASS</x:v>
      </x:c>
      <x:c r="K1053" s="35" t="str">
        <x:v>FAIL</x:v>
      </x:c>
      <x:c r="L1053" s="35" t="str">
        <x:v>NOT_RUN</x:v>
      </x:c>
      <x:c r="M1053" s="35" t="str">
        <x:v>coverage unavailable or execution/compile failed</x:v>
      </x:c>
      <x:c r="N1053" s="35" t="str">
        <x:v>Gemini-3.8-flash/Result/Closure_6/result.json</x:v>
      </x:c>
      <x:c r="O1053" s="39" t="str">
        <x:f>IF(AND(G1053="RECORDED",ISNUMBER(H1053)),H1053,"")</x:f>
      </x:c>
      <x:c r="P1053" s="35" t="str">
        <x:v>NOT_AVAILABLE</x:v>
      </x:c>
      <x:c r="Q1053" s="35" t="str">
        <x:v>Gemini-3.8-flash/Result/Closure_6/result.json</x:v>
      </x:c>
    </x:row>
    <x:row r="1054">
      <x:c r="A1054" s="35" t="str">
        <x:v>gemini</x:v>
      </x:c>
      <x:c r="B1054" s="35" t="str">
        <x:v>Closure</x:v>
      </x:c>
      <x:c r="C1054" s="35" t="str">
        <x:v>Round1</x:v>
      </x:c>
      <x:c r="D1054" s="35" t="str">
        <x:v>Closure_60</x:v>
      </x:c>
      <x:c r="E1054" s="35" t="str">
        <x:v>Condition</x:v>
      </x:c>
      <x:c r="F1054" s="35"/>
      <x:c r="G1054" s="35" t="str">
        <x:v>A</x:v>
      </x:c>
      <x:c r="H1054" s="39" t="str">
        <x:f>IF(ISNUMBER('Data'!N200),'Data'!N200*100,"")</x:f>
      </x:c>
      <x:c r="I1054" s="35"/>
      <x:c r="J1054" s="35" t="str">
        <x:v>PASS</x:v>
      </x:c>
      <x:c r="K1054" s="35" t="str">
        <x:v>FAIL</x:v>
      </x:c>
      <x:c r="L1054" s="35" t="str">
        <x:v>NOT_RUN</x:v>
      </x:c>
      <x:c r="M1054" s="35" t="str">
        <x:v>coverage unavailable or execution/compile failed</x:v>
      </x:c>
      <x:c r="N1054" s="35" t="str">
        <x:v>Gemini-3.8-flash/Result/Closure_60/result.json</x:v>
      </x:c>
      <x:c r="O1054" s="39" t="str">
        <x:f>IF(AND(G1054="RECORDED",ISNUMBER(H1054)),H1054,"")</x:f>
      </x:c>
      <x:c r="P1054" s="35" t="str">
        <x:v>NOT_AVAILABLE</x:v>
      </x:c>
      <x:c r="Q1054" s="35" t="str">
        <x:v>Gemini-3.8-flash/Result/Closure_60/result.json</x:v>
      </x:c>
    </x:row>
    <x:row r="1055">
      <x:c r="A1055" s="35" t="str">
        <x:v>gemini</x:v>
      </x:c>
      <x:c r="B1055" s="35" t="str">
        <x:v>Closure</x:v>
      </x:c>
      <x:c r="C1055" s="35" t="str">
        <x:v>Round1</x:v>
      </x:c>
      <x:c r="D1055" s="35" t="str">
        <x:v>Closure_61</x:v>
      </x:c>
      <x:c r="E1055" s="35" t="str">
        <x:v>Condition</x:v>
      </x:c>
      <x:c r="F1055" s="35"/>
      <x:c r="G1055" s="35" t="str">
        <x:v>A</x:v>
      </x:c>
      <x:c r="H1055" s="39" t="str">
        <x:f>IF(ISNUMBER('Data'!N201),'Data'!N201*100,"")</x:f>
      </x:c>
      <x:c r="I1055" s="35"/>
      <x:c r="J1055" s="35" t="str">
        <x:v>PASS</x:v>
      </x:c>
      <x:c r="K1055" s="35" t="str">
        <x:v>FAIL</x:v>
      </x:c>
      <x:c r="L1055" s="35" t="str">
        <x:v>NOT_RUN</x:v>
      </x:c>
      <x:c r="M1055" s="35" t="str">
        <x:v>coverage unavailable or execution/compile failed</x:v>
      </x:c>
      <x:c r="N1055" s="35" t="str">
        <x:v>Gemini-3.8-flash/Result/Closure_61/result.json</x:v>
      </x:c>
      <x:c r="O1055" s="39" t="str">
        <x:f>IF(AND(G1055="RECORDED",ISNUMBER(H1055)),H1055,"")</x:f>
      </x:c>
      <x:c r="P1055" s="35" t="str">
        <x:v>NOT_AVAILABLE</x:v>
      </x:c>
      <x:c r="Q1055" s="35" t="str">
        <x:v>Gemini-3.8-flash/Result/Closure_61/result.json</x:v>
      </x:c>
    </x:row>
    <x:row r="1056">
      <x:c r="A1056" s="35" t="str">
        <x:v>gemini</x:v>
      </x:c>
      <x:c r="B1056" s="35" t="str">
        <x:v>Closure</x:v>
      </x:c>
      <x:c r="C1056" s="35" t="str">
        <x:v>Round1</x:v>
      </x:c>
      <x:c r="D1056" s="35" t="str">
        <x:v>Closure_62</x:v>
      </x:c>
      <x:c r="E1056" s="35" t="str">
        <x:v>Condition</x:v>
      </x:c>
      <x:c r="F1056" s="35" t="n">
        <x:v>32</x:v>
      </x:c>
      <x:c r="G1056" s="35" t="str">
        <x:v>RECORDED</x:v>
      </x:c>
      <x:c r="H1056" s="39" t="n">
        <x:f>IF(ISNUMBER('Data'!N202),'Data'!N202*100,"")</x:f>
        <x:v>100</x:v>
      </x:c>
      <x:c r="I1056" s="35" t="str">
        <x:v>PASS</x:v>
      </x:c>
      <x:c r="J1056" s="35" t="str">
        <x:v>PASS</x:v>
      </x:c>
      <x:c r="K1056" s="35" t="str">
        <x:v>PASS</x:v>
      </x:c>
      <x:c r="L1056" s="35" t="str">
        <x:v>FAIL</x:v>
      </x:c>
      <x:c r="M1056" s="35" t="str">
        <x:v>numeric coverage for applicable metric</x:v>
      </x:c>
      <x:c r="N1056" s="35" t="str">
        <x:v>Gemini-3.8-flash/Result/Closure_62/result.json</x:v>
      </x:c>
      <x:c r="O1056" s="39" t="n">
        <x:f>IF(AND(G1056="RECORDED",ISNUMBER(H1056)),H1056,"")</x:f>
        <x:v>100</x:v>
      </x:c>
      <x:c r="P1056" s="35" t="str">
        <x:v>INCONCLUSIVE</x:v>
      </x:c>
      <x:c r="Q1056" s="35" t="str">
        <x:v>Gemini-3.8-flash/Result/Closure_62/result.json</x:v>
      </x:c>
    </x:row>
    <x:row r="1057">
      <x:c r="A1057" s="35" t="str">
        <x:v>gemini</x:v>
      </x:c>
      <x:c r="B1057" s="35" t="str">
        <x:v>Closure</x:v>
      </x:c>
      <x:c r="C1057" s="35" t="str">
        <x:v>Round1</x:v>
      </x:c>
      <x:c r="D1057" s="35" t="str">
        <x:v>Closure_64</x:v>
      </x:c>
      <x:c r="E1057" s="35" t="str">
        <x:v>Condition</x:v>
      </x:c>
      <x:c r="F1057" s="35"/>
      <x:c r="G1057" s="35" t="str">
        <x:v>A</x:v>
      </x:c>
      <x:c r="H1057" s="39" t="str">
        <x:f>IF(ISNUMBER('Data'!N203),'Data'!N203*100,"")</x:f>
      </x:c>
      <x:c r="I1057" s="35"/>
      <x:c r="J1057" s="35" t="str">
        <x:v>PASS</x:v>
      </x:c>
      <x:c r="K1057" s="35" t="str">
        <x:v>FAIL</x:v>
      </x:c>
      <x:c r="L1057" s="35" t="str">
        <x:v>NOT_RUN</x:v>
      </x:c>
      <x:c r="M1057" s="35" t="str">
        <x:v>coverage unavailable or execution/compile failed</x:v>
      </x:c>
      <x:c r="N1057" s="35" t="str">
        <x:v>Gemini-3.8-flash/Result/Closure_64/result.json</x:v>
      </x:c>
      <x:c r="O1057" s="39" t="str">
        <x:f>IF(AND(G1057="RECORDED",ISNUMBER(H1057)),H1057,"")</x:f>
      </x:c>
      <x:c r="P1057" s="35" t="str">
        <x:v>NOT_AVAILABLE</x:v>
      </x:c>
      <x:c r="Q1057" s="35" t="str">
        <x:v>Gemini-3.8-flash/Result/Closure_64/result.json</x:v>
      </x:c>
    </x:row>
    <x:row r="1058">
      <x:c r="A1058" s="35" t="str">
        <x:v>gemini</x:v>
      </x:c>
      <x:c r="B1058" s="35" t="str">
        <x:v>Closure</x:v>
      </x:c>
      <x:c r="C1058" s="35" t="str">
        <x:v>Round1</x:v>
      </x:c>
      <x:c r="D1058" s="35" t="str">
        <x:v>Closure_65</x:v>
      </x:c>
      <x:c r="E1058" s="35" t="str">
        <x:v>Condition</x:v>
      </x:c>
      <x:c r="F1058" s="35"/>
      <x:c r="G1058" s="35" t="str">
        <x:v>A</x:v>
      </x:c>
      <x:c r="H1058" s="39" t="str">
        <x:f>IF(ISNUMBER('Data'!N204),'Data'!N204*100,"")</x:f>
      </x:c>
      <x:c r="I1058" s="35"/>
      <x:c r="J1058" s="35" t="str">
        <x:v>PASS</x:v>
      </x:c>
      <x:c r="K1058" s="35" t="str">
        <x:v>FAIL</x:v>
      </x:c>
      <x:c r="L1058" s="35" t="str">
        <x:v>NOT_RUN</x:v>
      </x:c>
      <x:c r="M1058" s="35" t="str">
        <x:v>coverage unavailable or execution/compile failed</x:v>
      </x:c>
      <x:c r="N1058" s="35" t="str">
        <x:v>Gemini-3.8-flash/Result/Closure_65/result.json</x:v>
      </x:c>
      <x:c r="O1058" s="39" t="str">
        <x:f>IF(AND(G1058="RECORDED",ISNUMBER(H1058)),H1058,"")</x:f>
      </x:c>
      <x:c r="P1058" s="35" t="str">
        <x:v>NOT_AVAILABLE</x:v>
      </x:c>
      <x:c r="Q1058" s="35" t="str">
        <x:v>Gemini-3.8-flash/Result/Closure_65/result.json</x:v>
      </x:c>
    </x:row>
    <x:row r="1059">
      <x:c r="A1059" s="35" t="str">
        <x:v>gemini</x:v>
      </x:c>
      <x:c r="B1059" s="35" t="str">
        <x:v>Closure</x:v>
      </x:c>
      <x:c r="C1059" s="35" t="str">
        <x:v>Round1</x:v>
      </x:c>
      <x:c r="D1059" s="35" t="str">
        <x:v>Closure_66</x:v>
      </x:c>
      <x:c r="E1059" s="35" t="str">
        <x:v>Condition</x:v>
      </x:c>
      <x:c r="F1059" s="35"/>
      <x:c r="G1059" s="35" t="str">
        <x:v>A</x:v>
      </x:c>
      <x:c r="H1059" s="39" t="str">
        <x:f>IF(ISNUMBER('Data'!N205),'Data'!N205*100,"")</x:f>
      </x:c>
      <x:c r="I1059" s="35"/>
      <x:c r="J1059" s="35" t="str">
        <x:v>PASS</x:v>
      </x:c>
      <x:c r="K1059" s="35" t="str">
        <x:v>FAIL</x:v>
      </x:c>
      <x:c r="L1059" s="35" t="str">
        <x:v>NOT_RUN</x:v>
      </x:c>
      <x:c r="M1059" s="35" t="str">
        <x:v>coverage unavailable or execution/compile failed</x:v>
      </x:c>
      <x:c r="N1059" s="35" t="str">
        <x:v>Gemini-3.8-flash/Result/Closure_66/result.json</x:v>
      </x:c>
      <x:c r="O1059" s="39" t="str">
        <x:f>IF(AND(G1059="RECORDED",ISNUMBER(H1059)),H1059,"")</x:f>
      </x:c>
      <x:c r="P1059" s="35" t="str">
        <x:v>NOT_AVAILABLE</x:v>
      </x:c>
      <x:c r="Q1059" s="35" t="str">
        <x:v>Gemini-3.8-flash/Result/Closure_66/result.json</x:v>
      </x:c>
    </x:row>
    <x:row r="1060">
      <x:c r="A1060" s="35" t="str">
        <x:v>gemini</x:v>
      </x:c>
      <x:c r="B1060" s="35" t="str">
        <x:v>Closure</x:v>
      </x:c>
      <x:c r="C1060" s="35" t="str">
        <x:v>Round1</x:v>
      </x:c>
      <x:c r="D1060" s="35" t="str">
        <x:v>Closure_67</x:v>
      </x:c>
      <x:c r="E1060" s="35" t="str">
        <x:v>Condition</x:v>
      </x:c>
      <x:c r="F1060" s="35"/>
      <x:c r="G1060" s="35" t="str">
        <x:v>A</x:v>
      </x:c>
      <x:c r="H1060" s="39" t="str">
        <x:f>IF(ISNUMBER('Data'!N206),'Data'!N206*100,"")</x:f>
      </x:c>
      <x:c r="I1060" s="35"/>
      <x:c r="J1060" s="35" t="str">
        <x:v>PASS</x:v>
      </x:c>
      <x:c r="K1060" s="35" t="str">
        <x:v>FAIL</x:v>
      </x:c>
      <x:c r="L1060" s="35" t="str">
        <x:v>NOT_RUN</x:v>
      </x:c>
      <x:c r="M1060" s="35" t="str">
        <x:v>coverage unavailable or execution/compile failed</x:v>
      </x:c>
      <x:c r="N1060" s="35" t="str">
        <x:v>Gemini-3.8-flash/Result/Closure_67/result.json</x:v>
      </x:c>
      <x:c r="O1060" s="39" t="str">
        <x:f>IF(AND(G1060="RECORDED",ISNUMBER(H1060)),H1060,"")</x:f>
      </x:c>
      <x:c r="P1060" s="35" t="str">
        <x:v>NOT_AVAILABLE</x:v>
      </x:c>
      <x:c r="Q1060" s="35" t="str">
        <x:v>Gemini-3.8-flash/Result/Closure_67/result.json</x:v>
      </x:c>
    </x:row>
    <x:row r="1061">
      <x:c r="A1061" s="35" t="str">
        <x:v>gemini</x:v>
      </x:c>
      <x:c r="B1061" s="35" t="str">
        <x:v>Closure</x:v>
      </x:c>
      <x:c r="C1061" s="35" t="str">
        <x:v>Round1</x:v>
      </x:c>
      <x:c r="D1061" s="35" t="str">
        <x:v>Closure_68</x:v>
      </x:c>
      <x:c r="E1061" s="35" t="str">
        <x:v>Condition</x:v>
      </x:c>
      <x:c r="F1061" s="35"/>
      <x:c r="G1061" s="35" t="str">
        <x:v>A</x:v>
      </x:c>
      <x:c r="H1061" s="39" t="str">
        <x:f>IF(ISNUMBER('Data'!N207),'Data'!N207*100,"")</x:f>
      </x:c>
      <x:c r="I1061" s="35"/>
      <x:c r="J1061" s="35" t="str">
        <x:v>PASS</x:v>
      </x:c>
      <x:c r="K1061" s="35" t="str">
        <x:v>FAIL</x:v>
      </x:c>
      <x:c r="L1061" s="35" t="str">
        <x:v>NOT_RUN</x:v>
      </x:c>
      <x:c r="M1061" s="35" t="str">
        <x:v>coverage unavailable or execution/compile failed</x:v>
      </x:c>
      <x:c r="N1061" s="35" t="str">
        <x:v>Gemini-3.8-flash/Result/Closure_68/result.json</x:v>
      </x:c>
      <x:c r="O1061" s="39" t="str">
        <x:f>IF(AND(G1061="RECORDED",ISNUMBER(H1061)),H1061,"")</x:f>
      </x:c>
      <x:c r="P1061" s="35" t="str">
        <x:v>NOT_AVAILABLE</x:v>
      </x:c>
      <x:c r="Q1061" s="35" t="str">
        <x:v>Gemini-3.8-flash/Result/Closure_68/result.json</x:v>
      </x:c>
    </x:row>
    <x:row r="1062">
      <x:c r="A1062" s="35" t="str">
        <x:v>gemini</x:v>
      </x:c>
      <x:c r="B1062" s="35" t="str">
        <x:v>Closure</x:v>
      </x:c>
      <x:c r="C1062" s="35" t="str">
        <x:v>Round1</x:v>
      </x:c>
      <x:c r="D1062" s="35" t="str">
        <x:v>Closure_69</x:v>
      </x:c>
      <x:c r="E1062" s="35" t="str">
        <x:v>Condition</x:v>
      </x:c>
      <x:c r="F1062" s="35"/>
      <x:c r="G1062" s="35" t="str">
        <x:v>A</x:v>
      </x:c>
      <x:c r="H1062" s="39" t="str">
        <x:f>IF(ISNUMBER('Data'!N208),'Data'!N208*100,"")</x:f>
      </x:c>
      <x:c r="I1062" s="35"/>
      <x:c r="J1062" s="35" t="str">
        <x:v>PASS</x:v>
      </x:c>
      <x:c r="K1062" s="35" t="str">
        <x:v>FAIL</x:v>
      </x:c>
      <x:c r="L1062" s="35" t="str">
        <x:v>NOT_RUN</x:v>
      </x:c>
      <x:c r="M1062" s="35" t="str">
        <x:v>coverage unavailable or execution/compile failed</x:v>
      </x:c>
      <x:c r="N1062" s="35" t="str">
        <x:v>Gemini-3.8-flash/Result/Closure_69/result.json</x:v>
      </x:c>
      <x:c r="O1062" s="39" t="str">
        <x:f>IF(AND(G1062="RECORDED",ISNUMBER(H1062)),H1062,"")</x:f>
      </x:c>
      <x:c r="P1062" s="35" t="str">
        <x:v>NOT_AVAILABLE</x:v>
      </x:c>
      <x:c r="Q1062" s="35" t="str">
        <x:v>Gemini-3.8-flash/Result/Closure_69/result.json</x:v>
      </x:c>
    </x:row>
    <x:row r="1063">
      <x:c r="A1063" s="35" t="str">
        <x:v>gemini</x:v>
      </x:c>
      <x:c r="B1063" s="35" t="str">
        <x:v>Closure</x:v>
      </x:c>
      <x:c r="C1063" s="35" t="str">
        <x:v>Round1</x:v>
      </x:c>
      <x:c r="D1063" s="35" t="str">
        <x:v>Closure_7</x:v>
      </x:c>
      <x:c r="E1063" s="35" t="str">
        <x:v>Condition</x:v>
      </x:c>
      <x:c r="F1063" s="35"/>
      <x:c r="G1063" s="35" t="str">
        <x:v>A</x:v>
      </x:c>
      <x:c r="H1063" s="39" t="str">
        <x:f>IF(ISNUMBER('Data'!N209),'Data'!N209*100,"")</x:f>
      </x:c>
      <x:c r="I1063" s="35"/>
      <x:c r="J1063" s="35" t="str">
        <x:v>PASS</x:v>
      </x:c>
      <x:c r="K1063" s="35" t="str">
        <x:v>FAIL</x:v>
      </x:c>
      <x:c r="L1063" s="35" t="str">
        <x:v>NOT_RUN</x:v>
      </x:c>
      <x:c r="M1063" s="35" t="str">
        <x:v>coverage unavailable or execution/compile failed</x:v>
      </x:c>
      <x:c r="N1063" s="35" t="str">
        <x:v>Gemini-3.8-flash/Result/Closure_7/result.json</x:v>
      </x:c>
      <x:c r="O1063" s="39" t="str">
        <x:f>IF(AND(G1063="RECORDED",ISNUMBER(H1063)),H1063,"")</x:f>
      </x:c>
      <x:c r="P1063" s="35" t="str">
        <x:v>NOT_AVAILABLE</x:v>
      </x:c>
      <x:c r="Q1063" s="35" t="str">
        <x:v>Gemini-3.8-flash/Result/Closure_7/result.json</x:v>
      </x:c>
    </x:row>
    <x:row r="1064">
      <x:c r="A1064" s="35" t="str">
        <x:v>gemini</x:v>
      </x:c>
      <x:c r="B1064" s="35" t="str">
        <x:v>Closure</x:v>
      </x:c>
      <x:c r="C1064" s="35" t="str">
        <x:v>Round1</x:v>
      </x:c>
      <x:c r="D1064" s="35" t="str">
        <x:v>Closure_70</x:v>
      </x:c>
      <x:c r="E1064" s="35" t="str">
        <x:v>Condition</x:v>
      </x:c>
      <x:c r="F1064" s="35"/>
      <x:c r="G1064" s="35" t="str">
        <x:v>A</x:v>
      </x:c>
      <x:c r="H1064" s="39" t="str">
        <x:f>IF(ISNUMBER('Data'!N210),'Data'!N210*100,"")</x:f>
      </x:c>
      <x:c r="I1064" s="35"/>
      <x:c r="J1064" s="35" t="str">
        <x:v>PASS</x:v>
      </x:c>
      <x:c r="K1064" s="35" t="str">
        <x:v>FAIL</x:v>
      </x:c>
      <x:c r="L1064" s="35" t="str">
        <x:v>NOT_RUN</x:v>
      </x:c>
      <x:c r="M1064" s="35" t="str">
        <x:v>coverage unavailable or execution/compile failed</x:v>
      </x:c>
      <x:c r="N1064" s="35" t="str">
        <x:v>Gemini-3.8-flash/Result/Closure_70/result.json</x:v>
      </x:c>
      <x:c r="O1064" s="39" t="str">
        <x:f>IF(AND(G1064="RECORDED",ISNUMBER(H1064)),H1064,"")</x:f>
      </x:c>
      <x:c r="P1064" s="35" t="str">
        <x:v>NOT_AVAILABLE</x:v>
      </x:c>
      <x:c r="Q1064" s="35" t="str">
        <x:v>Gemini-3.8-flash/Result/Closure_70/result.json</x:v>
      </x:c>
    </x:row>
    <x:row r="1065">
      <x:c r="A1065" s="35" t="str">
        <x:v>gemini</x:v>
      </x:c>
      <x:c r="B1065" s="35" t="str">
        <x:v>Closure</x:v>
      </x:c>
      <x:c r="C1065" s="35" t="str">
        <x:v>Round1</x:v>
      </x:c>
      <x:c r="D1065" s="35" t="str">
        <x:v>Closure_71</x:v>
      </x:c>
      <x:c r="E1065" s="35" t="str">
        <x:v>Condition</x:v>
      </x:c>
      <x:c r="F1065" s="35"/>
      <x:c r="G1065" s="35" t="str">
        <x:v>A</x:v>
      </x:c>
      <x:c r="H1065" s="39" t="str">
        <x:f>IF(ISNUMBER('Data'!N211),'Data'!N211*100,"")</x:f>
      </x:c>
      <x:c r="I1065" s="35"/>
      <x:c r="J1065" s="35" t="str">
        <x:v>PASS</x:v>
      </x:c>
      <x:c r="K1065" s="35" t="str">
        <x:v>FAIL</x:v>
      </x:c>
      <x:c r="L1065" s="35" t="str">
        <x:v>NOT_RUN</x:v>
      </x:c>
      <x:c r="M1065" s="35" t="str">
        <x:v>coverage unavailable or execution/compile failed</x:v>
      </x:c>
      <x:c r="N1065" s="35" t="str">
        <x:v>Gemini-3.8-flash/Result/Closure_71/result.json</x:v>
      </x:c>
      <x:c r="O1065" s="39" t="str">
        <x:f>IF(AND(G1065="RECORDED",ISNUMBER(H1065)),H1065,"")</x:f>
      </x:c>
      <x:c r="P1065" s="35" t="str">
        <x:v>NOT_AVAILABLE</x:v>
      </x:c>
      <x:c r="Q1065" s="35" t="str">
        <x:v>Gemini-3.8-flash/Result/Closure_71/result.json</x:v>
      </x:c>
    </x:row>
    <x:row r="1066">
      <x:c r="A1066" s="35" t="str">
        <x:v>gemini</x:v>
      </x:c>
      <x:c r="B1066" s="35" t="str">
        <x:v>Closure</x:v>
      </x:c>
      <x:c r="C1066" s="35" t="str">
        <x:v>Round1</x:v>
      </x:c>
      <x:c r="D1066" s="35" t="str">
        <x:v>Closure_72</x:v>
      </x:c>
      <x:c r="E1066" s="35" t="str">
        <x:v>Condition</x:v>
      </x:c>
      <x:c r="F1066" s="35"/>
      <x:c r="G1066" s="35" t="str">
        <x:v>A</x:v>
      </x:c>
      <x:c r="H1066" s="39" t="str">
        <x:f>IF(ISNUMBER('Data'!N212),'Data'!N212*100,"")</x:f>
      </x:c>
      <x:c r="I1066" s="35"/>
      <x:c r="J1066" s="35" t="str">
        <x:v>PASS</x:v>
      </x:c>
      <x:c r="K1066" s="35" t="str">
        <x:v>FAIL</x:v>
      </x:c>
      <x:c r="L1066" s="35" t="str">
        <x:v>NOT_RUN</x:v>
      </x:c>
      <x:c r="M1066" s="35" t="str">
        <x:v>coverage unavailable or execution/compile failed</x:v>
      </x:c>
      <x:c r="N1066" s="35" t="str">
        <x:v>Gemini-3.8-flash/Result/Closure_72/result.json</x:v>
      </x:c>
      <x:c r="O1066" s="39" t="str">
        <x:f>IF(AND(G1066="RECORDED",ISNUMBER(H1066)),H1066,"")</x:f>
      </x:c>
      <x:c r="P1066" s="35" t="str">
        <x:v>NOT_AVAILABLE</x:v>
      </x:c>
      <x:c r="Q1066" s="35" t="str">
        <x:v>Gemini-3.8-flash/Result/Closure_72/result.json</x:v>
      </x:c>
    </x:row>
    <x:row r="1067">
      <x:c r="A1067" s="35" t="str">
        <x:v>gemini</x:v>
      </x:c>
      <x:c r="B1067" s="35" t="str">
        <x:v>Closure</x:v>
      </x:c>
      <x:c r="C1067" s="35" t="str">
        <x:v>Round1</x:v>
      </x:c>
      <x:c r="D1067" s="35" t="str">
        <x:v>Closure_73</x:v>
      </x:c>
      <x:c r="E1067" s="35" t="str">
        <x:v>Condition</x:v>
      </x:c>
      <x:c r="F1067" s="35"/>
      <x:c r="G1067" s="35" t="str">
        <x:v>A</x:v>
      </x:c>
      <x:c r="H1067" s="39" t="str">
        <x:f>IF(ISNUMBER('Data'!N213),'Data'!N213*100,"")</x:f>
      </x:c>
      <x:c r="I1067" s="35"/>
      <x:c r="J1067" s="35" t="str">
        <x:v>PASS</x:v>
      </x:c>
      <x:c r="K1067" s="35" t="str">
        <x:v>FAIL</x:v>
      </x:c>
      <x:c r="L1067" s="35" t="str">
        <x:v>NOT_RUN</x:v>
      </x:c>
      <x:c r="M1067" s="35" t="str">
        <x:v>coverage unavailable or execution/compile failed</x:v>
      </x:c>
      <x:c r="N1067" s="35" t="str">
        <x:v>Gemini-3.8-flash/Result/Closure_73/result.json</x:v>
      </x:c>
      <x:c r="O1067" s="39" t="str">
        <x:f>IF(AND(G1067="RECORDED",ISNUMBER(H1067)),H1067,"")</x:f>
      </x:c>
      <x:c r="P1067" s="35" t="str">
        <x:v>NOT_AVAILABLE</x:v>
      </x:c>
      <x:c r="Q1067" s="35" t="str">
        <x:v>Gemini-3.8-flash/Result/Closure_73/result.json</x:v>
      </x:c>
    </x:row>
    <x:row r="1068">
      <x:c r="A1068" s="35" t="str">
        <x:v>gemini</x:v>
      </x:c>
      <x:c r="B1068" s="35" t="str">
        <x:v>Closure</x:v>
      </x:c>
      <x:c r="C1068" s="35" t="str">
        <x:v>Round1</x:v>
      </x:c>
      <x:c r="D1068" s="35" t="str">
        <x:v>Closure_74</x:v>
      </x:c>
      <x:c r="E1068" s="35" t="str">
        <x:v>Condition</x:v>
      </x:c>
      <x:c r="F1068" s="35"/>
      <x:c r="G1068" s="35" t="str">
        <x:v>A</x:v>
      </x:c>
      <x:c r="H1068" s="39" t="str">
        <x:f>IF(ISNUMBER('Data'!N214),'Data'!N214*100,"")</x:f>
      </x:c>
      <x:c r="I1068" s="35"/>
      <x:c r="J1068" s="35" t="str">
        <x:v>PASS</x:v>
      </x:c>
      <x:c r="K1068" s="35" t="str">
        <x:v>FAIL</x:v>
      </x:c>
      <x:c r="L1068" s="35" t="str">
        <x:v>NOT_RUN</x:v>
      </x:c>
      <x:c r="M1068" s="35" t="str">
        <x:v>coverage unavailable or execution/compile failed</x:v>
      </x:c>
      <x:c r="N1068" s="35" t="str">
        <x:v>Gemini-3.8-flash/Result/Closure_74/result.json</x:v>
      </x:c>
      <x:c r="O1068" s="39" t="str">
        <x:f>IF(AND(G1068="RECORDED",ISNUMBER(H1068)),H1068,"")</x:f>
      </x:c>
      <x:c r="P1068" s="35" t="str">
        <x:v>NOT_AVAILABLE</x:v>
      </x:c>
      <x:c r="Q1068" s="35" t="str">
        <x:v>Gemini-3.8-flash/Result/Closure_74/result.json</x:v>
      </x:c>
    </x:row>
    <x:row r="1069">
      <x:c r="A1069" s="35" t="str">
        <x:v>gemini</x:v>
      </x:c>
      <x:c r="B1069" s="35" t="str">
        <x:v>Closure</x:v>
      </x:c>
      <x:c r="C1069" s="35" t="str">
        <x:v>Round1</x:v>
      </x:c>
      <x:c r="D1069" s="35" t="str">
        <x:v>Closure_75</x:v>
      </x:c>
      <x:c r="E1069" s="35" t="str">
        <x:v>Condition</x:v>
      </x:c>
      <x:c r="F1069" s="35"/>
      <x:c r="G1069" s="35" t="str">
        <x:v>A</x:v>
      </x:c>
      <x:c r="H1069" s="39" t="str">
        <x:f>IF(ISNUMBER('Data'!N215),'Data'!N215*100,"")</x:f>
      </x:c>
      <x:c r="I1069" s="35"/>
      <x:c r="J1069" s="35" t="str">
        <x:v>PASS</x:v>
      </x:c>
      <x:c r="K1069" s="35" t="str">
        <x:v>FAIL</x:v>
      </x:c>
      <x:c r="L1069" s="35" t="str">
        <x:v>NOT_RUN</x:v>
      </x:c>
      <x:c r="M1069" s="35" t="str">
        <x:v>coverage unavailable or execution/compile failed</x:v>
      </x:c>
      <x:c r="N1069" s="35" t="str">
        <x:v>Gemini-3.8-flash/Result/Closure_75/result.json</x:v>
      </x:c>
      <x:c r="O1069" s="39" t="str">
        <x:f>IF(AND(G1069="RECORDED",ISNUMBER(H1069)),H1069,"")</x:f>
      </x:c>
      <x:c r="P1069" s="35" t="str">
        <x:v>NOT_AVAILABLE</x:v>
      </x:c>
      <x:c r="Q1069" s="35" t="str">
        <x:v>Gemini-3.8-flash/Result/Closure_75/result.json</x:v>
      </x:c>
    </x:row>
    <x:row r="1070">
      <x:c r="A1070" s="35" t="str">
        <x:v>gemini</x:v>
      </x:c>
      <x:c r="B1070" s="35" t="str">
        <x:v>Closure</x:v>
      </x:c>
      <x:c r="C1070" s="35" t="str">
        <x:v>Round1</x:v>
      </x:c>
      <x:c r="D1070" s="35" t="str">
        <x:v>Closure_76</x:v>
      </x:c>
      <x:c r="E1070" s="35" t="str">
        <x:v>Condition</x:v>
      </x:c>
      <x:c r="F1070" s="35"/>
      <x:c r="G1070" s="35" t="str">
        <x:v>A</x:v>
      </x:c>
      <x:c r="H1070" s="39" t="str">
        <x:f>IF(ISNUMBER('Data'!N216),'Data'!N216*100,"")</x:f>
      </x:c>
      <x:c r="I1070" s="35"/>
      <x:c r="J1070" s="35" t="str">
        <x:v>PASS</x:v>
      </x:c>
      <x:c r="K1070" s="35" t="str">
        <x:v>FAIL</x:v>
      </x:c>
      <x:c r="L1070" s="35" t="str">
        <x:v>NOT_RUN</x:v>
      </x:c>
      <x:c r="M1070" s="35" t="str">
        <x:v>coverage unavailable or execution/compile failed</x:v>
      </x:c>
      <x:c r="N1070" s="35" t="str">
        <x:v>Gemini-3.8-flash/Result/Closure_76/result.json</x:v>
      </x:c>
      <x:c r="O1070" s="39" t="str">
        <x:f>IF(AND(G1070="RECORDED",ISNUMBER(H1070)),H1070,"")</x:f>
      </x:c>
      <x:c r="P1070" s="35" t="str">
        <x:v>NOT_AVAILABLE</x:v>
      </x:c>
      <x:c r="Q1070" s="35" t="str">
        <x:v>Gemini-3.8-flash/Result/Closure_76/result.json</x:v>
      </x:c>
    </x:row>
    <x:row r="1071">
      <x:c r="A1071" s="35" t="str">
        <x:v>gemini</x:v>
      </x:c>
      <x:c r="B1071" s="35" t="str">
        <x:v>Closure</x:v>
      </x:c>
      <x:c r="C1071" s="35" t="str">
        <x:v>Round1</x:v>
      </x:c>
      <x:c r="D1071" s="35" t="str">
        <x:v>Closure_77</x:v>
      </x:c>
      <x:c r="E1071" s="35" t="str">
        <x:v>Condition</x:v>
      </x:c>
      <x:c r="F1071" s="35"/>
      <x:c r="G1071" s="35" t="str">
        <x:v>A</x:v>
      </x:c>
      <x:c r="H1071" s="39" t="str">
        <x:f>IF(ISNUMBER('Data'!N217),'Data'!N217*100,"")</x:f>
      </x:c>
      <x:c r="I1071" s="35"/>
      <x:c r="J1071" s="35" t="str">
        <x:v>PASS</x:v>
      </x:c>
      <x:c r="K1071" s="35" t="str">
        <x:v>FAIL</x:v>
      </x:c>
      <x:c r="L1071" s="35" t="str">
        <x:v>NOT_RUN</x:v>
      </x:c>
      <x:c r="M1071" s="35" t="str">
        <x:v>coverage unavailable or execution/compile failed</x:v>
      </x:c>
      <x:c r="N1071" s="35" t="str">
        <x:v>Gemini-3.8-flash/Result/Closure_77/result.json</x:v>
      </x:c>
      <x:c r="O1071" s="39" t="str">
        <x:f>IF(AND(G1071="RECORDED",ISNUMBER(H1071)),H1071,"")</x:f>
      </x:c>
      <x:c r="P1071" s="35" t="str">
        <x:v>NOT_AVAILABLE</x:v>
      </x:c>
      <x:c r="Q1071" s="35" t="str">
        <x:v>Gemini-3.8-flash/Result/Closure_77/result.json</x:v>
      </x:c>
    </x:row>
    <x:row r="1072">
      <x:c r="A1072" s="35" t="str">
        <x:v>gemini</x:v>
      </x:c>
      <x:c r="B1072" s="35" t="str">
        <x:v>Closure</x:v>
      </x:c>
      <x:c r="C1072" s="35" t="str">
        <x:v>Round1</x:v>
      </x:c>
      <x:c r="D1072" s="35" t="str">
        <x:v>Closure_78</x:v>
      </x:c>
      <x:c r="E1072" s="35" t="str">
        <x:v>Condition</x:v>
      </x:c>
      <x:c r="F1072" s="35"/>
      <x:c r="G1072" s="35" t="str">
        <x:v>A</x:v>
      </x:c>
      <x:c r="H1072" s="39" t="str">
        <x:f>IF(ISNUMBER('Data'!N218),'Data'!N218*100,"")</x:f>
      </x:c>
      <x:c r="I1072" s="35"/>
      <x:c r="J1072" s="35" t="str">
        <x:v>PASS</x:v>
      </x:c>
      <x:c r="K1072" s="35" t="str">
        <x:v>FAIL</x:v>
      </x:c>
      <x:c r="L1072" s="35" t="str">
        <x:v>NOT_RUN</x:v>
      </x:c>
      <x:c r="M1072" s="35" t="str">
        <x:v>coverage unavailable or execution/compile failed</x:v>
      </x:c>
      <x:c r="N1072" s="35" t="str">
        <x:v>Gemini-3.8-flash/Result/Closure_78/result.json</x:v>
      </x:c>
      <x:c r="O1072" s="39" t="str">
        <x:f>IF(AND(G1072="RECORDED",ISNUMBER(H1072)),H1072,"")</x:f>
      </x:c>
      <x:c r="P1072" s="35" t="str">
        <x:v>NOT_AVAILABLE</x:v>
      </x:c>
      <x:c r="Q1072" s="35" t="str">
        <x:v>Gemini-3.8-flash/Result/Closure_78/result.json</x:v>
      </x:c>
    </x:row>
    <x:row r="1073">
      <x:c r="A1073" s="35" t="str">
        <x:v>gemini</x:v>
      </x:c>
      <x:c r="B1073" s="35" t="str">
        <x:v>Closure</x:v>
      </x:c>
      <x:c r="C1073" s="35" t="str">
        <x:v>Round1</x:v>
      </x:c>
      <x:c r="D1073" s="35" t="str">
        <x:v>Closure_79</x:v>
      </x:c>
      <x:c r="E1073" s="35" t="str">
        <x:v>Condition</x:v>
      </x:c>
      <x:c r="F1073" s="35"/>
      <x:c r="G1073" s="35" t="str">
        <x:v>A</x:v>
      </x:c>
      <x:c r="H1073" s="39" t="str">
        <x:f>IF(ISNUMBER('Data'!N219),'Data'!N219*100,"")</x:f>
      </x:c>
      <x:c r="I1073" s="35"/>
      <x:c r="J1073" s="35" t="str">
        <x:v>PASS</x:v>
      </x:c>
      <x:c r="K1073" s="35" t="str">
        <x:v>FAIL</x:v>
      </x:c>
      <x:c r="L1073" s="35" t="str">
        <x:v>NOT_RUN</x:v>
      </x:c>
      <x:c r="M1073" s="35" t="str">
        <x:v>coverage unavailable or execution/compile failed</x:v>
      </x:c>
      <x:c r="N1073" s="35" t="str">
        <x:v>Gemini-3.8-flash/Result/Closure_79/result.json</x:v>
      </x:c>
      <x:c r="O1073" s="39" t="str">
        <x:f>IF(AND(G1073="RECORDED",ISNUMBER(H1073)),H1073,"")</x:f>
      </x:c>
      <x:c r="P1073" s="35" t="str">
        <x:v>NOT_AVAILABLE</x:v>
      </x:c>
      <x:c r="Q1073" s="35" t="str">
        <x:v>Gemini-3.8-flash/Result/Closure_79/result.json</x:v>
      </x:c>
    </x:row>
    <x:row r="1074">
      <x:c r="A1074" s="35" t="str">
        <x:v>gemini</x:v>
      </x:c>
      <x:c r="B1074" s="35" t="str">
        <x:v>Closure</x:v>
      </x:c>
      <x:c r="C1074" s="35" t="str">
        <x:v>Round1</x:v>
      </x:c>
      <x:c r="D1074" s="35" t="str">
        <x:v>Closure_8</x:v>
      </x:c>
      <x:c r="E1074" s="35" t="str">
        <x:v>Condition</x:v>
      </x:c>
      <x:c r="F1074" s="35" t="n">
        <x:v>52</x:v>
      </x:c>
      <x:c r="G1074" s="35" t="str">
        <x:v>RECORDED</x:v>
      </x:c>
      <x:c r="H1074" s="39" t="n">
        <x:f>IF(ISNUMBER('Data'!N220),'Data'!N220*100,"")</x:f>
        <x:v>71.15</x:v>
      </x:c>
      <x:c r="I1074" s="35" t="str">
        <x:v>PASS</x:v>
      </x:c>
      <x:c r="J1074" s="35" t="str">
        <x:v>PASS</x:v>
      </x:c>
      <x:c r="K1074" s="35" t="str">
        <x:v>PASS</x:v>
      </x:c>
      <x:c r="L1074" s="35" t="str">
        <x:v>FAIL</x:v>
      </x:c>
      <x:c r="M1074" s="35" t="str">
        <x:v>numeric coverage for applicable metric</x:v>
      </x:c>
      <x:c r="N1074" s="35" t="str">
        <x:v>Gemini-3.8-flash/Result/Closure_8/result.json</x:v>
      </x:c>
      <x:c r="O1074" s="39" t="n">
        <x:f>IF(AND(G1074="RECORDED",ISNUMBER(H1074)),H1074,"")</x:f>
        <x:v>71.15</x:v>
      </x:c>
      <x:c r="P1074" s="35" t="str">
        <x:v>INCONCLUSIVE</x:v>
      </x:c>
      <x:c r="Q1074" s="35" t="str">
        <x:v>Gemini-3.8-flash/Result/Closure_8/result.json</x:v>
      </x:c>
    </x:row>
    <x:row r="1075">
      <x:c r="A1075" s="35" t="str">
        <x:v>gemini</x:v>
      </x:c>
      <x:c r="B1075" s="35" t="str">
        <x:v>Closure</x:v>
      </x:c>
      <x:c r="C1075" s="35" t="str">
        <x:v>Round1</x:v>
      </x:c>
      <x:c r="D1075" s="35" t="str">
        <x:v>Closure_80</x:v>
      </x:c>
      <x:c r="E1075" s="35" t="str">
        <x:v>Condition</x:v>
      </x:c>
      <x:c r="F1075" s="35"/>
      <x:c r="G1075" s="35" t="str">
        <x:v>A</x:v>
      </x:c>
      <x:c r="H1075" s="39" t="str">
        <x:f>IF(ISNUMBER('Data'!N221),'Data'!N221*100,"")</x:f>
      </x:c>
      <x:c r="I1075" s="35"/>
      <x:c r="J1075" s="35" t="str">
        <x:v>PASS</x:v>
      </x:c>
      <x:c r="K1075" s="35" t="str">
        <x:v>FAIL</x:v>
      </x:c>
      <x:c r="L1075" s="35" t="str">
        <x:v>NOT_RUN</x:v>
      </x:c>
      <x:c r="M1075" s="35" t="str">
        <x:v>coverage unavailable or execution/compile failed</x:v>
      </x:c>
      <x:c r="N1075" s="35" t="str">
        <x:v>Gemini-3.8-flash/Result/Closure_80/result.json</x:v>
      </x:c>
      <x:c r="O1075" s="39" t="str">
        <x:f>IF(AND(G1075="RECORDED",ISNUMBER(H1075)),H1075,"")</x:f>
      </x:c>
      <x:c r="P1075" s="35" t="str">
        <x:v>NOT_AVAILABLE</x:v>
      </x:c>
      <x:c r="Q1075" s="35" t="str">
        <x:v>Gemini-3.8-flash/Result/Closure_80/result.json</x:v>
      </x:c>
    </x:row>
    <x:row r="1076">
      <x:c r="A1076" s="35" t="str">
        <x:v>gemini</x:v>
      </x:c>
      <x:c r="B1076" s="35" t="str">
        <x:v>Closure</x:v>
      </x:c>
      <x:c r="C1076" s="35" t="str">
        <x:v>Round1</x:v>
      </x:c>
      <x:c r="D1076" s="35" t="str">
        <x:v>Closure_81</x:v>
      </x:c>
      <x:c r="E1076" s="35" t="str">
        <x:v>Condition</x:v>
      </x:c>
      <x:c r="F1076" s="35"/>
      <x:c r="G1076" s="35" t="str">
        <x:v>A</x:v>
      </x:c>
      <x:c r="H1076" s="39" t="str">
        <x:f>IF(ISNUMBER('Data'!N222),'Data'!N222*100,"")</x:f>
      </x:c>
      <x:c r="I1076" s="35"/>
      <x:c r="J1076" s="35" t="str">
        <x:v>PASS</x:v>
      </x:c>
      <x:c r="K1076" s="35" t="str">
        <x:v>FAIL</x:v>
      </x:c>
      <x:c r="L1076" s="35" t="str">
        <x:v>NOT_RUN</x:v>
      </x:c>
      <x:c r="M1076" s="35" t="str">
        <x:v>coverage unavailable or execution/compile failed</x:v>
      </x:c>
      <x:c r="N1076" s="35" t="str">
        <x:v>Gemini-3.8-flash/Result/Closure_81/result.json</x:v>
      </x:c>
      <x:c r="O1076" s="39" t="str">
        <x:f>IF(AND(G1076="RECORDED",ISNUMBER(H1076)),H1076,"")</x:f>
      </x:c>
      <x:c r="P1076" s="35" t="str">
        <x:v>NOT_AVAILABLE</x:v>
      </x:c>
      <x:c r="Q1076" s="35" t="str">
        <x:v>Gemini-3.8-flash/Result/Closure_81/result.json</x:v>
      </x:c>
    </x:row>
    <x:row r="1077">
      <x:c r="A1077" s="35" t="str">
        <x:v>gemini</x:v>
      </x:c>
      <x:c r="B1077" s="35" t="str">
        <x:v>Closure</x:v>
      </x:c>
      <x:c r="C1077" s="35" t="str">
        <x:v>Round1</x:v>
      </x:c>
      <x:c r="D1077" s="35" t="str">
        <x:v>Closure_82</x:v>
      </x:c>
      <x:c r="E1077" s="35" t="str">
        <x:v>Condition</x:v>
      </x:c>
      <x:c r="F1077" s="35"/>
      <x:c r="G1077" s="35" t="str">
        <x:v>A</x:v>
      </x:c>
      <x:c r="H1077" s="39" t="str">
        <x:f>IF(ISNUMBER('Data'!N223),'Data'!N223*100,"")</x:f>
      </x:c>
      <x:c r="I1077" s="35"/>
      <x:c r="J1077" s="35" t="str">
        <x:v>PASS</x:v>
      </x:c>
      <x:c r="K1077" s="35" t="str">
        <x:v>FAIL</x:v>
      </x:c>
      <x:c r="L1077" s="35" t="str">
        <x:v>NOT_RUN</x:v>
      </x:c>
      <x:c r="M1077" s="35" t="str">
        <x:v>coverage unavailable or execution/compile failed</x:v>
      </x:c>
      <x:c r="N1077" s="35" t="str">
        <x:v>Gemini-3.8-flash/Result/Closure_82/result.json</x:v>
      </x:c>
      <x:c r="O1077" s="39" t="str">
        <x:f>IF(AND(G1077="RECORDED",ISNUMBER(H1077)),H1077,"")</x:f>
      </x:c>
      <x:c r="P1077" s="35" t="str">
        <x:v>NOT_AVAILABLE</x:v>
      </x:c>
      <x:c r="Q1077" s="35" t="str">
        <x:v>Gemini-3.8-flash/Result/Closure_82/result.json</x:v>
      </x:c>
    </x:row>
    <x:row r="1078">
      <x:c r="A1078" s="35" t="str">
        <x:v>gemini</x:v>
      </x:c>
      <x:c r="B1078" s="35" t="str">
        <x:v>Closure</x:v>
      </x:c>
      <x:c r="C1078" s="35" t="str">
        <x:v>Round1</x:v>
      </x:c>
      <x:c r="D1078" s="35" t="str">
        <x:v>Closure_83</x:v>
      </x:c>
      <x:c r="E1078" s="35" t="str">
        <x:v>Condition</x:v>
      </x:c>
      <x:c r="F1078" s="35"/>
      <x:c r="G1078" s="35" t="str">
        <x:v>A</x:v>
      </x:c>
      <x:c r="H1078" s="39" t="str">
        <x:f>IF(ISNUMBER('Data'!N224),'Data'!N224*100,"")</x:f>
      </x:c>
      <x:c r="I1078" s="35"/>
      <x:c r="J1078" s="35" t="str">
        <x:v>PASS</x:v>
      </x:c>
      <x:c r="K1078" s="35" t="str">
        <x:v>FAIL</x:v>
      </x:c>
      <x:c r="L1078" s="35" t="str">
        <x:v>NOT_RUN</x:v>
      </x:c>
      <x:c r="M1078" s="35" t="str">
        <x:v>coverage unavailable or execution/compile failed</x:v>
      </x:c>
      <x:c r="N1078" s="35" t="str">
        <x:v>Gemini-3.8-flash/Result/Closure_83/result.json</x:v>
      </x:c>
      <x:c r="O1078" s="39" t="str">
        <x:f>IF(AND(G1078="RECORDED",ISNUMBER(H1078)),H1078,"")</x:f>
      </x:c>
      <x:c r="P1078" s="35" t="str">
        <x:v>NOT_AVAILABLE</x:v>
      </x:c>
      <x:c r="Q1078" s="35" t="str">
        <x:v>Gemini-3.8-flash/Result/Closure_83/result.json</x:v>
      </x:c>
    </x:row>
    <x:row r="1079">
      <x:c r="A1079" s="35" t="str">
        <x:v>gemini</x:v>
      </x:c>
      <x:c r="B1079" s="35" t="str">
        <x:v>Closure</x:v>
      </x:c>
      <x:c r="C1079" s="35" t="str">
        <x:v>Round1</x:v>
      </x:c>
      <x:c r="D1079" s="35" t="str">
        <x:v>Closure_84</x:v>
      </x:c>
      <x:c r="E1079" s="35" t="str">
        <x:v>Condition</x:v>
      </x:c>
      <x:c r="F1079" s="35"/>
      <x:c r="G1079" s="35" t="str">
        <x:v>A</x:v>
      </x:c>
      <x:c r="H1079" s="39" t="str">
        <x:f>IF(ISNUMBER('Data'!N225),'Data'!N225*100,"")</x:f>
      </x:c>
      <x:c r="I1079" s="35"/>
      <x:c r="J1079" s="35" t="str">
        <x:v>PASS</x:v>
      </x:c>
      <x:c r="K1079" s="35" t="str">
        <x:v>FAIL</x:v>
      </x:c>
      <x:c r="L1079" s="35" t="str">
        <x:v>NOT_RUN</x:v>
      </x:c>
      <x:c r="M1079" s="35" t="str">
        <x:v>coverage unavailable or execution/compile failed</x:v>
      </x:c>
      <x:c r="N1079" s="35" t="str">
        <x:v>Gemini-3.8-flash/Result/Closure_84/result.json</x:v>
      </x:c>
      <x:c r="O1079" s="39" t="str">
        <x:f>IF(AND(G1079="RECORDED",ISNUMBER(H1079)),H1079,"")</x:f>
      </x:c>
      <x:c r="P1079" s="35" t="str">
        <x:v>NOT_AVAILABLE</x:v>
      </x:c>
      <x:c r="Q1079" s="35" t="str">
        <x:v>Gemini-3.8-flash/Result/Closure_84/result.json</x:v>
      </x:c>
    </x:row>
    <x:row r="1080">
      <x:c r="A1080" s="35" t="str">
        <x:v>gemini</x:v>
      </x:c>
      <x:c r="B1080" s="35" t="str">
        <x:v>Closure</x:v>
      </x:c>
      <x:c r="C1080" s="35" t="str">
        <x:v>Round1</x:v>
      </x:c>
      <x:c r="D1080" s="35" t="str">
        <x:v>Closure_85</x:v>
      </x:c>
      <x:c r="E1080" s="35" t="str">
        <x:v>Condition</x:v>
      </x:c>
      <x:c r="F1080" s="35"/>
      <x:c r="G1080" s="35" t="str">
        <x:v>A</x:v>
      </x:c>
      <x:c r="H1080" s="39" t="str">
        <x:f>IF(ISNUMBER('Data'!N226),'Data'!N226*100,"")</x:f>
      </x:c>
      <x:c r="I1080" s="35"/>
      <x:c r="J1080" s="35" t="str">
        <x:v>PASS</x:v>
      </x:c>
      <x:c r="K1080" s="35" t="str">
        <x:v>FAIL</x:v>
      </x:c>
      <x:c r="L1080" s="35" t="str">
        <x:v>NOT_RUN</x:v>
      </x:c>
      <x:c r="M1080" s="35" t="str">
        <x:v>coverage unavailable or execution/compile failed</x:v>
      </x:c>
      <x:c r="N1080" s="35" t="str">
        <x:v>Gemini-3.8-flash/Result/Closure_85/result.json</x:v>
      </x:c>
      <x:c r="O1080" s="39" t="str">
        <x:f>IF(AND(G1080="RECORDED",ISNUMBER(H1080)),H1080,"")</x:f>
      </x:c>
      <x:c r="P1080" s="35" t="str">
        <x:v>NOT_AVAILABLE</x:v>
      </x:c>
      <x:c r="Q1080" s="35" t="str">
        <x:v>Gemini-3.8-flash/Result/Closure_85/result.json</x:v>
      </x:c>
    </x:row>
    <x:row r="1081">
      <x:c r="A1081" s="35" t="str">
        <x:v>gemini</x:v>
      </x:c>
      <x:c r="B1081" s="35" t="str">
        <x:v>Closure</x:v>
      </x:c>
      <x:c r="C1081" s="35" t="str">
        <x:v>Round1</x:v>
      </x:c>
      <x:c r="D1081" s="35" t="str">
        <x:v>Closure_86</x:v>
      </x:c>
      <x:c r="E1081" s="35" t="str">
        <x:v>Condition</x:v>
      </x:c>
      <x:c r="F1081" s="35"/>
      <x:c r="G1081" s="35" t="str">
        <x:v>A</x:v>
      </x:c>
      <x:c r="H1081" s="39" t="str">
        <x:f>IF(ISNUMBER('Data'!N227),'Data'!N227*100,"")</x:f>
      </x:c>
      <x:c r="I1081" s="35"/>
      <x:c r="J1081" s="35" t="str">
        <x:v>PASS</x:v>
      </x:c>
      <x:c r="K1081" s="35" t="str">
        <x:v>FAIL</x:v>
      </x:c>
      <x:c r="L1081" s="35" t="str">
        <x:v>NOT_RUN</x:v>
      </x:c>
      <x:c r="M1081" s="35" t="str">
        <x:v>coverage unavailable or execution/compile failed</x:v>
      </x:c>
      <x:c r="N1081" s="35" t="str">
        <x:v>Gemini-3.8-flash/Result/Closure_86/result.json</x:v>
      </x:c>
      <x:c r="O1081" s="39" t="str">
        <x:f>IF(AND(G1081="RECORDED",ISNUMBER(H1081)),H1081,"")</x:f>
      </x:c>
      <x:c r="P1081" s="35" t="str">
        <x:v>NOT_AVAILABLE</x:v>
      </x:c>
      <x:c r="Q1081" s="35" t="str">
        <x:v>Gemini-3.8-flash/Result/Closure_86/result.json</x:v>
      </x:c>
    </x:row>
    <x:row r="1082">
      <x:c r="A1082" s="35" t="str">
        <x:v>gemini</x:v>
      </x:c>
      <x:c r="B1082" s="35" t="str">
        <x:v>Closure</x:v>
      </x:c>
      <x:c r="C1082" s="35" t="str">
        <x:v>Round1</x:v>
      </x:c>
      <x:c r="D1082" s="35" t="str">
        <x:v>Closure_87</x:v>
      </x:c>
      <x:c r="E1082" s="35" t="str">
        <x:v>Condition</x:v>
      </x:c>
      <x:c r="F1082" s="35"/>
      <x:c r="G1082" s="35" t="str">
        <x:v>A</x:v>
      </x:c>
      <x:c r="H1082" s="39" t="str">
        <x:f>IF(ISNUMBER('Data'!N228),'Data'!N228*100,"")</x:f>
      </x:c>
      <x:c r="I1082" s="35"/>
      <x:c r="J1082" s="35" t="str">
        <x:v>PASS</x:v>
      </x:c>
      <x:c r="K1082" s="35" t="str">
        <x:v>FAIL</x:v>
      </x:c>
      <x:c r="L1082" s="35" t="str">
        <x:v>NOT_RUN</x:v>
      </x:c>
      <x:c r="M1082" s="35" t="str">
        <x:v>coverage unavailable or execution/compile failed</x:v>
      </x:c>
      <x:c r="N1082" s="35" t="str">
        <x:v>Gemini-3.8-flash/Result/Closure_87/result.json</x:v>
      </x:c>
      <x:c r="O1082" s="39" t="str">
        <x:f>IF(AND(G1082="RECORDED",ISNUMBER(H1082)),H1082,"")</x:f>
      </x:c>
      <x:c r="P1082" s="35" t="str">
        <x:v>NOT_AVAILABLE</x:v>
      </x:c>
      <x:c r="Q1082" s="35" t="str">
        <x:v>Gemini-3.8-flash/Result/Closure_87/result.json</x:v>
      </x:c>
    </x:row>
    <x:row r="1083">
      <x:c r="A1083" s="35" t="str">
        <x:v>gemini</x:v>
      </x:c>
      <x:c r="B1083" s="35" t="str">
        <x:v>Closure</x:v>
      </x:c>
      <x:c r="C1083" s="35" t="str">
        <x:v>Round1</x:v>
      </x:c>
      <x:c r="D1083" s="35" t="str">
        <x:v>Closure_88</x:v>
      </x:c>
      <x:c r="E1083" s="35" t="str">
        <x:v>Condition</x:v>
      </x:c>
      <x:c r="F1083" s="35"/>
      <x:c r="G1083" s="35" t="str">
        <x:v>A</x:v>
      </x:c>
      <x:c r="H1083" s="39" t="str">
        <x:f>IF(ISNUMBER('Data'!N229),'Data'!N229*100,"")</x:f>
      </x:c>
      <x:c r="I1083" s="35"/>
      <x:c r="J1083" s="35" t="str">
        <x:v>PASS</x:v>
      </x:c>
      <x:c r="K1083" s="35" t="str">
        <x:v>FAIL</x:v>
      </x:c>
      <x:c r="L1083" s="35" t="str">
        <x:v>NOT_RUN</x:v>
      </x:c>
      <x:c r="M1083" s="35" t="str">
        <x:v>coverage unavailable or execution/compile failed</x:v>
      </x:c>
      <x:c r="N1083" s="35" t="str">
        <x:v>Gemini-3.8-flash/Result/Closure_88/result.json</x:v>
      </x:c>
      <x:c r="O1083" s="39" t="str">
        <x:f>IF(AND(G1083="RECORDED",ISNUMBER(H1083)),H1083,"")</x:f>
      </x:c>
      <x:c r="P1083" s="35" t="str">
        <x:v>NOT_AVAILABLE</x:v>
      </x:c>
      <x:c r="Q1083" s="35" t="str">
        <x:v>Gemini-3.8-flash/Result/Closure_88/result.json</x:v>
      </x:c>
    </x:row>
    <x:row r="1084">
      <x:c r="A1084" s="35" t="str">
        <x:v>gemini</x:v>
      </x:c>
      <x:c r="B1084" s="35" t="str">
        <x:v>Closure</x:v>
      </x:c>
      <x:c r="C1084" s="35" t="str">
        <x:v>Round1</x:v>
      </x:c>
      <x:c r="D1084" s="35" t="str">
        <x:v>Closure_89</x:v>
      </x:c>
      <x:c r="E1084" s="35" t="str">
        <x:v>Condition</x:v>
      </x:c>
      <x:c r="F1084" s="35"/>
      <x:c r="G1084" s="35" t="str">
        <x:v>A</x:v>
      </x:c>
      <x:c r="H1084" s="39" t="str">
        <x:f>IF(ISNUMBER('Data'!N230),'Data'!N230*100,"")</x:f>
      </x:c>
      <x:c r="I1084" s="35"/>
      <x:c r="J1084" s="35" t="str">
        <x:v>PASS</x:v>
      </x:c>
      <x:c r="K1084" s="35" t="str">
        <x:v>FAIL</x:v>
      </x:c>
      <x:c r="L1084" s="35" t="str">
        <x:v>NOT_RUN</x:v>
      </x:c>
      <x:c r="M1084" s="35" t="str">
        <x:v>coverage unavailable or execution/compile failed</x:v>
      </x:c>
      <x:c r="N1084" s="35" t="str">
        <x:v>Gemini-3.8-flash/Result/Closure_89/result.json</x:v>
      </x:c>
      <x:c r="O1084" s="39" t="str">
        <x:f>IF(AND(G1084="RECORDED",ISNUMBER(H1084)),H1084,"")</x:f>
      </x:c>
      <x:c r="P1084" s="35" t="str">
        <x:v>NOT_AVAILABLE</x:v>
      </x:c>
      <x:c r="Q1084" s="35" t="str">
        <x:v>Gemini-3.8-flash/Result/Closure_89/result.json</x:v>
      </x:c>
    </x:row>
    <x:row r="1085">
      <x:c r="A1085" s="35" t="str">
        <x:v>gemini</x:v>
      </x:c>
      <x:c r="B1085" s="35" t="str">
        <x:v>Closure</x:v>
      </x:c>
      <x:c r="C1085" s="35" t="str">
        <x:v>Round1</x:v>
      </x:c>
      <x:c r="D1085" s="35" t="str">
        <x:v>Closure_9</x:v>
      </x:c>
      <x:c r="E1085" s="35" t="str">
        <x:v>Condition</x:v>
      </x:c>
      <x:c r="F1085" s="35"/>
      <x:c r="G1085" s="35" t="str">
        <x:v>A</x:v>
      </x:c>
      <x:c r="H1085" s="39" t="str">
        <x:f>IF(ISNUMBER('Data'!N231),'Data'!N231*100,"")</x:f>
      </x:c>
      <x:c r="I1085" s="35"/>
      <x:c r="J1085" s="35" t="str">
        <x:v>PASS</x:v>
      </x:c>
      <x:c r="K1085" s="35" t="str">
        <x:v>FAIL</x:v>
      </x:c>
      <x:c r="L1085" s="35" t="str">
        <x:v>NOT_RUN</x:v>
      </x:c>
      <x:c r="M1085" s="35" t="str">
        <x:v>coverage unavailable or execution/compile failed</x:v>
      </x:c>
      <x:c r="N1085" s="35" t="str">
        <x:v>Gemini-3.8-flash/Result/Closure_9/result.json</x:v>
      </x:c>
      <x:c r="O1085" s="39" t="str">
        <x:f>IF(AND(G1085="RECORDED",ISNUMBER(H1085)),H1085,"")</x:f>
      </x:c>
      <x:c r="P1085" s="35" t="str">
        <x:v>NOT_AVAILABLE</x:v>
      </x:c>
      <x:c r="Q1085" s="35" t="str">
        <x:v>Gemini-3.8-flash/Result/Closure_9/result.json</x:v>
      </x:c>
    </x:row>
    <x:row r="1086">
      <x:c r="A1086" s="35" t="str">
        <x:v>gemini</x:v>
      </x:c>
      <x:c r="B1086" s="35" t="str">
        <x:v>Closure</x:v>
      </x:c>
      <x:c r="C1086" s="35" t="str">
        <x:v>Round1</x:v>
      </x:c>
      <x:c r="D1086" s="35" t="str">
        <x:v>Closure_90</x:v>
      </x:c>
      <x:c r="E1086" s="35" t="str">
        <x:v>Condition</x:v>
      </x:c>
      <x:c r="F1086" s="35"/>
      <x:c r="G1086" s="35" t="str">
        <x:v>A</x:v>
      </x:c>
      <x:c r="H1086" s="39" t="str">
        <x:f>IF(ISNUMBER('Data'!N232),'Data'!N232*100,"")</x:f>
      </x:c>
      <x:c r="I1086" s="35"/>
      <x:c r="J1086" s="35" t="str">
        <x:v>PASS</x:v>
      </x:c>
      <x:c r="K1086" s="35" t="str">
        <x:v>FAIL</x:v>
      </x:c>
      <x:c r="L1086" s="35" t="str">
        <x:v>NOT_RUN</x:v>
      </x:c>
      <x:c r="M1086" s="35" t="str">
        <x:v>coverage unavailable or execution/compile failed</x:v>
      </x:c>
      <x:c r="N1086" s="35" t="str">
        <x:v>Gemini-3.8-flash/Result/Closure_90/result.json</x:v>
      </x:c>
      <x:c r="O1086" s="39" t="str">
        <x:f>IF(AND(G1086="RECORDED",ISNUMBER(H1086)),H1086,"")</x:f>
      </x:c>
      <x:c r="P1086" s="35" t="str">
        <x:v>NOT_AVAILABLE</x:v>
      </x:c>
      <x:c r="Q1086" s="35" t="str">
        <x:v>Gemini-3.8-flash/Result/Closure_90/result.json</x:v>
      </x:c>
    </x:row>
    <x:row r="1087">
      <x:c r="A1087" s="35" t="str">
        <x:v>gemini</x:v>
      </x:c>
      <x:c r="B1087" s="35" t="str">
        <x:v>Closure</x:v>
      </x:c>
      <x:c r="C1087" s="35" t="str">
        <x:v>Round1</x:v>
      </x:c>
      <x:c r="D1087" s="35" t="str">
        <x:v>Closure_91</x:v>
      </x:c>
      <x:c r="E1087" s="35" t="str">
        <x:v>Condition</x:v>
      </x:c>
      <x:c r="F1087" s="35"/>
      <x:c r="G1087" s="35" t="str">
        <x:v>A</x:v>
      </x:c>
      <x:c r="H1087" s="39" t="str">
        <x:f>IF(ISNUMBER('Data'!N233),'Data'!N233*100,"")</x:f>
      </x:c>
      <x:c r="I1087" s="35"/>
      <x:c r="J1087" s="35" t="str">
        <x:v>PASS</x:v>
      </x:c>
      <x:c r="K1087" s="35" t="str">
        <x:v>FAIL</x:v>
      </x:c>
      <x:c r="L1087" s="35" t="str">
        <x:v>NOT_RUN</x:v>
      </x:c>
      <x:c r="M1087" s="35" t="str">
        <x:v>coverage unavailable or execution/compile failed</x:v>
      </x:c>
      <x:c r="N1087" s="35" t="str">
        <x:v>Gemini-3.8-flash/Result/Closure_91/result.json</x:v>
      </x:c>
      <x:c r="O1087" s="39" t="str">
        <x:f>IF(AND(G1087="RECORDED",ISNUMBER(H1087)),H1087,"")</x:f>
      </x:c>
      <x:c r="P1087" s="35" t="str">
        <x:v>NOT_AVAILABLE</x:v>
      </x:c>
      <x:c r="Q1087" s="35" t="str">
        <x:v>Gemini-3.8-flash/Result/Closure_91/result.json</x:v>
      </x:c>
    </x:row>
    <x:row r="1088">
      <x:c r="A1088" s="35" t="str">
        <x:v>gemini</x:v>
      </x:c>
      <x:c r="B1088" s="35" t="str">
        <x:v>Closure</x:v>
      </x:c>
      <x:c r="C1088" s="35" t="str">
        <x:v>Round1</x:v>
      </x:c>
      <x:c r="D1088" s="35" t="str">
        <x:v>Closure_92</x:v>
      </x:c>
      <x:c r="E1088" s="35" t="str">
        <x:v>Condition</x:v>
      </x:c>
      <x:c r="F1088" s="35"/>
      <x:c r="G1088" s="35" t="str">
        <x:v>A</x:v>
      </x:c>
      <x:c r="H1088" s="39" t="str">
        <x:f>IF(ISNUMBER('Data'!N234),'Data'!N234*100,"")</x:f>
      </x:c>
      <x:c r="I1088" s="35"/>
      <x:c r="J1088" s="35" t="str">
        <x:v>PASS</x:v>
      </x:c>
      <x:c r="K1088" s="35" t="str">
        <x:v>FAIL</x:v>
      </x:c>
      <x:c r="L1088" s="35" t="str">
        <x:v>NOT_RUN</x:v>
      </x:c>
      <x:c r="M1088" s="35" t="str">
        <x:v>coverage unavailable or execution/compile failed</x:v>
      </x:c>
      <x:c r="N1088" s="35" t="str">
        <x:v>Gemini-3.8-flash/Result/Closure_92/result.json</x:v>
      </x:c>
      <x:c r="O1088" s="39" t="str">
        <x:f>IF(AND(G1088="RECORDED",ISNUMBER(H1088)),H1088,"")</x:f>
      </x:c>
      <x:c r="P1088" s="35" t="str">
        <x:v>NOT_AVAILABLE</x:v>
      </x:c>
      <x:c r="Q1088" s="35" t="str">
        <x:v>Gemini-3.8-flash/Result/Closure_92/result.json</x:v>
      </x:c>
    </x:row>
    <x:row r="1089">
      <x:c r="A1089" s="35" t="str">
        <x:v>gemini</x:v>
      </x:c>
      <x:c r="B1089" s="35" t="str">
        <x:v>Closure</x:v>
      </x:c>
      <x:c r="C1089" s="35" t="str">
        <x:v>Round1</x:v>
      </x:c>
      <x:c r="D1089" s="35" t="str">
        <x:v>Closure_94</x:v>
      </x:c>
      <x:c r="E1089" s="35" t="str">
        <x:v>Condition</x:v>
      </x:c>
      <x:c r="F1089" s="35"/>
      <x:c r="G1089" s="35" t="str">
        <x:v>A</x:v>
      </x:c>
      <x:c r="H1089" s="39" t="str">
        <x:f>IF(ISNUMBER('Data'!N235),'Data'!N235*100,"")</x:f>
      </x:c>
      <x:c r="I1089" s="35"/>
      <x:c r="J1089" s="35" t="str">
        <x:v>PASS</x:v>
      </x:c>
      <x:c r="K1089" s="35" t="str">
        <x:v>FAIL</x:v>
      </x:c>
      <x:c r="L1089" s="35" t="str">
        <x:v>NOT_RUN</x:v>
      </x:c>
      <x:c r="M1089" s="35" t="str">
        <x:v>coverage unavailable or execution/compile failed</x:v>
      </x:c>
      <x:c r="N1089" s="35" t="str">
        <x:v>Gemini-3.8-flash/Result/Closure_94/result.json</x:v>
      </x:c>
      <x:c r="O1089" s="39" t="str">
        <x:f>IF(AND(G1089="RECORDED",ISNUMBER(H1089)),H1089,"")</x:f>
      </x:c>
      <x:c r="P1089" s="35" t="str">
        <x:v>NOT_AVAILABLE</x:v>
      </x:c>
      <x:c r="Q1089" s="35" t="str">
        <x:v>Gemini-3.8-flash/Result/Closure_94/result.json</x:v>
      </x:c>
    </x:row>
    <x:row r="1090">
      <x:c r="A1090" s="35" t="str">
        <x:v>gemini</x:v>
      </x:c>
      <x:c r="B1090" s="35" t="str">
        <x:v>Closure</x:v>
      </x:c>
      <x:c r="C1090" s="35" t="str">
        <x:v>Round1</x:v>
      </x:c>
      <x:c r="D1090" s="35" t="str">
        <x:v>Closure_95</x:v>
      </x:c>
      <x:c r="E1090" s="35" t="str">
        <x:v>Condition</x:v>
      </x:c>
      <x:c r="F1090" s="35"/>
      <x:c r="G1090" s="35" t="str">
        <x:v>A</x:v>
      </x:c>
      <x:c r="H1090" s="39" t="str">
        <x:f>IF(ISNUMBER('Data'!N236),'Data'!N236*100,"")</x:f>
      </x:c>
      <x:c r="I1090" s="35"/>
      <x:c r="J1090" s="35" t="str">
        <x:v>PASS</x:v>
      </x:c>
      <x:c r="K1090" s="35" t="str">
        <x:v>FAIL</x:v>
      </x:c>
      <x:c r="L1090" s="35" t="str">
        <x:v>NOT_RUN</x:v>
      </x:c>
      <x:c r="M1090" s="35" t="str">
        <x:v>coverage unavailable or execution/compile failed</x:v>
      </x:c>
      <x:c r="N1090" s="35" t="str">
        <x:v>Gemini-3.8-flash/Result/Closure_95/result.json</x:v>
      </x:c>
      <x:c r="O1090" s="39" t="str">
        <x:f>IF(AND(G1090="RECORDED",ISNUMBER(H1090)),H1090,"")</x:f>
      </x:c>
      <x:c r="P1090" s="35" t="str">
        <x:v>NOT_AVAILABLE</x:v>
      </x:c>
      <x:c r="Q1090" s="35" t="str">
        <x:v>Gemini-3.8-flash/Result/Closure_95/result.json</x:v>
      </x:c>
    </x:row>
    <x:row r="1091">
      <x:c r="A1091" s="35" t="str">
        <x:v>gemini</x:v>
      </x:c>
      <x:c r="B1091" s="35" t="str">
        <x:v>Closure</x:v>
      </x:c>
      <x:c r="C1091" s="35" t="str">
        <x:v>Round1</x:v>
      </x:c>
      <x:c r="D1091" s="35" t="str">
        <x:v>Closure_96</x:v>
      </x:c>
      <x:c r="E1091" s="35" t="str">
        <x:v>Condition</x:v>
      </x:c>
      <x:c r="F1091" s="35"/>
      <x:c r="G1091" s="35" t="str">
        <x:v>A</x:v>
      </x:c>
      <x:c r="H1091" s="39" t="str">
        <x:f>IF(ISNUMBER('Data'!N237),'Data'!N237*100,"")</x:f>
      </x:c>
      <x:c r="I1091" s="35"/>
      <x:c r="J1091" s="35" t="str">
        <x:v>PASS</x:v>
      </x:c>
      <x:c r="K1091" s="35" t="str">
        <x:v>FAIL</x:v>
      </x:c>
      <x:c r="L1091" s="35" t="str">
        <x:v>NOT_RUN</x:v>
      </x:c>
      <x:c r="M1091" s="35" t="str">
        <x:v>coverage unavailable or execution/compile failed</x:v>
      </x:c>
      <x:c r="N1091" s="35" t="str">
        <x:v>Gemini-3.8-flash/Result/Closure_96/result.json</x:v>
      </x:c>
      <x:c r="O1091" s="39" t="str">
        <x:f>IF(AND(G1091="RECORDED",ISNUMBER(H1091)),H1091,"")</x:f>
      </x:c>
      <x:c r="P1091" s="35" t="str">
        <x:v>NOT_AVAILABLE</x:v>
      </x:c>
      <x:c r="Q1091" s="35" t="str">
        <x:v>Gemini-3.8-flash/Result/Closure_96/result.json</x:v>
      </x:c>
    </x:row>
    <x:row r="1092">
      <x:c r="A1092" s="35" t="str">
        <x:v>gemini</x:v>
      </x:c>
      <x:c r="B1092" s="35" t="str">
        <x:v>Closure</x:v>
      </x:c>
      <x:c r="C1092" s="35" t="str">
        <x:v>Round1</x:v>
      </x:c>
      <x:c r="D1092" s="35" t="str">
        <x:v>Closure_97</x:v>
      </x:c>
      <x:c r="E1092" s="35" t="str">
        <x:v>Condition</x:v>
      </x:c>
      <x:c r="F1092" s="35"/>
      <x:c r="G1092" s="35" t="str">
        <x:v>A</x:v>
      </x:c>
      <x:c r="H1092" s="39" t="str">
        <x:f>IF(ISNUMBER('Data'!N238),'Data'!N238*100,"")</x:f>
      </x:c>
      <x:c r="I1092" s="35"/>
      <x:c r="J1092" s="35" t="str">
        <x:v>PASS</x:v>
      </x:c>
      <x:c r="K1092" s="35" t="str">
        <x:v>FAIL</x:v>
      </x:c>
      <x:c r="L1092" s="35" t="str">
        <x:v>NOT_RUN</x:v>
      </x:c>
      <x:c r="M1092" s="35" t="str">
        <x:v>coverage unavailable or execution/compile failed</x:v>
      </x:c>
      <x:c r="N1092" s="35" t="str">
        <x:v>Gemini-3.8-flash/Result/Closure_97/result.json</x:v>
      </x:c>
      <x:c r="O1092" s="39" t="str">
        <x:f>IF(AND(G1092="RECORDED",ISNUMBER(H1092)),H1092,"")</x:f>
      </x:c>
      <x:c r="P1092" s="35" t="str">
        <x:v>NOT_AVAILABLE</x:v>
      </x:c>
      <x:c r="Q1092" s="35" t="str">
        <x:v>Gemini-3.8-flash/Result/Closure_97/result.json</x:v>
      </x:c>
    </x:row>
    <x:row r="1093">
      <x:c r="A1093" s="35" t="str">
        <x:v>gemini</x:v>
      </x:c>
      <x:c r="B1093" s="35" t="str">
        <x:v>Closure</x:v>
      </x:c>
      <x:c r="C1093" s="35" t="str">
        <x:v>Round1</x:v>
      </x:c>
      <x:c r="D1093" s="35" t="str">
        <x:v>Closure_98</x:v>
      </x:c>
      <x:c r="E1093" s="35" t="str">
        <x:v>Condition</x:v>
      </x:c>
      <x:c r="F1093" s="35"/>
      <x:c r="G1093" s="35" t="str">
        <x:v>A</x:v>
      </x:c>
      <x:c r="H1093" s="39" t="str">
        <x:f>IF(ISNUMBER('Data'!N239),'Data'!N239*100,"")</x:f>
      </x:c>
      <x:c r="I1093" s="35"/>
      <x:c r="J1093" s="35" t="str">
        <x:v>PASS</x:v>
      </x:c>
      <x:c r="K1093" s="35" t="str">
        <x:v>FAIL</x:v>
      </x:c>
      <x:c r="L1093" s="35" t="str">
        <x:v>NOT_RUN</x:v>
      </x:c>
      <x:c r="M1093" s="35" t="str">
        <x:v>coverage unavailable or execution/compile failed</x:v>
      </x:c>
      <x:c r="N1093" s="35" t="str">
        <x:v>Gemini-3.8-flash/Result/Closure_98/result.json</x:v>
      </x:c>
      <x:c r="O1093" s="39" t="str">
        <x:f>IF(AND(G1093="RECORDED",ISNUMBER(H1093)),H1093,"")</x:f>
      </x:c>
      <x:c r="P1093" s="35" t="str">
        <x:v>NOT_AVAILABLE</x:v>
      </x:c>
      <x:c r="Q1093" s="35" t="str">
        <x:v>Gemini-3.8-flash/Result/Closure_98/result.json</x:v>
      </x:c>
    </x:row>
    <x:row r="1094">
      <x:c r="A1094" s="35" t="str">
        <x:v>gemini</x:v>
      </x:c>
      <x:c r="B1094" s="35" t="str">
        <x:v>Closure</x:v>
      </x:c>
      <x:c r="C1094" s="35" t="str">
        <x:v>Round1</x:v>
      </x:c>
      <x:c r="D1094" s="35" t="str">
        <x:v>Closure_99</x:v>
      </x:c>
      <x:c r="E1094" s="35" t="str">
        <x:v>Condition</x:v>
      </x:c>
      <x:c r="F1094" s="35"/>
      <x:c r="G1094" s="35" t="str">
        <x:v>A</x:v>
      </x:c>
      <x:c r="H1094" s="39" t="str">
        <x:f>IF(ISNUMBER('Data'!N240),'Data'!N240*100,"")</x:f>
      </x:c>
      <x:c r="I1094" s="35"/>
      <x:c r="J1094" s="35" t="str">
        <x:v>PASS</x:v>
      </x:c>
      <x:c r="K1094" s="35" t="str">
        <x:v>FAIL</x:v>
      </x:c>
      <x:c r="L1094" s="35" t="str">
        <x:v>NOT_RUN</x:v>
      </x:c>
      <x:c r="M1094" s="35" t="str">
        <x:v>coverage unavailable or execution/compile failed</x:v>
      </x:c>
      <x:c r="N1094" s="35" t="str">
        <x:v>Gemini-3.8-flash/Result/Closure_99/result.json</x:v>
      </x:c>
      <x:c r="O1094" s="39" t="str">
        <x:f>IF(AND(G1094="RECORDED",ISNUMBER(H1094)),H1094,"")</x:f>
      </x:c>
      <x:c r="P1094" s="35" t="str">
        <x:v>NOT_AVAILABLE</x:v>
      </x:c>
      <x:c r="Q1094" s="35" t="str">
        <x:v>Gemini-3.8-flash/Result/Closure_99/result.json</x:v>
      </x:c>
    </x:row>
    <x:row r="1095">
      <x:c r="A1095" s="35" t="str">
        <x:v>gemini</x:v>
      </x:c>
      <x:c r="B1095" s="35" t="str">
        <x:v>Codec</x:v>
      </x:c>
      <x:c r="C1095" s="35" t="str">
        <x:v>Round1</x:v>
      </x:c>
      <x:c r="D1095" s="35" t="str">
        <x:v>Codec_1</x:v>
      </x:c>
      <x:c r="E1095" s="35" t="str">
        <x:v>Condition</x:v>
      </x:c>
      <x:c r="F1095" s="35" t="n">
        <x:v>184</x:v>
      </x:c>
      <x:c r="G1095" s="35" t="str">
        <x:v>RECORDED</x:v>
      </x:c>
      <x:c r="H1095" s="39" t="n">
        <x:f>IF(ISNUMBER('Data'!N241),'Data'!N241*100,"")</x:f>
        <x:v>55.98</x:v>
      </x:c>
      <x:c r="I1095" s="35" t="str">
        <x:v>PASS</x:v>
      </x:c>
      <x:c r="J1095" s="35" t="str">
        <x:v>PASS</x:v>
      </x:c>
      <x:c r="K1095" s="35" t="str">
        <x:v>PASS</x:v>
      </x:c>
      <x:c r="L1095" s="35" t="str">
        <x:v>FAIL</x:v>
      </x:c>
      <x:c r="M1095" s="35" t="str">
        <x:v>numeric coverage for applicable metric</x:v>
      </x:c>
      <x:c r="N1095" s="35" t="str">
        <x:v>Gemini-3.8-flash/Result/Codec_1/result.json</x:v>
      </x:c>
      <x:c r="O1095" s="39" t="n">
        <x:f>IF(AND(G1095="RECORDED",ISNUMBER(H1095)),H1095,"")</x:f>
        <x:v>55.98</x:v>
      </x:c>
      <x:c r="P1095" s="35" t="str">
        <x:v>INCONCLUSIVE</x:v>
      </x:c>
      <x:c r="Q1095" s="35" t="str">
        <x:v>Gemini-3.8-flash/Result/Codec_1/result.json</x:v>
      </x:c>
    </x:row>
    <x:row r="1096">
      <x:c r="A1096" s="35" t="str">
        <x:v>gemini</x:v>
      </x:c>
      <x:c r="B1096" s="35" t="str">
        <x:v>Codec</x:v>
      </x:c>
      <x:c r="C1096" s="35" t="str">
        <x:v>Round1</x:v>
      </x:c>
      <x:c r="D1096" s="35" t="str">
        <x:v>Codec_10</x:v>
      </x:c>
      <x:c r="E1096" s="35" t="str">
        <x:v>Condition</x:v>
      </x:c>
      <x:c r="F1096" s="35" t="n">
        <x:v>6</x:v>
      </x:c>
      <x:c r="G1096" s="35" t="str">
        <x:v>RECORDED</x:v>
      </x:c>
      <x:c r="H1096" s="39" t="n">
        <x:f>IF(ISNUMBER('Data'!N242),'Data'!N242*100,"")</x:f>
        <x:v>100</x:v>
      </x:c>
      <x:c r="I1096" s="35" t="str">
        <x:v>PASS</x:v>
      </x:c>
      <x:c r="J1096" s="35" t="str">
        <x:v>PASS</x:v>
      </x:c>
      <x:c r="K1096" s="35" t="str">
        <x:v>PASS</x:v>
      </x:c>
      <x:c r="L1096" s="35" t="str">
        <x:v>FAIL</x:v>
      </x:c>
      <x:c r="M1096" s="35" t="str">
        <x:v>numeric coverage for applicable metric</x:v>
      </x:c>
      <x:c r="N1096" s="35" t="str">
        <x:v>Gemini-3.8-flash/Result/Codec_10/result.json</x:v>
      </x:c>
      <x:c r="O1096" s="39" t="n">
        <x:f>IF(AND(G1096="RECORDED",ISNUMBER(H1096)),H1096,"")</x:f>
        <x:v>100</x:v>
      </x:c>
      <x:c r="P1096" s="35" t="str">
        <x:v>INCONCLUSIVE</x:v>
      </x:c>
      <x:c r="Q1096" s="35" t="str">
        <x:v>Gemini-3.8-flash/Result/Codec_10/result.json</x:v>
      </x:c>
    </x:row>
    <x:row r="1097">
      <x:c r="A1097" s="35" t="str">
        <x:v>gemini</x:v>
      </x:c>
      <x:c r="B1097" s="35" t="str">
        <x:v>Codec</x:v>
      </x:c>
      <x:c r="C1097" s="35" t="str">
        <x:v>Round1</x:v>
      </x:c>
      <x:c r="D1097" s="35" t="str">
        <x:v>Codec_11</x:v>
      </x:c>
      <x:c r="E1097" s="35" t="str">
        <x:v>Condition</x:v>
      </x:c>
      <x:c r="F1097" s="35" t="n">
        <x:v>36</x:v>
      </x:c>
      <x:c r="G1097" s="35" t="str">
        <x:v>RECORDED</x:v>
      </x:c>
      <x:c r="H1097" s="39" t="n">
        <x:f>IF(ISNUMBER('Data'!N243),'Data'!N243*100,"")</x:f>
        <x:v>69.44</x:v>
      </x:c>
      <x:c r="I1097" s="35" t="str">
        <x:v>PASS</x:v>
      </x:c>
      <x:c r="J1097" s="35" t="str">
        <x:v>PASS</x:v>
      </x:c>
      <x:c r="K1097" s="35" t="str">
        <x:v>PASS</x:v>
      </x:c>
      <x:c r="L1097" s="35" t="str">
        <x:v>PASS</x:v>
      </x:c>
      <x:c r="M1097" s="35" t="str">
        <x:v>numeric coverage for applicable metric</x:v>
      </x:c>
      <x:c r="N1097" s="35" t="str">
        <x:v>Gemini-3.8-flash/Result/Codec_11/result.json</x:v>
      </x:c>
      <x:c r="O1097" s="39" t="n">
        <x:f>IF(AND(G1097="RECORDED",ISNUMBER(H1097)),H1097,"")</x:f>
        <x:v>69.44</x:v>
      </x:c>
      <x:c r="P1097" s="35" t="str">
        <x:v>INCONCLUSIVE</x:v>
      </x:c>
      <x:c r="Q1097" s="35" t="str">
        <x:v>Gemini-3.8-flash/Result/Codec_11/result.json</x:v>
      </x:c>
    </x:row>
    <x:row r="1098">
      <x:c r="A1098" s="35" t="str">
        <x:v>gemini</x:v>
      </x:c>
      <x:c r="B1098" s="35" t="str">
        <x:v>Codec</x:v>
      </x:c>
      <x:c r="C1098" s="35" t="str">
        <x:v>Round1</x:v>
      </x:c>
      <x:c r="D1098" s="35" t="str">
        <x:v>Codec_12</x:v>
      </x:c>
      <x:c r="E1098" s="35" t="str">
        <x:v>Condition</x:v>
      </x:c>
      <x:c r="F1098" s="35" t="n">
        <x:v>26</x:v>
      </x:c>
      <x:c r="G1098" s="35" t="str">
        <x:v>RECORDED</x:v>
      </x:c>
      <x:c r="H1098" s="39" t="n">
        <x:f>IF(ISNUMBER('Data'!N244),'Data'!N244*100,"")</x:f>
        <x:v>96.15</x:v>
      </x:c>
      <x:c r="I1098" s="35" t="str">
        <x:v>PASS</x:v>
      </x:c>
      <x:c r="J1098" s="35" t="str">
        <x:v>PASS</x:v>
      </x:c>
      <x:c r="K1098" s="35" t="str">
        <x:v>PASS</x:v>
      </x:c>
      <x:c r="L1098" s="35" t="str">
        <x:v>PASS</x:v>
      </x:c>
      <x:c r="M1098" s="35" t="str">
        <x:v>numeric coverage for applicable metric</x:v>
      </x:c>
      <x:c r="N1098" s="35" t="str">
        <x:v>Gemini-3.8-flash/Result/Codec_12/result.json</x:v>
      </x:c>
      <x:c r="O1098" s="39" t="n">
        <x:f>IF(AND(G1098="RECORDED",ISNUMBER(H1098)),H1098,"")</x:f>
        <x:v>96.15</x:v>
      </x:c>
      <x:c r="P1098" s="35" t="str">
        <x:v>NOT_REVEALING</x:v>
      </x:c>
      <x:c r="Q1098" s="35" t="str">
        <x:v>Gemini-3.8-flash/Result/Codec_12/result.json</x:v>
      </x:c>
    </x:row>
    <x:row r="1099">
      <x:c r="A1099" s="35" t="str">
        <x:v>gemini</x:v>
      </x:c>
      <x:c r="B1099" s="35" t="str">
        <x:v>Codec</x:v>
      </x:c>
      <x:c r="C1099" s="35" t="str">
        <x:v>Round1</x:v>
      </x:c>
      <x:c r="D1099" s="35" t="str">
        <x:v>Codec_13</x:v>
      </x:c>
      <x:c r="E1099" s="35" t="str">
        <x:v>Condition</x:v>
      </x:c>
      <x:c r="F1099" s="35" t="n">
        <x:v>458</x:v>
      </x:c>
      <x:c r="G1099" s="35" t="str">
        <x:v>RECORDED</x:v>
      </x:c>
      <x:c r="H1099" s="39" t="n">
        <x:f>IF(ISNUMBER('Data'!N245),'Data'!N245*100,"")</x:f>
        <x:v>74.02</x:v>
      </x:c>
      <x:c r="I1099" s="35" t="str">
        <x:v>PASS</x:v>
      </x:c>
      <x:c r="J1099" s="35" t="str">
        <x:v>PASS</x:v>
      </x:c>
      <x:c r="K1099" s="35" t="str">
        <x:v>PASS</x:v>
      </x:c>
      <x:c r="L1099" s="35" t="str">
        <x:v>FAIL</x:v>
      </x:c>
      <x:c r="M1099" s="35" t="str">
        <x:v>numeric coverage for applicable metric</x:v>
      </x:c>
      <x:c r="N1099" s="35" t="str">
        <x:v>Gemini-3.8-flash/Result/Codec_13/result.json</x:v>
      </x:c>
      <x:c r="O1099" s="39" t="n">
        <x:f>IF(AND(G1099="RECORDED",ISNUMBER(H1099)),H1099,"")</x:f>
        <x:v>74.02</x:v>
      </x:c>
      <x:c r="P1099" s="35" t="str">
        <x:v>INCONCLUSIVE</x:v>
      </x:c>
      <x:c r="Q1099" s="35" t="str">
        <x:v>Gemini-3.8-flash/Result/Codec_13/result.json</x:v>
      </x:c>
    </x:row>
    <x:row r="1100">
      <x:c r="A1100" s="35" t="str">
        <x:v>gemini</x:v>
      </x:c>
      <x:c r="B1100" s="35" t="str">
        <x:v>Codec</x:v>
      </x:c>
      <x:c r="C1100" s="35" t="str">
        <x:v>Round1</x:v>
      </x:c>
      <x:c r="D1100" s="35" t="str">
        <x:v>Codec_14</x:v>
      </x:c>
      <x:c r="E1100" s="35" t="str">
        <x:v>Condition</x:v>
      </x:c>
      <x:c r="F1100" s="35" t="n">
        <x:v>226</x:v>
      </x:c>
      <x:c r="G1100" s="35" t="str">
        <x:v>RECORDED</x:v>
      </x:c>
      <x:c r="H1100" s="39" t="n">
        <x:f>IF(ISNUMBER('Data'!N246),'Data'!N246*100,"")</x:f>
        <x:v>73.45</x:v>
      </x:c>
      <x:c r="I1100" s="35" t="str">
        <x:v>PASS</x:v>
      </x:c>
      <x:c r="J1100" s="35" t="str">
        <x:v>PASS</x:v>
      </x:c>
      <x:c r="K1100" s="35" t="str">
        <x:v>PASS</x:v>
      </x:c>
      <x:c r="L1100" s="35" t="str">
        <x:v>FAIL</x:v>
      </x:c>
      <x:c r="M1100" s="35" t="str">
        <x:v>numeric coverage for applicable metric</x:v>
      </x:c>
      <x:c r="N1100" s="35" t="str">
        <x:v>Gemini-3.8-flash/Result/Codec_14/result.json</x:v>
      </x:c>
      <x:c r="O1100" s="39" t="n">
        <x:f>IF(AND(G1100="RECORDED",ISNUMBER(H1100)),H1100,"")</x:f>
        <x:v>73.45</x:v>
      </x:c>
      <x:c r="P1100" s="35" t="str">
        <x:v>INCONCLUSIVE</x:v>
      </x:c>
      <x:c r="Q1100" s="35" t="str">
        <x:v>Gemini-3.8-flash/Result/Codec_14/result.json</x:v>
      </x:c>
    </x:row>
    <x:row r="1101">
      <x:c r="A1101" s="35" t="str">
        <x:v>gemini</x:v>
      </x:c>
      <x:c r="B1101" s="35" t="str">
        <x:v>Codec</x:v>
      </x:c>
      <x:c r="C1101" s="35" t="str">
        <x:v>Round1</x:v>
      </x:c>
      <x:c r="D1101" s="35" t="str">
        <x:v>Codec_15</x:v>
      </x:c>
      <x:c r="E1101" s="35" t="str">
        <x:v>Condition</x:v>
      </x:c>
      <x:c r="F1101" s="35"/>
      <x:c r="G1101" s="35" t="str">
        <x:v>A</x:v>
      </x:c>
      <x:c r="H1101" s="39" t="str">
        <x:f>IF(ISNUMBER('Data'!N247),'Data'!N247*100,"")</x:f>
      </x:c>
      <x:c r="I1101" s="35"/>
      <x:c r="J1101" s="35" t="str">
        <x:v>PASS</x:v>
      </x:c>
      <x:c r="K1101" s="35" t="str">
        <x:v>FAIL</x:v>
      </x:c>
      <x:c r="L1101" s="35" t="str">
        <x:v>NOT_RUN</x:v>
      </x:c>
      <x:c r="M1101" s="35" t="str">
        <x:v>coverage unavailable or execution/compile failed</x:v>
      </x:c>
      <x:c r="N1101" s="35" t="str">
        <x:v>Gemini-3.8-flash/Result/Codec_15/result.json</x:v>
      </x:c>
      <x:c r="O1101" s="39" t="str">
        <x:f>IF(AND(G1101="RECORDED",ISNUMBER(H1101)),H1101,"")</x:f>
      </x:c>
      <x:c r="P1101" s="35" t="str">
        <x:v>NOT_AVAILABLE</x:v>
      </x:c>
      <x:c r="Q1101" s="35" t="str">
        <x:v>Gemini-3.8-flash/Result/Codec_15/result.json</x:v>
      </x:c>
    </x:row>
    <x:row r="1102">
      <x:c r="A1102" s="35" t="str">
        <x:v>gemini</x:v>
      </x:c>
      <x:c r="B1102" s="35" t="str">
        <x:v>Codec</x:v>
      </x:c>
      <x:c r="C1102" s="35" t="str">
        <x:v>Round1</x:v>
      </x:c>
      <x:c r="D1102" s="35" t="str">
        <x:v>Codec_16</x:v>
      </x:c>
      <x:c r="E1102" s="35" t="str">
        <x:v>Condition</x:v>
      </x:c>
      <x:c r="F1102" s="35" t="n">
        <x:v>75</x:v>
      </x:c>
      <x:c r="G1102" s="35" t="str">
        <x:v>RECORDED</x:v>
      </x:c>
      <x:c r="H1102" s="39" t="n">
        <x:f>IF(ISNUMBER('Data'!N248),'Data'!N248*100,"")</x:f>
        <x:v>56.00000000000001</x:v>
      </x:c>
      <x:c r="I1102" s="35" t="str">
        <x:v>PASS</x:v>
      </x:c>
      <x:c r="J1102" s="35" t="str">
        <x:v>PASS</x:v>
      </x:c>
      <x:c r="K1102" s="35" t="str">
        <x:v>PASS</x:v>
      </x:c>
      <x:c r="L1102" s="35" t="str">
        <x:v>PASS</x:v>
      </x:c>
      <x:c r="M1102" s="35" t="str">
        <x:v>numeric coverage for applicable metric</x:v>
      </x:c>
      <x:c r="N1102" s="35" t="str">
        <x:v>Gemini-3.8-flash/Result/Codec_16/result.json</x:v>
      </x:c>
      <x:c r="O1102" s="39" t="n">
        <x:f>IF(AND(G1102="RECORDED",ISNUMBER(H1102)),H1102,"")</x:f>
        <x:v>56.00000000000001</x:v>
      </x:c>
      <x:c r="P1102" s="35" t="str">
        <x:v>NOT_REVEALING</x:v>
      </x:c>
      <x:c r="Q1102" s="35" t="str">
        <x:v>Gemini-3.8-flash/Result/Codec_16/result.json</x:v>
      </x:c>
    </x:row>
    <x:row r="1103">
      <x:c r="A1103" s="35" t="str">
        <x:v>gemini</x:v>
      </x:c>
      <x:c r="B1103" s="35" t="str">
        <x:v>Codec</x:v>
      </x:c>
      <x:c r="C1103" s="35" t="str">
        <x:v>Round1</x:v>
      </x:c>
      <x:c r="D1103" s="35" t="str">
        <x:v>Codec_17</x:v>
      </x:c>
      <x:c r="E1103" s="35" t="str">
        <x:v>Condition</x:v>
      </x:c>
      <x:c r="F1103" s="35" t="n">
        <x:v>20</x:v>
      </x:c>
      <x:c r="G1103" s="35" t="str">
        <x:v>RECORDED</x:v>
      </x:c>
      <x:c r="H1103" s="39" t="n">
        <x:f>IF(ISNUMBER('Data'!N249),'Data'!N249*100,"")</x:f>
        <x:v>80</x:v>
      </x:c>
      <x:c r="I1103" s="35" t="str">
        <x:v>PASS</x:v>
      </x:c>
      <x:c r="J1103" s="35" t="str">
        <x:v>PASS</x:v>
      </x:c>
      <x:c r="K1103" s="35" t="str">
        <x:v>PASS</x:v>
      </x:c>
      <x:c r="L1103" s="35" t="str">
        <x:v>PASS</x:v>
      </x:c>
      <x:c r="M1103" s="35" t="str">
        <x:v>numeric coverage for applicable metric</x:v>
      </x:c>
      <x:c r="N1103" s="35" t="str">
        <x:v>Gemini-3.8-flash/Result/Codec_17/result.json</x:v>
      </x:c>
      <x:c r="O1103" s="39" t="n">
        <x:f>IF(AND(G1103="RECORDED",ISNUMBER(H1103)),H1103,"")</x:f>
        <x:v>80</x:v>
      </x:c>
      <x:c r="P1103" s="35" t="str">
        <x:v>NOT_REVEALING</x:v>
      </x:c>
      <x:c r="Q1103" s="35" t="str">
        <x:v>Gemini-3.8-flash/Result/Codec_17/result.json</x:v>
      </x:c>
    </x:row>
    <x:row r="1104">
      <x:c r="A1104" s="35" t="str">
        <x:v>gemini</x:v>
      </x:c>
      <x:c r="B1104" s="35" t="str">
        <x:v>Codec</x:v>
      </x:c>
      <x:c r="C1104" s="35" t="str">
        <x:v>Round1</x:v>
      </x:c>
      <x:c r="D1104" s="35" t="str">
        <x:v>Codec_18</x:v>
      </x:c>
      <x:c r="E1104" s="35" t="str">
        <x:v>Condition</x:v>
      </x:c>
      <x:c r="F1104" s="35" t="n">
        <x:v>20</x:v>
      </x:c>
      <x:c r="G1104" s="35" t="str">
        <x:v>RECORDED</x:v>
      </x:c>
      <x:c r="H1104" s="39" t="n">
        <x:f>IF(ISNUMBER('Data'!N250),'Data'!N250*100,"")</x:f>
        <x:v>80</x:v>
      </x:c>
      <x:c r="I1104" s="35" t="str">
        <x:v>PASS</x:v>
      </x:c>
      <x:c r="J1104" s="35" t="str">
        <x:v>PASS</x:v>
      </x:c>
      <x:c r="K1104" s="35" t="str">
        <x:v>PASS</x:v>
      </x:c>
      <x:c r="L1104" s="35" t="str">
        <x:v>PASS</x:v>
      </x:c>
      <x:c r="M1104" s="35" t="str">
        <x:v>numeric coverage for applicable metric</x:v>
      </x:c>
      <x:c r="N1104" s="35" t="str">
        <x:v>Gemini-3.8-flash/Result/Codec_18/result.json</x:v>
      </x:c>
      <x:c r="O1104" s="39" t="n">
        <x:f>IF(AND(G1104="RECORDED",ISNUMBER(H1104)),H1104,"")</x:f>
        <x:v>80</x:v>
      </x:c>
      <x:c r="P1104" s="35" t="str">
        <x:v>NOT_REVEALING</x:v>
      </x:c>
      <x:c r="Q1104" s="35" t="str">
        <x:v>Gemini-3.8-flash/Result/Codec_18/result.json</x:v>
      </x:c>
    </x:row>
    <x:row r="1105">
      <x:c r="A1105" s="35" t="str">
        <x:v>gemini</x:v>
      </x:c>
      <x:c r="B1105" s="35" t="str">
        <x:v>Codec</x:v>
      </x:c>
      <x:c r="C1105" s="35" t="str">
        <x:v>Round1</x:v>
      </x:c>
      <x:c r="D1105" s="35" t="str">
        <x:v>Codec_2</x:v>
      </x:c>
      <x:c r="E1105" s="35" t="str">
        <x:v>Condition</x:v>
      </x:c>
      <x:c r="F1105" s="35"/>
      <x:c r="G1105" s="35" t="str">
        <x:v>A</x:v>
      </x:c>
      <x:c r="H1105" s="39" t="str">
        <x:f>IF(ISNUMBER('Data'!N251),'Data'!N251*100,"")</x:f>
      </x:c>
      <x:c r="I1105" s="35"/>
      <x:c r="J1105" s="35" t="str">
        <x:v>PASS</x:v>
      </x:c>
      <x:c r="K1105" s="35" t="str">
        <x:v>FAIL</x:v>
      </x:c>
      <x:c r="L1105" s="35" t="str">
        <x:v>NOT_RUN</x:v>
      </x:c>
      <x:c r="M1105" s="35" t="str">
        <x:v>coverage unavailable or execution/compile failed</x:v>
      </x:c>
      <x:c r="N1105" s="35" t="str">
        <x:v>Gemini-3.8-flash/Result/Codec_2/result.json</x:v>
      </x:c>
      <x:c r="O1105" s="39" t="str">
        <x:f>IF(AND(G1105="RECORDED",ISNUMBER(H1105)),H1105,"")</x:f>
      </x:c>
      <x:c r="P1105" s="35" t="str">
        <x:v>NOT_AVAILABLE</x:v>
      </x:c>
      <x:c r="Q1105" s="35" t="str">
        <x:v>Gemini-3.8-flash/Result/Codec_2/result.json</x:v>
      </x:c>
    </x:row>
    <x:row r="1106">
      <x:c r="A1106" s="35" t="str">
        <x:v>gemini</x:v>
      </x:c>
      <x:c r="B1106" s="35" t="str">
        <x:v>Codec</x:v>
      </x:c>
      <x:c r="C1106" s="35" t="str">
        <x:v>Round1</x:v>
      </x:c>
      <x:c r="D1106" s="35" t="str">
        <x:v>Codec_3</x:v>
      </x:c>
      <x:c r="E1106" s="35" t="str">
        <x:v>Condition</x:v>
      </x:c>
      <x:c r="F1106" s="35" t="n">
        <x:v>450</x:v>
      </x:c>
      <x:c r="G1106" s="35" t="str">
        <x:v>RECORDED</x:v>
      </x:c>
      <x:c r="H1106" s="39" t="n">
        <x:f>IF(ISNUMBER('Data'!N252),'Data'!N252*100,"")</x:f>
        <x:v>74</x:v>
      </x:c>
      <x:c r="I1106" s="35" t="str">
        <x:v>PASS</x:v>
      </x:c>
      <x:c r="J1106" s="35" t="str">
        <x:v>PASS</x:v>
      </x:c>
      <x:c r="K1106" s="35" t="str">
        <x:v>PASS</x:v>
      </x:c>
      <x:c r="L1106" s="35" t="str">
        <x:v>FAIL</x:v>
      </x:c>
      <x:c r="M1106" s="35" t="str">
        <x:v>numeric coverage for applicable metric</x:v>
      </x:c>
      <x:c r="N1106" s="35" t="str">
        <x:v>Gemini-3.8-flash/Result/Codec_3/result.json</x:v>
      </x:c>
      <x:c r="O1106" s="39" t="n">
        <x:f>IF(AND(G1106="RECORDED",ISNUMBER(H1106)),H1106,"")</x:f>
        <x:v>74</x:v>
      </x:c>
      <x:c r="P1106" s="35" t="str">
        <x:v>INCONCLUSIVE</x:v>
      </x:c>
      <x:c r="Q1106" s="35" t="str">
        <x:v>Gemini-3.8-flash/Result/Codec_3/result.json</x:v>
      </x:c>
    </x:row>
    <x:row r="1107">
      <x:c r="A1107" s="35" t="str">
        <x:v>gemini</x:v>
      </x:c>
      <x:c r="B1107" s="35" t="str">
        <x:v>Codec</x:v>
      </x:c>
      <x:c r="C1107" s="35" t="str">
        <x:v>Round1</x:v>
      </x:c>
      <x:c r="D1107" s="35" t="str">
        <x:v>Codec_4</x:v>
      </x:c>
      <x:c r="E1107" s="35" t="str">
        <x:v>Condition</x:v>
      </x:c>
      <x:c r="F1107" s="35"/>
      <x:c r="G1107" s="35" t="str">
        <x:v>A</x:v>
      </x:c>
      <x:c r="H1107" s="39" t="str">
        <x:f>IF(ISNUMBER('Data'!N253),'Data'!N253*100,"")</x:f>
      </x:c>
      <x:c r="I1107" s="35"/>
      <x:c r="J1107" s="35" t="str">
        <x:v>PASS</x:v>
      </x:c>
      <x:c r="K1107" s="35" t="str">
        <x:v>FAIL</x:v>
      </x:c>
      <x:c r="L1107" s="35" t="str">
        <x:v>NOT_RUN</x:v>
      </x:c>
      <x:c r="M1107" s="35" t="str">
        <x:v>coverage unavailable or execution/compile failed</x:v>
      </x:c>
      <x:c r="N1107" s="35" t="str">
        <x:v>Gemini-3.8-flash/Result/Codec_4/result.json</x:v>
      </x:c>
      <x:c r="O1107" s="39" t="str">
        <x:f>IF(AND(G1107="RECORDED",ISNUMBER(H1107)),H1107,"")</x:f>
      </x:c>
      <x:c r="P1107" s="35" t="str">
        <x:v>NOT_AVAILABLE</x:v>
      </x:c>
      <x:c r="Q1107" s="35" t="str">
        <x:v>Gemini-3.8-flash/Result/Codec_4/result.json</x:v>
      </x:c>
    </x:row>
    <x:row r="1108">
      <x:c r="A1108" s="35" t="str">
        <x:v>gemini</x:v>
      </x:c>
      <x:c r="B1108" s="35" t="str">
        <x:v>Codec</x:v>
      </x:c>
      <x:c r="C1108" s="35" t="str">
        <x:v>Round1</x:v>
      </x:c>
      <x:c r="D1108" s="35" t="str">
        <x:v>Codec_5</x:v>
      </x:c>
      <x:c r="E1108" s="35" t="str">
        <x:v>Condition</x:v>
      </x:c>
      <x:c r="F1108" s="35"/>
      <x:c r="G1108" s="35" t="str">
        <x:v>A</x:v>
      </x:c>
      <x:c r="H1108" s="39" t="str">
        <x:f>IF(ISNUMBER('Data'!N254),'Data'!N254*100,"")</x:f>
      </x:c>
      <x:c r="I1108" s="35"/>
      <x:c r="J1108" s="35" t="str">
        <x:v>PASS</x:v>
      </x:c>
      <x:c r="K1108" s="35" t="str">
        <x:v>FAIL</x:v>
      </x:c>
      <x:c r="L1108" s="35" t="str">
        <x:v>NOT_RUN</x:v>
      </x:c>
      <x:c r="M1108" s="35" t="str">
        <x:v>coverage unavailable or execution/compile failed</x:v>
      </x:c>
      <x:c r="N1108" s="35" t="str">
        <x:v>Gemini-3.8-flash/Result/Codec_5/result.json</x:v>
      </x:c>
      <x:c r="O1108" s="39" t="str">
        <x:f>IF(AND(G1108="RECORDED",ISNUMBER(H1108)),H1108,"")</x:f>
      </x:c>
      <x:c r="P1108" s="35" t="str">
        <x:v>NOT_AVAILABLE</x:v>
      </x:c>
      <x:c r="Q1108" s="35" t="str">
        <x:v>Gemini-3.8-flash/Result/Codec_5/result.json</x:v>
      </x:c>
    </x:row>
    <x:row r="1109">
      <x:c r="A1109" s="35" t="str">
        <x:v>gemini</x:v>
      </x:c>
      <x:c r="B1109" s="35" t="str">
        <x:v>Codec</x:v>
      </x:c>
      <x:c r="C1109" s="35" t="str">
        <x:v>Round1</x:v>
      </x:c>
      <x:c r="D1109" s="35" t="str">
        <x:v>Codec_6</x:v>
      </x:c>
      <x:c r="E1109" s="35" t="str">
        <x:v>Condition</x:v>
      </x:c>
      <x:c r="F1109" s="35" t="n">
        <x:v>28</x:v>
      </x:c>
      <x:c r="G1109" s="35" t="str">
        <x:v>RECORDED</x:v>
      </x:c>
      <x:c r="H1109" s="39" t="n">
        <x:f>IF(ISNUMBER('Data'!N255),'Data'!N255*100,"")</x:f>
        <x:v>75</x:v>
      </x:c>
      <x:c r="I1109" s="35" t="str">
        <x:v>PASS</x:v>
      </x:c>
      <x:c r="J1109" s="35" t="str">
        <x:v>PASS</x:v>
      </x:c>
      <x:c r="K1109" s="35" t="str">
        <x:v>PASS</x:v>
      </x:c>
      <x:c r="L1109" s="35" t="str">
        <x:v>PASS</x:v>
      </x:c>
      <x:c r="M1109" s="35" t="str">
        <x:v>numeric coverage for applicable metric</x:v>
      </x:c>
      <x:c r="N1109" s="35" t="str">
        <x:v>Gemini-3.8-flash/Result/Codec_6/result.json</x:v>
      </x:c>
      <x:c r="O1109" s="39" t="n">
        <x:f>IF(AND(G1109="RECORDED",ISNUMBER(H1109)),H1109,"")</x:f>
        <x:v>75</x:v>
      </x:c>
      <x:c r="P1109" s="35" t="str">
        <x:v>NOT_REVEALING</x:v>
      </x:c>
      <x:c r="Q1109" s="35" t="str">
        <x:v>Gemini-3.8-flash/Result/Codec_6/result.json</x:v>
      </x:c>
    </x:row>
    <x:row r="1110">
      <x:c r="A1110" s="35" t="str">
        <x:v>gemini</x:v>
      </x:c>
      <x:c r="B1110" s="35" t="str">
        <x:v>Codec</x:v>
      </x:c>
      <x:c r="C1110" s="35" t="str">
        <x:v>Round1</x:v>
      </x:c>
      <x:c r="D1110" s="35" t="str">
        <x:v>Codec_7</x:v>
      </x:c>
      <x:c r="E1110" s="35" t="str">
        <x:v>Condition</x:v>
      </x:c>
      <x:c r="F1110" s="35"/>
      <x:c r="G1110" s="35" t="str">
        <x:v>A</x:v>
      </x:c>
      <x:c r="H1110" s="39" t="str">
        <x:f>IF(ISNUMBER('Data'!N256),'Data'!N256*100,"")</x:f>
      </x:c>
      <x:c r="I1110" s="35"/>
      <x:c r="J1110" s="35" t="str">
        <x:v>PASS</x:v>
      </x:c>
      <x:c r="K1110" s="35" t="str">
        <x:v>FAIL</x:v>
      </x:c>
      <x:c r="L1110" s="35" t="str">
        <x:v>NOT_RUN</x:v>
      </x:c>
      <x:c r="M1110" s="35" t="str">
        <x:v>coverage unavailable or execution/compile failed</x:v>
      </x:c>
      <x:c r="N1110" s="35" t="str">
        <x:v>Gemini-3.8-flash/Result/Codec_7/result.json</x:v>
      </x:c>
      <x:c r="O1110" s="39" t="str">
        <x:f>IF(AND(G1110="RECORDED",ISNUMBER(H1110)),H1110,"")</x:f>
      </x:c>
      <x:c r="P1110" s="35" t="str">
        <x:v>NOT_AVAILABLE</x:v>
      </x:c>
      <x:c r="Q1110" s="35" t="str">
        <x:v>Gemini-3.8-flash/Result/Codec_7/result.json</x:v>
      </x:c>
    </x:row>
    <x:row r="1111">
      <x:c r="A1111" s="35" t="str">
        <x:v>gemini</x:v>
      </x:c>
      <x:c r="B1111" s="35" t="str">
        <x:v>Codec</x:v>
      </x:c>
      <x:c r="C1111" s="35" t="str">
        <x:v>Round1</x:v>
      </x:c>
      <x:c r="D1111" s="35" t="str">
        <x:v>Codec_8</x:v>
      </x:c>
      <x:c r="E1111" s="35" t="str">
        <x:v>Condition</x:v>
      </x:c>
      <x:c r="F1111" s="35"/>
      <x:c r="G1111" s="35" t="str">
        <x:v>A</x:v>
      </x:c>
      <x:c r="H1111" s="39" t="str">
        <x:f>IF(ISNUMBER('Data'!N257),'Data'!N257*100,"")</x:f>
      </x:c>
      <x:c r="I1111" s="35"/>
      <x:c r="J1111" s="35" t="str">
        <x:v>PASS</x:v>
      </x:c>
      <x:c r="K1111" s="35" t="str">
        <x:v>FAIL</x:v>
      </x:c>
      <x:c r="L1111" s="35" t="str">
        <x:v>NOT_RUN</x:v>
      </x:c>
      <x:c r="M1111" s="35" t="str">
        <x:v>coverage unavailable or execution/compile failed</x:v>
      </x:c>
      <x:c r="N1111" s="35" t="str">
        <x:v>Gemini-3.8-flash/Result/Codec_8/result.json</x:v>
      </x:c>
      <x:c r="O1111" s="39" t="str">
        <x:f>IF(AND(G1111="RECORDED",ISNUMBER(H1111)),H1111,"")</x:f>
      </x:c>
      <x:c r="P1111" s="35" t="str">
        <x:v>NOT_AVAILABLE</x:v>
      </x:c>
      <x:c r="Q1111" s="35" t="str">
        <x:v>Gemini-3.8-flash/Result/Codec_8/result.json</x:v>
      </x:c>
    </x:row>
    <x:row r="1112">
      <x:c r="A1112" s="35" t="str">
        <x:v>gemini</x:v>
      </x:c>
      <x:c r="B1112" s="35" t="str">
        <x:v>Codec</x:v>
      </x:c>
      <x:c r="C1112" s="35" t="str">
        <x:v>Round1</x:v>
      </x:c>
      <x:c r="D1112" s="35" t="str">
        <x:v>Codec_9</x:v>
      </x:c>
      <x:c r="E1112" s="35" t="str">
        <x:v>Condition</x:v>
      </x:c>
      <x:c r="F1112" s="35"/>
      <x:c r="G1112" s="35" t="str">
        <x:v>A</x:v>
      </x:c>
      <x:c r="H1112" s="39" t="str">
        <x:f>IF(ISNUMBER('Data'!N258),'Data'!N258*100,"")</x:f>
      </x:c>
      <x:c r="I1112" s="35"/>
      <x:c r="J1112" s="35" t="str">
        <x:v>PASS</x:v>
      </x:c>
      <x:c r="K1112" s="35" t="str">
        <x:v>FAIL</x:v>
      </x:c>
      <x:c r="L1112" s="35" t="str">
        <x:v>NOT_RUN</x:v>
      </x:c>
      <x:c r="M1112" s="35" t="str">
        <x:v>coverage unavailable or execution/compile failed</x:v>
      </x:c>
      <x:c r="N1112" s="35" t="str">
        <x:v>Gemini-3.8-flash/Result/Codec_9/result.json</x:v>
      </x:c>
      <x:c r="O1112" s="39" t="str">
        <x:f>IF(AND(G1112="RECORDED",ISNUMBER(H1112)),H1112,"")</x:f>
      </x:c>
      <x:c r="P1112" s="35" t="str">
        <x:v>NOT_AVAILABLE</x:v>
      </x:c>
      <x:c r="Q1112" s="35" t="str">
        <x:v>Gemini-3.8-flash/Result/Codec_9/result.json</x:v>
      </x:c>
    </x:row>
    <x:row r="1113">
      <x:c r="A1113" s="35" t="str">
        <x:v>gemini</x:v>
      </x:c>
      <x:c r="B1113" s="35" t="str">
        <x:v>Collections</x:v>
      </x:c>
      <x:c r="C1113" s="35" t="str">
        <x:v>Round1</x:v>
      </x:c>
      <x:c r="D1113" s="35" t="str">
        <x:v>Collections_1</x:v>
      </x:c>
      <x:c r="E1113" s="35" t="str">
        <x:v>Condition</x:v>
      </x:c>
      <x:c r="F1113" s="35" t="n">
        <x:v>376</x:v>
      </x:c>
      <x:c r="G1113" s="35" t="str">
        <x:v>RECORDED</x:v>
      </x:c>
      <x:c r="H1113" s="39" t="n">
        <x:f>IF(ISNUMBER('Data'!N259),'Data'!N259*100,"")</x:f>
        <x:v>25.53</x:v>
      </x:c>
      <x:c r="I1113" s="35" t="str">
        <x:v>PASS</x:v>
      </x:c>
      <x:c r="J1113" s="35" t="str">
        <x:v>PASS</x:v>
      </x:c>
      <x:c r="K1113" s="35" t="str">
        <x:v>PASS</x:v>
      </x:c>
      <x:c r="L1113" s="35" t="str">
        <x:v>FAIL</x:v>
      </x:c>
      <x:c r="M1113" s="35" t="str">
        <x:v>numeric coverage for applicable metric</x:v>
      </x:c>
      <x:c r="N1113" s="35" t="str">
        <x:v>Gemini-3.8-flash/Result/Collections_1/result.json</x:v>
      </x:c>
      <x:c r="O1113" s="39" t="n">
        <x:f>IF(AND(G1113="RECORDED",ISNUMBER(H1113)),H1113,"")</x:f>
        <x:v>25.53</x:v>
      </x:c>
      <x:c r="P1113" s="35" t="str">
        <x:v>INCONCLUSIVE</x:v>
      </x:c>
      <x:c r="Q1113" s="35" t="str">
        <x:v>Gemini-3.8-flash/Result/Collections_1/result.json</x:v>
      </x:c>
    </x:row>
    <x:row r="1114">
      <x:c r="A1114" s="35" t="str">
        <x:v>gemini</x:v>
      </x:c>
      <x:c r="B1114" s="35" t="str">
        <x:v>Collections</x:v>
      </x:c>
      <x:c r="C1114" s="35" t="str">
        <x:v>Round1</x:v>
      </x:c>
      <x:c r="D1114" s="35" t="str">
        <x:v>Collections_10</x:v>
      </x:c>
      <x:c r="E1114" s="35" t="str">
        <x:v>Condition</x:v>
      </x:c>
      <x:c r="F1114" s="35" t="n">
        <x:v>48</x:v>
      </x:c>
      <x:c r="G1114" s="35" t="str">
        <x:v>RECORDED</x:v>
      </x:c>
      <x:c r="H1114" s="39" t="n">
        <x:f>IF(ISNUMBER('Data'!N260),'Data'!N260*100,"")</x:f>
        <x:v>37.5</x:v>
      </x:c>
      <x:c r="I1114" s="35" t="str">
        <x:v>PASS</x:v>
      </x:c>
      <x:c r="J1114" s="35" t="str">
        <x:v>PASS</x:v>
      </x:c>
      <x:c r="K1114" s="35" t="str">
        <x:v>PASS</x:v>
      </x:c>
      <x:c r="L1114" s="35" t="str">
        <x:v>FAIL</x:v>
      </x:c>
      <x:c r="M1114" s="35" t="str">
        <x:v>numeric coverage for applicable metric</x:v>
      </x:c>
      <x:c r="N1114" s="35" t="str">
        <x:v>Gemini-3.8-flash/Result/Collections_10/result.json</x:v>
      </x:c>
      <x:c r="O1114" s="39" t="n">
        <x:f>IF(AND(G1114="RECORDED",ISNUMBER(H1114)),H1114,"")</x:f>
        <x:v>37.5</x:v>
      </x:c>
      <x:c r="P1114" s="35" t="str">
        <x:v>INCONCLUSIVE</x:v>
      </x:c>
      <x:c r="Q1114" s="35" t="str">
        <x:v>Gemini-3.8-flash/Result/Collections_10/result.json</x:v>
      </x:c>
    </x:row>
    <x:row r="1115">
      <x:c r="A1115" s="35" t="str">
        <x:v>gemini</x:v>
      </x:c>
      <x:c r="B1115" s="35" t="str">
        <x:v>Collections</x:v>
      </x:c>
      <x:c r="C1115" s="35" t="str">
        <x:v>Round1</x:v>
      </x:c>
      <x:c r="D1115" s="35" t="str">
        <x:v>Collections_11</x:v>
      </x:c>
      <x:c r="E1115" s="35" t="str">
        <x:v>Condition</x:v>
      </x:c>
      <x:c r="F1115" s="35" t="n">
        <x:v>12</x:v>
      </x:c>
      <x:c r="G1115" s="35" t="str">
        <x:v>RECORDED</x:v>
      </x:c>
      <x:c r="H1115" s="39" t="n">
        <x:f>IF(ISNUMBER('Data'!N261),'Data'!N261*100,"")</x:f>
        <x:v>75</x:v>
      </x:c>
      <x:c r="I1115" s="35" t="str">
        <x:v>PASS</x:v>
      </x:c>
      <x:c r="J1115" s="35" t="str">
        <x:v>PASS</x:v>
      </x:c>
      <x:c r="K1115" s="35" t="str">
        <x:v>PASS</x:v>
      </x:c>
      <x:c r="L1115" s="35" t="str">
        <x:v>PASS</x:v>
      </x:c>
      <x:c r="M1115" s="35" t="str">
        <x:v>numeric coverage for applicable metric</x:v>
      </x:c>
      <x:c r="N1115" s="35" t="str">
        <x:v>Gemini-3.8-flash/Result/Collections_11/result.json</x:v>
      </x:c>
      <x:c r="O1115" s="39" t="n">
        <x:f>IF(AND(G1115="RECORDED",ISNUMBER(H1115)),H1115,"")</x:f>
        <x:v>75</x:v>
      </x:c>
      <x:c r="P1115" s="35" t="str">
        <x:v>NOT_REVEALING</x:v>
      </x:c>
      <x:c r="Q1115" s="35" t="str">
        <x:v>Gemini-3.8-flash/Result/Collections_11/result.json</x:v>
      </x:c>
    </x:row>
    <x:row r="1116">
      <x:c r="A1116" s="35" t="str">
        <x:v>gemini</x:v>
      </x:c>
      <x:c r="B1116" s="35" t="str">
        <x:v>Collections</x:v>
      </x:c>
      <x:c r="C1116" s="35" t="str">
        <x:v>Round1</x:v>
      </x:c>
      <x:c r="D1116" s="35" t="str">
        <x:v>Collections_12</x:v>
      </x:c>
      <x:c r="E1116" s="35" t="str">
        <x:v>Condition</x:v>
      </x:c>
      <x:c r="F1116" s="35" t="n">
        <x:v>278</x:v>
      </x:c>
      <x:c r="G1116" s="35" t="str">
        <x:v>RECORDED</x:v>
      </x:c>
      <x:c r="H1116" s="39" t="n">
        <x:f>IF(ISNUMBER('Data'!N262),'Data'!N262*100,"")</x:f>
        <x:v>26.979999999999997</x:v>
      </x:c>
      <x:c r="I1116" s="35" t="str">
        <x:v>PASS</x:v>
      </x:c>
      <x:c r="J1116" s="35" t="str">
        <x:v>PASS</x:v>
      </x:c>
      <x:c r="K1116" s="35" t="str">
        <x:v>PASS</x:v>
      </x:c>
      <x:c r="L1116" s="35" t="str">
        <x:v>PASS</x:v>
      </x:c>
      <x:c r="M1116" s="35" t="str">
        <x:v>numeric coverage for applicable metric</x:v>
      </x:c>
      <x:c r="N1116" s="35" t="str">
        <x:v>Gemini-3.8-flash/Result/Collections_12/result.json</x:v>
      </x:c>
      <x:c r="O1116" s="39" t="n">
        <x:f>IF(AND(G1116="RECORDED",ISNUMBER(H1116)),H1116,"")</x:f>
        <x:v>26.979999999999997</x:v>
      </x:c>
      <x:c r="P1116" s="35" t="str">
        <x:v>NOT_REVEALING</x:v>
      </x:c>
      <x:c r="Q1116" s="35" t="str">
        <x:v>Gemini-3.8-flash/Result/Collections_12/result.json</x:v>
      </x:c>
    </x:row>
    <x:row r="1117">
      <x:c r="A1117" s="35" t="str">
        <x:v>gemini</x:v>
      </x:c>
      <x:c r="B1117" s="35" t="str">
        <x:v>Collections</x:v>
      </x:c>
      <x:c r="C1117" s="35" t="str">
        <x:v>Round1</x:v>
      </x:c>
      <x:c r="D1117" s="35" t="str">
        <x:v>Collections_13</x:v>
      </x:c>
      <x:c r="E1117" s="35" t="str">
        <x:v>Condition</x:v>
      </x:c>
      <x:c r="F1117" s="35" t="n">
        <x:v>278</x:v>
      </x:c>
      <x:c r="G1117" s="35" t="str">
        <x:v>RECORDED</x:v>
      </x:c>
      <x:c r="H1117" s="39" t="n">
        <x:f>IF(ISNUMBER('Data'!N263),'Data'!N263*100,"")</x:f>
        <x:v>26.979999999999997</x:v>
      </x:c>
      <x:c r="I1117" s="35" t="str">
        <x:v>PASS</x:v>
      </x:c>
      <x:c r="J1117" s="35" t="str">
        <x:v>PASS</x:v>
      </x:c>
      <x:c r="K1117" s="35" t="str">
        <x:v>PASS</x:v>
      </x:c>
      <x:c r="L1117" s="35" t="str">
        <x:v>PASS</x:v>
      </x:c>
      <x:c r="M1117" s="35" t="str">
        <x:v>numeric coverage for applicable metric</x:v>
      </x:c>
      <x:c r="N1117" s="35" t="str">
        <x:v>Gemini-3.8-flash/Result/Collections_13/result.json</x:v>
      </x:c>
      <x:c r="O1117" s="39" t="n">
        <x:f>IF(AND(G1117="RECORDED",ISNUMBER(H1117)),H1117,"")</x:f>
        <x:v>26.979999999999997</x:v>
      </x:c>
      <x:c r="P1117" s="35" t="str">
        <x:v>NOT_REVEALING</x:v>
      </x:c>
      <x:c r="Q1117" s="35" t="str">
        <x:v>Gemini-3.8-flash/Result/Collections_13/result.json</x:v>
      </x:c>
    </x:row>
    <x:row r="1118">
      <x:c r="A1118" s="35" t="str">
        <x:v>gemini</x:v>
      </x:c>
      <x:c r="B1118" s="35" t="str">
        <x:v>Collections</x:v>
      </x:c>
      <x:c r="C1118" s="35" t="str">
        <x:v>Round1</x:v>
      </x:c>
      <x:c r="D1118" s="35" t="str">
        <x:v>Collections_14</x:v>
      </x:c>
      <x:c r="E1118" s="35" t="str">
        <x:v>Condition</x:v>
      </x:c>
      <x:c r="F1118" s="35" t="n">
        <x:v>2</x:v>
      </x:c>
      <x:c r="G1118" s="35" t="str">
        <x:v>RECORDED</x:v>
      </x:c>
      <x:c r="H1118" s="39" t="n">
        <x:f>IF(ISNUMBER('Data'!N264),'Data'!N264*100,"")</x:f>
        <x:v>100</x:v>
      </x:c>
      <x:c r="I1118" s="35" t="str">
        <x:v>PASS</x:v>
      </x:c>
      <x:c r="J1118" s="35" t="str">
        <x:v>PASS</x:v>
      </x:c>
      <x:c r="K1118" s="35" t="str">
        <x:v>PASS</x:v>
      </x:c>
      <x:c r="L1118" s="35" t="str">
        <x:v>FAIL</x:v>
      </x:c>
      <x:c r="M1118" s="35" t="str">
        <x:v>numeric coverage for applicable metric</x:v>
      </x:c>
      <x:c r="N1118" s="35" t="str">
        <x:v>Gemini-3.8-flash/Result/Collections_14/result.json</x:v>
      </x:c>
      <x:c r="O1118" s="39" t="n">
        <x:f>IF(AND(G1118="RECORDED",ISNUMBER(H1118)),H1118,"")</x:f>
        <x:v>100</x:v>
      </x:c>
      <x:c r="P1118" s="35" t="str">
        <x:v>INCONCLUSIVE</x:v>
      </x:c>
      <x:c r="Q1118" s="35" t="str">
        <x:v>Gemini-3.8-flash/Result/Collections_14/result.json</x:v>
      </x:c>
    </x:row>
    <x:row r="1119">
      <x:c r="A1119" s="35" t="str">
        <x:v>gemini</x:v>
      </x:c>
      <x:c r="B1119" s="35" t="str">
        <x:v>Collections</x:v>
      </x:c>
      <x:c r="C1119" s="35" t="str">
        <x:v>Round1</x:v>
      </x:c>
      <x:c r="D1119" s="35" t="str">
        <x:v>Collections_15</x:v>
      </x:c>
      <x:c r="E1119" s="35" t="str">
        <x:v>Condition</x:v>
      </x:c>
      <x:c r="F1119" s="35" t="n">
        <x:v>22</x:v>
      </x:c>
      <x:c r="G1119" s="35" t="str">
        <x:v>RECORDED</x:v>
      </x:c>
      <x:c r="H1119" s="39" t="n">
        <x:f>IF(ISNUMBER('Data'!N265),'Data'!N265*100,"")</x:f>
        <x:v>100</x:v>
      </x:c>
      <x:c r="I1119" s="35" t="str">
        <x:v>PASS</x:v>
      </x:c>
      <x:c r="J1119" s="35" t="str">
        <x:v>PASS</x:v>
      </x:c>
      <x:c r="K1119" s="35" t="str">
        <x:v>PASS</x:v>
      </x:c>
      <x:c r="L1119" s="35" t="str">
        <x:v>FAIL</x:v>
      </x:c>
      <x:c r="M1119" s="35" t="str">
        <x:v>numeric coverage for applicable metric</x:v>
      </x:c>
      <x:c r="N1119" s="35" t="str">
        <x:v>Gemini-3.8-flash/Result/Collections_15/result.json</x:v>
      </x:c>
      <x:c r="O1119" s="39" t="n">
        <x:f>IF(AND(G1119="RECORDED",ISNUMBER(H1119)),H1119,"")</x:f>
        <x:v>100</x:v>
      </x:c>
      <x:c r="P1119" s="35" t="str">
        <x:v>REVEALING</x:v>
      </x:c>
      <x:c r="Q1119" s="35" t="str">
        <x:v>Gemini-3.8-flash/Result/Collections_15/result.json</x:v>
      </x:c>
    </x:row>
    <x:row r="1120">
      <x:c r="A1120" s="35" t="str">
        <x:v>gemini</x:v>
      </x:c>
      <x:c r="B1120" s="35" t="str">
        <x:v>Collections</x:v>
      </x:c>
      <x:c r="C1120" s="35" t="str">
        <x:v>Round1</x:v>
      </x:c>
      <x:c r="D1120" s="35" t="str">
        <x:v>Collections_16</x:v>
      </x:c>
      <x:c r="E1120" s="35" t="str">
        <x:v>Condition</x:v>
      </x:c>
      <x:c r="F1120" s="35" t="n">
        <x:v>22</x:v>
      </x:c>
      <x:c r="G1120" s="35" t="str">
        <x:v>RECORDED</x:v>
      </x:c>
      <x:c r="H1120" s="39" t="n">
        <x:f>IF(ISNUMBER('Data'!N266),'Data'!N266*100,"")</x:f>
        <x:v>100</x:v>
      </x:c>
      <x:c r="I1120" s="35" t="str">
        <x:v>PASS</x:v>
      </x:c>
      <x:c r="J1120" s="35" t="str">
        <x:v>PASS</x:v>
      </x:c>
      <x:c r="K1120" s="35" t="str">
        <x:v>PASS</x:v>
      </x:c>
      <x:c r="L1120" s="35" t="str">
        <x:v>PASS</x:v>
      </x:c>
      <x:c r="M1120" s="35" t="str">
        <x:v>numeric coverage for applicable metric</x:v>
      </x:c>
      <x:c r="N1120" s="35" t="str">
        <x:v>Gemini-3.8-flash/Result/Collections_16/result.json</x:v>
      </x:c>
      <x:c r="O1120" s="39" t="n">
        <x:f>IF(AND(G1120="RECORDED",ISNUMBER(H1120)),H1120,"")</x:f>
        <x:v>100</x:v>
      </x:c>
      <x:c r="P1120" s="35" t="str">
        <x:v>INCONCLUSIVE</x:v>
      </x:c>
      <x:c r="Q1120" s="35" t="str">
        <x:v>Gemini-3.8-flash/Result/Collections_16/result.json</x:v>
      </x:c>
    </x:row>
    <x:row r="1121">
      <x:c r="A1121" s="35" t="str">
        <x:v>gemini</x:v>
      </x:c>
      <x:c r="B1121" s="35" t="str">
        <x:v>Collections</x:v>
      </x:c>
      <x:c r="C1121" s="35" t="str">
        <x:v>Round1</x:v>
      </x:c>
      <x:c r="D1121" s="35" t="str">
        <x:v>Collections_17</x:v>
      </x:c>
      <x:c r="E1121" s="35" t="str">
        <x:v>Condition</x:v>
      </x:c>
      <x:c r="F1121" s="35" t="n">
        <x:v>4</x:v>
      </x:c>
      <x:c r="G1121" s="35" t="str">
        <x:v>RECORDED</x:v>
      </x:c>
      <x:c r="H1121" s="39" t="n">
        <x:f>IF(ISNUMBER('Data'!N267),'Data'!N267*100,"")</x:f>
        <x:v>100</x:v>
      </x:c>
      <x:c r="I1121" s="35" t="str">
        <x:v>PASS</x:v>
      </x:c>
      <x:c r="J1121" s="35" t="str">
        <x:v>PASS</x:v>
      </x:c>
      <x:c r="K1121" s="35" t="str">
        <x:v>PASS</x:v>
      </x:c>
      <x:c r="L1121" s="35" t="str">
        <x:v>FAIL</x:v>
      </x:c>
      <x:c r="M1121" s="35" t="str">
        <x:v>numeric coverage for applicable metric</x:v>
      </x:c>
      <x:c r="N1121" s="35" t="str">
        <x:v>Gemini-3.8-flash/Result/Collections_17/result.json</x:v>
      </x:c>
      <x:c r="O1121" s="39" t="n">
        <x:f>IF(AND(G1121="RECORDED",ISNUMBER(H1121)),H1121,"")</x:f>
        <x:v>100</x:v>
      </x:c>
      <x:c r="P1121" s="35" t="str">
        <x:v>INCONCLUSIVE</x:v>
      </x:c>
      <x:c r="Q1121" s="35" t="str">
        <x:v>Gemini-3.8-flash/Result/Collections_17/result.json</x:v>
      </x:c>
    </x:row>
    <x:row r="1122">
      <x:c r="A1122" s="35" t="str">
        <x:v>gemini</x:v>
      </x:c>
      <x:c r="B1122" s="35" t="str">
        <x:v>Collections</x:v>
      </x:c>
      <x:c r="C1122" s="35" t="str">
        <x:v>Round1</x:v>
      </x:c>
      <x:c r="D1122" s="35" t="str">
        <x:v>Collections_18</x:v>
      </x:c>
      <x:c r="E1122" s="35" t="str">
        <x:v>Condition</x:v>
      </x:c>
      <x:c r="F1122" s="35" t="n">
        <x:v>36</x:v>
      </x:c>
      <x:c r="G1122" s="35" t="str">
        <x:v>RECORDED</x:v>
      </x:c>
      <x:c r="H1122" s="39" t="n">
        <x:f>IF(ISNUMBER('Data'!N268),'Data'!N268*100,"")</x:f>
        <x:v>100</x:v>
      </x:c>
      <x:c r="I1122" s="35" t="str">
        <x:v>PASS</x:v>
      </x:c>
      <x:c r="J1122" s="35" t="str">
        <x:v>PASS</x:v>
      </x:c>
      <x:c r="K1122" s="35" t="str">
        <x:v>PASS</x:v>
      </x:c>
      <x:c r="L1122" s="35" t="str">
        <x:v>FAIL</x:v>
      </x:c>
      <x:c r="M1122" s="35" t="str">
        <x:v>numeric coverage for applicable metric</x:v>
      </x:c>
      <x:c r="N1122" s="35" t="str">
        <x:v>Gemini-3.8-flash/Result/Collections_18/result.json</x:v>
      </x:c>
      <x:c r="O1122" s="39" t="n">
        <x:f>IF(AND(G1122="RECORDED",ISNUMBER(H1122)),H1122,"")</x:f>
        <x:v>100</x:v>
      </x:c>
      <x:c r="P1122" s="35" t="str">
        <x:v>INCONCLUSIVE</x:v>
      </x:c>
      <x:c r="Q1122" s="35" t="str">
        <x:v>Gemini-3.8-flash/Result/Collections_18/result.json</x:v>
      </x:c>
    </x:row>
    <x:row r="1123">
      <x:c r="A1123" s="35" t="str">
        <x:v>gemini</x:v>
      </x:c>
      <x:c r="B1123" s="35" t="str">
        <x:v>Collections</x:v>
      </x:c>
      <x:c r="C1123" s="35" t="str">
        <x:v>Round1</x:v>
      </x:c>
      <x:c r="D1123" s="35" t="str">
        <x:v>Collections_19</x:v>
      </x:c>
      <x:c r="E1123" s="35" t="str">
        <x:v>Condition</x:v>
      </x:c>
      <x:c r="F1123" s="35" t="n">
        <x:v>38</x:v>
      </x:c>
      <x:c r="G1123" s="35" t="str">
        <x:v>RECORDED</x:v>
      </x:c>
      <x:c r="H1123" s="39" t="n">
        <x:f>IF(ISNUMBER('Data'!N269),'Data'!N269*100,"")</x:f>
        <x:v>100</x:v>
      </x:c>
      <x:c r="I1123" s="35" t="str">
        <x:v>PASS</x:v>
      </x:c>
      <x:c r="J1123" s="35" t="str">
        <x:v>PASS</x:v>
      </x:c>
      <x:c r="K1123" s="35" t="str">
        <x:v>PASS</x:v>
      </x:c>
      <x:c r="L1123" s="35" t="str">
        <x:v>PASS</x:v>
      </x:c>
      <x:c r="M1123" s="35" t="str">
        <x:v>numeric coverage for applicable metric</x:v>
      </x:c>
      <x:c r="N1123" s="35" t="str">
        <x:v>Gemini-3.8-flash/Result/Collections_19/result.json</x:v>
      </x:c>
      <x:c r="O1123" s="39" t="n">
        <x:f>IF(AND(G1123="RECORDED",ISNUMBER(H1123)),H1123,"")</x:f>
        <x:v>100</x:v>
      </x:c>
      <x:c r="P1123" s="35" t="str">
        <x:v>NOT_REVEALING</x:v>
      </x:c>
      <x:c r="Q1123" s="35" t="str">
        <x:v>Gemini-3.8-flash/Result/Collections_19/result.json</x:v>
      </x:c>
    </x:row>
    <x:row r="1124">
      <x:c r="A1124" s="35" t="str">
        <x:v>gemini</x:v>
      </x:c>
      <x:c r="B1124" s="35" t="str">
        <x:v>Collections</x:v>
      </x:c>
      <x:c r="C1124" s="35" t="str">
        <x:v>Round1</x:v>
      </x:c>
      <x:c r="D1124" s="35" t="str">
        <x:v>Collections_2</x:v>
      </x:c>
      <x:c r="E1124" s="35" t="str">
        <x:v>Condition</x:v>
      </x:c>
      <x:c r="F1124" s="35" t="n">
        <x:v>268</x:v>
      </x:c>
      <x:c r="G1124" s="35" t="str">
        <x:v>RECORDED</x:v>
      </x:c>
      <x:c r="H1124" s="39" t="n">
        <x:f>IF(ISNUMBER('Data'!N270),'Data'!N270*100,"")</x:f>
        <x:v>27.99</x:v>
      </x:c>
      <x:c r="I1124" s="35" t="str">
        <x:v>PASS</x:v>
      </x:c>
      <x:c r="J1124" s="35" t="str">
        <x:v>PASS</x:v>
      </x:c>
      <x:c r="K1124" s="35" t="str">
        <x:v>PASS</x:v>
      </x:c>
      <x:c r="L1124" s="35" t="str">
        <x:v>PASS</x:v>
      </x:c>
      <x:c r="M1124" s="35" t="str">
        <x:v>numeric coverage for applicable metric</x:v>
      </x:c>
      <x:c r="N1124" s="35" t="str">
        <x:v>Gemini-3.8-flash/Result/Collections_2/result.json</x:v>
      </x:c>
      <x:c r="O1124" s="39" t="n">
        <x:f>IF(AND(G1124="RECORDED",ISNUMBER(H1124)),H1124,"")</x:f>
        <x:v>27.99</x:v>
      </x:c>
      <x:c r="P1124" s="35" t="str">
        <x:v>NOT_REVEALING</x:v>
      </x:c>
      <x:c r="Q1124" s="35" t="str">
        <x:v>Gemini-3.8-flash/Result/Collections_2/result.json</x:v>
      </x:c>
    </x:row>
    <x:row r="1125">
      <x:c r="A1125" s="35" t="str">
        <x:v>gemini</x:v>
      </x:c>
      <x:c r="B1125" s="35" t="str">
        <x:v>Collections</x:v>
      </x:c>
      <x:c r="C1125" s="35" t="str">
        <x:v>Round1</x:v>
      </x:c>
      <x:c r="D1125" s="35" t="str">
        <x:v>Collections_20</x:v>
      </x:c>
      <x:c r="E1125" s="35" t="str">
        <x:v>Condition</x:v>
      </x:c>
      <x:c r="F1125" s="35" t="n">
        <x:v>154</x:v>
      </x:c>
      <x:c r="G1125" s="35" t="str">
        <x:v>RECORDED</x:v>
      </x:c>
      <x:c r="H1125" s="39" t="n">
        <x:f>IF(ISNUMBER('Data'!N271),'Data'!N271*100,"")</x:f>
        <x:v>88.31</x:v>
      </x:c>
      <x:c r="I1125" s="35" t="str">
        <x:v>PASS</x:v>
      </x:c>
      <x:c r="J1125" s="35" t="str">
        <x:v>PASS</x:v>
      </x:c>
      <x:c r="K1125" s="35" t="str">
        <x:v>PASS</x:v>
      </x:c>
      <x:c r="L1125" s="35" t="str">
        <x:v>FAIL</x:v>
      </x:c>
      <x:c r="M1125" s="35" t="str">
        <x:v>numeric coverage for applicable metric</x:v>
      </x:c>
      <x:c r="N1125" s="35" t="str">
        <x:v>Gemini-3.8-flash/Result/Collections_20/result.json</x:v>
      </x:c>
      <x:c r="O1125" s="39" t="n">
        <x:f>IF(AND(G1125="RECORDED",ISNUMBER(H1125)),H1125,"")</x:f>
        <x:v>88.31</x:v>
      </x:c>
      <x:c r="P1125" s="35" t="str">
        <x:v>INCONCLUSIVE</x:v>
      </x:c>
      <x:c r="Q1125" s="35" t="str">
        <x:v>Gemini-3.8-flash/Result/Collections_20/result.json</x:v>
      </x:c>
    </x:row>
    <x:row r="1126">
      <x:c r="A1126" s="35" t="str">
        <x:v>gemini</x:v>
      </x:c>
      <x:c r="B1126" s="35" t="str">
        <x:v>Collections</x:v>
      </x:c>
      <x:c r="C1126" s="35" t="str">
        <x:v>Round1</x:v>
      </x:c>
      <x:c r="D1126" s="35" t="str">
        <x:v>Collections_21</x:v>
      </x:c>
      <x:c r="E1126" s="35" t="str">
        <x:v>Condition</x:v>
      </x:c>
      <x:c r="F1126" s="35" t="n">
        <x:v>38</x:v>
      </x:c>
      <x:c r="G1126" s="35" t="str">
        <x:v>RECORDED</x:v>
      </x:c>
      <x:c r="H1126" s="39" t="n">
        <x:f>IF(ISNUMBER('Data'!N272),'Data'!N272*100,"")</x:f>
        <x:v>100</x:v>
      </x:c>
      <x:c r="I1126" s="35" t="str">
        <x:v>PASS</x:v>
      </x:c>
      <x:c r="J1126" s="35" t="str">
        <x:v>PASS</x:v>
      </x:c>
      <x:c r="K1126" s="35" t="str">
        <x:v>PASS</x:v>
      </x:c>
      <x:c r="L1126" s="35" t="str">
        <x:v>FAIL</x:v>
      </x:c>
      <x:c r="M1126" s="35" t="str">
        <x:v>numeric coverage for applicable metric</x:v>
      </x:c>
      <x:c r="N1126" s="35" t="str">
        <x:v>Gemini-3.8-flash/Result/Collections_21/result.json</x:v>
      </x:c>
      <x:c r="O1126" s="39" t="n">
        <x:f>IF(AND(G1126="RECORDED",ISNUMBER(H1126)),H1126,"")</x:f>
        <x:v>100</x:v>
      </x:c>
      <x:c r="P1126" s="35" t="str">
        <x:v>INCONCLUSIVE</x:v>
      </x:c>
      <x:c r="Q1126" s="35" t="str">
        <x:v>Gemini-3.8-flash/Result/Collections_21/result.json</x:v>
      </x:c>
    </x:row>
    <x:row r="1127">
      <x:c r="A1127" s="35" t="str">
        <x:v>gemini</x:v>
      </x:c>
      <x:c r="B1127" s="35" t="str">
        <x:v>Collections</x:v>
      </x:c>
      <x:c r="C1127" s="35" t="str">
        <x:v>Round1</x:v>
      </x:c>
      <x:c r="D1127" s="35" t="str">
        <x:v>Collections_22</x:v>
      </x:c>
      <x:c r="E1127" s="35" t="str">
        <x:v>Condition</x:v>
      </x:c>
      <x:c r="F1127" s="35"/>
      <x:c r="G1127" s="35" t="str">
        <x:v>A</x:v>
      </x:c>
      <x:c r="H1127" s="39" t="str">
        <x:f>IF(ISNUMBER('Data'!N273),'Data'!N273*100,"")</x:f>
      </x:c>
      <x:c r="I1127" s="35"/>
      <x:c r="J1127" s="35" t="str">
        <x:v>PASS</x:v>
      </x:c>
      <x:c r="K1127" s="35" t="str">
        <x:v>FAIL</x:v>
      </x:c>
      <x:c r="L1127" s="35" t="str">
        <x:v>NOT_RUN</x:v>
      </x:c>
      <x:c r="M1127" s="35" t="str">
        <x:v>coverage unavailable or execution/compile failed</x:v>
      </x:c>
      <x:c r="N1127" s="35" t="str">
        <x:v>Gemini-3.8-flash/Result/Collections_22/result.json</x:v>
      </x:c>
      <x:c r="O1127" s="39" t="str">
        <x:f>IF(AND(G1127="RECORDED",ISNUMBER(H1127)),H1127,"")</x:f>
      </x:c>
      <x:c r="P1127" s="35" t="str">
        <x:v>NOT_AVAILABLE</x:v>
      </x:c>
      <x:c r="Q1127" s="35" t="str">
        <x:v>Gemini-3.8-flash/Result/Collections_22/result.json</x:v>
      </x:c>
    </x:row>
    <x:row r="1128">
      <x:c r="A1128" s="35" t="str">
        <x:v>gemini</x:v>
      </x:c>
      <x:c r="B1128" s="35" t="str">
        <x:v>Collections</x:v>
      </x:c>
      <x:c r="C1128" s="35" t="str">
        <x:v>Round1</x:v>
      </x:c>
      <x:c r="D1128" s="35" t="str">
        <x:v>Collections_23</x:v>
      </x:c>
      <x:c r="E1128" s="35" t="str">
        <x:v>Condition</x:v>
      </x:c>
      <x:c r="F1128" s="35" t="n">
        <x:v>2</x:v>
      </x:c>
      <x:c r="G1128" s="35" t="str">
        <x:v>RECORDED</x:v>
      </x:c>
      <x:c r="H1128" s="39" t="n">
        <x:f>IF(ISNUMBER('Data'!N274),'Data'!N274*100,"")</x:f>
        <x:v>100</x:v>
      </x:c>
      <x:c r="I1128" s="35" t="str">
        <x:v>PASS</x:v>
      </x:c>
      <x:c r="J1128" s="35" t="str">
        <x:v>PASS</x:v>
      </x:c>
      <x:c r="K1128" s="35" t="str">
        <x:v>PASS</x:v>
      </x:c>
      <x:c r="L1128" s="35" t="str">
        <x:v>FAIL</x:v>
      </x:c>
      <x:c r="M1128" s="35" t="str">
        <x:v>numeric coverage for applicable metric</x:v>
      </x:c>
      <x:c r="N1128" s="35" t="str">
        <x:v>Gemini-3.8-flash/Result/Collections_23/result.json</x:v>
      </x:c>
      <x:c r="O1128" s="39" t="n">
        <x:f>IF(AND(G1128="RECORDED",ISNUMBER(H1128)),H1128,"")</x:f>
        <x:v>100</x:v>
      </x:c>
      <x:c r="P1128" s="35" t="str">
        <x:v>INCONCLUSIVE</x:v>
      </x:c>
      <x:c r="Q1128" s="35" t="str">
        <x:v>Gemini-3.8-flash/Result/Collections_23/result.json</x:v>
      </x:c>
    </x:row>
    <x:row r="1129">
      <x:c r="A1129" s="35" t="str">
        <x:v>gemini</x:v>
      </x:c>
      <x:c r="B1129" s="35" t="str">
        <x:v>Collections</x:v>
      </x:c>
      <x:c r="C1129" s="35" t="str">
        <x:v>Round1</x:v>
      </x:c>
      <x:c r="D1129" s="35" t="str">
        <x:v>Collections_24</x:v>
      </x:c>
      <x:c r="E1129" s="35" t="str">
        <x:v>Condition</x:v>
      </x:c>
      <x:c r="F1129" s="35" t="n">
        <x:v>12</x:v>
      </x:c>
      <x:c r="G1129" s="35" t="str">
        <x:v>RECORDED</x:v>
      </x:c>
      <x:c r="H1129" s="39" t="n">
        <x:f>IF(ISNUMBER('Data'!N275),'Data'!N275*100,"")</x:f>
        <x:v>100</x:v>
      </x:c>
      <x:c r="I1129" s="35" t="str">
        <x:v>PASS</x:v>
      </x:c>
      <x:c r="J1129" s="35" t="str">
        <x:v>PASS</x:v>
      </x:c>
      <x:c r="K1129" s="35" t="str">
        <x:v>PASS</x:v>
      </x:c>
      <x:c r="L1129" s="35" t="str">
        <x:v>PASS</x:v>
      </x:c>
      <x:c r="M1129" s="35" t="str">
        <x:v>numeric coverage for applicable metric</x:v>
      </x:c>
      <x:c r="N1129" s="35" t="str">
        <x:v>Gemini-3.8-flash/Result/Collections_24/result.json</x:v>
      </x:c>
      <x:c r="O1129" s="39" t="n">
        <x:f>IF(AND(G1129="RECORDED",ISNUMBER(H1129)),H1129,"")</x:f>
        <x:v>100</x:v>
      </x:c>
      <x:c r="P1129" s="35" t="str">
        <x:v>NOT_REVEALING</x:v>
      </x:c>
      <x:c r="Q1129" s="35" t="str">
        <x:v>Gemini-3.8-flash/Result/Collections_24/result.json</x:v>
      </x:c>
    </x:row>
    <x:row r="1130">
      <x:c r="A1130" s="35" t="str">
        <x:v>gemini</x:v>
      </x:c>
      <x:c r="B1130" s="35" t="str">
        <x:v>Collections</x:v>
      </x:c>
      <x:c r="C1130" s="35" t="str">
        <x:v>Round1</x:v>
      </x:c>
      <x:c r="D1130" s="35" t="str">
        <x:v>Collections_25</x:v>
      </x:c>
      <x:c r="E1130" s="35" t="str">
        <x:v>Condition</x:v>
      </x:c>
      <x:c r="F1130" s="35"/>
      <x:c r="G1130" s="35" t="str">
        <x:v>A</x:v>
      </x:c>
      <x:c r="H1130" s="39" t="str">
        <x:f>IF(ISNUMBER('Data'!N276),'Data'!N276*100,"")</x:f>
      </x:c>
      <x:c r="I1130" s="35"/>
      <x:c r="J1130" s="35" t="str">
        <x:v>PASS</x:v>
      </x:c>
      <x:c r="K1130" s="35" t="str">
        <x:v>FAIL</x:v>
      </x:c>
      <x:c r="L1130" s="35" t="str">
        <x:v>NOT_RUN</x:v>
      </x:c>
      <x:c r="M1130" s="35" t="str">
        <x:v>coverage unavailable or execution/compile failed</x:v>
      </x:c>
      <x:c r="N1130" s="35" t="str">
        <x:v>Gemini-3.8-flash/Result/Collections_25/result.json</x:v>
      </x:c>
      <x:c r="O1130" s="39" t="str">
        <x:f>IF(AND(G1130="RECORDED",ISNUMBER(H1130)),H1130,"")</x:f>
      </x:c>
      <x:c r="P1130" s="35" t="str">
        <x:v>NOT_AVAILABLE</x:v>
      </x:c>
      <x:c r="Q1130" s="35" t="str">
        <x:v>Gemini-3.8-flash/Result/Collections_25/result.json</x:v>
      </x:c>
    </x:row>
    <x:row r="1131">
      <x:c r="A1131" s="35" t="str">
        <x:v>gemini</x:v>
      </x:c>
      <x:c r="B1131" s="35" t="str">
        <x:v>Collections</x:v>
      </x:c>
      <x:c r="C1131" s="35" t="str">
        <x:v>Round1</x:v>
      </x:c>
      <x:c r="D1131" s="35" t="str">
        <x:v>Collections_26</x:v>
      </x:c>
      <x:c r="E1131" s="35" t="str">
        <x:v>Condition</x:v>
      </x:c>
      <x:c r="F1131" s="35" t="n">
        <x:v>12</x:v>
      </x:c>
      <x:c r="G1131" s="35" t="str">
        <x:v>RECORDED</x:v>
      </x:c>
      <x:c r="H1131" s="39" t="n">
        <x:f>IF(ISNUMBER('Data'!N277),'Data'!N277*100,"")</x:f>
        <x:v>75</x:v>
      </x:c>
      <x:c r="I1131" s="35" t="str">
        <x:v>PASS</x:v>
      </x:c>
      <x:c r="J1131" s="35" t="str">
        <x:v>PASS</x:v>
      </x:c>
      <x:c r="K1131" s="35" t="str">
        <x:v>PASS</x:v>
      </x:c>
      <x:c r="L1131" s="35" t="str">
        <x:v>FAIL</x:v>
      </x:c>
      <x:c r="M1131" s="35" t="str">
        <x:v>numeric coverage for applicable metric</x:v>
      </x:c>
      <x:c r="N1131" s="35" t="str">
        <x:v>Gemini-3.8-flash/Result/Collections_26/result.json</x:v>
      </x:c>
      <x:c r="O1131" s="39" t="n">
        <x:f>IF(AND(G1131="RECORDED",ISNUMBER(H1131)),H1131,"")</x:f>
        <x:v>75</x:v>
      </x:c>
      <x:c r="P1131" s="35" t="str">
        <x:v>INCONCLUSIVE</x:v>
      </x:c>
      <x:c r="Q1131" s="35" t="str">
        <x:v>Gemini-3.8-flash/Result/Collections_26/result.json</x:v>
      </x:c>
    </x:row>
    <x:row r="1132">
      <x:c r="A1132" s="35" t="str">
        <x:v>gemini</x:v>
      </x:c>
      <x:c r="B1132" s="35" t="str">
        <x:v>Collections</x:v>
      </x:c>
      <x:c r="C1132" s="35" t="str">
        <x:v>Round1</x:v>
      </x:c>
      <x:c r="D1132" s="35" t="str">
        <x:v>Collections_27</x:v>
      </x:c>
      <x:c r="E1132" s="35" t="str">
        <x:v>Condition</x:v>
      </x:c>
      <x:c r="F1132" s="35" t="n">
        <x:v>50</x:v>
      </x:c>
      <x:c r="G1132" s="35" t="str">
        <x:v>RECORDED</x:v>
      </x:c>
      <x:c r="H1132" s="39" t="n">
        <x:f>IF(ISNUMBER('Data'!N278),'Data'!N278*100,"")</x:f>
        <x:v>44</x:v>
      </x:c>
      <x:c r="I1132" s="35" t="str">
        <x:v>PASS</x:v>
      </x:c>
      <x:c r="J1132" s="35" t="str">
        <x:v>PASS</x:v>
      </x:c>
      <x:c r="K1132" s="35" t="str">
        <x:v>PASS</x:v>
      </x:c>
      <x:c r="L1132" s="35" t="str">
        <x:v>PASS</x:v>
      </x:c>
      <x:c r="M1132" s="35" t="str">
        <x:v>numeric coverage for applicable metric</x:v>
      </x:c>
      <x:c r="N1132" s="35" t="str">
        <x:v>Gemini-3.8-flash/Result/Collections_27/result.json</x:v>
      </x:c>
      <x:c r="O1132" s="39" t="n">
        <x:f>IF(AND(G1132="RECORDED",ISNUMBER(H1132)),H1132,"")</x:f>
        <x:v>44</x:v>
      </x:c>
      <x:c r="P1132" s="35" t="str">
        <x:v>NOT_REVEALING</x:v>
      </x:c>
      <x:c r="Q1132" s="35" t="str">
        <x:v>Gemini-3.8-flash/Result/Collections_27/result.json</x:v>
      </x:c>
    </x:row>
    <x:row r="1133">
      <x:c r="A1133" s="35" t="str">
        <x:v>gemini</x:v>
      </x:c>
      <x:c r="B1133" s="35" t="str">
        <x:v>Collections</x:v>
      </x:c>
      <x:c r="C1133" s="35" t="str">
        <x:v>Round1</x:v>
      </x:c>
      <x:c r="D1133" s="35" t="str">
        <x:v>Collections_28</x:v>
      </x:c>
      <x:c r="E1133" s="35" t="str">
        <x:v>Condition</x:v>
      </x:c>
      <x:c r="F1133" s="35"/>
      <x:c r="G1133" s="35" t="str">
        <x:v>A</x:v>
      </x:c>
      <x:c r="H1133" s="39" t="str">
        <x:f>IF(ISNUMBER('Data'!N279),'Data'!N279*100,"")</x:f>
      </x:c>
      <x:c r="I1133" s="35"/>
      <x:c r="J1133" s="35" t="str">
        <x:v>PASS</x:v>
      </x:c>
      <x:c r="K1133" s="35" t="str">
        <x:v>FAIL</x:v>
      </x:c>
      <x:c r="L1133" s="35" t="str">
        <x:v>NOT_RUN</x:v>
      </x:c>
      <x:c r="M1133" s="35" t="str">
        <x:v>coverage unavailable or execution/compile failed</x:v>
      </x:c>
      <x:c r="N1133" s="35" t="str">
        <x:v>Gemini-3.8-flash/Result/Collections_28/result.json</x:v>
      </x:c>
      <x:c r="O1133" s="39" t="str">
        <x:f>IF(AND(G1133="RECORDED",ISNUMBER(H1133)),H1133,"")</x:f>
      </x:c>
      <x:c r="P1133" s="35" t="str">
        <x:v>NOT_AVAILABLE</x:v>
      </x:c>
      <x:c r="Q1133" s="35" t="str">
        <x:v>Gemini-3.8-flash/Result/Collections_28/result.json</x:v>
      </x:c>
    </x:row>
    <x:row r="1134">
      <x:c r="A1134" s="35" t="str">
        <x:v>gemini</x:v>
      </x:c>
      <x:c r="B1134" s="35" t="str">
        <x:v>Collections</x:v>
      </x:c>
      <x:c r="C1134" s="35" t="str">
        <x:v>Round1</x:v>
      </x:c>
      <x:c r="D1134" s="35" t="str">
        <x:v>Collections_3</x:v>
      </x:c>
      <x:c r="E1134" s="35" t="str">
        <x:v>Condition</x:v>
      </x:c>
      <x:c r="F1134" s="35" t="n">
        <x:v>244</x:v>
      </x:c>
      <x:c r="G1134" s="35" t="str">
        <x:v>RECORDED</x:v>
      </x:c>
      <x:c r="H1134" s="39" t="n">
        <x:f>IF(ISNUMBER('Data'!N280),'Data'!N280*100,"")</x:f>
        <x:v>20.08</x:v>
      </x:c>
      <x:c r="I1134" s="35" t="str">
        <x:v>PASS</x:v>
      </x:c>
      <x:c r="J1134" s="35" t="str">
        <x:v>PASS</x:v>
      </x:c>
      <x:c r="K1134" s="35" t="str">
        <x:v>PASS</x:v>
      </x:c>
      <x:c r="L1134" s="35" t="str">
        <x:v>PASS</x:v>
      </x:c>
      <x:c r="M1134" s="35" t="str">
        <x:v>numeric coverage for applicable metric</x:v>
      </x:c>
      <x:c r="N1134" s="35" t="str">
        <x:v>Gemini-3.8-flash/Result/Collections_3/result.json</x:v>
      </x:c>
      <x:c r="O1134" s="39" t="n">
        <x:f>IF(AND(G1134="RECORDED",ISNUMBER(H1134)),H1134,"")</x:f>
        <x:v>20.08</x:v>
      </x:c>
      <x:c r="P1134" s="35" t="str">
        <x:v>NOT_REVEALING</x:v>
      </x:c>
      <x:c r="Q1134" s="35" t="str">
        <x:v>Gemini-3.8-flash/Result/Collections_3/result.json</x:v>
      </x:c>
    </x:row>
    <x:row r="1135">
      <x:c r="A1135" s="35" t="str">
        <x:v>gemini</x:v>
      </x:c>
      <x:c r="B1135" s="35" t="str">
        <x:v>Collections</x:v>
      </x:c>
      <x:c r="C1135" s="35" t="str">
        <x:v>Round1</x:v>
      </x:c>
      <x:c r="D1135" s="35" t="str">
        <x:v>Collections_4</x:v>
      </x:c>
      <x:c r="E1135" s="35" t="str">
        <x:v>Condition</x:v>
      </x:c>
      <x:c r="F1135" s="35" t="n">
        <x:v>48</x:v>
      </x:c>
      <x:c r="G1135" s="35" t="str">
        <x:v>RECORDED</x:v>
      </x:c>
      <x:c r="H1135" s="39" t="n">
        <x:f>IF(ISNUMBER('Data'!N281),'Data'!N281*100,"")</x:f>
        <x:v>39.58</x:v>
      </x:c>
      <x:c r="I1135" s="35" t="str">
        <x:v>PASS</x:v>
      </x:c>
      <x:c r="J1135" s="35" t="str">
        <x:v>PASS</x:v>
      </x:c>
      <x:c r="K1135" s="35" t="str">
        <x:v>PASS</x:v>
      </x:c>
      <x:c r="L1135" s="35" t="str">
        <x:v>FAIL</x:v>
      </x:c>
      <x:c r="M1135" s="35" t="str">
        <x:v>numeric coverage for applicable metric</x:v>
      </x:c>
      <x:c r="N1135" s="35" t="str">
        <x:v>Gemini-3.8-flash/Result/Collections_4/result.json</x:v>
      </x:c>
      <x:c r="O1135" s="39" t="n">
        <x:f>IF(AND(G1135="RECORDED",ISNUMBER(H1135)),H1135,"")</x:f>
        <x:v>39.58</x:v>
      </x:c>
      <x:c r="P1135" s="35" t="str">
        <x:v>INCONCLUSIVE</x:v>
      </x:c>
      <x:c r="Q1135" s="35" t="str">
        <x:v>Gemini-3.8-flash/Result/Collections_4/result.json</x:v>
      </x:c>
    </x:row>
    <x:row r="1136">
      <x:c r="A1136" s="35" t="str">
        <x:v>gemini</x:v>
      </x:c>
      <x:c r="B1136" s="35" t="str">
        <x:v>Collections</x:v>
      </x:c>
      <x:c r="C1136" s="35" t="str">
        <x:v>Round1</x:v>
      </x:c>
      <x:c r="D1136" s="35" t="str">
        <x:v>Collections_5</x:v>
      </x:c>
      <x:c r="E1136" s="35" t="str">
        <x:v>Condition</x:v>
      </x:c>
      <x:c r="F1136" s="35" t="n">
        <x:v>20</x:v>
      </x:c>
      <x:c r="G1136" s="35" t="str">
        <x:v>RECORDED</x:v>
      </x:c>
      <x:c r="H1136" s="39" t="n">
        <x:f>IF(ISNUMBER('Data'!N282),'Data'!N282*100,"")</x:f>
        <x:v>60</x:v>
      </x:c>
      <x:c r="I1136" s="35" t="str">
        <x:v>PASS</x:v>
      </x:c>
      <x:c r="J1136" s="35" t="str">
        <x:v>PASS</x:v>
      </x:c>
      <x:c r="K1136" s="35" t="str">
        <x:v>PASS</x:v>
      </x:c>
      <x:c r="L1136" s="35" t="str">
        <x:v>PASS</x:v>
      </x:c>
      <x:c r="M1136" s="35" t="str">
        <x:v>numeric coverage for applicable metric</x:v>
      </x:c>
      <x:c r="N1136" s="35" t="str">
        <x:v>Gemini-3.8-flash/Result/Collections_5/result.json</x:v>
      </x:c>
      <x:c r="O1136" s="39" t="n">
        <x:f>IF(AND(G1136="RECORDED",ISNUMBER(H1136)),H1136,"")</x:f>
        <x:v>60</x:v>
      </x:c>
      <x:c r="P1136" s="35" t="str">
        <x:v>NOT_REVEALING</x:v>
      </x:c>
      <x:c r="Q1136" s="35" t="str">
        <x:v>Gemini-3.8-flash/Result/Collections_5/result.json</x:v>
      </x:c>
    </x:row>
    <x:row r="1137">
      <x:c r="A1137" s="35" t="str">
        <x:v>gemini</x:v>
      </x:c>
      <x:c r="B1137" s="35" t="str">
        <x:v>Collections</x:v>
      </x:c>
      <x:c r="C1137" s="35" t="str">
        <x:v>Round1</x:v>
      </x:c>
      <x:c r="D1137" s="35" t="str">
        <x:v>Collections_6</x:v>
      </x:c>
      <x:c r="E1137" s="35" t="str">
        <x:v>Condition</x:v>
      </x:c>
      <x:c r="F1137" s="35" t="n">
        <x:v>376</x:v>
      </x:c>
      <x:c r="G1137" s="35" t="str">
        <x:v>RECORDED</x:v>
      </x:c>
      <x:c r="H1137" s="39" t="n">
        <x:f>IF(ISNUMBER('Data'!N283),'Data'!N283*100,"")</x:f>
        <x:v>25.53</x:v>
      </x:c>
      <x:c r="I1137" s="35" t="str">
        <x:v>PASS</x:v>
      </x:c>
      <x:c r="J1137" s="35" t="str">
        <x:v>PASS</x:v>
      </x:c>
      <x:c r="K1137" s="35" t="str">
        <x:v>PASS</x:v>
      </x:c>
      <x:c r="L1137" s="35" t="str">
        <x:v>FAIL</x:v>
      </x:c>
      <x:c r="M1137" s="35" t="str">
        <x:v>numeric coverage for applicable metric</x:v>
      </x:c>
      <x:c r="N1137" s="35" t="str">
        <x:v>Gemini-3.8-flash/Result/Collections_6/result.json</x:v>
      </x:c>
      <x:c r="O1137" s="39" t="n">
        <x:f>IF(AND(G1137="RECORDED",ISNUMBER(H1137)),H1137,"")</x:f>
        <x:v>25.53</x:v>
      </x:c>
      <x:c r="P1137" s="35" t="str">
        <x:v>REVEALING</x:v>
      </x:c>
      <x:c r="Q1137" s="35" t="str">
        <x:v>Gemini-3.8-flash/Result/Collections_6/result.json</x:v>
      </x:c>
    </x:row>
    <x:row r="1138">
      <x:c r="A1138" s="35" t="str">
        <x:v>gemini</x:v>
      </x:c>
      <x:c r="B1138" s="35" t="str">
        <x:v>Collections</x:v>
      </x:c>
      <x:c r="C1138" s="35" t="str">
        <x:v>Round1</x:v>
      </x:c>
      <x:c r="D1138" s="35" t="str">
        <x:v>Collections_7</x:v>
      </x:c>
      <x:c r="E1138" s="35" t="str">
        <x:v>Condition</x:v>
      </x:c>
      <x:c r="F1138" s="35" t="n">
        <x:v>280</x:v>
      </x:c>
      <x:c r="G1138" s="35" t="str">
        <x:v>RECORDED</x:v>
      </x:c>
      <x:c r="H1138" s="39" t="n">
        <x:f>IF(ISNUMBER('Data'!N284),'Data'!N284*100,"")</x:f>
        <x:v>27.140000000000004</x:v>
      </x:c>
      <x:c r="I1138" s="35" t="str">
        <x:v>PASS</x:v>
      </x:c>
      <x:c r="J1138" s="35" t="str">
        <x:v>PASS</x:v>
      </x:c>
      <x:c r="K1138" s="35" t="str">
        <x:v>PASS</x:v>
      </x:c>
      <x:c r="L1138" s="35" t="str">
        <x:v>PASS</x:v>
      </x:c>
      <x:c r="M1138" s="35" t="str">
        <x:v>numeric coverage for applicable metric</x:v>
      </x:c>
      <x:c r="N1138" s="35" t="str">
        <x:v>Gemini-3.8-flash/Result/Collections_7/result.json</x:v>
      </x:c>
      <x:c r="O1138" s="39" t="n">
        <x:f>IF(AND(G1138="RECORDED",ISNUMBER(H1138)),H1138,"")</x:f>
        <x:v>27.140000000000004</x:v>
      </x:c>
      <x:c r="P1138" s="35" t="str">
        <x:v>NOT_REVEALING</x:v>
      </x:c>
      <x:c r="Q1138" s="35" t="str">
        <x:v>Gemini-3.8-flash/Result/Collections_7/result.json</x:v>
      </x:c>
    </x:row>
    <x:row r="1139">
      <x:c r="A1139" s="35" t="str">
        <x:v>gemini</x:v>
      </x:c>
      <x:c r="B1139" s="35" t="str">
        <x:v>Collections</x:v>
      </x:c>
      <x:c r="C1139" s="35" t="str">
        <x:v>Round1</x:v>
      </x:c>
      <x:c r="D1139" s="35" t="str">
        <x:v>Collections_8</x:v>
      </x:c>
      <x:c r="E1139" s="35" t="str">
        <x:v>Condition</x:v>
      </x:c>
      <x:c r="F1139" s="35" t="n">
        <x:v>36</x:v>
      </x:c>
      <x:c r="G1139" s="35" t="str">
        <x:v>RECORDED</x:v>
      </x:c>
      <x:c r="H1139" s="39" t="n">
        <x:f>IF(ISNUMBER('Data'!N285),'Data'!N285*100,"")</x:f>
        <x:v>52.78</x:v>
      </x:c>
      <x:c r="I1139" s="35" t="str">
        <x:v>PASS</x:v>
      </x:c>
      <x:c r="J1139" s="35" t="str">
        <x:v>PASS</x:v>
      </x:c>
      <x:c r="K1139" s="35" t="str">
        <x:v>PASS</x:v>
      </x:c>
      <x:c r="L1139" s="35" t="str">
        <x:v>PASS</x:v>
      </x:c>
      <x:c r="M1139" s="35" t="str">
        <x:v>numeric coverage for applicable metric</x:v>
      </x:c>
      <x:c r="N1139" s="35" t="str">
        <x:v>Gemini-3.8-flash/Result/Collections_8/result.json</x:v>
      </x:c>
      <x:c r="O1139" s="39" t="n">
        <x:f>IF(AND(G1139="RECORDED",ISNUMBER(H1139)),H1139,"")</x:f>
        <x:v>52.78</x:v>
      </x:c>
      <x:c r="P1139" s="35" t="str">
        <x:v>NOT_REVEALING</x:v>
      </x:c>
      <x:c r="Q1139" s="35" t="str">
        <x:v>Gemini-3.8-flash/Result/Collections_8/result.json</x:v>
      </x:c>
    </x:row>
    <x:row r="1140">
      <x:c r="A1140" s="35" t="str">
        <x:v>gemini</x:v>
      </x:c>
      <x:c r="B1140" s="35" t="str">
        <x:v>Collections</x:v>
      </x:c>
      <x:c r="C1140" s="35" t="str">
        <x:v>Round1</x:v>
      </x:c>
      <x:c r="D1140" s="35" t="str">
        <x:v>Collections_9</x:v>
      </x:c>
      <x:c r="E1140" s="35" t="str">
        <x:v>Condition</x:v>
      </x:c>
      <x:c r="F1140" s="35" t="n">
        <x:v>280</x:v>
      </x:c>
      <x:c r="G1140" s="35" t="str">
        <x:v>RECORDED</x:v>
      </x:c>
      <x:c r="H1140" s="39" t="n">
        <x:f>IF(ISNUMBER('Data'!N286),'Data'!N286*100,"")</x:f>
        <x:v>27.140000000000004</x:v>
      </x:c>
      <x:c r="I1140" s="35" t="str">
        <x:v>PASS</x:v>
      </x:c>
      <x:c r="J1140" s="35" t="str">
        <x:v>PASS</x:v>
      </x:c>
      <x:c r="K1140" s="35" t="str">
        <x:v>PASS</x:v>
      </x:c>
      <x:c r="L1140" s="35" t="str">
        <x:v>PASS</x:v>
      </x:c>
      <x:c r="M1140" s="35" t="str">
        <x:v>numeric coverage for applicable metric</x:v>
      </x:c>
      <x:c r="N1140" s="35" t="str">
        <x:v>Gemini-3.8-flash/Result/Collections_9/result.json</x:v>
      </x:c>
      <x:c r="O1140" s="39" t="n">
        <x:f>IF(AND(G1140="RECORDED",ISNUMBER(H1140)),H1140,"")</x:f>
        <x:v>27.140000000000004</x:v>
      </x:c>
      <x:c r="P1140" s="35" t="str">
        <x:v>NOT_REVEALING</x:v>
      </x:c>
      <x:c r="Q1140" s="35" t="str">
        <x:v>Gemini-3.8-flash/Result/Collections_9/result.json</x:v>
      </x:c>
    </x:row>
    <x:row r="1141">
      <x:c r="A1141" s="35" t="str">
        <x:v>gemini</x:v>
      </x:c>
      <x:c r="B1141" s="35" t="str">
        <x:v>Compress</x:v>
      </x:c>
      <x:c r="C1141" s="35" t="str">
        <x:v>Round1</x:v>
      </x:c>
      <x:c r="D1141" s="35" t="str">
        <x:v>Compress_1</x:v>
      </x:c>
      <x:c r="E1141" s="35" t="str">
        <x:v>Condition</x:v>
      </x:c>
      <x:c r="F1141" s="35"/>
      <x:c r="G1141" s="35" t="str">
        <x:v>A</x:v>
      </x:c>
      <x:c r="H1141" s="39" t="str">
        <x:f>IF(ISNUMBER('Data'!N287),'Data'!N287*100,"")</x:f>
      </x:c>
      <x:c r="I1141" s="35"/>
      <x:c r="J1141" s="35" t="str">
        <x:v>PASS</x:v>
      </x:c>
      <x:c r="K1141" s="35" t="str">
        <x:v>FAIL</x:v>
      </x:c>
      <x:c r="L1141" s="35" t="str">
        <x:v>NOT_RUN</x:v>
      </x:c>
      <x:c r="M1141" s="35" t="str">
        <x:v>coverage unavailable or execution/compile failed</x:v>
      </x:c>
      <x:c r="N1141" s="35" t="str">
        <x:v>Gemini-3.8-flash/Result/Compress_1/result.json</x:v>
      </x:c>
      <x:c r="O1141" s="39" t="str">
        <x:f>IF(AND(G1141="RECORDED",ISNUMBER(H1141)),H1141,"")</x:f>
      </x:c>
      <x:c r="P1141" s="35" t="str">
        <x:v>NOT_AVAILABLE</x:v>
      </x:c>
      <x:c r="Q1141" s="35" t="str">
        <x:v>Gemini-3.8-flash/Result/Compress_1/result.json</x:v>
      </x:c>
    </x:row>
    <x:row r="1142">
      <x:c r="A1142" s="35" t="str">
        <x:v>gemini</x:v>
      </x:c>
      <x:c r="B1142" s="35" t="str">
        <x:v>Compress</x:v>
      </x:c>
      <x:c r="C1142" s="35" t="str">
        <x:v>Round1</x:v>
      </x:c>
      <x:c r="D1142" s="35" t="str">
        <x:v>Compress_10</x:v>
      </x:c>
      <x:c r="E1142" s="35" t="str">
        <x:v>Condition</x:v>
      </x:c>
      <x:c r="F1142" s="35" t="n">
        <x:v>113</x:v>
      </x:c>
      <x:c r="G1142" s="35" t="str">
        <x:v>RECORDED</x:v>
      </x:c>
      <x:c r="H1142" s="39" t="n">
        <x:f>IF(ISNUMBER('Data'!N288),'Data'!N288*100,"")</x:f>
        <x:v>67.26</x:v>
      </x:c>
      <x:c r="I1142" s="35" t="str">
        <x:v>PASS</x:v>
      </x:c>
      <x:c r="J1142" s="35" t="str">
        <x:v>PASS</x:v>
      </x:c>
      <x:c r="K1142" s="35" t="str">
        <x:v>PASS</x:v>
      </x:c>
      <x:c r="L1142" s="35" t="str">
        <x:v>FAIL</x:v>
      </x:c>
      <x:c r="M1142" s="35" t="str">
        <x:v>numeric coverage for applicable metric</x:v>
      </x:c>
      <x:c r="N1142" s="35" t="str">
        <x:v>Gemini-3.8-flash/Result/Compress_10/result.json</x:v>
      </x:c>
      <x:c r="O1142" s="39" t="n">
        <x:f>IF(AND(G1142="RECORDED",ISNUMBER(H1142)),H1142,"")</x:f>
        <x:v>67.26</x:v>
      </x:c>
      <x:c r="P1142" s="35" t="str">
        <x:v>INCONCLUSIVE</x:v>
      </x:c>
      <x:c r="Q1142" s="35" t="str">
        <x:v>Gemini-3.8-flash/Result/Compress_10/result.json</x:v>
      </x:c>
    </x:row>
    <x:row r="1143">
      <x:c r="A1143" s="35" t="str">
        <x:v>gemini</x:v>
      </x:c>
      <x:c r="B1143" s="35" t="str">
        <x:v>Compress</x:v>
      </x:c>
      <x:c r="C1143" s="35" t="str">
        <x:v>Round1</x:v>
      </x:c>
      <x:c r="D1143" s="35" t="str">
        <x:v>Compress_11</x:v>
      </x:c>
      <x:c r="E1143" s="35" t="str">
        <x:v>Condition</x:v>
      </x:c>
      <x:c r="F1143" s="35"/>
      <x:c r="G1143" s="35" t="str">
        <x:v>A</x:v>
      </x:c>
      <x:c r="H1143" s="39" t="str">
        <x:f>IF(ISNUMBER('Data'!N289),'Data'!N289*100,"")</x:f>
      </x:c>
      <x:c r="I1143" s="35"/>
      <x:c r="J1143" s="35" t="str">
        <x:v>PASS</x:v>
      </x:c>
      <x:c r="K1143" s="35" t="str">
        <x:v>FAIL</x:v>
      </x:c>
      <x:c r="L1143" s="35" t="str">
        <x:v>NOT_RUN</x:v>
      </x:c>
      <x:c r="M1143" s="35" t="str">
        <x:v>coverage unavailable or execution/compile failed</x:v>
      </x:c>
      <x:c r="N1143" s="35" t="str">
        <x:v>Gemini-3.8-flash/Result/Compress_11/result.json</x:v>
      </x:c>
      <x:c r="O1143" s="39" t="str">
        <x:f>IF(AND(G1143="RECORDED",ISNUMBER(H1143)),H1143,"")</x:f>
      </x:c>
      <x:c r="P1143" s="35" t="str">
        <x:v>NOT_AVAILABLE</x:v>
      </x:c>
      <x:c r="Q1143" s="35" t="str">
        <x:v>Gemini-3.8-flash/Result/Compress_11/result.json</x:v>
      </x:c>
    </x:row>
    <x:row r="1144">
      <x:c r="A1144" s="35" t="str">
        <x:v>gemini</x:v>
      </x:c>
      <x:c r="B1144" s="35" t="str">
        <x:v>Compress</x:v>
      </x:c>
      <x:c r="C1144" s="35" t="str">
        <x:v>Round1</x:v>
      </x:c>
      <x:c r="D1144" s="35" t="str">
        <x:v>Compress_12</x:v>
      </x:c>
      <x:c r="E1144" s="35" t="str">
        <x:v>Condition</x:v>
      </x:c>
      <x:c r="F1144" s="35" t="n">
        <x:v>110</x:v>
      </x:c>
      <x:c r="G1144" s="35" t="str">
        <x:v>RECORDED</x:v>
      </x:c>
      <x:c r="H1144" s="39" t="n">
        <x:f>IF(ISNUMBER('Data'!N290),'Data'!N290*100,"")</x:f>
        <x:v>72.73</x:v>
      </x:c>
      <x:c r="I1144" s="35" t="str">
        <x:v>PASS</x:v>
      </x:c>
      <x:c r="J1144" s="35" t="str">
        <x:v>PASS</x:v>
      </x:c>
      <x:c r="K1144" s="35" t="str">
        <x:v>PASS</x:v>
      </x:c>
      <x:c r="L1144" s="35" t="str">
        <x:v>FAIL</x:v>
      </x:c>
      <x:c r="M1144" s="35" t="str">
        <x:v>numeric coverage for applicable metric</x:v>
      </x:c>
      <x:c r="N1144" s="35" t="str">
        <x:v>Gemini-3.8-flash/Result/Compress_12/result.json</x:v>
      </x:c>
      <x:c r="O1144" s="39" t="n">
        <x:f>IF(AND(G1144="RECORDED",ISNUMBER(H1144)),H1144,"")</x:f>
        <x:v>72.73</x:v>
      </x:c>
      <x:c r="P1144" s="35" t="str">
        <x:v>INCONCLUSIVE</x:v>
      </x:c>
      <x:c r="Q1144" s="35" t="str">
        <x:v>Gemini-3.8-flash/Result/Compress_12/result.json</x:v>
      </x:c>
    </x:row>
    <x:row r="1145">
      <x:c r="A1145" s="35" t="str">
        <x:v>gemini</x:v>
      </x:c>
      <x:c r="B1145" s="35" t="str">
        <x:v>Compress</x:v>
      </x:c>
      <x:c r="C1145" s="35" t="str">
        <x:v>Round1</x:v>
      </x:c>
      <x:c r="D1145" s="35" t="str">
        <x:v>Compress_13</x:v>
      </x:c>
      <x:c r="E1145" s="35" t="str">
        <x:v>Condition</x:v>
      </x:c>
      <x:c r="F1145" s="35"/>
      <x:c r="G1145" s="35" t="str">
        <x:v>A</x:v>
      </x:c>
      <x:c r="H1145" s="39" t="str">
        <x:f>IF(ISNUMBER('Data'!N291),'Data'!N291*100,"")</x:f>
      </x:c>
      <x:c r="I1145" s="35"/>
      <x:c r="J1145" s="35" t="str">
        <x:v>PASS</x:v>
      </x:c>
      <x:c r="K1145" s="35" t="str">
        <x:v>FAIL</x:v>
      </x:c>
      <x:c r="L1145" s="35" t="str">
        <x:v>NOT_RUN</x:v>
      </x:c>
      <x:c r="M1145" s="35" t="str">
        <x:v>coverage unavailable or execution/compile failed</x:v>
      </x:c>
      <x:c r="N1145" s="35" t="str">
        <x:v>Gemini-3.8-flash/Result/Compress_13/result.json</x:v>
      </x:c>
      <x:c r="O1145" s="39" t="str">
        <x:f>IF(AND(G1145="RECORDED",ISNUMBER(H1145)),H1145,"")</x:f>
      </x:c>
      <x:c r="P1145" s="35" t="str">
        <x:v>NOT_AVAILABLE</x:v>
      </x:c>
      <x:c r="Q1145" s="35" t="str">
        <x:v>Gemini-3.8-flash/Result/Compress_13/result.json</x:v>
      </x:c>
    </x:row>
    <x:row r="1146">
      <x:c r="A1146" s="35" t="str">
        <x:v>gemini</x:v>
      </x:c>
      <x:c r="B1146" s="35" t="str">
        <x:v>Compress</x:v>
      </x:c>
      <x:c r="C1146" s="35" t="str">
        <x:v>Round1</x:v>
      </x:c>
      <x:c r="D1146" s="35" t="str">
        <x:v>Compress_14</x:v>
      </x:c>
      <x:c r="E1146" s="35" t="str">
        <x:v>Condition</x:v>
      </x:c>
      <x:c r="F1146" s="35" t="n">
        <x:v>66</x:v>
      </x:c>
      <x:c r="G1146" s="35" t="str">
        <x:v>RECORDED</x:v>
      </x:c>
      <x:c r="H1146" s="39" t="n">
        <x:f>IF(ISNUMBER('Data'!N292),'Data'!N292*100,"")</x:f>
        <x:v>95.45</x:v>
      </x:c>
      <x:c r="I1146" s="35" t="str">
        <x:v>PASS</x:v>
      </x:c>
      <x:c r="J1146" s="35" t="str">
        <x:v>PASS</x:v>
      </x:c>
      <x:c r="K1146" s="35" t="str">
        <x:v>PASS</x:v>
      </x:c>
      <x:c r="L1146" s="35" t="str">
        <x:v>PASS</x:v>
      </x:c>
      <x:c r="M1146" s="35" t="str">
        <x:v>numeric coverage for applicable metric</x:v>
      </x:c>
      <x:c r="N1146" s="35" t="str">
        <x:v>Gemini-3.8-flash/Result/Compress_14/result.json</x:v>
      </x:c>
      <x:c r="O1146" s="39" t="n">
        <x:f>IF(AND(G1146="RECORDED",ISNUMBER(H1146)),H1146,"")</x:f>
        <x:v>95.45</x:v>
      </x:c>
      <x:c r="P1146" s="35" t="str">
        <x:v>NOT_REVEALING</x:v>
      </x:c>
      <x:c r="Q1146" s="35" t="str">
        <x:v>Gemini-3.8-flash/Result/Compress_14/result.json</x:v>
      </x:c>
    </x:row>
    <x:row r="1147">
      <x:c r="A1147" s="35" t="str">
        <x:v>gemini</x:v>
      </x:c>
      <x:c r="B1147" s="35" t="str">
        <x:v>Compress</x:v>
      </x:c>
      <x:c r="C1147" s="35" t="str">
        <x:v>Round1</x:v>
      </x:c>
      <x:c r="D1147" s="35" t="str">
        <x:v>Compress_15</x:v>
      </x:c>
      <x:c r="E1147" s="35" t="str">
        <x:v>Condition</x:v>
      </x:c>
      <x:c r="F1147" s="35" t="n">
        <x:v>110</x:v>
      </x:c>
      <x:c r="G1147" s="35" t="str">
        <x:v>RECORDED</x:v>
      </x:c>
      <x:c r="H1147" s="39" t="n">
        <x:f>IF(ISNUMBER('Data'!N293),'Data'!N293*100,"")</x:f>
        <x:v>88.18</x:v>
      </x:c>
      <x:c r="I1147" s="35" t="str">
        <x:v>PASS</x:v>
      </x:c>
      <x:c r="J1147" s="35" t="str">
        <x:v>PASS</x:v>
      </x:c>
      <x:c r="K1147" s="35" t="str">
        <x:v>PASS</x:v>
      </x:c>
      <x:c r="L1147" s="35" t="str">
        <x:v>FAIL</x:v>
      </x:c>
      <x:c r="M1147" s="35" t="str">
        <x:v>numeric coverage for applicable metric</x:v>
      </x:c>
      <x:c r="N1147" s="35" t="str">
        <x:v>Gemini-3.8-flash/Result/Compress_15/result.json</x:v>
      </x:c>
      <x:c r="O1147" s="39" t="n">
        <x:f>IF(AND(G1147="RECORDED",ISNUMBER(H1147)),H1147,"")</x:f>
        <x:v>88.18</x:v>
      </x:c>
      <x:c r="P1147" s="35" t="str">
        <x:v>INCONCLUSIVE</x:v>
      </x:c>
      <x:c r="Q1147" s="35" t="str">
        <x:v>Gemini-3.8-flash/Result/Compress_15/result.json</x:v>
      </x:c>
    </x:row>
    <x:row r="1148">
      <x:c r="A1148" s="35" t="str">
        <x:v>gemini</x:v>
      </x:c>
      <x:c r="B1148" s="35" t="str">
        <x:v>Compress</x:v>
      </x:c>
      <x:c r="C1148" s="35" t="str">
        <x:v>Round1</x:v>
      </x:c>
      <x:c r="D1148" s="35" t="str">
        <x:v>Compress_16</x:v>
      </x:c>
      <x:c r="E1148" s="35" t="str">
        <x:v>Condition</x:v>
      </x:c>
      <x:c r="F1148" s="35"/>
      <x:c r="G1148" s="35" t="str">
        <x:v>A</x:v>
      </x:c>
      <x:c r="H1148" s="39" t="str">
        <x:f>IF(ISNUMBER('Data'!N294),'Data'!N294*100,"")</x:f>
      </x:c>
      <x:c r="I1148" s="35"/>
      <x:c r="J1148" s="35" t="str">
        <x:v>PASS</x:v>
      </x:c>
      <x:c r="K1148" s="35" t="str">
        <x:v>FAIL</x:v>
      </x:c>
      <x:c r="L1148" s="35" t="str">
        <x:v>NOT_RUN</x:v>
      </x:c>
      <x:c r="M1148" s="35" t="str">
        <x:v>No saved Java source containing a JUnit test method</x:v>
      </x:c>
      <x:c r="N1148" s="35" t="str">
        <x:v>Gemini-3.8-flash/Result/Compress_16/result.json</x:v>
      </x:c>
      <x:c r="O1148" s="39" t="str">
        <x:f>IF(AND(G1148="RECORDED",ISNUMBER(H1148)),H1148,"")</x:f>
      </x:c>
      <x:c r="P1148" s="35" t="str">
        <x:v>FAIL</x:v>
      </x:c>
      <x:c r="Q1148" s="35" t="str">
        <x:v>Gemini-3.8-flash/Result/Compress_16/result.json</x:v>
      </x:c>
    </x:row>
    <x:row r="1149">
      <x:c r="A1149" s="35" t="str">
        <x:v>gemini</x:v>
      </x:c>
      <x:c r="B1149" s="35" t="str">
        <x:v>Compress</x:v>
      </x:c>
      <x:c r="C1149" s="35" t="str">
        <x:v>Round1</x:v>
      </x:c>
      <x:c r="D1149" s="35" t="str">
        <x:v>Compress_17</x:v>
      </x:c>
      <x:c r="E1149" s="35" t="str">
        <x:v>Condition</x:v>
      </x:c>
      <x:c r="F1149" s="35"/>
      <x:c r="G1149" s="35" t="str">
        <x:v>A</x:v>
      </x:c>
      <x:c r="H1149" s="39" t="str">
        <x:f>IF(ISNUMBER('Data'!N295),'Data'!N295*100,"")</x:f>
      </x:c>
      <x:c r="I1149" s="35"/>
      <x:c r="J1149" s="35" t="str">
        <x:v>PASS</x:v>
      </x:c>
      <x:c r="K1149" s="35" t="str">
        <x:v>FAIL</x:v>
      </x:c>
      <x:c r="L1149" s="35" t="str">
        <x:v>NOT_RUN</x:v>
      </x:c>
      <x:c r="M1149" s="35" t="str">
        <x:v>coverage unavailable or execution/compile failed</x:v>
      </x:c>
      <x:c r="N1149" s="35" t="str">
        <x:v>Gemini-3.8-flash/Result/Compress_17/result.json</x:v>
      </x:c>
      <x:c r="O1149" s="39" t="str">
        <x:f>IF(AND(G1149="RECORDED",ISNUMBER(H1149)),H1149,"")</x:f>
      </x:c>
      <x:c r="P1149" s="35" t="str">
        <x:v>NOT_AVAILABLE</x:v>
      </x:c>
      <x:c r="Q1149" s="35" t="str">
        <x:v>Gemini-3.8-flash/Result/Compress_17/result.json</x:v>
      </x:c>
    </x:row>
    <x:row r="1150">
      <x:c r="A1150" s="35" t="str">
        <x:v>gemini</x:v>
      </x:c>
      <x:c r="B1150" s="35" t="str">
        <x:v>Compress</x:v>
      </x:c>
      <x:c r="C1150" s="35" t="str">
        <x:v>Round1</x:v>
      </x:c>
      <x:c r="D1150" s="35" t="str">
        <x:v>Compress_18</x:v>
      </x:c>
      <x:c r="E1150" s="35" t="str">
        <x:v>Condition</x:v>
      </x:c>
      <x:c r="F1150" s="35"/>
      <x:c r="G1150" s="35" t="str">
        <x:v>A</x:v>
      </x:c>
      <x:c r="H1150" s="39" t="str">
        <x:f>IF(ISNUMBER('Data'!N296),'Data'!N296*100,"")</x:f>
      </x:c>
      <x:c r="I1150" s="35"/>
      <x:c r="J1150" s="35" t="str">
        <x:v>PASS</x:v>
      </x:c>
      <x:c r="K1150" s="35" t="str">
        <x:v>FAIL</x:v>
      </x:c>
      <x:c r="L1150" s="35" t="str">
        <x:v>NOT_RUN</x:v>
      </x:c>
      <x:c r="M1150" s="35" t="str">
        <x:v>coverage unavailable or execution/compile failed</x:v>
      </x:c>
      <x:c r="N1150" s="35" t="str">
        <x:v>Gemini-3.8-flash/Result/Compress_18/result.json</x:v>
      </x:c>
      <x:c r="O1150" s="39" t="str">
        <x:f>IF(AND(G1150="RECORDED",ISNUMBER(H1150)),H1150,"")</x:f>
      </x:c>
      <x:c r="P1150" s="35" t="str">
        <x:v>NOT_AVAILABLE</x:v>
      </x:c>
      <x:c r="Q1150" s="35" t="str">
        <x:v>Gemini-3.8-flash/Result/Compress_18/result.json</x:v>
      </x:c>
    </x:row>
    <x:row r="1151">
      <x:c r="A1151" s="35" t="str">
        <x:v>gemini</x:v>
      </x:c>
      <x:c r="B1151" s="35" t="str">
        <x:v>Compress</x:v>
      </x:c>
      <x:c r="C1151" s="35" t="str">
        <x:v>Round1</x:v>
      </x:c>
      <x:c r="D1151" s="35" t="str">
        <x:v>Compress_19</x:v>
      </x:c>
      <x:c r="E1151" s="35" t="str">
        <x:v>Condition</x:v>
      </x:c>
      <x:c r="F1151" s="35" t="n">
        <x:v>60</x:v>
      </x:c>
      <x:c r="G1151" s="35" t="str">
        <x:v>RECORDED</x:v>
      </x:c>
      <x:c r="H1151" s="39" t="n">
        <x:f>IF(ISNUMBER('Data'!N297),'Data'!N297*100,"")</x:f>
        <x:v>96.67</x:v>
      </x:c>
      <x:c r="I1151" s="35" t="str">
        <x:v>PASS</x:v>
      </x:c>
      <x:c r="J1151" s="35" t="str">
        <x:v>PASS</x:v>
      </x:c>
      <x:c r="K1151" s="35" t="str">
        <x:v>PASS</x:v>
      </x:c>
      <x:c r="L1151" s="35" t="str">
        <x:v>PASS</x:v>
      </x:c>
      <x:c r="M1151" s="35" t="str">
        <x:v>numeric coverage for applicable metric</x:v>
      </x:c>
      <x:c r="N1151" s="35" t="str">
        <x:v>Gemini-3.8-flash/Result/Compress_19/result.json</x:v>
      </x:c>
      <x:c r="O1151" s="39" t="n">
        <x:f>IF(AND(G1151="RECORDED",ISNUMBER(H1151)),H1151,"")</x:f>
        <x:v>96.67</x:v>
      </x:c>
      <x:c r="P1151" s="35" t="str">
        <x:v>NOT_REVEALING</x:v>
      </x:c>
      <x:c r="Q1151" s="35" t="str">
        <x:v>Gemini-3.8-flash/Result/Compress_19/result.json</x:v>
      </x:c>
    </x:row>
    <x:row r="1152">
      <x:c r="A1152" s="35" t="str">
        <x:v>gemini</x:v>
      </x:c>
      <x:c r="B1152" s="35" t="str">
        <x:v>Compress</x:v>
      </x:c>
      <x:c r="C1152" s="35" t="str">
        <x:v>Round1</x:v>
      </x:c>
      <x:c r="D1152" s="35" t="str">
        <x:v>Compress_2</x:v>
      </x:c>
      <x:c r="E1152" s="35" t="str">
        <x:v>Condition</x:v>
      </x:c>
      <x:c r="F1152" s="35" t="n">
        <x:v>42</x:v>
      </x:c>
      <x:c r="G1152" s="35" t="str">
        <x:v>RECORDED</x:v>
      </x:c>
      <x:c r="H1152" s="39" t="n">
        <x:f>IF(ISNUMBER('Data'!N298),'Data'!N298*100,"")</x:f>
        <x:v>100</x:v>
      </x:c>
      <x:c r="I1152" s="35" t="str">
        <x:v>PASS</x:v>
      </x:c>
      <x:c r="J1152" s="35" t="str">
        <x:v>PASS</x:v>
      </x:c>
      <x:c r="K1152" s="35" t="str">
        <x:v>PASS</x:v>
      </x:c>
      <x:c r="L1152" s="35" t="str">
        <x:v>PASS</x:v>
      </x:c>
      <x:c r="M1152" s="35" t="str">
        <x:v>numeric coverage for applicable metric</x:v>
      </x:c>
      <x:c r="N1152" s="35" t="str">
        <x:v>Gemini-3.8-flash/Result/Compress_2/result.json</x:v>
      </x:c>
      <x:c r="O1152" s="39" t="n">
        <x:f>IF(AND(G1152="RECORDED",ISNUMBER(H1152)),H1152,"")</x:f>
        <x:v>100</x:v>
      </x:c>
      <x:c r="P1152" s="35" t="str">
        <x:v>NOT_REVEALING</x:v>
      </x:c>
      <x:c r="Q1152" s="35" t="str">
        <x:v>Gemini-3.8-flash/Result/Compress_2/result.json</x:v>
      </x:c>
    </x:row>
    <x:row r="1153">
      <x:c r="A1153" s="35" t="str">
        <x:v>gemini</x:v>
      </x:c>
      <x:c r="B1153" s="35" t="str">
        <x:v>Compress</x:v>
      </x:c>
      <x:c r="C1153" s="35" t="str">
        <x:v>Round1</x:v>
      </x:c>
      <x:c r="D1153" s="35" t="str">
        <x:v>Compress_20</x:v>
      </x:c>
      <x:c r="E1153" s="35" t="str">
        <x:v>Condition</x:v>
      </x:c>
      <x:c r="F1153" s="35" t="n">
        <x:v>114</x:v>
      </x:c>
      <x:c r="G1153" s="35" t="str">
        <x:v>RECORDED</x:v>
      </x:c>
      <x:c r="H1153" s="39" t="n">
        <x:f>IF(ISNUMBER('Data'!N299),'Data'!N299*100,"")</x:f>
        <x:v>92.11</x:v>
      </x:c>
      <x:c r="I1153" s="35" t="str">
        <x:v>PASS</x:v>
      </x:c>
      <x:c r="J1153" s="35" t="str">
        <x:v>PASS</x:v>
      </x:c>
      <x:c r="K1153" s="35" t="str">
        <x:v>PASS</x:v>
      </x:c>
      <x:c r="L1153" s="35" t="str">
        <x:v>FAIL</x:v>
      </x:c>
      <x:c r="M1153" s="35" t="str">
        <x:v>numeric coverage for applicable metric</x:v>
      </x:c>
      <x:c r="N1153" s="35" t="str">
        <x:v>Gemini-3.8-flash/Result/Compress_20/result.json</x:v>
      </x:c>
      <x:c r="O1153" s="39" t="n">
        <x:f>IF(AND(G1153="RECORDED",ISNUMBER(H1153)),H1153,"")</x:f>
        <x:v>92.11</x:v>
      </x:c>
      <x:c r="P1153" s="35" t="str">
        <x:v>INCONCLUSIVE</x:v>
      </x:c>
      <x:c r="Q1153" s="35" t="str">
        <x:v>Gemini-3.8-flash/Result/Compress_20/result.json</x:v>
      </x:c>
    </x:row>
    <x:row r="1154">
      <x:c r="A1154" s="35" t="str">
        <x:v>gemini</x:v>
      </x:c>
      <x:c r="B1154" s="35" t="str">
        <x:v>Compress</x:v>
      </x:c>
      <x:c r="C1154" s="35" t="str">
        <x:v>Round1</x:v>
      </x:c>
      <x:c r="D1154" s="35" t="str">
        <x:v>Compress_21</x:v>
      </x:c>
      <x:c r="E1154" s="35" t="str">
        <x:v>Condition</x:v>
      </x:c>
      <x:c r="F1154" s="35" t="n">
        <x:v>136</x:v>
      </x:c>
      <x:c r="G1154" s="35" t="str">
        <x:v>RECORDED</x:v>
      </x:c>
      <x:c r="H1154" s="39" t="n">
        <x:f>IF(ISNUMBER('Data'!N300),'Data'!N300*100,"")</x:f>
        <x:v>90.44</x:v>
      </x:c>
      <x:c r="I1154" s="35" t="str">
        <x:v>PASS</x:v>
      </x:c>
      <x:c r="J1154" s="35" t="str">
        <x:v>PASS</x:v>
      </x:c>
      <x:c r="K1154" s="35" t="str">
        <x:v>PASS</x:v>
      </x:c>
      <x:c r="L1154" s="35" t="str">
        <x:v>PASS</x:v>
      </x:c>
      <x:c r="M1154" s="35" t="str">
        <x:v>numeric coverage for applicable metric</x:v>
      </x:c>
      <x:c r="N1154" s="35" t="str">
        <x:v>Gemini-3.8-flash/Result/Compress_21/result.json</x:v>
      </x:c>
      <x:c r="O1154" s="39" t="n">
        <x:f>IF(AND(G1154="RECORDED",ISNUMBER(H1154)),H1154,"")</x:f>
        <x:v>90.44</x:v>
      </x:c>
      <x:c r="P1154" s="35" t="str">
        <x:v>NOT_REVEALING</x:v>
      </x:c>
      <x:c r="Q1154" s="35" t="str">
        <x:v>Gemini-3.8-flash/Result/Compress_21/result.json</x:v>
      </x:c>
    </x:row>
    <x:row r="1155">
      <x:c r="A1155" s="35" t="str">
        <x:v>gemini</x:v>
      </x:c>
      <x:c r="B1155" s="35" t="str">
        <x:v>Compress</x:v>
      </x:c>
      <x:c r="C1155" s="35" t="str">
        <x:v>Round1</x:v>
      </x:c>
      <x:c r="D1155" s="35" t="str">
        <x:v>Compress_22</x:v>
      </x:c>
      <x:c r="E1155" s="35" t="str">
        <x:v>Condition</x:v>
      </x:c>
      <x:c r="F1155" s="35" t="n">
        <x:v>265</x:v>
      </x:c>
      <x:c r="G1155" s="35" t="str">
        <x:v>RECORDED</x:v>
      </x:c>
      <x:c r="H1155" s="39" t="n">
        <x:f>IF(ISNUMBER('Data'!N301),'Data'!N301*100,"")</x:f>
        <x:v>24.53</x:v>
      </x:c>
      <x:c r="I1155" s="35" t="str">
        <x:v>PASS</x:v>
      </x:c>
      <x:c r="J1155" s="35" t="str">
        <x:v>PASS</x:v>
      </x:c>
      <x:c r="K1155" s="35" t="str">
        <x:v>PASS</x:v>
      </x:c>
      <x:c r="L1155" s="35" t="str">
        <x:v>PASS</x:v>
      </x:c>
      <x:c r="M1155" s="35" t="str">
        <x:v>numeric coverage for applicable metric</x:v>
      </x:c>
      <x:c r="N1155" s="35" t="str">
        <x:v>Gemini-3.8-flash/Result/Compress_22/result.json</x:v>
      </x:c>
      <x:c r="O1155" s="39" t="n">
        <x:f>IF(AND(G1155="RECORDED",ISNUMBER(H1155)),H1155,"")</x:f>
        <x:v>24.53</x:v>
      </x:c>
      <x:c r="P1155" s="35" t="str">
        <x:v>NOT_REVEALING</x:v>
      </x:c>
      <x:c r="Q1155" s="35" t="str">
        <x:v>Gemini-3.8-flash/Result/Compress_22/result.json</x:v>
      </x:c>
    </x:row>
    <x:row r="1156">
      <x:c r="A1156" s="35" t="str">
        <x:v>gemini</x:v>
      </x:c>
      <x:c r="B1156" s="35" t="str">
        <x:v>Compress</x:v>
      </x:c>
      <x:c r="C1156" s="35" t="str">
        <x:v>Round1</x:v>
      </x:c>
      <x:c r="D1156" s="35" t="str">
        <x:v>Compress_23</x:v>
      </x:c>
      <x:c r="E1156" s="35" t="str">
        <x:v>Condition</x:v>
      </x:c>
      <x:c r="F1156" s="35" t="n">
        <x:v>34</x:v>
      </x:c>
      <x:c r="G1156" s="35" t="str">
        <x:v>RECORDED</x:v>
      </x:c>
      <x:c r="H1156" s="39" t="n">
        <x:f>IF(ISNUMBER('Data'!N302),'Data'!N302*100,"")</x:f>
        <x:v>91.18</x:v>
      </x:c>
      <x:c r="I1156" s="35" t="str">
        <x:v>PASS</x:v>
      </x:c>
      <x:c r="J1156" s="35" t="str">
        <x:v>PASS</x:v>
      </x:c>
      <x:c r="K1156" s="35" t="str">
        <x:v>PASS</x:v>
      </x:c>
      <x:c r="L1156" s="35" t="str">
        <x:v>FAIL</x:v>
      </x:c>
      <x:c r="M1156" s="35" t="str">
        <x:v>numeric coverage for applicable metric</x:v>
      </x:c>
      <x:c r="N1156" s="35" t="str">
        <x:v>Gemini-3.8-flash/Result/Compress_23/result.json</x:v>
      </x:c>
      <x:c r="O1156" s="39" t="n">
        <x:f>IF(AND(G1156="RECORDED",ISNUMBER(H1156)),H1156,"")</x:f>
        <x:v>91.18</x:v>
      </x:c>
      <x:c r="P1156" s="35" t="str">
        <x:v>INCONCLUSIVE</x:v>
      </x:c>
      <x:c r="Q1156" s="35" t="str">
        <x:v>Gemini-3.8-flash/Result/Compress_23/result.json</x:v>
      </x:c>
    </x:row>
    <x:row r="1157">
      <x:c r="A1157" s="35" t="str">
        <x:v>gemini</x:v>
      </x:c>
      <x:c r="B1157" s="35" t="str">
        <x:v>Compress</x:v>
      </x:c>
      <x:c r="C1157" s="35" t="str">
        <x:v>Round1</x:v>
      </x:c>
      <x:c r="D1157" s="35" t="str">
        <x:v>Compress_24</x:v>
      </x:c>
      <x:c r="E1157" s="35" t="str">
        <x:v>Condition</x:v>
      </x:c>
      <x:c r="F1157" s="35"/>
      <x:c r="G1157" s="35" t="str">
        <x:v>A</x:v>
      </x:c>
      <x:c r="H1157" s="39" t="str">
        <x:f>IF(ISNUMBER('Data'!N303),'Data'!N303*100,"")</x:f>
      </x:c>
      <x:c r="I1157" s="35"/>
      <x:c r="J1157" s="35" t="str">
        <x:v>PASS</x:v>
      </x:c>
      <x:c r="K1157" s="35" t="str">
        <x:v>FAIL</x:v>
      </x:c>
      <x:c r="L1157" s="35" t="str">
        <x:v>NOT_RUN</x:v>
      </x:c>
      <x:c r="M1157" s="35" t="str">
        <x:v>coverage unavailable or execution/compile failed</x:v>
      </x:c>
      <x:c r="N1157" s="35" t="str">
        <x:v>Gemini-3.8-flash/Result/Compress_24/result.json</x:v>
      </x:c>
      <x:c r="O1157" s="39" t="str">
        <x:f>IF(AND(G1157="RECORDED",ISNUMBER(H1157)),H1157,"")</x:f>
      </x:c>
      <x:c r="P1157" s="35" t="str">
        <x:v>NOT_AVAILABLE</x:v>
      </x:c>
      <x:c r="Q1157" s="35" t="str">
        <x:v>Gemini-3.8-flash/Result/Compress_24/result.json</x:v>
      </x:c>
    </x:row>
    <x:row r="1158">
      <x:c r="A1158" s="35" t="str">
        <x:v>gemini</x:v>
      </x:c>
      <x:c r="B1158" s="35" t="str">
        <x:v>Compress</x:v>
      </x:c>
      <x:c r="C1158" s="35" t="str">
        <x:v>Round1</x:v>
      </x:c>
      <x:c r="D1158" s="35" t="str">
        <x:v>Compress_25</x:v>
      </x:c>
      <x:c r="E1158" s="35" t="str">
        <x:v>Condition</x:v>
      </x:c>
      <x:c r="F1158" s="35" t="n">
        <x:v>252</x:v>
      </x:c>
      <x:c r="G1158" s="35" t="str">
        <x:v>RECORDED</x:v>
      </x:c>
      <x:c r="H1158" s="39" t="n">
        <x:f>IF(ISNUMBER('Data'!N304),'Data'!N304*100,"")</x:f>
        <x:v>51.97999999999999</x:v>
      </x:c>
      <x:c r="I1158" s="35" t="str">
        <x:v>PASS</x:v>
      </x:c>
      <x:c r="J1158" s="35" t="str">
        <x:v>PASS</x:v>
      </x:c>
      <x:c r="K1158" s="35" t="str">
        <x:v>PASS</x:v>
      </x:c>
      <x:c r="L1158" s="35" t="str">
        <x:v>FAIL</x:v>
      </x:c>
      <x:c r="M1158" s="35" t="str">
        <x:v>numeric coverage for applicable metric</x:v>
      </x:c>
      <x:c r="N1158" s="35" t="str">
        <x:v>Gemini-3.8-flash/Result/Compress_25/result.json</x:v>
      </x:c>
      <x:c r="O1158" s="39" t="n">
        <x:f>IF(AND(G1158="RECORDED",ISNUMBER(H1158)),H1158,"")</x:f>
        <x:v>51.97999999999999</x:v>
      </x:c>
      <x:c r="P1158" s="35" t="str">
        <x:v>REVEALING</x:v>
      </x:c>
      <x:c r="Q1158" s="35" t="str">
        <x:v>Gemini-3.8-flash/Result/Compress_25/result.json</x:v>
      </x:c>
    </x:row>
    <x:row r="1159">
      <x:c r="A1159" s="35" t="str">
        <x:v>gemini</x:v>
      </x:c>
      <x:c r="B1159" s="35" t="str">
        <x:v>Compress</x:v>
      </x:c>
      <x:c r="C1159" s="35" t="str">
        <x:v>Round1</x:v>
      </x:c>
      <x:c r="D1159" s="35" t="str">
        <x:v>Compress_26</x:v>
      </x:c>
      <x:c r="E1159" s="35" t="str">
        <x:v>Condition</x:v>
      </x:c>
      <x:c r="F1159" s="35" t="n">
        <x:v>18</x:v>
      </x:c>
      <x:c r="G1159" s="35" t="str">
        <x:v>RECORDED</x:v>
      </x:c>
      <x:c r="H1159" s="39" t="n">
        <x:f>IF(ISNUMBER('Data'!N305),'Data'!N305*100,"")</x:f>
        <x:v>100</x:v>
      </x:c>
      <x:c r="I1159" s="35" t="str">
        <x:v>PASS</x:v>
      </x:c>
      <x:c r="J1159" s="35" t="str">
        <x:v>PASS</x:v>
      </x:c>
      <x:c r="K1159" s="35" t="str">
        <x:v>PASS</x:v>
      </x:c>
      <x:c r="L1159" s="35" t="str">
        <x:v>PASS</x:v>
      </x:c>
      <x:c r="M1159" s="35" t="str">
        <x:v>numeric coverage for applicable metric</x:v>
      </x:c>
      <x:c r="N1159" s="35" t="str">
        <x:v>Gemini-3.8-flash/Result/Compress_26/result.json</x:v>
      </x:c>
      <x:c r="O1159" s="39" t="n">
        <x:f>IF(AND(G1159="RECORDED",ISNUMBER(H1159)),H1159,"")</x:f>
        <x:v>100</x:v>
      </x:c>
      <x:c r="P1159" s="35" t="str">
        <x:v>INCONCLUSIVE</x:v>
      </x:c>
      <x:c r="Q1159" s="35" t="str">
        <x:v>Gemini-3.8-flash/Result/Compress_26/result.json</x:v>
      </x:c>
    </x:row>
    <x:row r="1160">
      <x:c r="A1160" s="35" t="str">
        <x:v>gemini</x:v>
      </x:c>
      <x:c r="B1160" s="35" t="str">
        <x:v>Compress</x:v>
      </x:c>
      <x:c r="C1160" s="35" t="str">
        <x:v>Round1</x:v>
      </x:c>
      <x:c r="D1160" s="35" t="str">
        <x:v>Compress_27</x:v>
      </x:c>
      <x:c r="E1160" s="35" t="str">
        <x:v>Condition</x:v>
      </x:c>
      <x:c r="F1160" s="35"/>
      <x:c r="G1160" s="35" t="str">
        <x:v>A</x:v>
      </x:c>
      <x:c r="H1160" s="39" t="str">
        <x:f>IF(ISNUMBER('Data'!N306),'Data'!N306*100,"")</x:f>
      </x:c>
      <x:c r="I1160" s="35"/>
      <x:c r="J1160" s="35" t="str">
        <x:v>PASS</x:v>
      </x:c>
      <x:c r="K1160" s="35" t="str">
        <x:v>FAIL</x:v>
      </x:c>
      <x:c r="L1160" s="35" t="str">
        <x:v>NOT_RUN</x:v>
      </x:c>
      <x:c r="M1160" s="35" t="str">
        <x:v>coverage unavailable or execution/compile failed</x:v>
      </x:c>
      <x:c r="N1160" s="35" t="str">
        <x:v>Gemini-3.8-flash/Result/Compress_27/result.json</x:v>
      </x:c>
      <x:c r="O1160" s="39" t="str">
        <x:f>IF(AND(G1160="RECORDED",ISNUMBER(H1160)),H1160,"")</x:f>
      </x:c>
      <x:c r="P1160" s="35" t="str">
        <x:v>NOT_AVAILABLE</x:v>
      </x:c>
      <x:c r="Q1160" s="35" t="str">
        <x:v>Gemini-3.8-flash/Result/Compress_27/result.json</x:v>
      </x:c>
    </x:row>
    <x:row r="1161">
      <x:c r="A1161" s="35" t="str">
        <x:v>gemini</x:v>
      </x:c>
      <x:c r="B1161" s="35" t="str">
        <x:v>Compress</x:v>
      </x:c>
      <x:c r="C1161" s="35" t="str">
        <x:v>Round1</x:v>
      </x:c>
      <x:c r="D1161" s="35" t="str">
        <x:v>Compress_28</x:v>
      </x:c>
      <x:c r="E1161" s="35" t="str">
        <x:v>Condition</x:v>
      </x:c>
      <x:c r="F1161" s="35" t="n">
        <x:v>122</x:v>
      </x:c>
      <x:c r="G1161" s="35" t="str">
        <x:v>RECORDED</x:v>
      </x:c>
      <x:c r="H1161" s="39" t="n">
        <x:f>IF(ISNUMBER('Data'!N307),'Data'!N307*100,"")</x:f>
        <x:v>63.93</x:v>
      </x:c>
      <x:c r="I1161" s="35" t="str">
        <x:v>PASS</x:v>
      </x:c>
      <x:c r="J1161" s="35" t="str">
        <x:v>PASS</x:v>
      </x:c>
      <x:c r="K1161" s="35" t="str">
        <x:v>PASS</x:v>
      </x:c>
      <x:c r="L1161" s="35" t="str">
        <x:v>FAIL</x:v>
      </x:c>
      <x:c r="M1161" s="35" t="str">
        <x:v>numeric coverage for applicable metric</x:v>
      </x:c>
      <x:c r="N1161" s="35" t="str">
        <x:v>Gemini-3.8-flash/Result/Compress_28/result.json</x:v>
      </x:c>
      <x:c r="O1161" s="39" t="n">
        <x:f>IF(AND(G1161="RECORDED",ISNUMBER(H1161)),H1161,"")</x:f>
        <x:v>63.93</x:v>
      </x:c>
      <x:c r="P1161" s="35" t="str">
        <x:v>INCONCLUSIVE</x:v>
      </x:c>
      <x:c r="Q1161" s="35" t="str">
        <x:v>Gemini-3.8-flash/Result/Compress_28/result.json</x:v>
      </x:c>
    </x:row>
    <x:row r="1162">
      <x:c r="A1162" s="35" t="str">
        <x:v>gemini</x:v>
      </x:c>
      <x:c r="B1162" s="35" t="str">
        <x:v>Compress</x:v>
      </x:c>
      <x:c r="C1162" s="35" t="str">
        <x:v>Round1</x:v>
      </x:c>
      <x:c r="D1162" s="35" t="str">
        <x:v>Compress_29</x:v>
      </x:c>
      <x:c r="E1162" s="35" t="str">
        <x:v>Condition</x:v>
      </x:c>
      <x:c r="F1162" s="35"/>
      <x:c r="G1162" s="35" t="str">
        <x:v>A</x:v>
      </x:c>
      <x:c r="H1162" s="39" t="str">
        <x:f>IF(ISNUMBER('Data'!N308),'Data'!N308*100,"")</x:f>
      </x:c>
      <x:c r="I1162" s="35"/>
      <x:c r="J1162" s="35" t="str">
        <x:v>PASS</x:v>
      </x:c>
      <x:c r="K1162" s="35" t="str">
        <x:v>FAIL</x:v>
      </x:c>
      <x:c r="L1162" s="35" t="str">
        <x:v>NOT_RUN</x:v>
      </x:c>
      <x:c r="M1162" s="35" t="str">
        <x:v>coverage unavailable or execution/compile failed</x:v>
      </x:c>
      <x:c r="N1162" s="35" t="str">
        <x:v>Gemini-3.8-flash/Result/Compress_29/result.json</x:v>
      </x:c>
      <x:c r="O1162" s="39" t="str">
        <x:f>IF(AND(G1162="RECORDED",ISNUMBER(H1162)),H1162,"")</x:f>
      </x:c>
      <x:c r="P1162" s="35" t="str">
        <x:v>NOT_AVAILABLE</x:v>
      </x:c>
      <x:c r="Q1162" s="35" t="str">
        <x:v>Gemini-3.8-flash/Result/Compress_29/result.json</x:v>
      </x:c>
    </x:row>
    <x:row r="1163">
      <x:c r="A1163" s="35" t="str">
        <x:v>gemini</x:v>
      </x:c>
      <x:c r="B1163" s="35" t="str">
        <x:v>Compress</x:v>
      </x:c>
      <x:c r="C1163" s="35" t="str">
        <x:v>Round1</x:v>
      </x:c>
      <x:c r="D1163" s="35" t="str">
        <x:v>Compress_3</x:v>
      </x:c>
      <x:c r="E1163" s="35" t="str">
        <x:v>Condition</x:v>
      </x:c>
      <x:c r="F1163" s="35" t="n">
        <x:v>28</x:v>
      </x:c>
      <x:c r="G1163" s="35" t="str">
        <x:v>RECORDED</x:v>
      </x:c>
      <x:c r="H1163" s="39" t="n">
        <x:f>IF(ISNUMBER('Data'!N309),'Data'!N309*100,"")</x:f>
        <x:v>100</x:v>
      </x:c>
      <x:c r="I1163" s="35" t="str">
        <x:v>PASS</x:v>
      </x:c>
      <x:c r="J1163" s="35" t="str">
        <x:v>PASS</x:v>
      </x:c>
      <x:c r="K1163" s="35" t="str">
        <x:v>PASS</x:v>
      </x:c>
      <x:c r="L1163" s="35" t="str">
        <x:v>FAIL</x:v>
      </x:c>
      <x:c r="M1163" s="35" t="str">
        <x:v>numeric coverage for applicable metric</x:v>
      </x:c>
      <x:c r="N1163" s="35" t="str">
        <x:v>Gemini-3.8-flash/Result/Compress_3/result.json</x:v>
      </x:c>
      <x:c r="O1163" s="39" t="n">
        <x:f>IF(AND(G1163="RECORDED",ISNUMBER(H1163)),H1163,"")</x:f>
        <x:v>100</x:v>
      </x:c>
      <x:c r="P1163" s="35" t="str">
        <x:v>INCONCLUSIVE</x:v>
      </x:c>
      <x:c r="Q1163" s="35" t="str">
        <x:v>Gemini-3.8-flash/Result/Compress_3/result.json</x:v>
      </x:c>
    </x:row>
    <x:row r="1164">
      <x:c r="A1164" s="35" t="str">
        <x:v>gemini</x:v>
      </x:c>
      <x:c r="B1164" s="35" t="str">
        <x:v>Compress</x:v>
      </x:c>
      <x:c r="C1164" s="35" t="str">
        <x:v>Round1</x:v>
      </x:c>
      <x:c r="D1164" s="35" t="str">
        <x:v>Compress_30</x:v>
      </x:c>
      <x:c r="E1164" s="35" t="str">
        <x:v>Condition</x:v>
      </x:c>
      <x:c r="F1164" s="35" t="n">
        <x:v>265</x:v>
      </x:c>
      <x:c r="G1164" s="35" t="str">
        <x:v>RECORDED</x:v>
      </x:c>
      <x:c r="H1164" s="39" t="n">
        <x:f>IF(ISNUMBER('Data'!N310),'Data'!N310*100,"")</x:f>
        <x:v>24.53</x:v>
      </x:c>
      <x:c r="I1164" s="35" t="str">
        <x:v>PASS</x:v>
      </x:c>
      <x:c r="J1164" s="35" t="str">
        <x:v>PASS</x:v>
      </x:c>
      <x:c r="K1164" s="35" t="str">
        <x:v>PASS</x:v>
      </x:c>
      <x:c r="L1164" s="35" t="str">
        <x:v>PASS</x:v>
      </x:c>
      <x:c r="M1164" s="35" t="str">
        <x:v>numeric coverage for applicable metric</x:v>
      </x:c>
      <x:c r="N1164" s="35" t="str">
        <x:v>Gemini-3.8-flash/Result/Compress_30/result.json</x:v>
      </x:c>
      <x:c r="O1164" s="39" t="n">
        <x:f>IF(AND(G1164="RECORDED",ISNUMBER(H1164)),H1164,"")</x:f>
        <x:v>24.53</x:v>
      </x:c>
      <x:c r="P1164" s="35" t="str">
        <x:v>INCONCLUSIVE</x:v>
      </x:c>
      <x:c r="Q1164" s="35" t="str">
        <x:v>Gemini-3.8-flash/Result/Compress_30/result.json</x:v>
      </x:c>
    </x:row>
    <x:row r="1165">
      <x:c r="A1165" s="35" t="str">
        <x:v>gemini</x:v>
      </x:c>
      <x:c r="B1165" s="35" t="str">
        <x:v>Compress</x:v>
      </x:c>
      <x:c r="C1165" s="35" t="str">
        <x:v>Round1</x:v>
      </x:c>
      <x:c r="D1165" s="35" t="str">
        <x:v>Compress_31</x:v>
      </x:c>
      <x:c r="E1165" s="35" t="str">
        <x:v>Condition</x:v>
      </x:c>
      <x:c r="F1165" s="35"/>
      <x:c r="G1165" s="35" t="str">
        <x:v>A</x:v>
      </x:c>
      <x:c r="H1165" s="39" t="str">
        <x:f>IF(ISNUMBER('Data'!N311),'Data'!N311*100,"")</x:f>
      </x:c>
      <x:c r="I1165" s="35"/>
      <x:c r="J1165" s="35" t="str">
        <x:v>PASS</x:v>
      </x:c>
      <x:c r="K1165" s="35" t="str">
        <x:v>FAIL</x:v>
      </x:c>
      <x:c r="L1165" s="35" t="str">
        <x:v>NOT_RUN</x:v>
      </x:c>
      <x:c r="M1165" s="35" t="str">
        <x:v>coverage unavailable or execution/compile failed</x:v>
      </x:c>
      <x:c r="N1165" s="35" t="str">
        <x:v>Gemini-3.8-flash/Result/Compress_31/result.json</x:v>
      </x:c>
      <x:c r="O1165" s="39" t="str">
        <x:f>IF(AND(G1165="RECORDED",ISNUMBER(H1165)),H1165,"")</x:f>
      </x:c>
      <x:c r="P1165" s="35" t="str">
        <x:v>NOT_AVAILABLE</x:v>
      </x:c>
      <x:c r="Q1165" s="35" t="str">
        <x:v>Gemini-3.8-flash/Result/Compress_31/result.json</x:v>
      </x:c>
    </x:row>
    <x:row r="1166">
      <x:c r="A1166" s="35" t="str">
        <x:v>gemini</x:v>
      </x:c>
      <x:c r="B1166" s="35" t="str">
        <x:v>Compress</x:v>
      </x:c>
      <x:c r="C1166" s="35" t="str">
        <x:v>Round1</x:v>
      </x:c>
      <x:c r="D1166" s="35" t="str">
        <x:v>Compress_32</x:v>
      </x:c>
      <x:c r="E1166" s="35" t="str">
        <x:v>Condition</x:v>
      </x:c>
      <x:c r="F1166" s="35" t="n">
        <x:v>126</x:v>
      </x:c>
      <x:c r="G1166" s="35" t="str">
        <x:v>RECORDED</x:v>
      </x:c>
      <x:c r="H1166" s="39" t="n">
        <x:f>IF(ISNUMBER('Data'!N312),'Data'!N312*100,"")</x:f>
        <x:v>63.49</x:v>
      </x:c>
      <x:c r="I1166" s="35" t="str">
        <x:v>PASS</x:v>
      </x:c>
      <x:c r="J1166" s="35" t="str">
        <x:v>PASS</x:v>
      </x:c>
      <x:c r="K1166" s="35" t="str">
        <x:v>PASS</x:v>
      </x:c>
      <x:c r="L1166" s="35" t="str">
        <x:v>FAIL</x:v>
      </x:c>
      <x:c r="M1166" s="35" t="str">
        <x:v>numeric coverage for applicable metric</x:v>
      </x:c>
      <x:c r="N1166" s="35" t="str">
        <x:v>Gemini-3.8-flash/Result/Compress_32/result.json</x:v>
      </x:c>
      <x:c r="O1166" s="39" t="n">
        <x:f>IF(AND(G1166="RECORDED",ISNUMBER(H1166)),H1166,"")</x:f>
        <x:v>63.49</x:v>
      </x:c>
      <x:c r="P1166" s="35" t="str">
        <x:v>INCONCLUSIVE</x:v>
      </x:c>
      <x:c r="Q1166" s="35" t="str">
        <x:v>Gemini-3.8-flash/Result/Compress_32/result.json</x:v>
      </x:c>
    </x:row>
    <x:row r="1167">
      <x:c r="A1167" s="35" t="str">
        <x:v>gemini</x:v>
      </x:c>
      <x:c r="B1167" s="35" t="str">
        <x:v>Compress</x:v>
      </x:c>
      <x:c r="C1167" s="35" t="str">
        <x:v>Round1</x:v>
      </x:c>
      <x:c r="D1167" s="35" t="str">
        <x:v>Compress_33</x:v>
      </x:c>
      <x:c r="E1167" s="35" t="str">
        <x:v>Condition</x:v>
      </x:c>
      <x:c r="F1167" s="35" t="n">
        <x:v>64</x:v>
      </x:c>
      <x:c r="G1167" s="35" t="str">
        <x:v>RECORDED</x:v>
      </x:c>
      <x:c r="H1167" s="39" t="n">
        <x:f>IF(ISNUMBER('Data'!N313),'Data'!N313*100,"")</x:f>
        <x:v>67.19</x:v>
      </x:c>
      <x:c r="I1167" s="35" t="str">
        <x:v>PASS</x:v>
      </x:c>
      <x:c r="J1167" s="35" t="str">
        <x:v>PASS</x:v>
      </x:c>
      <x:c r="K1167" s="35" t="str">
        <x:v>PASS</x:v>
      </x:c>
      <x:c r="L1167" s="35" t="str">
        <x:v>FAIL</x:v>
      </x:c>
      <x:c r="M1167" s="35" t="str">
        <x:v>numeric coverage for applicable metric</x:v>
      </x:c>
      <x:c r="N1167" s="35" t="str">
        <x:v>Gemini-3.8-flash/Result/Compress_33/result.json</x:v>
      </x:c>
      <x:c r="O1167" s="39" t="n">
        <x:f>IF(AND(G1167="RECORDED",ISNUMBER(H1167)),H1167,"")</x:f>
        <x:v>67.19</x:v>
      </x:c>
      <x:c r="P1167" s="35" t="str">
        <x:v>INCONCLUSIVE</x:v>
      </x:c>
      <x:c r="Q1167" s="35" t="str">
        <x:v>Gemini-3.8-flash/Result/Compress_33/result.json</x:v>
      </x:c>
    </x:row>
    <x:row r="1168">
      <x:c r="A1168" s="35" t="str">
        <x:v>gemini</x:v>
      </x:c>
      <x:c r="B1168" s="35" t="str">
        <x:v>Compress</x:v>
      </x:c>
      <x:c r="C1168" s="35" t="str">
        <x:v>Round1</x:v>
      </x:c>
      <x:c r="D1168" s="35" t="str">
        <x:v>Compress_34</x:v>
      </x:c>
      <x:c r="E1168" s="35" t="str">
        <x:v>Condition</x:v>
      </x:c>
      <x:c r="F1168" s="35" t="n">
        <x:v>14</x:v>
      </x:c>
      <x:c r="G1168" s="35" t="str">
        <x:v>RECORDED</x:v>
      </x:c>
      <x:c r="H1168" s="39" t="n">
        <x:f>IF(ISNUMBER('Data'!N314),'Data'!N314*100,"")</x:f>
        <x:v>92.86</x:v>
      </x:c>
      <x:c r="I1168" s="35" t="str">
        <x:v>PASS</x:v>
      </x:c>
      <x:c r="J1168" s="35" t="str">
        <x:v>PASS</x:v>
      </x:c>
      <x:c r="K1168" s="35" t="str">
        <x:v>PASS</x:v>
      </x:c>
      <x:c r="L1168" s="35" t="str">
        <x:v>PASS</x:v>
      </x:c>
      <x:c r="M1168" s="35" t="str">
        <x:v>numeric coverage for applicable metric</x:v>
      </x:c>
      <x:c r="N1168" s="35" t="str">
        <x:v>Gemini-3.8-flash/Result/Compress_34/result.json</x:v>
      </x:c>
      <x:c r="O1168" s="39" t="n">
        <x:f>IF(AND(G1168="RECORDED",ISNUMBER(H1168)),H1168,"")</x:f>
        <x:v>92.86</x:v>
      </x:c>
      <x:c r="P1168" s="35" t="str">
        <x:v>INCONCLUSIVE</x:v>
      </x:c>
      <x:c r="Q1168" s="35" t="str">
        <x:v>Gemini-3.8-flash/Result/Compress_34/result.json</x:v>
      </x:c>
    </x:row>
    <x:row r="1169">
      <x:c r="A1169" s="35" t="str">
        <x:v>gemini</x:v>
      </x:c>
      <x:c r="B1169" s="35" t="str">
        <x:v>Compress</x:v>
      </x:c>
      <x:c r="C1169" s="35" t="str">
        <x:v>Round1</x:v>
      </x:c>
      <x:c r="D1169" s="35" t="str">
        <x:v>Compress_35</x:v>
      </x:c>
      <x:c r="E1169" s="35" t="str">
        <x:v>Condition</x:v>
      </x:c>
      <x:c r="F1169" s="35" t="n">
        <x:v>112</x:v>
      </x:c>
      <x:c r="G1169" s="35" t="str">
        <x:v>RECORDED</x:v>
      </x:c>
      <x:c r="H1169" s="39" t="n">
        <x:f>IF(ISNUMBER('Data'!N315),'Data'!N315*100,"")</x:f>
        <x:v>93.75</x:v>
      </x:c>
      <x:c r="I1169" s="35" t="str">
        <x:v>PASS</x:v>
      </x:c>
      <x:c r="J1169" s="35" t="str">
        <x:v>PASS</x:v>
      </x:c>
      <x:c r="K1169" s="35" t="str">
        <x:v>PASS</x:v>
      </x:c>
      <x:c r="L1169" s="35" t="str">
        <x:v>FAIL</x:v>
      </x:c>
      <x:c r="M1169" s="35" t="str">
        <x:v>numeric coverage for applicable metric</x:v>
      </x:c>
      <x:c r="N1169" s="35" t="str">
        <x:v>Gemini-3.8-flash/Result/Compress_35/result.json</x:v>
      </x:c>
      <x:c r="O1169" s="39" t="n">
        <x:f>IF(AND(G1169="RECORDED",ISNUMBER(H1169)),H1169,"")</x:f>
        <x:v>93.75</x:v>
      </x:c>
      <x:c r="P1169" s="35" t="str">
        <x:v>INCONCLUSIVE</x:v>
      </x:c>
      <x:c r="Q1169" s="35" t="str">
        <x:v>Gemini-3.8-flash/Result/Compress_35/result.json</x:v>
      </x:c>
    </x:row>
    <x:row r="1170">
      <x:c r="A1170" s="35" t="str">
        <x:v>gemini</x:v>
      </x:c>
      <x:c r="B1170" s="35" t="str">
        <x:v>Compress</x:v>
      </x:c>
      <x:c r="C1170" s="35" t="str">
        <x:v>Round1</x:v>
      </x:c>
      <x:c r="D1170" s="35" t="str">
        <x:v>Compress_36</x:v>
      </x:c>
      <x:c r="E1170" s="35" t="str">
        <x:v>Condition</x:v>
      </x:c>
      <x:c r="F1170" s="35" t="n">
        <x:v>303</x:v>
      </x:c>
      <x:c r="G1170" s="35" t="str">
        <x:v>RECORDED</x:v>
      </x:c>
      <x:c r="H1170" s="39" t="n">
        <x:f>IF(ISNUMBER('Data'!N316),'Data'!N316*100,"")</x:f>
        <x:v>50.5</x:v>
      </x:c>
      <x:c r="I1170" s="35" t="str">
        <x:v>PASS</x:v>
      </x:c>
      <x:c r="J1170" s="35" t="str">
        <x:v>PASS</x:v>
      </x:c>
      <x:c r="K1170" s="35" t="str">
        <x:v>PASS</x:v>
      </x:c>
      <x:c r="L1170" s="35" t="str">
        <x:v>FAIL</x:v>
      </x:c>
      <x:c r="M1170" s="35" t="str">
        <x:v>numeric coverage for applicable metric</x:v>
      </x:c>
      <x:c r="N1170" s="35" t="str">
        <x:v>Gemini-3.8-flash/Result/Compress_36/result.json</x:v>
      </x:c>
      <x:c r="O1170" s="39" t="n">
        <x:f>IF(AND(G1170="RECORDED",ISNUMBER(H1170)),H1170,"")</x:f>
        <x:v>50.5</x:v>
      </x:c>
      <x:c r="P1170" s="35" t="str">
        <x:v>INCONCLUSIVE</x:v>
      </x:c>
      <x:c r="Q1170" s="35" t="str">
        <x:v>Gemini-3.8-flash/Result/Compress_36/result.json</x:v>
      </x:c>
    </x:row>
    <x:row r="1171">
      <x:c r="A1171" s="35" t="str">
        <x:v>gemini</x:v>
      </x:c>
      <x:c r="B1171" s="35" t="str">
        <x:v>Compress</x:v>
      </x:c>
      <x:c r="C1171" s="35" t="str">
        <x:v>Round1</x:v>
      </x:c>
      <x:c r="D1171" s="35" t="str">
        <x:v>Compress_37</x:v>
      </x:c>
      <x:c r="E1171" s="35" t="str">
        <x:v>Condition</x:v>
      </x:c>
      <x:c r="F1171" s="35"/>
      <x:c r="G1171" s="35" t="str">
        <x:v>A</x:v>
      </x:c>
      <x:c r="H1171" s="39" t="str">
        <x:f>IF(ISNUMBER('Data'!N317),'Data'!N317*100,"")</x:f>
      </x:c>
      <x:c r="I1171" s="35"/>
      <x:c r="J1171" s="35" t="str">
        <x:v>PASS</x:v>
      </x:c>
      <x:c r="K1171" s="35" t="str">
        <x:v>FAIL</x:v>
      </x:c>
      <x:c r="L1171" s="35" t="str">
        <x:v>NOT_RUN</x:v>
      </x:c>
      <x:c r="M1171" s="35" t="str">
        <x:v>coverage unavailable or execution/compile failed</x:v>
      </x:c>
      <x:c r="N1171" s="35" t="str">
        <x:v>Gemini-3.8-flash/Result/Compress_37/result.json</x:v>
      </x:c>
      <x:c r="O1171" s="39" t="str">
        <x:f>IF(AND(G1171="RECORDED",ISNUMBER(H1171)),H1171,"")</x:f>
      </x:c>
      <x:c r="P1171" s="35" t="str">
        <x:v>NOT_AVAILABLE</x:v>
      </x:c>
      <x:c r="Q1171" s="35" t="str">
        <x:v>Gemini-3.8-flash/Result/Compress_37/result.json</x:v>
      </x:c>
    </x:row>
    <x:row r="1172">
      <x:c r="A1172" s="35" t="str">
        <x:v>gemini</x:v>
      </x:c>
      <x:c r="B1172" s="35" t="str">
        <x:v>Compress</x:v>
      </x:c>
      <x:c r="C1172" s="35" t="str">
        <x:v>Round1</x:v>
      </x:c>
      <x:c r="D1172" s="35" t="str">
        <x:v>Compress_38</x:v>
      </x:c>
      <x:c r="E1172" s="35" t="str">
        <x:v>Condition</x:v>
      </x:c>
      <x:c r="F1172" s="35"/>
      <x:c r="G1172" s="35" t="str">
        <x:v>A</x:v>
      </x:c>
      <x:c r="H1172" s="39" t="str">
        <x:f>IF(ISNUMBER('Data'!N318),'Data'!N318*100,"")</x:f>
      </x:c>
      <x:c r="I1172" s="35"/>
      <x:c r="J1172" s="35" t="str">
        <x:v>PASS</x:v>
      </x:c>
      <x:c r="K1172" s="35" t="str">
        <x:v>FAIL</x:v>
      </x:c>
      <x:c r="L1172" s="35" t="str">
        <x:v>NOT_RUN</x:v>
      </x:c>
      <x:c r="M1172" s="35" t="str">
        <x:v>coverage unavailable or execution/compile failed</x:v>
      </x:c>
      <x:c r="N1172" s="35" t="str">
        <x:v>Gemini-3.8-flash/Result/Compress_38/result.json</x:v>
      </x:c>
      <x:c r="O1172" s="39" t="str">
        <x:f>IF(AND(G1172="RECORDED",ISNUMBER(H1172)),H1172,"")</x:f>
      </x:c>
      <x:c r="P1172" s="35" t="str">
        <x:v>NOT_AVAILABLE</x:v>
      </x:c>
      <x:c r="Q1172" s="35" t="str">
        <x:v>Gemini-3.8-flash/Result/Compress_38/result.json</x:v>
      </x:c>
    </x:row>
    <x:row r="1173">
      <x:c r="A1173" s="35" t="str">
        <x:v>gemini</x:v>
      </x:c>
      <x:c r="B1173" s="35" t="str">
        <x:v>Compress</x:v>
      </x:c>
      <x:c r="C1173" s="35" t="str">
        <x:v>Round1</x:v>
      </x:c>
      <x:c r="D1173" s="35" t="str">
        <x:v>Compress_39</x:v>
      </x:c>
      <x:c r="E1173" s="35" t="str">
        <x:v>Condition</x:v>
      </x:c>
      <x:c r="F1173" s="35" t="n">
        <x:v>36</x:v>
      </x:c>
      <x:c r="G1173" s="35" t="str">
        <x:v>RECORDED</x:v>
      </x:c>
      <x:c r="H1173" s="39" t="n">
        <x:f>IF(ISNUMBER('Data'!N319),'Data'!N319*100,"")</x:f>
        <x:v>97.22</x:v>
      </x:c>
      <x:c r="I1173" s="35" t="str">
        <x:v>PASS</x:v>
      </x:c>
      <x:c r="J1173" s="35" t="str">
        <x:v>PASS</x:v>
      </x:c>
      <x:c r="K1173" s="35" t="str">
        <x:v>PASS</x:v>
      </x:c>
      <x:c r="L1173" s="35" t="str">
        <x:v>PASS</x:v>
      </x:c>
      <x:c r="M1173" s="35" t="str">
        <x:v>numeric coverage for applicable metric</x:v>
      </x:c>
      <x:c r="N1173" s="35" t="str">
        <x:v>Gemini-3.8-flash/Result/Compress_39/result.json</x:v>
      </x:c>
      <x:c r="O1173" s="39" t="n">
        <x:f>IF(AND(G1173="RECORDED",ISNUMBER(H1173)),H1173,"")</x:f>
        <x:v>97.22</x:v>
      </x:c>
      <x:c r="P1173" s="35" t="str">
        <x:v>NOT_REVEALING</x:v>
      </x:c>
      <x:c r="Q1173" s="35" t="str">
        <x:v>Gemini-3.8-flash/Result/Compress_39/result.json</x:v>
      </x:c>
    </x:row>
    <x:row r="1174">
      <x:c r="A1174" s="35" t="str">
        <x:v>gemini</x:v>
      </x:c>
      <x:c r="B1174" s="35" t="str">
        <x:v>Compress</x:v>
      </x:c>
      <x:c r="C1174" s="35" t="str">
        <x:v>Round1</x:v>
      </x:c>
      <x:c r="D1174" s="35" t="str">
        <x:v>Compress_4</x:v>
      </x:c>
      <x:c r="E1174" s="35" t="str">
        <x:v>Condition</x:v>
      </x:c>
      <x:c r="F1174" s="35"/>
      <x:c r="G1174" s="35" t="str">
        <x:v>A</x:v>
      </x:c>
      <x:c r="H1174" s="39" t="str">
        <x:f>IF(ISNUMBER('Data'!N320),'Data'!N320*100,"")</x:f>
      </x:c>
      <x:c r="I1174" s="35"/>
      <x:c r="J1174" s="35" t="str">
        <x:v>PASS</x:v>
      </x:c>
      <x:c r="K1174" s="35" t="str">
        <x:v>FAIL</x:v>
      </x:c>
      <x:c r="L1174" s="35" t="str">
        <x:v>NOT_RUN</x:v>
      </x:c>
      <x:c r="M1174" s="35" t="str">
        <x:v>coverage unavailable or execution/compile failed</x:v>
      </x:c>
      <x:c r="N1174" s="35" t="str">
        <x:v>Gemini-3.8-flash/Result/Compress_4/result.json</x:v>
      </x:c>
      <x:c r="O1174" s="39" t="str">
        <x:f>IF(AND(G1174="RECORDED",ISNUMBER(H1174)),H1174,"")</x:f>
      </x:c>
      <x:c r="P1174" s="35" t="str">
        <x:v>NOT_AVAILABLE</x:v>
      </x:c>
      <x:c r="Q1174" s="35" t="str">
        <x:v>Gemini-3.8-flash/Result/Compress_4/result.json</x:v>
      </x:c>
    </x:row>
    <x:row r="1175">
      <x:c r="A1175" s="35" t="str">
        <x:v>gemini</x:v>
      </x:c>
      <x:c r="B1175" s="35" t="str">
        <x:v>Compress</x:v>
      </x:c>
      <x:c r="C1175" s="35" t="str">
        <x:v>Round1</x:v>
      </x:c>
      <x:c r="D1175" s="35" t="str">
        <x:v>Compress_40</x:v>
      </x:c>
      <x:c r="E1175" s="35" t="str">
        <x:v>Condition</x:v>
      </x:c>
      <x:c r="F1175" s="35" t="n">
        <x:v>12</x:v>
      </x:c>
      <x:c r="G1175" s="35" t="str">
        <x:v>RECORDED</x:v>
      </x:c>
      <x:c r="H1175" s="39" t="n">
        <x:f>IF(ISNUMBER('Data'!N321),'Data'!N321*100,"")</x:f>
        <x:v>100</x:v>
      </x:c>
      <x:c r="I1175" s="35" t="str">
        <x:v>PASS</x:v>
      </x:c>
      <x:c r="J1175" s="35" t="str">
        <x:v>PASS</x:v>
      </x:c>
      <x:c r="K1175" s="35" t="str">
        <x:v>PASS</x:v>
      </x:c>
      <x:c r="L1175" s="35" t="str">
        <x:v>FAIL</x:v>
      </x:c>
      <x:c r="M1175" s="35" t="str">
        <x:v>numeric coverage for applicable metric</x:v>
      </x:c>
      <x:c r="N1175" s="35" t="str">
        <x:v>Gemini-3.8-flash/Result/Compress_40/result.json</x:v>
      </x:c>
      <x:c r="O1175" s="39" t="n">
        <x:f>IF(AND(G1175="RECORDED",ISNUMBER(H1175)),H1175,"")</x:f>
        <x:v>100</x:v>
      </x:c>
      <x:c r="P1175" s="35" t="str">
        <x:v>INCONCLUSIVE</x:v>
      </x:c>
      <x:c r="Q1175" s="35" t="str">
        <x:v>Gemini-3.8-flash/Result/Compress_40/result.json</x:v>
      </x:c>
    </x:row>
    <x:row r="1176">
      <x:c r="A1176" s="35" t="str">
        <x:v>gemini</x:v>
      </x:c>
      <x:c r="B1176" s="35" t="str">
        <x:v>Compress</x:v>
      </x:c>
      <x:c r="C1176" s="35" t="str">
        <x:v>Round1</x:v>
      </x:c>
      <x:c r="D1176" s="35" t="str">
        <x:v>Compress_41</x:v>
      </x:c>
      <x:c r="E1176" s="35" t="str">
        <x:v>Condition</x:v>
      </x:c>
      <x:c r="F1176" s="35" t="n">
        <x:v>260</x:v>
      </x:c>
      <x:c r="G1176" s="35" t="str">
        <x:v>RECORDED</x:v>
      </x:c>
      <x:c r="H1176" s="39" t="n">
        <x:f>IF(ISNUMBER('Data'!N322),'Data'!N322*100,"")</x:f>
        <x:v>53.459999999999994</x:v>
      </x:c>
      <x:c r="I1176" s="35" t="str">
        <x:v>PASS</x:v>
      </x:c>
      <x:c r="J1176" s="35" t="str">
        <x:v>PASS</x:v>
      </x:c>
      <x:c r="K1176" s="35" t="str">
        <x:v>PASS</x:v>
      </x:c>
      <x:c r="L1176" s="35" t="str">
        <x:v>FAIL</x:v>
      </x:c>
      <x:c r="M1176" s="35" t="str">
        <x:v>numeric coverage for applicable metric</x:v>
      </x:c>
      <x:c r="N1176" s="35" t="str">
        <x:v>Gemini-3.8-flash/Result/Compress_41/result.json</x:v>
      </x:c>
      <x:c r="O1176" s="39" t="n">
        <x:f>IF(AND(G1176="RECORDED",ISNUMBER(H1176)),H1176,"")</x:f>
        <x:v>53.459999999999994</x:v>
      </x:c>
      <x:c r="P1176" s="35" t="str">
        <x:v>INCONCLUSIVE</x:v>
      </x:c>
      <x:c r="Q1176" s="35" t="str">
        <x:v>Gemini-3.8-flash/Result/Compress_41/result.json</x:v>
      </x:c>
    </x:row>
    <x:row r="1177">
      <x:c r="A1177" s="35" t="str">
        <x:v>gemini</x:v>
      </x:c>
      <x:c r="B1177" s="35" t="str">
        <x:v>Compress</x:v>
      </x:c>
      <x:c r="C1177" s="35" t="str">
        <x:v>Round1</x:v>
      </x:c>
      <x:c r="D1177" s="35" t="str">
        <x:v>Compress_42</x:v>
      </x:c>
      <x:c r="E1177" s="35" t="str">
        <x:v>Condition</x:v>
      </x:c>
      <x:c r="F1177" s="35" t="n">
        <x:v>132</x:v>
      </x:c>
      <x:c r="G1177" s="35" t="str">
        <x:v>RECORDED</x:v>
      </x:c>
      <x:c r="H1177" s="39" t="n">
        <x:f>IF(ISNUMBER('Data'!N323),'Data'!N323*100,"")</x:f>
        <x:v>78.03</x:v>
      </x:c>
      <x:c r="I1177" s="35" t="str">
        <x:v>PASS</x:v>
      </x:c>
      <x:c r="J1177" s="35" t="str">
        <x:v>PASS</x:v>
      </x:c>
      <x:c r="K1177" s="35" t="str">
        <x:v>PASS</x:v>
      </x:c>
      <x:c r="L1177" s="35" t="str">
        <x:v>FAIL</x:v>
      </x:c>
      <x:c r="M1177" s="35" t="str">
        <x:v>numeric coverage for applicable metric</x:v>
      </x:c>
      <x:c r="N1177" s="35" t="str">
        <x:v>Gemini-3.8-flash/Result/Compress_42/result.json</x:v>
      </x:c>
      <x:c r="O1177" s="39" t="n">
        <x:f>IF(AND(G1177="RECORDED",ISNUMBER(H1177)),H1177,"")</x:f>
        <x:v>78.03</x:v>
      </x:c>
      <x:c r="P1177" s="35" t="str">
        <x:v>INCONCLUSIVE</x:v>
      </x:c>
      <x:c r="Q1177" s="35" t="str">
        <x:v>Gemini-3.8-flash/Result/Compress_42/result.json</x:v>
      </x:c>
    </x:row>
    <x:row r="1178">
      <x:c r="A1178" s="35" t="str">
        <x:v>gemini</x:v>
      </x:c>
      <x:c r="B1178" s="35" t="str">
        <x:v>Compress</x:v>
      </x:c>
      <x:c r="C1178" s="35" t="str">
        <x:v>Round1</x:v>
      </x:c>
      <x:c r="D1178" s="35" t="str">
        <x:v>Compress_43</x:v>
      </x:c>
      <x:c r="E1178" s="35" t="str">
        <x:v>Condition</x:v>
      </x:c>
      <x:c r="F1178" s="35" t="n">
        <x:v>300</x:v>
      </x:c>
      <x:c r="G1178" s="35" t="str">
        <x:v>RECORDED</x:v>
      </x:c>
      <x:c r="H1178" s="39" t="n">
        <x:f>IF(ISNUMBER('Data'!N324),'Data'!N324*100,"")</x:f>
        <x:v>46.33</x:v>
      </x:c>
      <x:c r="I1178" s="35" t="str">
        <x:v>PASS</x:v>
      </x:c>
      <x:c r="J1178" s="35" t="str">
        <x:v>PASS</x:v>
      </x:c>
      <x:c r="K1178" s="35" t="str">
        <x:v>PASS</x:v>
      </x:c>
      <x:c r="L1178" s="35" t="str">
        <x:v>FAIL</x:v>
      </x:c>
      <x:c r="M1178" s="35" t="str">
        <x:v>numeric coverage for applicable metric</x:v>
      </x:c>
      <x:c r="N1178" s="35" t="str">
        <x:v>Gemini-3.8-flash/Result/Compress_43/result.json</x:v>
      </x:c>
      <x:c r="O1178" s="39" t="n">
        <x:f>IF(AND(G1178="RECORDED",ISNUMBER(H1178)),H1178,"")</x:f>
        <x:v>46.33</x:v>
      </x:c>
      <x:c r="P1178" s="35" t="str">
        <x:v>INCONCLUSIVE</x:v>
      </x:c>
      <x:c r="Q1178" s="35" t="str">
        <x:v>Gemini-3.8-flash/Result/Compress_43/result.json</x:v>
      </x:c>
    </x:row>
    <x:row r="1179">
      <x:c r="A1179" s="35" t="str">
        <x:v>gemini</x:v>
      </x:c>
      <x:c r="B1179" s="35" t="str">
        <x:v>Compress</x:v>
      </x:c>
      <x:c r="C1179" s="35" t="str">
        <x:v>Round1</x:v>
      </x:c>
      <x:c r="D1179" s="35" t="str">
        <x:v>Compress_44</x:v>
      </x:c>
      <x:c r="E1179" s="35" t="str">
        <x:v>Condition</x:v>
      </x:c>
      <x:c r="F1179" s="35" t="n">
        <x:v>6</x:v>
      </x:c>
      <x:c r="G1179" s="35" t="str">
        <x:v>RECORDED</x:v>
      </x:c>
      <x:c r="H1179" s="39" t="n">
        <x:f>IF(ISNUMBER('Data'!N325),'Data'!N325*100,"")</x:f>
        <x:v>100</x:v>
      </x:c>
      <x:c r="I1179" s="35" t="str">
        <x:v>PASS</x:v>
      </x:c>
      <x:c r="J1179" s="35" t="str">
        <x:v>PASS</x:v>
      </x:c>
      <x:c r="K1179" s="35" t="str">
        <x:v>PASS</x:v>
      </x:c>
      <x:c r="L1179" s="35" t="str">
        <x:v>PASS</x:v>
      </x:c>
      <x:c r="M1179" s="35" t="str">
        <x:v>numeric coverage for applicable metric</x:v>
      </x:c>
      <x:c r="N1179" s="35" t="str">
        <x:v>Gemini-3.8-flash/Result/Compress_44/result.json</x:v>
      </x:c>
      <x:c r="O1179" s="39" t="n">
        <x:f>IF(AND(G1179="RECORDED",ISNUMBER(H1179)),H1179,"")</x:f>
        <x:v>100</x:v>
      </x:c>
      <x:c r="P1179" s="35" t="str">
        <x:v>INCONCLUSIVE</x:v>
      </x:c>
      <x:c r="Q1179" s="35" t="str">
        <x:v>Gemini-3.8-flash/Result/Compress_44/result.json</x:v>
      </x:c>
    </x:row>
    <x:row r="1180">
      <x:c r="A1180" s="35" t="str">
        <x:v>gemini</x:v>
      </x:c>
      <x:c r="B1180" s="35" t="str">
        <x:v>Compress</x:v>
      </x:c>
      <x:c r="C1180" s="35" t="str">
        <x:v>Round1</x:v>
      </x:c>
      <x:c r="D1180" s="35" t="str">
        <x:v>Compress_45</x:v>
      </x:c>
      <x:c r="E1180" s="35" t="str">
        <x:v>Condition</x:v>
      </x:c>
      <x:c r="F1180" s="35" t="n">
        <x:v>108</x:v>
      </x:c>
      <x:c r="G1180" s="35" t="str">
        <x:v>RECORDED</x:v>
      </x:c>
      <x:c r="H1180" s="39" t="n">
        <x:f>IF(ISNUMBER('Data'!N326),'Data'!N326*100,"")</x:f>
        <x:v>66.67</x:v>
      </x:c>
      <x:c r="I1180" s="35" t="str">
        <x:v>PASS</x:v>
      </x:c>
      <x:c r="J1180" s="35" t="str">
        <x:v>PASS</x:v>
      </x:c>
      <x:c r="K1180" s="35" t="str">
        <x:v>PASS</x:v>
      </x:c>
      <x:c r="L1180" s="35" t="str">
        <x:v>FAIL</x:v>
      </x:c>
      <x:c r="M1180" s="35" t="str">
        <x:v>numeric coverage for applicable metric</x:v>
      </x:c>
      <x:c r="N1180" s="35" t="str">
        <x:v>Gemini-3.8-flash/Result/Compress_45/result.json</x:v>
      </x:c>
      <x:c r="O1180" s="39" t="n">
        <x:f>IF(AND(G1180="RECORDED",ISNUMBER(H1180)),H1180,"")</x:f>
        <x:v>66.67</x:v>
      </x:c>
      <x:c r="P1180" s="35" t="str">
        <x:v>INCONCLUSIVE</x:v>
      </x:c>
      <x:c r="Q1180" s="35" t="str">
        <x:v>Gemini-3.8-flash/Result/Compress_45/result.json</x:v>
      </x:c>
    </x:row>
    <x:row r="1181">
      <x:c r="A1181" s="35" t="str">
        <x:v>gemini</x:v>
      </x:c>
      <x:c r="B1181" s="35" t="str">
        <x:v>Compress</x:v>
      </x:c>
      <x:c r="C1181" s="35" t="str">
        <x:v>Round1</x:v>
      </x:c>
      <x:c r="D1181" s="35" t="str">
        <x:v>Compress_46</x:v>
      </x:c>
      <x:c r="E1181" s="35" t="str">
        <x:v>Condition</x:v>
      </x:c>
      <x:c r="F1181" s="35" t="n">
        <x:v>96</x:v>
      </x:c>
      <x:c r="G1181" s="35" t="str">
        <x:v>RECORDED</x:v>
      </x:c>
      <x:c r="H1181" s="39" t="n">
        <x:f>IF(ISNUMBER('Data'!N327),'Data'!N327*100,"")</x:f>
        <x:v>52.07999999999999</x:v>
      </x:c>
      <x:c r="I1181" s="35" t="str">
        <x:v>PASS</x:v>
      </x:c>
      <x:c r="J1181" s="35" t="str">
        <x:v>PASS</x:v>
      </x:c>
      <x:c r="K1181" s="35" t="str">
        <x:v>PASS</x:v>
      </x:c>
      <x:c r="L1181" s="35" t="str">
        <x:v>PASS</x:v>
      </x:c>
      <x:c r="M1181" s="35" t="str">
        <x:v>numeric coverage for applicable metric</x:v>
      </x:c>
      <x:c r="N1181" s="35" t="str">
        <x:v>Gemini-3.8-flash/Result/Compress_46/result.json</x:v>
      </x:c>
      <x:c r="O1181" s="39" t="n">
        <x:f>IF(AND(G1181="RECORDED",ISNUMBER(H1181)),H1181,"")</x:f>
        <x:v>52.07999999999999</x:v>
      </x:c>
      <x:c r="P1181" s="35" t="str">
        <x:v>NOT_REVEALING</x:v>
      </x:c>
      <x:c r="Q1181" s="35" t="str">
        <x:v>Gemini-3.8-flash/Result/Compress_46/result.json</x:v>
      </x:c>
    </x:row>
    <x:row r="1182">
      <x:c r="A1182" s="35" t="str">
        <x:v>gemini</x:v>
      </x:c>
      <x:c r="B1182" s="35" t="str">
        <x:v>Compress</x:v>
      </x:c>
      <x:c r="C1182" s="35" t="str">
        <x:v>Round1</x:v>
      </x:c>
      <x:c r="D1182" s="35" t="str">
        <x:v>Compress_47</x:v>
      </x:c>
      <x:c r="E1182" s="35" t="str">
        <x:v>Condition</x:v>
      </x:c>
      <x:c r="F1182" s="35" t="n">
        <x:v>273</x:v>
      </x:c>
      <x:c r="G1182" s="35" t="str">
        <x:v>RECORDED</x:v>
      </x:c>
      <x:c r="H1182" s="39" t="n">
        <x:f>IF(ISNUMBER('Data'!N328),'Data'!N328*100,"")</x:f>
        <x:v>37</x:v>
      </x:c>
      <x:c r="I1182" s="35" t="str">
        <x:v>PASS</x:v>
      </x:c>
      <x:c r="J1182" s="35" t="str">
        <x:v>PASS</x:v>
      </x:c>
      <x:c r="K1182" s="35" t="str">
        <x:v>PASS</x:v>
      </x:c>
      <x:c r="L1182" s="35" t="str">
        <x:v>PASS</x:v>
      </x:c>
      <x:c r="M1182" s="35" t="str">
        <x:v>numeric coverage for applicable metric</x:v>
      </x:c>
      <x:c r="N1182" s="35" t="str">
        <x:v>Gemini-3.8-flash/Result/Compress_47/result.json</x:v>
      </x:c>
      <x:c r="O1182" s="39" t="n">
        <x:f>IF(AND(G1182="RECORDED",ISNUMBER(H1182)),H1182,"")</x:f>
        <x:v>37</x:v>
      </x:c>
      <x:c r="P1182" s="35" t="str">
        <x:v>NOT_REVEALING</x:v>
      </x:c>
      <x:c r="Q1182" s="35" t="str">
        <x:v>Gemini-3.8-flash/Result/Compress_47/result.json</x:v>
      </x:c>
    </x:row>
    <x:row r="1183">
      <x:c r="A1183" s="35" t="str">
        <x:v>gemini</x:v>
      </x:c>
      <x:c r="B1183" s="35" t="str">
        <x:v>Compress</x:v>
      </x:c>
      <x:c r="C1183" s="35" t="str">
        <x:v>Round1</x:v>
      </x:c>
      <x:c r="D1183" s="35" t="str">
        <x:v>Compress_5</x:v>
      </x:c>
      <x:c r="E1183" s="35" t="str">
        <x:v>Condition</x:v>
      </x:c>
      <x:c r="F1183" s="35" t="n">
        <x:v>94</x:v>
      </x:c>
      <x:c r="G1183" s="35" t="str">
        <x:v>RECORDED</x:v>
      </x:c>
      <x:c r="H1183" s="39" t="n">
        <x:f>IF(ISNUMBER('Data'!N329),'Data'!N329*100,"")</x:f>
        <x:v>87.23</x:v>
      </x:c>
      <x:c r="I1183" s="35" t="str">
        <x:v>PASS</x:v>
      </x:c>
      <x:c r="J1183" s="35" t="str">
        <x:v>PASS</x:v>
      </x:c>
      <x:c r="K1183" s="35" t="str">
        <x:v>PASS</x:v>
      </x:c>
      <x:c r="L1183" s="35" t="str">
        <x:v>FAIL</x:v>
      </x:c>
      <x:c r="M1183" s="35" t="str">
        <x:v>numeric coverage for applicable metric</x:v>
      </x:c>
      <x:c r="N1183" s="35" t="str">
        <x:v>Gemini-3.8-flash/Result/Compress_5/result.json</x:v>
      </x:c>
      <x:c r="O1183" s="39" t="n">
        <x:f>IF(AND(G1183="RECORDED",ISNUMBER(H1183)),H1183,"")</x:f>
        <x:v>87.23</x:v>
      </x:c>
      <x:c r="P1183" s="35" t="str">
        <x:v>INCONCLUSIVE</x:v>
      </x:c>
      <x:c r="Q1183" s="35" t="str">
        <x:v>Gemini-3.8-flash/Result/Compress_5/result.json</x:v>
      </x:c>
    </x:row>
    <x:row r="1184">
      <x:c r="A1184" s="35" t="str">
        <x:v>gemini</x:v>
      </x:c>
      <x:c r="B1184" s="35" t="str">
        <x:v>Compress</x:v>
      </x:c>
      <x:c r="C1184" s="35" t="str">
        <x:v>Round1</x:v>
      </x:c>
      <x:c r="D1184" s="35" t="str">
        <x:v>Compress_6</x:v>
      </x:c>
      <x:c r="E1184" s="35" t="str">
        <x:v>Condition</x:v>
      </x:c>
      <x:c r="F1184" s="35" t="n">
        <x:v>60</x:v>
      </x:c>
      <x:c r="G1184" s="35" t="str">
        <x:v>RECORDED</x:v>
      </x:c>
      <x:c r="H1184" s="39" t="n">
        <x:f>IF(ISNUMBER('Data'!N330),'Data'!N330*100,"")</x:f>
        <x:v>93.33</x:v>
      </x:c>
      <x:c r="I1184" s="35" t="str">
        <x:v>PASS</x:v>
      </x:c>
      <x:c r="J1184" s="35" t="str">
        <x:v>PASS</x:v>
      </x:c>
      <x:c r="K1184" s="35" t="str">
        <x:v>PASS</x:v>
      </x:c>
      <x:c r="L1184" s="35" t="str">
        <x:v>FAIL</x:v>
      </x:c>
      <x:c r="M1184" s="35" t="str">
        <x:v>numeric coverage for applicable metric</x:v>
      </x:c>
      <x:c r="N1184" s="35" t="str">
        <x:v>Gemini-3.8-flash/Result/Compress_6/result.json</x:v>
      </x:c>
      <x:c r="O1184" s="39" t="n">
        <x:f>IF(AND(G1184="RECORDED",ISNUMBER(H1184)),H1184,"")</x:f>
        <x:v>93.33</x:v>
      </x:c>
      <x:c r="P1184" s="35" t="str">
        <x:v>INCONCLUSIVE</x:v>
      </x:c>
      <x:c r="Q1184" s="35" t="str">
        <x:v>Gemini-3.8-flash/Result/Compress_6/result.json</x:v>
      </x:c>
    </x:row>
    <x:row r="1185">
      <x:c r="A1185" s="35" t="str">
        <x:v>gemini</x:v>
      </x:c>
      <x:c r="B1185" s="35" t="str">
        <x:v>Compress</x:v>
      </x:c>
      <x:c r="C1185" s="35" t="str">
        <x:v>Round1</x:v>
      </x:c>
      <x:c r="D1185" s="35" t="str">
        <x:v>Compress_7</x:v>
      </x:c>
      <x:c r="E1185" s="35" t="str">
        <x:v>Condition</x:v>
      </x:c>
      <x:c r="F1185" s="35"/>
      <x:c r="G1185" s="35" t="str">
        <x:v>A</x:v>
      </x:c>
      <x:c r="H1185" s="39" t="str">
        <x:f>IF(ISNUMBER('Data'!N331),'Data'!N331*100,"")</x:f>
      </x:c>
      <x:c r="I1185" s="35"/>
      <x:c r="J1185" s="35" t="str">
        <x:v>PASS</x:v>
      </x:c>
      <x:c r="K1185" s="35" t="str">
        <x:v>FAIL</x:v>
      </x:c>
      <x:c r="L1185" s="35" t="str">
        <x:v>NOT_RUN</x:v>
      </x:c>
      <x:c r="M1185" s="35" t="str">
        <x:v>coverage unavailable or execution/compile failed</x:v>
      </x:c>
      <x:c r="N1185" s="35" t="str">
        <x:v>Gemini-3.8-flash/Result/Compress_7/result.json</x:v>
      </x:c>
      <x:c r="O1185" s="39" t="str">
        <x:f>IF(AND(G1185="RECORDED",ISNUMBER(H1185)),H1185,"")</x:f>
      </x:c>
      <x:c r="P1185" s="35" t="str">
        <x:v>NOT_AVAILABLE</x:v>
      </x:c>
      <x:c r="Q1185" s="35" t="str">
        <x:v>Gemini-3.8-flash/Result/Compress_7/result.json</x:v>
      </x:c>
    </x:row>
    <x:row r="1186">
      <x:c r="A1186" s="35" t="str">
        <x:v>gemini</x:v>
      </x:c>
      <x:c r="B1186" s="35" t="str">
        <x:v>Compress</x:v>
      </x:c>
      <x:c r="C1186" s="35" t="str">
        <x:v>Round1</x:v>
      </x:c>
      <x:c r="D1186" s="35" t="str">
        <x:v>Compress_8</x:v>
      </x:c>
      <x:c r="E1186" s="35" t="str">
        <x:v>Condition</x:v>
      </x:c>
      <x:c r="F1186" s="35" t="n">
        <x:v>38</x:v>
      </x:c>
      <x:c r="G1186" s="35" t="str">
        <x:v>RECORDED</x:v>
      </x:c>
      <x:c r="H1186" s="39" t="n">
        <x:f>IF(ISNUMBER('Data'!N332),'Data'!N332*100,"")</x:f>
        <x:v>97.37</x:v>
      </x:c>
      <x:c r="I1186" s="35" t="str">
        <x:v>PASS</x:v>
      </x:c>
      <x:c r="J1186" s="35" t="str">
        <x:v>PASS</x:v>
      </x:c>
      <x:c r="K1186" s="35" t="str">
        <x:v>PASS</x:v>
      </x:c>
      <x:c r="L1186" s="35" t="str">
        <x:v>PASS</x:v>
      </x:c>
      <x:c r="M1186" s="35" t="str">
        <x:v>numeric coverage for applicable metric</x:v>
      </x:c>
      <x:c r="N1186" s="35" t="str">
        <x:v>Gemini-3.8-flash/Result/Compress_8/result.json</x:v>
      </x:c>
      <x:c r="O1186" s="39" t="n">
        <x:f>IF(AND(G1186="RECORDED",ISNUMBER(H1186)),H1186,"")</x:f>
        <x:v>97.37</x:v>
      </x:c>
      <x:c r="P1186" s="35" t="str">
        <x:v>INCONCLUSIVE</x:v>
      </x:c>
      <x:c r="Q1186" s="35" t="str">
        <x:v>Gemini-3.8-flash/Result/Compress_8/result.json</x:v>
      </x:c>
    </x:row>
    <x:row r="1187">
      <x:c r="A1187" s="35" t="str">
        <x:v>gemini</x:v>
      </x:c>
      <x:c r="B1187" s="35" t="str">
        <x:v>Compress</x:v>
      </x:c>
      <x:c r="C1187" s="35" t="str">
        <x:v>Round1</x:v>
      </x:c>
      <x:c r="D1187" s="35" t="str">
        <x:v>Compress_9</x:v>
      </x:c>
      <x:c r="E1187" s="35" t="str">
        <x:v>Condition</x:v>
      </x:c>
      <x:c r="F1187" s="35" t="n">
        <x:v>42</x:v>
      </x:c>
      <x:c r="G1187" s="35" t="str">
        <x:v>RECORDED</x:v>
      </x:c>
      <x:c r="H1187" s="39" t="n">
        <x:f>IF(ISNUMBER('Data'!N333),'Data'!N333*100,"")</x:f>
        <x:v>100</x:v>
      </x:c>
      <x:c r="I1187" s="35" t="str">
        <x:v>PASS</x:v>
      </x:c>
      <x:c r="J1187" s="35" t="str">
        <x:v>PASS</x:v>
      </x:c>
      <x:c r="K1187" s="35" t="str">
        <x:v>PASS</x:v>
      </x:c>
      <x:c r="L1187" s="35" t="str">
        <x:v>PASS</x:v>
      </x:c>
      <x:c r="M1187" s="35" t="str">
        <x:v>numeric coverage for applicable metric</x:v>
      </x:c>
      <x:c r="N1187" s="35" t="str">
        <x:v>Gemini-3.8-flash/Result/Compress_9/result.json</x:v>
      </x:c>
      <x:c r="O1187" s="39" t="n">
        <x:f>IF(AND(G1187="RECORDED",ISNUMBER(H1187)),H1187,"")</x:f>
        <x:v>100</x:v>
      </x:c>
      <x:c r="P1187" s="35" t="str">
        <x:v>NOT_REVEALING</x:v>
      </x:c>
      <x:c r="Q1187" s="35" t="str">
        <x:v>Gemini-3.8-flash/Result/Compress_9/result.json</x:v>
      </x:c>
    </x:row>
    <x:row r="1188">
      <x:c r="A1188" s="35" t="str">
        <x:v>gemini</x:v>
      </x:c>
      <x:c r="B1188" s="35" t="str">
        <x:v>Csv</x:v>
      </x:c>
      <x:c r="C1188" s="35" t="str">
        <x:v>Round1</x:v>
      </x:c>
      <x:c r="D1188" s="35" t="str">
        <x:v>Csv_1</x:v>
      </x:c>
      <x:c r="E1188" s="35" t="str">
        <x:v>Condition</x:v>
      </x:c>
      <x:c r="F1188" s="35" t="n">
        <x:v>22</x:v>
      </x:c>
      <x:c r="G1188" s="35" t="str">
        <x:v>RECORDED</x:v>
      </x:c>
      <x:c r="H1188" s="39" t="n">
        <x:f>IF(ISNUMBER('Data'!N334),'Data'!N334*100,"")</x:f>
        <x:v>95.45</x:v>
      </x:c>
      <x:c r="I1188" s="35" t="str">
        <x:v>PASS</x:v>
      </x:c>
      <x:c r="J1188" s="35" t="str">
        <x:v>PASS</x:v>
      </x:c>
      <x:c r="K1188" s="35" t="str">
        <x:v>PASS</x:v>
      </x:c>
      <x:c r="L1188" s="35" t="str">
        <x:v>PASS</x:v>
      </x:c>
      <x:c r="M1188" s="35" t="str">
        <x:v>numeric coverage for applicable metric</x:v>
      </x:c>
      <x:c r="N1188" s="35" t="str">
        <x:v>Gemini-3.8-flash/Result/Csv_1/result.json</x:v>
      </x:c>
      <x:c r="O1188" s="39" t="n">
        <x:f>IF(AND(G1188="RECORDED",ISNUMBER(H1188)),H1188,"")</x:f>
        <x:v>95.45</x:v>
      </x:c>
      <x:c r="P1188" s="35" t="str">
        <x:v>INCONCLUSIVE</x:v>
      </x:c>
      <x:c r="Q1188" s="35" t="str">
        <x:v>Gemini-3.8-flash/Result/Csv_1/result.json</x:v>
      </x:c>
    </x:row>
    <x:row r="1189">
      <x:c r="A1189" s="35" t="str">
        <x:v>gemini</x:v>
      </x:c>
      <x:c r="B1189" s="35" t="str">
        <x:v>Csv</x:v>
      </x:c>
      <x:c r="C1189" s="35" t="str">
        <x:v>Round1</x:v>
      </x:c>
      <x:c r="D1189" s="35" t="str">
        <x:v>Csv_10</x:v>
      </x:c>
      <x:c r="E1189" s="35" t="str">
        <x:v>Condition</x:v>
      </x:c>
      <x:c r="F1189" s="35"/>
      <x:c r="G1189" s="35" t="str">
        <x:v>A</x:v>
      </x:c>
      <x:c r="H1189" s="39" t="str">
        <x:f>IF(ISNUMBER('Data'!N335),'Data'!N335*100,"")</x:f>
      </x:c>
      <x:c r="I1189" s="35"/>
      <x:c r="J1189" s="35" t="str">
        <x:v>PASS</x:v>
      </x:c>
      <x:c r="K1189" s="35" t="str">
        <x:v>FAIL</x:v>
      </x:c>
      <x:c r="L1189" s="35" t="str">
        <x:v>NOT_RUN</x:v>
      </x:c>
      <x:c r="M1189" s="35" t="str">
        <x:v>coverage unavailable or execution/compile failed</x:v>
      </x:c>
      <x:c r="N1189" s="35" t="str">
        <x:v>Gemini-3.8-flash/Result/Csv_10/result.json</x:v>
      </x:c>
      <x:c r="O1189" s="39" t="str">
        <x:f>IF(AND(G1189="RECORDED",ISNUMBER(H1189)),H1189,"")</x:f>
      </x:c>
      <x:c r="P1189" s="35" t="str">
        <x:v>NOT_AVAILABLE</x:v>
      </x:c>
      <x:c r="Q1189" s="35" t="str">
        <x:v>Gemini-3.8-flash/Result/Csv_10/result.json</x:v>
      </x:c>
    </x:row>
    <x:row r="1190">
      <x:c r="A1190" s="35" t="str">
        <x:v>gemini</x:v>
      </x:c>
      <x:c r="B1190" s="35" t="str">
        <x:v>Csv</x:v>
      </x:c>
      <x:c r="C1190" s="35" t="str">
        <x:v>Round1</x:v>
      </x:c>
      <x:c r="D1190" s="35" t="str">
        <x:v>Csv_11</x:v>
      </x:c>
      <x:c r="E1190" s="35" t="str">
        <x:v>Condition</x:v>
      </x:c>
      <x:c r="F1190" s="35" t="n">
        <x:v>58</x:v>
      </x:c>
      <x:c r="G1190" s="35" t="str">
        <x:v>RECORDED</x:v>
      </x:c>
      <x:c r="H1190" s="39" t="n">
        <x:f>IF(ISNUMBER('Data'!N336),'Data'!N336*100,"")</x:f>
        <x:v>50</x:v>
      </x:c>
      <x:c r="I1190" s="35" t="str">
        <x:v>PASS</x:v>
      </x:c>
      <x:c r="J1190" s="35" t="str">
        <x:v>PASS</x:v>
      </x:c>
      <x:c r="K1190" s="35" t="str">
        <x:v>PASS</x:v>
      </x:c>
      <x:c r="L1190" s="35" t="str">
        <x:v>PASS</x:v>
      </x:c>
      <x:c r="M1190" s="35" t="str">
        <x:v>numeric coverage for applicable metric</x:v>
      </x:c>
      <x:c r="N1190" s="35" t="str">
        <x:v>Gemini-3.8-flash/Result/Csv_11/result.json</x:v>
      </x:c>
      <x:c r="O1190" s="39" t="n">
        <x:f>IF(AND(G1190="RECORDED",ISNUMBER(H1190)),H1190,"")</x:f>
        <x:v>50</x:v>
      </x:c>
      <x:c r="P1190" s="35" t="str">
        <x:v>NOT_REVEALING</x:v>
      </x:c>
      <x:c r="Q1190" s="35" t="str">
        <x:v>Gemini-3.8-flash/Result/Csv_11/result.json</x:v>
      </x:c>
    </x:row>
    <x:row r="1191">
      <x:c r="A1191" s="35" t="str">
        <x:v>gemini</x:v>
      </x:c>
      <x:c r="B1191" s="35" t="str">
        <x:v>Csv</x:v>
      </x:c>
      <x:c r="C1191" s="35" t="str">
        <x:v>Round1</x:v>
      </x:c>
      <x:c r="D1191" s="35" t="str">
        <x:v>Csv_12</x:v>
      </x:c>
      <x:c r="E1191" s="35" t="str">
        <x:v>Condition</x:v>
      </x:c>
      <x:c r="F1191" s="35"/>
      <x:c r="G1191" s="35" t="str">
        <x:v>A</x:v>
      </x:c>
      <x:c r="H1191" s="39" t="str">
        <x:f>IF(ISNUMBER('Data'!N337),'Data'!N337*100,"")</x:f>
      </x:c>
      <x:c r="I1191" s="35"/>
      <x:c r="J1191" s="35" t="str">
        <x:v>PASS</x:v>
      </x:c>
      <x:c r="K1191" s="35" t="str">
        <x:v>FAIL</x:v>
      </x:c>
      <x:c r="L1191" s="35" t="str">
        <x:v>NOT_RUN</x:v>
      </x:c>
      <x:c r="M1191" s="35" t="str">
        <x:v>coverage unavailable or execution/compile failed</x:v>
      </x:c>
      <x:c r="N1191" s="35" t="str">
        <x:v>Gemini-3.8-flash/Result/Csv_12/result.json</x:v>
      </x:c>
      <x:c r="O1191" s="39" t="str">
        <x:f>IF(AND(G1191="RECORDED",ISNUMBER(H1191)),H1191,"")</x:f>
      </x:c>
      <x:c r="P1191" s="35" t="str">
        <x:v>NOT_AVAILABLE</x:v>
      </x:c>
      <x:c r="Q1191" s="35" t="str">
        <x:v>Gemini-3.8-flash/Result/Csv_12/result.json</x:v>
      </x:c>
    </x:row>
    <x:row r="1192">
      <x:c r="A1192" s="35" t="str">
        <x:v>gemini</x:v>
      </x:c>
      <x:c r="B1192" s="35" t="str">
        <x:v>Csv</x:v>
      </x:c>
      <x:c r="C1192" s="35" t="str">
        <x:v>Round1</x:v>
      </x:c>
      <x:c r="D1192" s="35" t="str">
        <x:v>Csv_13</x:v>
      </x:c>
      <x:c r="E1192" s="35" t="str">
        <x:v>Condition</x:v>
      </x:c>
      <x:c r="F1192" s="35"/>
      <x:c r="G1192" s="35" t="str">
        <x:v>A</x:v>
      </x:c>
      <x:c r="H1192" s="39" t="str">
        <x:f>IF(ISNUMBER('Data'!N338),'Data'!N338*100,"")</x:f>
      </x:c>
      <x:c r="I1192" s="35"/>
      <x:c r="J1192" s="35" t="str">
        <x:v>PASS</x:v>
      </x:c>
      <x:c r="K1192" s="35" t="str">
        <x:v>FAIL</x:v>
      </x:c>
      <x:c r="L1192" s="35" t="str">
        <x:v>NOT_RUN</x:v>
      </x:c>
      <x:c r="M1192" s="35" t="str">
        <x:v>coverage unavailable or execution/compile failed</x:v>
      </x:c>
      <x:c r="N1192" s="35" t="str">
        <x:v>Gemini-3.8-flash/Result/Csv_13/result.json</x:v>
      </x:c>
      <x:c r="O1192" s="39" t="str">
        <x:f>IF(AND(G1192="RECORDED",ISNUMBER(H1192)),H1192,"")</x:f>
      </x:c>
      <x:c r="P1192" s="35" t="str">
        <x:v>NOT_AVAILABLE</x:v>
      </x:c>
      <x:c r="Q1192" s="35" t="str">
        <x:v>Gemini-3.8-flash/Result/Csv_13/result.json</x:v>
      </x:c>
    </x:row>
    <x:row r="1193">
      <x:c r="A1193" s="35" t="str">
        <x:v>gemini</x:v>
      </x:c>
      <x:c r="B1193" s="35" t="str">
        <x:v>Csv</x:v>
      </x:c>
      <x:c r="C1193" s="35" t="str">
        <x:v>Round1</x:v>
      </x:c>
      <x:c r="D1193" s="35" t="str">
        <x:v>Csv_14</x:v>
      </x:c>
      <x:c r="E1193" s="35" t="str">
        <x:v>Condition</x:v>
      </x:c>
      <x:c r="F1193" s="35"/>
      <x:c r="G1193" s="35" t="str">
        <x:v>A</x:v>
      </x:c>
      <x:c r="H1193" s="39" t="str">
        <x:f>IF(ISNUMBER('Data'!N339),'Data'!N339*100,"")</x:f>
      </x:c>
      <x:c r="I1193" s="35"/>
      <x:c r="J1193" s="35" t="str">
        <x:v>PASS</x:v>
      </x:c>
      <x:c r="K1193" s="35" t="str">
        <x:v>FAIL</x:v>
      </x:c>
      <x:c r="L1193" s="35" t="str">
        <x:v>NOT_RUN</x:v>
      </x:c>
      <x:c r="M1193" s="35" t="str">
        <x:v>coverage unavailable or execution/compile failed</x:v>
      </x:c>
      <x:c r="N1193" s="35" t="str">
        <x:v>Gemini-3.8-flash/Result/Csv_14/result.json</x:v>
      </x:c>
      <x:c r="O1193" s="39" t="str">
        <x:f>IF(AND(G1193="RECORDED",ISNUMBER(H1193)),H1193,"")</x:f>
      </x:c>
      <x:c r="P1193" s="35" t="str">
        <x:v>NOT_AVAILABLE</x:v>
      </x:c>
      <x:c r="Q1193" s="35" t="str">
        <x:v>Gemini-3.8-flash/Result/Csv_14/result.json</x:v>
      </x:c>
    </x:row>
    <x:row r="1194">
      <x:c r="A1194" s="35" t="str">
        <x:v>gemini</x:v>
      </x:c>
      <x:c r="B1194" s="35" t="str">
        <x:v>Csv</x:v>
      </x:c>
      <x:c r="C1194" s="35" t="str">
        <x:v>Round1</x:v>
      </x:c>
      <x:c r="D1194" s="35" t="str">
        <x:v>Csv_15</x:v>
      </x:c>
      <x:c r="E1194" s="35" t="str">
        <x:v>Condition</x:v>
      </x:c>
      <x:c r="F1194" s="35"/>
      <x:c r="G1194" s="35" t="str">
        <x:v>A</x:v>
      </x:c>
      <x:c r="H1194" s="39" t="str">
        <x:f>IF(ISNUMBER('Data'!N340),'Data'!N340*100,"")</x:f>
      </x:c>
      <x:c r="I1194" s="35"/>
      <x:c r="J1194" s="35" t="str">
        <x:v>PASS</x:v>
      </x:c>
      <x:c r="K1194" s="35" t="str">
        <x:v>FAIL</x:v>
      </x:c>
      <x:c r="L1194" s="35" t="str">
        <x:v>NOT_RUN</x:v>
      </x:c>
      <x:c r="M1194" s="35" t="str">
        <x:v>coverage unavailable or execution/compile failed</x:v>
      </x:c>
      <x:c r="N1194" s="35" t="str">
        <x:v>Gemini-3.8-flash/Result/Csv_15/result.json</x:v>
      </x:c>
      <x:c r="O1194" s="39" t="str">
        <x:f>IF(AND(G1194="RECORDED",ISNUMBER(H1194)),H1194,"")</x:f>
      </x:c>
      <x:c r="P1194" s="35" t="str">
        <x:v>NOT_AVAILABLE</x:v>
      </x:c>
      <x:c r="Q1194" s="35" t="str">
        <x:v>Gemini-3.8-flash/Result/Csv_15/result.json</x:v>
      </x:c>
    </x:row>
    <x:row r="1195">
      <x:c r="A1195" s="35" t="str">
        <x:v>gemini</x:v>
      </x:c>
      <x:c r="B1195" s="35" t="str">
        <x:v>Csv</x:v>
      </x:c>
      <x:c r="C1195" s="35" t="str">
        <x:v>Round1</x:v>
      </x:c>
      <x:c r="D1195" s="35" t="str">
        <x:v>Csv_16</x:v>
      </x:c>
      <x:c r="E1195" s="35" t="str">
        <x:v>Condition</x:v>
      </x:c>
      <x:c r="F1195" s="35" t="n">
        <x:v>68</x:v>
      </x:c>
      <x:c r="G1195" s="35" t="str">
        <x:v>RECORDED</x:v>
      </x:c>
      <x:c r="H1195" s="39" t="n">
        <x:f>IF(ISNUMBER('Data'!N341),'Data'!N341*100,"")</x:f>
        <x:v>52.94</x:v>
      </x:c>
      <x:c r="I1195" s="35" t="str">
        <x:v>PASS</x:v>
      </x:c>
      <x:c r="J1195" s="35" t="str">
        <x:v>PASS</x:v>
      </x:c>
      <x:c r="K1195" s="35" t="str">
        <x:v>PASS</x:v>
      </x:c>
      <x:c r="L1195" s="35" t="str">
        <x:v>PASS</x:v>
      </x:c>
      <x:c r="M1195" s="35" t="str">
        <x:v>numeric coverage for applicable metric</x:v>
      </x:c>
      <x:c r="N1195" s="35" t="str">
        <x:v>Gemini-3.8-flash/Result/Csv_16/result.json</x:v>
      </x:c>
      <x:c r="O1195" s="39" t="n">
        <x:f>IF(AND(G1195="RECORDED",ISNUMBER(H1195)),H1195,"")</x:f>
        <x:v>52.94</x:v>
      </x:c>
      <x:c r="P1195" s="35" t="str">
        <x:v>NOT_REVEALING</x:v>
      </x:c>
      <x:c r="Q1195" s="35" t="str">
        <x:v>Gemini-3.8-flash/Result/Csv_16/result.json</x:v>
      </x:c>
    </x:row>
    <x:row r="1196">
      <x:c r="A1196" s="35" t="str">
        <x:v>gemini</x:v>
      </x:c>
      <x:c r="B1196" s="35" t="str">
        <x:v>Csv</x:v>
      </x:c>
      <x:c r="C1196" s="35" t="str">
        <x:v>Round1</x:v>
      </x:c>
      <x:c r="D1196" s="35" t="str">
        <x:v>Csv_2</x:v>
      </x:c>
      <x:c r="E1196" s="35" t="str">
        <x:v>Condition</x:v>
      </x:c>
      <x:c r="F1196" s="35" t="n">
        <x:v>16</x:v>
      </x:c>
      <x:c r="G1196" s="35" t="str">
        <x:v>RECORDED</x:v>
      </x:c>
      <x:c r="H1196" s="39" t="n">
        <x:f>IF(ISNUMBER('Data'!N342),'Data'!N342*100,"")</x:f>
        <x:v>100</x:v>
      </x:c>
      <x:c r="I1196" s="35" t="str">
        <x:v>PASS</x:v>
      </x:c>
      <x:c r="J1196" s="35" t="str">
        <x:v>PASS</x:v>
      </x:c>
      <x:c r="K1196" s="35" t="str">
        <x:v>PASS</x:v>
      </x:c>
      <x:c r="L1196" s="35" t="str">
        <x:v>PASS</x:v>
      </x:c>
      <x:c r="M1196" s="35" t="str">
        <x:v>numeric coverage for applicable metric</x:v>
      </x:c>
      <x:c r="N1196" s="35" t="str">
        <x:v>Gemini-3.8-flash/Result/Csv_2/result.json</x:v>
      </x:c>
      <x:c r="O1196" s="39" t="n">
        <x:f>IF(AND(G1196="RECORDED",ISNUMBER(H1196)),H1196,"")</x:f>
        <x:v>100</x:v>
      </x:c>
      <x:c r="P1196" s="35" t="str">
        <x:v>INCONCLUSIVE</x:v>
      </x:c>
      <x:c r="Q1196" s="35" t="str">
        <x:v>Gemini-3.8-flash/Result/Csv_2/result.json</x:v>
      </x:c>
    </x:row>
    <x:row r="1197">
      <x:c r="A1197" s="35" t="str">
        <x:v>gemini</x:v>
      </x:c>
      <x:c r="B1197" s="35" t="str">
        <x:v>Csv</x:v>
      </x:c>
      <x:c r="C1197" s="35" t="str">
        <x:v>Round1</x:v>
      </x:c>
      <x:c r="D1197" s="35" t="str">
        <x:v>Csv_3</x:v>
      </x:c>
      <x:c r="E1197" s="35" t="str">
        <x:v>Condition</x:v>
      </x:c>
      <x:c r="F1197" s="35"/>
      <x:c r="G1197" s="35" t="str">
        <x:v>A</x:v>
      </x:c>
      <x:c r="H1197" s="39" t="str">
        <x:f>IF(ISNUMBER('Data'!N343),'Data'!N343*100,"")</x:f>
      </x:c>
      <x:c r="I1197" s="35"/>
      <x:c r="J1197" s="35" t="str">
        <x:v>PASS</x:v>
      </x:c>
      <x:c r="K1197" s="35" t="str">
        <x:v>FAIL</x:v>
      </x:c>
      <x:c r="L1197" s="35" t="str">
        <x:v>NOT_RUN</x:v>
      </x:c>
      <x:c r="M1197" s="35" t="str">
        <x:v>coverage unavailable or execution/compile failed</x:v>
      </x:c>
      <x:c r="N1197" s="35" t="str">
        <x:v>Gemini-3.8-flash/Result/Csv_3/result.json</x:v>
      </x:c>
      <x:c r="O1197" s="39" t="str">
        <x:f>IF(AND(G1197="RECORDED",ISNUMBER(H1197)),H1197,"")</x:f>
      </x:c>
      <x:c r="P1197" s="35" t="str">
        <x:v>NOT_AVAILABLE</x:v>
      </x:c>
      <x:c r="Q1197" s="35" t="str">
        <x:v>Gemini-3.8-flash/Result/Csv_3/result.json</x:v>
      </x:c>
    </x:row>
    <x:row r="1198">
      <x:c r="A1198" s="35" t="str">
        <x:v>gemini</x:v>
      </x:c>
      <x:c r="B1198" s="35" t="str">
        <x:v>Csv</x:v>
      </x:c>
      <x:c r="C1198" s="35" t="str">
        <x:v>Round1</x:v>
      </x:c>
      <x:c r="D1198" s="35" t="str">
        <x:v>Csv_4</x:v>
      </x:c>
      <x:c r="E1198" s="35" t="str">
        <x:v>Condition</x:v>
      </x:c>
      <x:c r="F1198" s="35" t="n">
        <x:v>50</x:v>
      </x:c>
      <x:c r="G1198" s="35" t="str">
        <x:v>RECORDED</x:v>
      </x:c>
      <x:c r="H1198" s="39" t="n">
        <x:f>IF(ISNUMBER('Data'!N344),'Data'!N344*100,"")</x:f>
        <x:v>12</x:v>
      </x:c>
      <x:c r="I1198" s="35" t="str">
        <x:v>PASS</x:v>
      </x:c>
      <x:c r="J1198" s="35" t="str">
        <x:v>PASS</x:v>
      </x:c>
      <x:c r="K1198" s="35" t="str">
        <x:v>PASS</x:v>
      </x:c>
      <x:c r="L1198" s="35" t="str">
        <x:v>PASS</x:v>
      </x:c>
      <x:c r="M1198" s="35" t="str">
        <x:v>numeric coverage for applicable metric</x:v>
      </x:c>
      <x:c r="N1198" s="35" t="str">
        <x:v>Gemini-3.8-flash/Result/Csv_4/result.json</x:v>
      </x:c>
      <x:c r="O1198" s="39" t="n">
        <x:f>IF(AND(G1198="RECORDED",ISNUMBER(H1198)),H1198,"")</x:f>
        <x:v>12</x:v>
      </x:c>
      <x:c r="P1198" s="35" t="str">
        <x:v>NOT_REVEALING</x:v>
      </x:c>
      <x:c r="Q1198" s="35" t="str">
        <x:v>Gemini-3.8-flash/Result/Csv_4/result.json</x:v>
      </x:c>
    </x:row>
    <x:row r="1199">
      <x:c r="A1199" s="35" t="str">
        <x:v>gemini</x:v>
      </x:c>
      <x:c r="B1199" s="35" t="str">
        <x:v>Csv</x:v>
      </x:c>
      <x:c r="C1199" s="35" t="str">
        <x:v>Round1</x:v>
      </x:c>
      <x:c r="D1199" s="35" t="str">
        <x:v>Csv_5</x:v>
      </x:c>
      <x:c r="E1199" s="35" t="str">
        <x:v>Condition</x:v>
      </x:c>
      <x:c r="F1199" s="35"/>
      <x:c r="G1199" s="35" t="str">
        <x:v>A</x:v>
      </x:c>
      <x:c r="H1199" s="39" t="str">
        <x:f>IF(ISNUMBER('Data'!N345),'Data'!N345*100,"")</x:f>
      </x:c>
      <x:c r="I1199" s="35"/>
      <x:c r="J1199" s="35" t="str">
        <x:v>PASS</x:v>
      </x:c>
      <x:c r="K1199" s="35" t="str">
        <x:v>FAIL</x:v>
      </x:c>
      <x:c r="L1199" s="35" t="str">
        <x:v>NOT_RUN</x:v>
      </x:c>
      <x:c r="M1199" s="35" t="str">
        <x:v>coverage unavailable or execution/compile failed</x:v>
      </x:c>
      <x:c r="N1199" s="35" t="str">
        <x:v>Gemini-3.8-flash/Result/Csv_5/result.json</x:v>
      </x:c>
      <x:c r="O1199" s="39" t="str">
        <x:f>IF(AND(G1199="RECORDED",ISNUMBER(H1199)),H1199,"")</x:f>
      </x:c>
      <x:c r="P1199" s="35" t="str">
        <x:v>NOT_AVAILABLE</x:v>
      </x:c>
      <x:c r="Q1199" s="35" t="str">
        <x:v>Gemini-3.8-flash/Result/Csv_5/result.json</x:v>
      </x:c>
    </x:row>
    <x:row r="1200">
      <x:c r="A1200" s="35" t="str">
        <x:v>gemini</x:v>
      </x:c>
      <x:c r="B1200" s="35" t="str">
        <x:v>Csv</x:v>
      </x:c>
      <x:c r="C1200" s="35" t="str">
        <x:v>Round1</x:v>
      </x:c>
      <x:c r="D1200" s="35" t="str">
        <x:v>Csv_6</x:v>
      </x:c>
      <x:c r="E1200" s="35" t="str">
        <x:v>Condition</x:v>
      </x:c>
      <x:c r="F1200" s="35" t="n">
        <x:v>18</x:v>
      </x:c>
      <x:c r="G1200" s="35" t="str">
        <x:v>RECORDED</x:v>
      </x:c>
      <x:c r="H1200" s="39" t="n">
        <x:f>IF(ISNUMBER('Data'!N346),'Data'!N346*100,"")</x:f>
        <x:v>100</x:v>
      </x:c>
      <x:c r="I1200" s="35" t="str">
        <x:v>PASS</x:v>
      </x:c>
      <x:c r="J1200" s="35" t="str">
        <x:v>PASS</x:v>
      </x:c>
      <x:c r="K1200" s="35" t="str">
        <x:v>PASS</x:v>
      </x:c>
      <x:c r="L1200" s="35" t="str">
        <x:v>PASS</x:v>
      </x:c>
      <x:c r="M1200" s="35" t="str">
        <x:v>numeric coverage for applicable metric</x:v>
      </x:c>
      <x:c r="N1200" s="35" t="str">
        <x:v>Gemini-3.8-flash/Result/Csv_6/result.json</x:v>
      </x:c>
      <x:c r="O1200" s="39" t="n">
        <x:f>IF(AND(G1200="RECORDED",ISNUMBER(H1200)),H1200,"")</x:f>
        <x:v>100</x:v>
      </x:c>
      <x:c r="P1200" s="35" t="str">
        <x:v>NOT_REVEALING</x:v>
      </x:c>
      <x:c r="Q1200" s="35" t="str">
        <x:v>Gemini-3.8-flash/Result/Csv_6/result.json</x:v>
      </x:c>
    </x:row>
    <x:row r="1201">
      <x:c r="A1201" s="35" t="str">
        <x:v>gemini</x:v>
      </x:c>
      <x:c r="B1201" s="35" t="str">
        <x:v>Csv</x:v>
      </x:c>
      <x:c r="C1201" s="35" t="str">
        <x:v>Round1</x:v>
      </x:c>
      <x:c r="D1201" s="35" t="str">
        <x:v>Csv_7</x:v>
      </x:c>
      <x:c r="E1201" s="35" t="str">
        <x:v>Condition</x:v>
      </x:c>
      <x:c r="F1201" s="35" t="n">
        <x:v>50</x:v>
      </x:c>
      <x:c r="G1201" s="35" t="str">
        <x:v>RECORDED</x:v>
      </x:c>
      <x:c r="H1201" s="39" t="n">
        <x:f>IF(ISNUMBER('Data'!N347),'Data'!N347*100,"")</x:f>
        <x:v>56.00000000000001</x:v>
      </x:c>
      <x:c r="I1201" s="35" t="str">
        <x:v>PASS</x:v>
      </x:c>
      <x:c r="J1201" s="35" t="str">
        <x:v>PASS</x:v>
      </x:c>
      <x:c r="K1201" s="35" t="str">
        <x:v>PASS</x:v>
      </x:c>
      <x:c r="L1201" s="35" t="str">
        <x:v>PASS</x:v>
      </x:c>
      <x:c r="M1201" s="35" t="str">
        <x:v>numeric coverage for applicable metric</x:v>
      </x:c>
      <x:c r="N1201" s="35" t="str">
        <x:v>Gemini-3.8-flash/Result/Csv_7/result.json</x:v>
      </x:c>
      <x:c r="O1201" s="39" t="n">
        <x:f>IF(AND(G1201="RECORDED",ISNUMBER(H1201)),H1201,"")</x:f>
        <x:v>56.00000000000001</x:v>
      </x:c>
      <x:c r="P1201" s="35" t="str">
        <x:v>NOT_REVEALING</x:v>
      </x:c>
      <x:c r="Q1201" s="35" t="str">
        <x:v>Gemini-3.8-flash/Result/Csv_7/result.json</x:v>
      </x:c>
    </x:row>
    <x:row r="1202">
      <x:c r="A1202" s="35" t="str">
        <x:v>gemini</x:v>
      </x:c>
      <x:c r="B1202" s="35" t="str">
        <x:v>Csv</x:v>
      </x:c>
      <x:c r="C1202" s="35" t="str">
        <x:v>Round1</x:v>
      </x:c>
      <x:c r="D1202" s="35" t="str">
        <x:v>Csv_8</x:v>
      </x:c>
      <x:c r="E1202" s="35" t="str">
        <x:v>Condition</x:v>
      </x:c>
      <x:c r="F1202" s="35"/>
      <x:c r="G1202" s="35" t="str">
        <x:v>A</x:v>
      </x:c>
      <x:c r="H1202" s="39" t="str">
        <x:f>IF(ISNUMBER('Data'!N348),'Data'!N348*100,"")</x:f>
      </x:c>
      <x:c r="I1202" s="35"/>
      <x:c r="J1202" s="35" t="str">
        <x:v>PASS</x:v>
      </x:c>
      <x:c r="K1202" s="35" t="str">
        <x:v>FAIL</x:v>
      </x:c>
      <x:c r="L1202" s="35" t="str">
        <x:v>NOT_RUN</x:v>
      </x:c>
      <x:c r="M1202" s="35" t="str">
        <x:v>coverage unavailable or execution/compile failed</x:v>
      </x:c>
      <x:c r="N1202" s="35" t="str">
        <x:v>Gemini-3.8-flash/Result/Csv_8/result.json</x:v>
      </x:c>
      <x:c r="O1202" s="39" t="str">
        <x:f>IF(AND(G1202="RECORDED",ISNUMBER(H1202)),H1202,"")</x:f>
      </x:c>
      <x:c r="P1202" s="35" t="str">
        <x:v>NOT_AVAILABLE</x:v>
      </x:c>
      <x:c r="Q1202" s="35" t="str">
        <x:v>Gemini-3.8-flash/Result/Csv_8/result.json</x:v>
      </x:c>
    </x:row>
    <x:row r="1203">
      <x:c r="A1203" s="35" t="str">
        <x:v>gemini</x:v>
      </x:c>
      <x:c r="B1203" s="35" t="str">
        <x:v>Csv</x:v>
      </x:c>
      <x:c r="C1203" s="35" t="str">
        <x:v>Round1</x:v>
      </x:c>
      <x:c r="D1203" s="35" t="str">
        <x:v>Csv_9</x:v>
      </x:c>
      <x:c r="E1203" s="35" t="str">
        <x:v>Condition</x:v>
      </x:c>
      <x:c r="F1203" s="35" t="n">
        <x:v>22</x:v>
      </x:c>
      <x:c r="G1203" s="35" t="str">
        <x:v>RECORDED</x:v>
      </x:c>
      <x:c r="H1203" s="39" t="n">
        <x:f>IF(ISNUMBER('Data'!N349),'Data'!N349*100,"")</x:f>
        <x:v>100</x:v>
      </x:c>
      <x:c r="I1203" s="35" t="str">
        <x:v>PASS</x:v>
      </x:c>
      <x:c r="J1203" s="35" t="str">
        <x:v>PASS</x:v>
      </x:c>
      <x:c r="K1203" s="35" t="str">
        <x:v>PASS</x:v>
      </x:c>
      <x:c r="L1203" s="35" t="str">
        <x:v>PASS</x:v>
      </x:c>
      <x:c r="M1203" s="35" t="str">
        <x:v>numeric coverage for applicable metric</x:v>
      </x:c>
      <x:c r="N1203" s="35" t="str">
        <x:v>Gemini-3.8-flash/Result/Csv_9/result.json</x:v>
      </x:c>
      <x:c r="O1203" s="39" t="n">
        <x:f>IF(AND(G1203="RECORDED",ISNUMBER(H1203)),H1203,"")</x:f>
        <x:v>100</x:v>
      </x:c>
      <x:c r="P1203" s="35" t="str">
        <x:v>NOT_REVEALING</x:v>
      </x:c>
      <x:c r="Q1203" s="35" t="str">
        <x:v>Gemini-3.8-flash/Result/Csv_9/result.json</x:v>
      </x:c>
    </x:row>
    <x:row r="1204">
      <x:c r="A1204" s="35" t="str">
        <x:v>gemini</x:v>
      </x:c>
      <x:c r="B1204" s="35" t="str">
        <x:v>Gson</x:v>
      </x:c>
      <x:c r="C1204" s="35" t="str">
        <x:v>Round1</x:v>
      </x:c>
      <x:c r="D1204" s="35" t="str">
        <x:v>Gson_1</x:v>
      </x:c>
      <x:c r="E1204" s="35" t="str">
        <x:v>Condition</x:v>
      </x:c>
      <x:c r="F1204" s="35" t="n">
        <x:v>22</x:v>
      </x:c>
      <x:c r="G1204" s="35" t="str">
        <x:v>RECORDED</x:v>
      </x:c>
      <x:c r="H1204" s="39" t="n">
        <x:f>IF(ISNUMBER('Data'!N350),'Data'!N350*100,"")</x:f>
        <x:v>95.45</x:v>
      </x:c>
      <x:c r="I1204" s="35" t="str">
        <x:v>PASS</x:v>
      </x:c>
      <x:c r="J1204" s="35" t="str">
        <x:v>PASS</x:v>
      </x:c>
      <x:c r="K1204" s="35" t="str">
        <x:v>PASS</x:v>
      </x:c>
      <x:c r="L1204" s="35" t="str">
        <x:v>FAIL</x:v>
      </x:c>
      <x:c r="M1204" s="35" t="str">
        <x:v>numeric coverage for applicable metric</x:v>
      </x:c>
      <x:c r="N1204" s="35" t="str">
        <x:v>Gemini-3.8-flash/Result/Gson_1/result.json</x:v>
      </x:c>
      <x:c r="O1204" s="39" t="n">
        <x:f>IF(AND(G1204="RECORDED",ISNUMBER(H1204)),H1204,"")</x:f>
        <x:v>95.45</x:v>
      </x:c>
      <x:c r="P1204" s="35" t="str">
        <x:v>INCONCLUSIVE</x:v>
      </x:c>
      <x:c r="Q1204" s="35" t="str">
        <x:v>Gemini-3.8-flash/Result/Gson_1/result.json</x:v>
      </x:c>
    </x:row>
    <x:row r="1205">
      <x:c r="A1205" s="35" t="str">
        <x:v>gemini</x:v>
      </x:c>
      <x:c r="B1205" s="35" t="str">
        <x:v>Gson</x:v>
      </x:c>
      <x:c r="C1205" s="35" t="str">
        <x:v>Round1</x:v>
      </x:c>
      <x:c r="D1205" s="35" t="str">
        <x:v>Gson_10</x:v>
      </x:c>
      <x:c r="E1205" s="35" t="str">
        <x:v>Condition</x:v>
      </x:c>
      <x:c r="F1205" s="35" t="n">
        <x:v>58</x:v>
      </x:c>
      <x:c r="G1205" s="35" t="str">
        <x:v>RECORDED</x:v>
      </x:c>
      <x:c r="H1205" s="39" t="n">
        <x:f>IF(ISNUMBER('Data'!N351),'Data'!N351*100,"")</x:f>
        <x:v>91.38</x:v>
      </x:c>
      <x:c r="I1205" s="35" t="str">
        <x:v>PASS</x:v>
      </x:c>
      <x:c r="J1205" s="35" t="str">
        <x:v>PASS</x:v>
      </x:c>
      <x:c r="K1205" s="35" t="str">
        <x:v>PASS</x:v>
      </x:c>
      <x:c r="L1205" s="35" t="str">
        <x:v>PASS</x:v>
      </x:c>
      <x:c r="M1205" s="35" t="str">
        <x:v>numeric coverage for applicable metric</x:v>
      </x:c>
      <x:c r="N1205" s="35" t="str">
        <x:v>Gemini-3.8-flash/Result/Gson_10/result.json</x:v>
      </x:c>
      <x:c r="O1205" s="39" t="n">
        <x:f>IF(AND(G1205="RECORDED",ISNUMBER(H1205)),H1205,"")</x:f>
        <x:v>91.38</x:v>
      </x:c>
      <x:c r="P1205" s="35" t="str">
        <x:v>NOT_REVEALING</x:v>
      </x:c>
      <x:c r="Q1205" s="35" t="str">
        <x:v>Gemini-3.8-flash/Result/Gson_10/result.json</x:v>
      </x:c>
    </x:row>
    <x:row r="1206">
      <x:c r="A1206" s="35" t="str">
        <x:v>gemini</x:v>
      </x:c>
      <x:c r="B1206" s="35" t="str">
        <x:v>Gson</x:v>
      </x:c>
      <x:c r="C1206" s="35" t="str">
        <x:v>Round1</x:v>
      </x:c>
      <x:c r="D1206" s="35" t="str">
        <x:v>Gson_11</x:v>
      </x:c>
      <x:c r="E1206" s="35" t="str">
        <x:v>Condition</x:v>
      </x:c>
      <x:c r="F1206" s="35"/>
      <x:c r="G1206" s="35" t="str">
        <x:v>A</x:v>
      </x:c>
      <x:c r="H1206" s="39" t="str">
        <x:f>IF(ISNUMBER('Data'!N352),'Data'!N352*100,"")</x:f>
      </x:c>
      <x:c r="I1206" s="35"/>
      <x:c r="J1206" s="35" t="str">
        <x:v>PASS</x:v>
      </x:c>
      <x:c r="K1206" s="35" t="str">
        <x:v>FAIL</x:v>
      </x:c>
      <x:c r="L1206" s="35" t="str">
        <x:v>NOT_RUN</x:v>
      </x:c>
      <x:c r="M1206" s="35" t="str">
        <x:v>coverage unavailable or execution/compile failed</x:v>
      </x:c>
      <x:c r="N1206" s="35" t="str">
        <x:v>Gemini-3.8-flash/Result/Gson_11/result.json</x:v>
      </x:c>
      <x:c r="O1206" s="39" t="str">
        <x:f>IF(AND(G1206="RECORDED",ISNUMBER(H1206)),H1206,"")</x:f>
      </x:c>
      <x:c r="P1206" s="35" t="str">
        <x:v>NOT_AVAILABLE</x:v>
      </x:c>
      <x:c r="Q1206" s="35" t="str">
        <x:v>Gemini-3.8-flash/Result/Gson_11/result.json</x:v>
      </x:c>
    </x:row>
    <x:row r="1207">
      <x:c r="A1207" s="35" t="str">
        <x:v>gemini</x:v>
      </x:c>
      <x:c r="B1207" s="35" t="str">
        <x:v>Gson</x:v>
      </x:c>
      <x:c r="C1207" s="35" t="str">
        <x:v>Round1</x:v>
      </x:c>
      <x:c r="D1207" s="35" t="str">
        <x:v>Gson_12</x:v>
      </x:c>
      <x:c r="E1207" s="35" t="str">
        <x:v>Condition</x:v>
      </x:c>
      <x:c r="F1207" s="35" t="n">
        <x:v>86</x:v>
      </x:c>
      <x:c r="G1207" s="35" t="str">
        <x:v>RECORDED</x:v>
      </x:c>
      <x:c r="H1207" s="39" t="n">
        <x:f>IF(ISNUMBER('Data'!N353),'Data'!N353*100,"")</x:f>
        <x:v>93.02</x:v>
      </x:c>
      <x:c r="I1207" s="35" t="str">
        <x:v>PASS</x:v>
      </x:c>
      <x:c r="J1207" s="35" t="str">
        <x:v>PASS</x:v>
      </x:c>
      <x:c r="K1207" s="35" t="str">
        <x:v>PASS</x:v>
      </x:c>
      <x:c r="L1207" s="35" t="str">
        <x:v>FAIL</x:v>
      </x:c>
      <x:c r="M1207" s="35" t="str">
        <x:v>numeric coverage for applicable metric</x:v>
      </x:c>
      <x:c r="N1207" s="35" t="str">
        <x:v>Gemini-3.8-flash/Result/Gson_12/result.json</x:v>
      </x:c>
      <x:c r="O1207" s="39" t="n">
        <x:f>IF(AND(G1207="RECORDED",ISNUMBER(H1207)),H1207,"")</x:f>
        <x:v>93.02</x:v>
      </x:c>
      <x:c r="P1207" s="35" t="str">
        <x:v>INCONCLUSIVE</x:v>
      </x:c>
      <x:c r="Q1207" s="35" t="str">
        <x:v>Gemini-3.8-flash/Result/Gson_12/result.json</x:v>
      </x:c>
    </x:row>
    <x:row r="1208">
      <x:c r="A1208" s="35" t="str">
        <x:v>gemini</x:v>
      </x:c>
      <x:c r="B1208" s="35" t="str">
        <x:v>Gson</x:v>
      </x:c>
      <x:c r="C1208" s="35" t="str">
        <x:v>Round1</x:v>
      </x:c>
      <x:c r="D1208" s="35" t="str">
        <x:v>Gson_13</x:v>
      </x:c>
      <x:c r="E1208" s="35" t="str">
        <x:v>Condition</x:v>
      </x:c>
      <x:c r="F1208" s="35"/>
      <x:c r="G1208" s="35" t="str">
        <x:v>A</x:v>
      </x:c>
      <x:c r="H1208" s="39" t="str">
        <x:f>IF(ISNUMBER('Data'!N354),'Data'!N354*100,"")</x:f>
      </x:c>
      <x:c r="I1208" s="35"/>
      <x:c r="J1208" s="35" t="str">
        <x:v>PASS</x:v>
      </x:c>
      <x:c r="K1208" s="35" t="str">
        <x:v>FAIL</x:v>
      </x:c>
      <x:c r="L1208" s="35" t="str">
        <x:v>NOT_RUN</x:v>
      </x:c>
      <x:c r="M1208" s="35" t="str">
        <x:v>coverage unavailable or execution/compile failed</x:v>
      </x:c>
      <x:c r="N1208" s="35" t="str">
        <x:v>Gemini-3.8-flash/Result/Gson_13/result.json</x:v>
      </x:c>
      <x:c r="O1208" s="39" t="str">
        <x:f>IF(AND(G1208="RECORDED",ISNUMBER(H1208)),H1208,"")</x:f>
      </x:c>
      <x:c r="P1208" s="35" t="str">
        <x:v>NOT_AVAILABLE</x:v>
      </x:c>
      <x:c r="Q1208" s="35" t="str">
        <x:v>Gemini-3.8-flash/Result/Gson_13/result.json</x:v>
      </x:c>
    </x:row>
    <x:row r="1209">
      <x:c r="A1209" s="35" t="str">
        <x:v>gemini</x:v>
      </x:c>
      <x:c r="B1209" s="35" t="str">
        <x:v>Gson</x:v>
      </x:c>
      <x:c r="C1209" s="35" t="str">
        <x:v>Round1</x:v>
      </x:c>
      <x:c r="D1209" s="35" t="str">
        <x:v>Gson_14</x:v>
      </x:c>
      <x:c r="E1209" s="35" t="str">
        <x:v>Condition</x:v>
      </x:c>
      <x:c r="F1209" s="35" t="n">
        <x:v>190</x:v>
      </x:c>
      <x:c r="G1209" s="35" t="str">
        <x:v>RECORDED</x:v>
      </x:c>
      <x:c r="H1209" s="39" t="n">
        <x:f>IF(ISNUMBER('Data'!N355),'Data'!N355*100,"")</x:f>
        <x:v>90</x:v>
      </x:c>
      <x:c r="I1209" s="35" t="str">
        <x:v>PASS</x:v>
      </x:c>
      <x:c r="J1209" s="35" t="str">
        <x:v>PASS</x:v>
      </x:c>
      <x:c r="K1209" s="35" t="str">
        <x:v>PASS</x:v>
      </x:c>
      <x:c r="L1209" s="35" t="str">
        <x:v>FAIL</x:v>
      </x:c>
      <x:c r="M1209" s="35" t="str">
        <x:v>numeric coverage for applicable metric</x:v>
      </x:c>
      <x:c r="N1209" s="35" t="str">
        <x:v>Gemini-3.8-flash/Result/Gson_14/result.json</x:v>
      </x:c>
      <x:c r="O1209" s="39" t="n">
        <x:f>IF(AND(G1209="RECORDED",ISNUMBER(H1209)),H1209,"")</x:f>
        <x:v>90</x:v>
      </x:c>
      <x:c r="P1209" s="35" t="str">
        <x:v>INCONCLUSIVE</x:v>
      </x:c>
      <x:c r="Q1209" s="35" t="str">
        <x:v>Gemini-3.8-flash/Result/Gson_14/result.json</x:v>
      </x:c>
    </x:row>
    <x:row r="1210">
      <x:c r="A1210" s="35" t="str">
        <x:v>gemini</x:v>
      </x:c>
      <x:c r="B1210" s="35" t="str">
        <x:v>Gson</x:v>
      </x:c>
      <x:c r="C1210" s="35" t="str">
        <x:v>Round1</x:v>
      </x:c>
      <x:c r="D1210" s="35" t="str">
        <x:v>Gson_15</x:v>
      </x:c>
      <x:c r="E1210" s="35" t="str">
        <x:v>Condition</x:v>
      </x:c>
      <x:c r="F1210" s="35" t="n">
        <x:v>92</x:v>
      </x:c>
      <x:c r="G1210" s="35" t="str">
        <x:v>RECORDED</x:v>
      </x:c>
      <x:c r="H1210" s="39" t="n">
        <x:f>IF(ISNUMBER('Data'!N356),'Data'!N356*100,"")</x:f>
        <x:v>96.74</x:v>
      </x:c>
      <x:c r="I1210" s="35" t="str">
        <x:v>PASS</x:v>
      </x:c>
      <x:c r="J1210" s="35" t="str">
        <x:v>PASS</x:v>
      </x:c>
      <x:c r="K1210" s="35" t="str">
        <x:v>PASS</x:v>
      </x:c>
      <x:c r="L1210" s="35" t="str">
        <x:v>PASS</x:v>
      </x:c>
      <x:c r="M1210" s="35" t="str">
        <x:v>numeric coverage for applicable metric</x:v>
      </x:c>
      <x:c r="N1210" s="35" t="str">
        <x:v>Gemini-3.8-flash/Result/Gson_15/result.json</x:v>
      </x:c>
      <x:c r="O1210" s="39" t="n">
        <x:f>IF(AND(G1210="RECORDED",ISNUMBER(H1210)),H1210,"")</x:f>
        <x:v>96.74</x:v>
      </x:c>
      <x:c r="P1210" s="35" t="str">
        <x:v>NOT_REVEALING</x:v>
      </x:c>
      <x:c r="Q1210" s="35" t="str">
        <x:v>Gemini-3.8-flash/Result/Gson_15/result.json</x:v>
      </x:c>
    </x:row>
    <x:row r="1211">
      <x:c r="A1211" s="35" t="str">
        <x:v>gemini</x:v>
      </x:c>
      <x:c r="B1211" s="35" t="str">
        <x:v>Gson</x:v>
      </x:c>
      <x:c r="C1211" s="35" t="str">
        <x:v>Round1</x:v>
      </x:c>
      <x:c r="D1211" s="35" t="str">
        <x:v>Gson_16</x:v>
      </x:c>
      <x:c r="E1211" s="35" t="str">
        <x:v>Condition</x:v>
      </x:c>
      <x:c r="F1211" s="35" t="n">
        <x:v>194</x:v>
      </x:c>
      <x:c r="G1211" s="35" t="str">
        <x:v>RECORDED</x:v>
      </x:c>
      <x:c r="H1211" s="39" t="n">
        <x:f>IF(ISNUMBER('Data'!N357),'Data'!N357*100,"")</x:f>
        <x:v>88.66</x:v>
      </x:c>
      <x:c r="I1211" s="35" t="str">
        <x:v>PASS</x:v>
      </x:c>
      <x:c r="J1211" s="35" t="str">
        <x:v>PASS</x:v>
      </x:c>
      <x:c r="K1211" s="35" t="str">
        <x:v>PASS</x:v>
      </x:c>
      <x:c r="L1211" s="35" t="str">
        <x:v>FAIL</x:v>
      </x:c>
      <x:c r="M1211" s="35" t="str">
        <x:v>numeric coverage for applicable metric</x:v>
      </x:c>
      <x:c r="N1211" s="35" t="str">
        <x:v>Gemini-3.8-flash/Result/Gson_16/result.json</x:v>
      </x:c>
      <x:c r="O1211" s="39" t="n">
        <x:f>IF(AND(G1211="RECORDED",ISNUMBER(H1211)),H1211,"")</x:f>
        <x:v>88.66</x:v>
      </x:c>
      <x:c r="P1211" s="35" t="str">
        <x:v>INCONCLUSIVE</x:v>
      </x:c>
      <x:c r="Q1211" s="35" t="str">
        <x:v>Gemini-3.8-flash/Result/Gson_16/result.json</x:v>
      </x:c>
    </x:row>
    <x:row r="1212">
      <x:c r="A1212" s="35" t="str">
        <x:v>gemini</x:v>
      </x:c>
      <x:c r="B1212" s="35" t="str">
        <x:v>Gson</x:v>
      </x:c>
      <x:c r="C1212" s="35" t="str">
        <x:v>Round1</x:v>
      </x:c>
      <x:c r="D1212" s="35" t="str">
        <x:v>Gson_17</x:v>
      </x:c>
      <x:c r="E1212" s="35" t="str">
        <x:v>Condition</x:v>
      </x:c>
      <x:c r="F1212" s="35" t="n">
        <x:v>16</x:v>
      </x:c>
      <x:c r="G1212" s="35" t="str">
        <x:v>RECORDED</x:v>
      </x:c>
      <x:c r="H1212" s="39" t="n">
        <x:f>IF(ISNUMBER('Data'!N358),'Data'!N358*100,"")</x:f>
        <x:v>93.75</x:v>
      </x:c>
      <x:c r="I1212" s="35" t="str">
        <x:v>PASS</x:v>
      </x:c>
      <x:c r="J1212" s="35" t="str">
        <x:v>PASS</x:v>
      </x:c>
      <x:c r="K1212" s="35" t="str">
        <x:v>PASS</x:v>
      </x:c>
      <x:c r="L1212" s="35" t="str">
        <x:v>PASS</x:v>
      </x:c>
      <x:c r="M1212" s="35" t="str">
        <x:v>numeric coverage for applicable metric</x:v>
      </x:c>
      <x:c r="N1212" s="35" t="str">
        <x:v>Gemini-3.8-flash/Result/Gson_17/result.json</x:v>
      </x:c>
      <x:c r="O1212" s="39" t="n">
        <x:f>IF(AND(G1212="RECORDED",ISNUMBER(H1212)),H1212,"")</x:f>
        <x:v>93.75</x:v>
      </x:c>
      <x:c r="P1212" s="35" t="str">
        <x:v>INCONCLUSIVE</x:v>
      </x:c>
      <x:c r="Q1212" s="35" t="str">
        <x:v>Gemini-3.8-flash/Result/Gson_17/result.json</x:v>
      </x:c>
    </x:row>
    <x:row r="1213">
      <x:c r="A1213" s="35" t="str">
        <x:v>gemini</x:v>
      </x:c>
      <x:c r="B1213" s="35" t="str">
        <x:v>Gson</x:v>
      </x:c>
      <x:c r="C1213" s="35" t="str">
        <x:v>Round1</x:v>
      </x:c>
      <x:c r="D1213" s="35" t="str">
        <x:v>Gson_18</x:v>
      </x:c>
      <x:c r="E1213" s="35" t="str">
        <x:v>Condition</x:v>
      </x:c>
      <x:c r="F1213" s="35" t="n">
        <x:v>196</x:v>
      </x:c>
      <x:c r="G1213" s="35" t="str">
        <x:v>RECORDED</x:v>
      </x:c>
      <x:c r="H1213" s="39" t="n">
        <x:f>IF(ISNUMBER('Data'!N359),'Data'!N359*100,"")</x:f>
        <x:v>69.39</x:v>
      </x:c>
      <x:c r="I1213" s="35" t="str">
        <x:v>PASS</x:v>
      </x:c>
      <x:c r="J1213" s="35" t="str">
        <x:v>PASS</x:v>
      </x:c>
      <x:c r="K1213" s="35" t="str">
        <x:v>PASS</x:v>
      </x:c>
      <x:c r="L1213" s="35" t="str">
        <x:v>FAIL</x:v>
      </x:c>
      <x:c r="M1213" s="35" t="str">
        <x:v>numeric coverage for applicable metric</x:v>
      </x:c>
      <x:c r="N1213" s="35" t="str">
        <x:v>Gemini-3.8-flash/Result/Gson_18/result.json</x:v>
      </x:c>
      <x:c r="O1213" s="39" t="n">
        <x:f>IF(AND(G1213="RECORDED",ISNUMBER(H1213)),H1213,"")</x:f>
        <x:v>69.39</x:v>
      </x:c>
      <x:c r="P1213" s="35" t="str">
        <x:v>INCONCLUSIVE</x:v>
      </x:c>
      <x:c r="Q1213" s="35" t="str">
        <x:v>Gemini-3.8-flash/Result/Gson_18/result.json</x:v>
      </x:c>
    </x:row>
    <x:row r="1214">
      <x:c r="A1214" s="35" t="str">
        <x:v>gemini</x:v>
      </x:c>
      <x:c r="B1214" s="35" t="str">
        <x:v>Gson</x:v>
      </x:c>
      <x:c r="C1214" s="35" t="str">
        <x:v>Round1</x:v>
      </x:c>
      <x:c r="D1214" s="35" t="str">
        <x:v>Gson_2</x:v>
      </x:c>
      <x:c r="E1214" s="35" t="str">
        <x:v>Condition</x:v>
      </x:c>
      <x:c r="F1214" s="35"/>
      <x:c r="G1214" s="35" t="str">
        <x:v>A</x:v>
      </x:c>
      <x:c r="H1214" s="39" t="str">
        <x:f>IF(ISNUMBER('Data'!N360),'Data'!N360*100,"")</x:f>
      </x:c>
      <x:c r="I1214" s="35"/>
      <x:c r="J1214" s="35" t="str">
        <x:v>PASS</x:v>
      </x:c>
      <x:c r="K1214" s="35" t="str">
        <x:v>FAIL</x:v>
      </x:c>
      <x:c r="L1214" s="35" t="str">
        <x:v>NOT_RUN</x:v>
      </x:c>
      <x:c r="M1214" s="35" t="str">
        <x:v>coverage unavailable or execution/compile failed</x:v>
      </x:c>
      <x:c r="N1214" s="35" t="str">
        <x:v>Gemini-3.8-flash/Result/Gson_2/result.json</x:v>
      </x:c>
      <x:c r="O1214" s="39" t="str">
        <x:f>IF(AND(G1214="RECORDED",ISNUMBER(H1214)),H1214,"")</x:f>
      </x:c>
      <x:c r="P1214" s="35" t="str">
        <x:v>NOT_AVAILABLE</x:v>
      </x:c>
      <x:c r="Q1214" s="35" t="str">
        <x:v>Gemini-3.8-flash/Result/Gson_2/result.json</x:v>
      </x:c>
    </x:row>
    <x:row r="1215">
      <x:c r="A1215" s="35" t="str">
        <x:v>gemini</x:v>
      </x:c>
      <x:c r="B1215" s="35" t="str">
        <x:v>Gson</x:v>
      </x:c>
      <x:c r="C1215" s="35" t="str">
        <x:v>Round1</x:v>
      </x:c>
      <x:c r="D1215" s="35" t="str">
        <x:v>Gson_3</x:v>
      </x:c>
      <x:c r="E1215" s="35" t="str">
        <x:v>Condition</x:v>
      </x:c>
      <x:c r="F1215" s="35" t="n">
        <x:v>32</x:v>
      </x:c>
      <x:c r="G1215" s="35" t="str">
        <x:v>RECORDED</x:v>
      </x:c>
      <x:c r="H1215" s="39" t="n">
        <x:f>IF(ISNUMBER('Data'!N361),'Data'!N361*100,"")</x:f>
        <x:v>96.88</x:v>
      </x:c>
      <x:c r="I1215" s="35" t="str">
        <x:v>PASS</x:v>
      </x:c>
      <x:c r="J1215" s="35" t="str">
        <x:v>PASS</x:v>
      </x:c>
      <x:c r="K1215" s="35" t="str">
        <x:v>PASS</x:v>
      </x:c>
      <x:c r="L1215" s="35" t="str">
        <x:v>PASS</x:v>
      </x:c>
      <x:c r="M1215" s="35" t="str">
        <x:v>numeric coverage for applicable metric</x:v>
      </x:c>
      <x:c r="N1215" s="35" t="str">
        <x:v>Gemini-3.8-flash/Result/Gson_3/result.json</x:v>
      </x:c>
      <x:c r="O1215" s="39" t="n">
        <x:f>IF(AND(G1215="RECORDED",ISNUMBER(H1215)),H1215,"")</x:f>
        <x:v>96.88</x:v>
      </x:c>
      <x:c r="P1215" s="35" t="str">
        <x:v>NOT_REVEALING</x:v>
      </x:c>
      <x:c r="Q1215" s="35" t="str">
        <x:v>Gemini-3.8-flash/Result/Gson_3/result.json</x:v>
      </x:c>
    </x:row>
    <x:row r="1216">
      <x:c r="A1216" s="35" t="str">
        <x:v>gemini</x:v>
      </x:c>
      <x:c r="B1216" s="35" t="str">
        <x:v>Gson</x:v>
      </x:c>
      <x:c r="C1216" s="35" t="str">
        <x:v>Round1</x:v>
      </x:c>
      <x:c r="D1216" s="35" t="str">
        <x:v>Gson_4</x:v>
      </x:c>
      <x:c r="E1216" s="35" t="str">
        <x:v>Condition</x:v>
      </x:c>
      <x:c r="F1216" s="35" t="n">
        <x:v>565</x:v>
      </x:c>
      <x:c r="G1216" s="35" t="str">
        <x:v>RECORDED</x:v>
      </x:c>
      <x:c r="H1216" s="39" t="n">
        <x:f>IF(ISNUMBER('Data'!N362),'Data'!N362*100,"")</x:f>
        <x:v>82.83</x:v>
      </x:c>
      <x:c r="I1216" s="35" t="str">
        <x:v>PASS</x:v>
      </x:c>
      <x:c r="J1216" s="35" t="str">
        <x:v>PASS</x:v>
      </x:c>
      <x:c r="K1216" s="35" t="str">
        <x:v>PASS</x:v>
      </x:c>
      <x:c r="L1216" s="35" t="str">
        <x:v>FAIL</x:v>
      </x:c>
      <x:c r="M1216" s="35" t="str">
        <x:v>numeric coverage for applicable metric</x:v>
      </x:c>
      <x:c r="N1216" s="35" t="str">
        <x:v>Gemini-3.8-flash/Result/Gson_4/result.json</x:v>
      </x:c>
      <x:c r="O1216" s="39" t="n">
        <x:f>IF(AND(G1216="RECORDED",ISNUMBER(H1216)),H1216,"")</x:f>
        <x:v>82.83</x:v>
      </x:c>
      <x:c r="P1216" s="35" t="str">
        <x:v>INCONCLUSIVE</x:v>
      </x:c>
      <x:c r="Q1216" s="35" t="str">
        <x:v>Gemini-3.8-flash/Result/Gson_4/result.json</x:v>
      </x:c>
    </x:row>
    <x:row r="1217">
      <x:c r="A1217" s="35" t="str">
        <x:v>gemini</x:v>
      </x:c>
      <x:c r="B1217" s="35" t="str">
        <x:v>Gson</x:v>
      </x:c>
      <x:c r="C1217" s="35" t="str">
        <x:v>Round1</x:v>
      </x:c>
      <x:c r="D1217" s="35" t="str">
        <x:v>Gson_5</x:v>
      </x:c>
      <x:c r="E1217" s="35" t="str">
        <x:v>Condition</x:v>
      </x:c>
      <x:c r="F1217" s="35" t="n">
        <x:v>89</x:v>
      </x:c>
      <x:c r="G1217" s="35" t="str">
        <x:v>RECORDED</x:v>
      </x:c>
      <x:c r="H1217" s="39" t="n">
        <x:f>IF(ISNUMBER('Data'!N363),'Data'!N363*100,"")</x:f>
        <x:v>87.64</x:v>
      </x:c>
      <x:c r="I1217" s="35" t="str">
        <x:v>PASS</x:v>
      </x:c>
      <x:c r="J1217" s="35" t="str">
        <x:v>PASS</x:v>
      </x:c>
      <x:c r="K1217" s="35" t="str">
        <x:v>PASS</x:v>
      </x:c>
      <x:c r="L1217" s="35" t="str">
        <x:v>PASS</x:v>
      </x:c>
      <x:c r="M1217" s="35" t="str">
        <x:v>numeric coverage for applicable metric</x:v>
      </x:c>
      <x:c r="N1217" s="35" t="str">
        <x:v>Gemini-3.8-flash/Result/Gson_5/result.json</x:v>
      </x:c>
      <x:c r="O1217" s="39" t="n">
        <x:f>IF(AND(G1217="RECORDED",ISNUMBER(H1217)),H1217,"")</x:f>
        <x:v>87.64</x:v>
      </x:c>
      <x:c r="P1217" s="35" t="str">
        <x:v>NOT_REVEALING</x:v>
      </x:c>
      <x:c r="Q1217" s="35" t="str">
        <x:v>Gemini-3.8-flash/Result/Gson_5/result.json</x:v>
      </x:c>
    </x:row>
    <x:row r="1218">
      <x:c r="A1218" s="35" t="str">
        <x:v>gemini</x:v>
      </x:c>
      <x:c r="B1218" s="35" t="str">
        <x:v>Gson</x:v>
      </x:c>
      <x:c r="C1218" s="35" t="str">
        <x:v>Round1</x:v>
      </x:c>
      <x:c r="D1218" s="35" t="str">
        <x:v>Gson_6</x:v>
      </x:c>
      <x:c r="E1218" s="35" t="str">
        <x:v>Condition</x:v>
      </x:c>
      <x:c r="F1218" s="35"/>
      <x:c r="G1218" s="35" t="str">
        <x:v>A</x:v>
      </x:c>
      <x:c r="H1218" s="39" t="str">
        <x:f>IF(ISNUMBER('Data'!N364),'Data'!N364*100,"")</x:f>
      </x:c>
      <x:c r="I1218" s="35"/>
      <x:c r="J1218" s="35" t="str">
        <x:v>PASS</x:v>
      </x:c>
      <x:c r="K1218" s="35" t="str">
        <x:v>FAIL</x:v>
      </x:c>
      <x:c r="L1218" s="35" t="str">
        <x:v>NOT_RUN</x:v>
      </x:c>
      <x:c r="M1218" s="35" t="str">
        <x:v>coverage unavailable or execution/compile failed</x:v>
      </x:c>
      <x:c r="N1218" s="35" t="str">
        <x:v>Gemini-3.8-flash/Result/Gson_6/result.json</x:v>
      </x:c>
      <x:c r="O1218" s="39" t="str">
        <x:f>IF(AND(G1218="RECORDED",ISNUMBER(H1218)),H1218,"")</x:f>
      </x:c>
      <x:c r="P1218" s="35" t="str">
        <x:v>NOT_AVAILABLE</x:v>
      </x:c>
      <x:c r="Q1218" s="35" t="str">
        <x:v>Gemini-3.8-flash/Result/Gson_6/result.json</x:v>
      </x:c>
    </x:row>
    <x:row r="1219">
      <x:c r="A1219" s="35" t="str">
        <x:v>gemini</x:v>
      </x:c>
      <x:c r="B1219" s="35" t="str">
        <x:v>Gson</x:v>
      </x:c>
      <x:c r="C1219" s="35" t="str">
        <x:v>Round1</x:v>
      </x:c>
      <x:c r="D1219" s="35" t="str">
        <x:v>Gson_7</x:v>
      </x:c>
      <x:c r="E1219" s="35" t="str">
        <x:v>Condition</x:v>
      </x:c>
      <x:c r="F1219" s="35" t="n">
        <x:v>469</x:v>
      </x:c>
      <x:c r="G1219" s="35" t="str">
        <x:v>RECORDED</x:v>
      </x:c>
      <x:c r="H1219" s="39" t="n">
        <x:f>IF(ISNUMBER('Data'!N365),'Data'!N365*100,"")</x:f>
        <x:v>79.1</x:v>
      </x:c>
      <x:c r="I1219" s="35" t="str">
        <x:v>PASS</x:v>
      </x:c>
      <x:c r="J1219" s="35" t="str">
        <x:v>PASS</x:v>
      </x:c>
      <x:c r="K1219" s="35" t="str">
        <x:v>PASS</x:v>
      </x:c>
      <x:c r="L1219" s="35" t="str">
        <x:v>FAIL</x:v>
      </x:c>
      <x:c r="M1219" s="35" t="str">
        <x:v>numeric coverage for applicable metric</x:v>
      </x:c>
      <x:c r="N1219" s="35" t="str">
        <x:v>Gemini-3.8-flash/Result/Gson_7/result.json</x:v>
      </x:c>
      <x:c r="O1219" s="39" t="n">
        <x:f>IF(AND(G1219="RECORDED",ISNUMBER(H1219)),H1219,"")</x:f>
        <x:v>79.1</x:v>
      </x:c>
      <x:c r="P1219" s="35" t="str">
        <x:v>INCONCLUSIVE</x:v>
      </x:c>
      <x:c r="Q1219" s="35" t="str">
        <x:v>Gemini-3.8-flash/Result/Gson_7/result.json</x:v>
      </x:c>
    </x:row>
    <x:row r="1220">
      <x:c r="A1220" s="35" t="str">
        <x:v>gemini</x:v>
      </x:c>
      <x:c r="B1220" s="35" t="str">
        <x:v>Gson</x:v>
      </x:c>
      <x:c r="C1220" s="35" t="str">
        <x:v>Round1</x:v>
      </x:c>
      <x:c r="D1220" s="35" t="str">
        <x:v>Gson_8</x:v>
      </x:c>
      <x:c r="E1220" s="35" t="str">
        <x:v>Condition</x:v>
      </x:c>
      <x:c r="F1220" s="35" t="n">
        <x:v>0</x:v>
      </x:c>
      <x:c r="G1220" s="35" t="str">
        <x:v>B</x:v>
      </x:c>
      <x:c r="H1220" s="39" t="str">
        <x:f>IF(ISNUMBER('Data'!N366),'Data'!N366*100,"")</x:f>
      </x:c>
      <x:c r="I1220" s="35" t="str">
        <x:v>PASS</x:v>
      </x:c>
      <x:c r="J1220" s="35" t="str">
        <x:v>PASS</x:v>
      </x:c>
      <x:c r="K1220" s="35" t="str">
        <x:v>PASS</x:v>
      </x:c>
      <x:c r="L1220" s="35" t="str">
        <x:v>PASS</x:v>
      </x:c>
      <x:c r="M1220" s="35" t="str">
        <x:v>coverage completed; measurable total = 0</x:v>
      </x:c>
      <x:c r="N1220" s="35" t="str">
        <x:v>Gemini-3.8-flash/Result/Gson_8/result.json</x:v>
      </x:c>
      <x:c r="O1220" s="39" t="str">
        <x:f>IF(AND(G1220="RECORDED",ISNUMBER(H1220)),H1220,"")</x:f>
      </x:c>
      <x:c r="P1220" s="35" t="str">
        <x:v>NOT_REVEALING</x:v>
      </x:c>
      <x:c r="Q1220" s="35" t="str">
        <x:v>Gemini-3.8-flash/Result/Gson_8/result.json</x:v>
      </x:c>
    </x:row>
    <x:row r="1221">
      <x:c r="A1221" s="35" t="str">
        <x:v>gemini</x:v>
      </x:c>
      <x:c r="B1221" s="35" t="str">
        <x:v>Gson</x:v>
      </x:c>
      <x:c r="C1221" s="35" t="str">
        <x:v>Round1</x:v>
      </x:c>
      <x:c r="D1221" s="35" t="str">
        <x:v>Gson_9</x:v>
      </x:c>
      <x:c r="E1221" s="35" t="str">
        <x:v>Condition</x:v>
      </x:c>
      <x:c r="F1221" s="35"/>
      <x:c r="G1221" s="35" t="str">
        <x:v>A</x:v>
      </x:c>
      <x:c r="H1221" s="39" t="str">
        <x:f>IF(ISNUMBER('Data'!N367),'Data'!N367*100,"")</x:f>
      </x:c>
      <x:c r="I1221" s="35"/>
      <x:c r="J1221" s="35" t="str">
        <x:v>PASS</x:v>
      </x:c>
      <x:c r="K1221" s="35" t="str">
        <x:v>FAIL</x:v>
      </x:c>
      <x:c r="L1221" s="35" t="str">
        <x:v>NOT_RUN</x:v>
      </x:c>
      <x:c r="M1221" s="35" t="str">
        <x:v>coverage unavailable or execution/compile failed</x:v>
      </x:c>
      <x:c r="N1221" s="35" t="str">
        <x:v>Gemini-3.8-flash/Result/Gson_9/result.json</x:v>
      </x:c>
      <x:c r="O1221" s="39" t="str">
        <x:f>IF(AND(G1221="RECORDED",ISNUMBER(H1221)),H1221,"")</x:f>
      </x:c>
      <x:c r="P1221" s="35" t="str">
        <x:v>NOT_AVAILABLE</x:v>
      </x:c>
      <x:c r="Q1221" s="35" t="str">
        <x:v>Gemini-3.8-flash/Result/Gson_9/result.json</x:v>
      </x:c>
    </x:row>
    <x:row r="1222">
      <x:c r="A1222" s="35" t="str">
        <x:v>gemini</x:v>
      </x:c>
      <x:c r="B1222" s="35" t="str">
        <x:v>JacksonCore</x:v>
      </x:c>
      <x:c r="C1222" s="35" t="str">
        <x:v>Round1</x:v>
      </x:c>
      <x:c r="D1222" s="35" t="str">
        <x:v>JacksonCore_1</x:v>
      </x:c>
      <x:c r="E1222" s="35" t="str">
        <x:v>Condition</x:v>
      </x:c>
      <x:c r="F1222" s="35"/>
      <x:c r="G1222" s="35" t="str">
        <x:v>A</x:v>
      </x:c>
      <x:c r="H1222" s="39" t="str">
        <x:f>IF(ISNUMBER('Data'!N368),'Data'!N368*100,"")</x:f>
      </x:c>
      <x:c r="I1222" s="35"/>
      <x:c r="J1222" s="35" t="str">
        <x:v>PASS</x:v>
      </x:c>
      <x:c r="K1222" s="35" t="str">
        <x:v>FAIL</x:v>
      </x:c>
      <x:c r="L1222" s="35" t="str">
        <x:v>NOT_RUN</x:v>
      </x:c>
      <x:c r="M1222" s="35" t="str">
        <x:v>coverage unavailable or execution/compile failed</x:v>
      </x:c>
      <x:c r="N1222" s="35" t="str">
        <x:v>Gemini-3.8-flash/Result/JacksonCore_1/result.json</x:v>
      </x:c>
      <x:c r="O1222" s="39" t="str">
        <x:f>IF(AND(G1222="RECORDED",ISNUMBER(H1222)),H1222,"")</x:f>
      </x:c>
      <x:c r="P1222" s="35" t="str">
        <x:v>NOT_AVAILABLE</x:v>
      </x:c>
      <x:c r="Q1222" s="35" t="str">
        <x:v>Gemini-3.8-flash/Result/JacksonCore_1/result.json</x:v>
      </x:c>
    </x:row>
    <x:row r="1223">
      <x:c r="A1223" s="35" t="str">
        <x:v>gemini</x:v>
      </x:c>
      <x:c r="B1223" s="35" t="str">
        <x:v>JacksonCore</x:v>
      </x:c>
      <x:c r="C1223" s="35" t="str">
        <x:v>Round1</x:v>
      </x:c>
      <x:c r="D1223" s="35" t="str">
        <x:v>JacksonCore_10</x:v>
      </x:c>
      <x:c r="E1223" s="35" t="str">
        <x:v>Condition</x:v>
      </x:c>
      <x:c r="F1223" s="35" t="n">
        <x:v>266</x:v>
      </x:c>
      <x:c r="G1223" s="35" t="str">
        <x:v>RECORDED</x:v>
      </x:c>
      <x:c r="H1223" s="39" t="n">
        <x:f>IF(ISNUMBER('Data'!N369),'Data'!N369*100,"")</x:f>
        <x:v>68.05</x:v>
      </x:c>
      <x:c r="I1223" s="35" t="str">
        <x:v>PASS</x:v>
      </x:c>
      <x:c r="J1223" s="35" t="str">
        <x:v>PASS</x:v>
      </x:c>
      <x:c r="K1223" s="35" t="str">
        <x:v>PASS</x:v>
      </x:c>
      <x:c r="L1223" s="35" t="str">
        <x:v>FAIL</x:v>
      </x:c>
      <x:c r="M1223" s="35" t="str">
        <x:v>numeric coverage for applicable metric</x:v>
      </x:c>
      <x:c r="N1223" s="35" t="str">
        <x:v>Gemini-3.8-flash/Result/JacksonCore_10/result.json</x:v>
      </x:c>
      <x:c r="O1223" s="39" t="n">
        <x:f>IF(AND(G1223="RECORDED",ISNUMBER(H1223)),H1223,"")</x:f>
        <x:v>68.05</x:v>
      </x:c>
      <x:c r="P1223" s="35" t="str">
        <x:v>INCONCLUSIVE</x:v>
      </x:c>
      <x:c r="Q1223" s="35" t="str">
        <x:v>Gemini-3.8-flash/Result/JacksonCore_10/result.json</x:v>
      </x:c>
    </x:row>
    <x:row r="1224">
      <x:c r="A1224" s="35" t="str">
        <x:v>gemini</x:v>
      </x:c>
      <x:c r="B1224" s="35" t="str">
        <x:v>JacksonCore</x:v>
      </x:c>
      <x:c r="C1224" s="35" t="str">
        <x:v>Round1</x:v>
      </x:c>
      <x:c r="D1224" s="35" t="str">
        <x:v>JacksonCore_11</x:v>
      </x:c>
      <x:c r="E1224" s="35" t="str">
        <x:v>Condition</x:v>
      </x:c>
      <x:c r="F1224" s="35"/>
      <x:c r="G1224" s="35" t="str">
        <x:v>A</x:v>
      </x:c>
      <x:c r="H1224" s="39" t="str">
        <x:f>IF(ISNUMBER('Data'!N370),'Data'!N370*100,"")</x:f>
      </x:c>
      <x:c r="I1224" s="35"/>
      <x:c r="J1224" s="35" t="str">
        <x:v>PASS</x:v>
      </x:c>
      <x:c r="K1224" s="35" t="str">
        <x:v>FAIL</x:v>
      </x:c>
      <x:c r="L1224" s="35" t="str">
        <x:v>NOT_RUN</x:v>
      </x:c>
      <x:c r="M1224" s="35" t="str">
        <x:v>coverage unavailable or execution/compile failed</x:v>
      </x:c>
      <x:c r="N1224" s="35" t="str">
        <x:v>Gemini-3.8-flash/Result/JacksonCore_11/result.json</x:v>
      </x:c>
      <x:c r="O1224" s="39" t="str">
        <x:f>IF(AND(G1224="RECORDED",ISNUMBER(H1224)),H1224,"")</x:f>
      </x:c>
      <x:c r="P1224" s="35" t="str">
        <x:v>NOT_AVAILABLE</x:v>
      </x:c>
      <x:c r="Q1224" s="35" t="str">
        <x:v>Gemini-3.8-flash/Result/JacksonCore_11/result.json</x:v>
      </x:c>
    </x:row>
    <x:row r="1225">
      <x:c r="A1225" s="35" t="str">
        <x:v>gemini</x:v>
      </x:c>
      <x:c r="B1225" s="35" t="str">
        <x:v>JacksonCore</x:v>
      </x:c>
      <x:c r="C1225" s="35" t="str">
        <x:v>Round1</x:v>
      </x:c>
      <x:c r="D1225" s="35" t="str">
        <x:v>JacksonCore_12</x:v>
      </x:c>
      <x:c r="E1225" s="35" t="str">
        <x:v>Condition</x:v>
      </x:c>
      <x:c r="F1225" s="35" t="n">
        <x:v>2258</x:v>
      </x:c>
      <x:c r="G1225" s="35" t="str">
        <x:v>RECORDED</x:v>
      </x:c>
      <x:c r="H1225" s="39" t="n">
        <x:f>IF(ISNUMBER('Data'!N371),'Data'!N371*100,"")</x:f>
        <x:v>44.69</x:v>
      </x:c>
      <x:c r="I1225" s="35" t="str">
        <x:v>PASS</x:v>
      </x:c>
      <x:c r="J1225" s="35" t="str">
        <x:v>PASS</x:v>
      </x:c>
      <x:c r="K1225" s="35" t="str">
        <x:v>PASS</x:v>
      </x:c>
      <x:c r="L1225" s="35" t="str">
        <x:v>FAIL</x:v>
      </x:c>
      <x:c r="M1225" s="35" t="str">
        <x:v>numeric coverage for applicable metric</x:v>
      </x:c>
      <x:c r="N1225" s="35" t="str">
        <x:v>Gemini-3.8-flash/Result/JacksonCore_12/result.json</x:v>
      </x:c>
      <x:c r="O1225" s="39" t="n">
        <x:f>IF(AND(G1225="RECORDED",ISNUMBER(H1225)),H1225,"")</x:f>
        <x:v>44.69</x:v>
      </x:c>
      <x:c r="P1225" s="35" t="str">
        <x:v>INCONCLUSIVE</x:v>
      </x:c>
      <x:c r="Q1225" s="35" t="str">
        <x:v>Gemini-3.8-flash/Result/JacksonCore_12/result.json</x:v>
      </x:c>
    </x:row>
    <x:row r="1226">
      <x:c r="A1226" s="35" t="str">
        <x:v>gemini</x:v>
      </x:c>
      <x:c r="B1226" s="35" t="str">
        <x:v>JacksonCore</x:v>
      </x:c>
      <x:c r="C1226" s="35" t="str">
        <x:v>Round1</x:v>
      </x:c>
      <x:c r="D1226" s="35" t="str">
        <x:v>JacksonCore_13</x:v>
      </x:c>
      <x:c r="E1226" s="35" t="str">
        <x:v>Condition</x:v>
      </x:c>
      <x:c r="F1226" s="35" t="n">
        <x:v>12</x:v>
      </x:c>
      <x:c r="G1226" s="35" t="str">
        <x:v>RECORDED</x:v>
      </x:c>
      <x:c r="H1226" s="39" t="n">
        <x:f>IF(ISNUMBER('Data'!N372),'Data'!N372*100,"")</x:f>
        <x:v>100</x:v>
      </x:c>
      <x:c r="I1226" s="35" t="str">
        <x:v>PASS</x:v>
      </x:c>
      <x:c r="J1226" s="35" t="str">
        <x:v>PASS</x:v>
      </x:c>
      <x:c r="K1226" s="35" t="str">
        <x:v>PASS</x:v>
      </x:c>
      <x:c r="L1226" s="35" t="str">
        <x:v>PASS</x:v>
      </x:c>
      <x:c r="M1226" s="35" t="str">
        <x:v>numeric coverage for applicable metric</x:v>
      </x:c>
      <x:c r="N1226" s="35" t="str">
        <x:v>Gemini-3.8-flash/Result/JacksonCore_13/result.json</x:v>
      </x:c>
      <x:c r="O1226" s="39" t="n">
        <x:f>IF(AND(G1226="RECORDED",ISNUMBER(H1226)),H1226,"")</x:f>
        <x:v>100</x:v>
      </x:c>
      <x:c r="P1226" s="35" t="str">
        <x:v>NOT_REVEALING</x:v>
      </x:c>
      <x:c r="Q1226" s="35" t="str">
        <x:v>Gemini-3.8-flash/Result/JacksonCore_13/result.json</x:v>
      </x:c>
    </x:row>
    <x:row r="1227">
      <x:c r="A1227" s="35" t="str">
        <x:v>gemini</x:v>
      </x:c>
      <x:c r="B1227" s="35" t="str">
        <x:v>JacksonCore</x:v>
      </x:c>
      <x:c r="C1227" s="35" t="str">
        <x:v>Round1</x:v>
      </x:c>
      <x:c r="D1227" s="35" t="str">
        <x:v>JacksonCore_14</x:v>
      </x:c>
      <x:c r="E1227" s="35" t="str">
        <x:v>Condition</x:v>
      </x:c>
      <x:c r="F1227" s="35" t="n">
        <x:v>22</x:v>
      </x:c>
      <x:c r="G1227" s="35" t="str">
        <x:v>RECORDED</x:v>
      </x:c>
      <x:c r="H1227" s="39" t="n">
        <x:f>IF(ISNUMBER('Data'!N373),'Data'!N373*100,"")</x:f>
        <x:v>100</x:v>
      </x:c>
      <x:c r="I1227" s="35" t="str">
        <x:v>PASS</x:v>
      </x:c>
      <x:c r="J1227" s="35" t="str">
        <x:v>PASS</x:v>
      </x:c>
      <x:c r="K1227" s="35" t="str">
        <x:v>PASS</x:v>
      </x:c>
      <x:c r="L1227" s="35" t="str">
        <x:v>PASS</x:v>
      </x:c>
      <x:c r="M1227" s="35" t="str">
        <x:v>numeric coverage for applicable metric</x:v>
      </x:c>
      <x:c r="N1227" s="35" t="str">
        <x:v>Gemini-3.8-flash/Result/JacksonCore_14/result.json</x:v>
      </x:c>
      <x:c r="O1227" s="39" t="n">
        <x:f>IF(AND(G1227="RECORDED",ISNUMBER(H1227)),H1227,"")</x:f>
        <x:v>100</x:v>
      </x:c>
      <x:c r="P1227" s="35" t="str">
        <x:v>INCONCLUSIVE</x:v>
      </x:c>
      <x:c r="Q1227" s="35" t="str">
        <x:v>Gemini-3.8-flash/Result/JacksonCore_14/result.json</x:v>
      </x:c>
    </x:row>
    <x:row r="1228">
      <x:c r="A1228" s="35" t="str">
        <x:v>gemini</x:v>
      </x:c>
      <x:c r="B1228" s="35" t="str">
        <x:v>JacksonCore</x:v>
      </x:c>
      <x:c r="C1228" s="35" t="str">
        <x:v>Round1</x:v>
      </x:c>
      <x:c r="D1228" s="35" t="str">
        <x:v>JacksonCore_15</x:v>
      </x:c>
      <x:c r="E1228" s="35" t="str">
        <x:v>Condition</x:v>
      </x:c>
      <x:c r="F1228" s="35"/>
      <x:c r="G1228" s="35" t="str">
        <x:v>A</x:v>
      </x:c>
      <x:c r="H1228" s="39" t="str">
        <x:f>IF(ISNUMBER('Data'!N374),'Data'!N374*100,"")</x:f>
      </x:c>
      <x:c r="I1228" s="35"/>
      <x:c r="J1228" s="35" t="str">
        <x:v>PASS</x:v>
      </x:c>
      <x:c r="K1228" s="35" t="str">
        <x:v>FAIL</x:v>
      </x:c>
      <x:c r="L1228" s="35" t="str">
        <x:v>NOT_RUN</x:v>
      </x:c>
      <x:c r="M1228" s="35" t="str">
        <x:v>coverage unavailable or execution/compile failed</x:v>
      </x:c>
      <x:c r="N1228" s="35" t="str">
        <x:v>Gemini-3.8-flash/Result/JacksonCore_15/result.json</x:v>
      </x:c>
      <x:c r="O1228" s="39" t="str">
        <x:f>IF(AND(G1228="RECORDED",ISNUMBER(H1228)),H1228,"")</x:f>
      </x:c>
      <x:c r="P1228" s="35" t="str">
        <x:v>NOT_AVAILABLE</x:v>
      </x:c>
      <x:c r="Q1228" s="35" t="str">
        <x:v>Gemini-3.8-flash/Result/JacksonCore_15/result.json</x:v>
      </x:c>
    </x:row>
    <x:row r="1229">
      <x:c r="A1229" s="35" t="str">
        <x:v>gemini</x:v>
      </x:c>
      <x:c r="B1229" s="35" t="str">
        <x:v>JacksonCore</x:v>
      </x:c>
      <x:c r="C1229" s="35" t="str">
        <x:v>Round1</x:v>
      </x:c>
      <x:c r="D1229" s="35" t="str">
        <x:v>JacksonCore_16</x:v>
      </x:c>
      <x:c r="E1229" s="35" t="str">
        <x:v>Condition</x:v>
      </x:c>
      <x:c r="F1229" s="35" t="n">
        <x:v>22</x:v>
      </x:c>
      <x:c r="G1229" s="35" t="str">
        <x:v>RECORDED</x:v>
      </x:c>
      <x:c r="H1229" s="39" t="n">
        <x:f>IF(ISNUMBER('Data'!N375),'Data'!N375*100,"")</x:f>
        <x:v>100</x:v>
      </x:c>
      <x:c r="I1229" s="35" t="str">
        <x:v>PASS</x:v>
      </x:c>
      <x:c r="J1229" s="35" t="str">
        <x:v>PASS</x:v>
      </x:c>
      <x:c r="K1229" s="35" t="str">
        <x:v>PASS</x:v>
      </x:c>
      <x:c r="L1229" s="35" t="str">
        <x:v>PASS</x:v>
      </x:c>
      <x:c r="M1229" s="35" t="str">
        <x:v>numeric coverage for applicable metric</x:v>
      </x:c>
      <x:c r="N1229" s="35" t="str">
        <x:v>Gemini-3.8-flash/Result/JacksonCore_16/result.json</x:v>
      </x:c>
      <x:c r="O1229" s="39" t="n">
        <x:f>IF(AND(G1229="RECORDED",ISNUMBER(H1229)),H1229,"")</x:f>
        <x:v>100</x:v>
      </x:c>
      <x:c r="P1229" s="35" t="str">
        <x:v>INCONCLUSIVE</x:v>
      </x:c>
      <x:c r="Q1229" s="35" t="str">
        <x:v>Gemini-3.8-flash/Result/JacksonCore_16/result.json</x:v>
      </x:c>
    </x:row>
    <x:row r="1230">
      <x:c r="A1230" s="35" t="str">
        <x:v>gemini</x:v>
      </x:c>
      <x:c r="B1230" s="35" t="str">
        <x:v>JacksonCore</x:v>
      </x:c>
      <x:c r="C1230" s="35" t="str">
        <x:v>Round1</x:v>
      </x:c>
      <x:c r="D1230" s="35" t="str">
        <x:v>JacksonCore_17</x:v>
      </x:c>
      <x:c r="E1230" s="35" t="str">
        <x:v>Condition</x:v>
      </x:c>
      <x:c r="F1230" s="35" t="n">
        <x:v>523</x:v>
      </x:c>
      <x:c r="G1230" s="35" t="str">
        <x:v>RECORDED</x:v>
      </x:c>
      <x:c r="H1230" s="39" t="n">
        <x:f>IF(ISNUMBER('Data'!N376),'Data'!N376*100,"")</x:f>
        <x:v>17.4</x:v>
      </x:c>
      <x:c r="I1230" s="35" t="str">
        <x:v>PASS</x:v>
      </x:c>
      <x:c r="J1230" s="35" t="str">
        <x:v>PASS</x:v>
      </x:c>
      <x:c r="K1230" s="35" t="str">
        <x:v>PASS</x:v>
      </x:c>
      <x:c r="L1230" s="35" t="str">
        <x:v>FAIL</x:v>
      </x:c>
      <x:c r="M1230" s="35" t="str">
        <x:v>numeric coverage for applicable metric</x:v>
      </x:c>
      <x:c r="N1230" s="35" t="str">
        <x:v>Gemini-3.8-flash/Result/JacksonCore_17/result.json</x:v>
      </x:c>
      <x:c r="O1230" s="39" t="n">
        <x:f>IF(AND(G1230="RECORDED",ISNUMBER(H1230)),H1230,"")</x:f>
        <x:v>17.4</x:v>
      </x:c>
      <x:c r="P1230" s="35" t="str">
        <x:v>INCONCLUSIVE</x:v>
      </x:c>
      <x:c r="Q1230" s="35" t="str">
        <x:v>Gemini-3.8-flash/Result/JacksonCore_17/result.json</x:v>
      </x:c>
    </x:row>
    <x:row r="1231">
      <x:c r="A1231" s="35" t="str">
        <x:v>gemini</x:v>
      </x:c>
      <x:c r="B1231" s="35" t="str">
        <x:v>JacksonCore</x:v>
      </x:c>
      <x:c r="C1231" s="35" t="str">
        <x:v>Round1</x:v>
      </x:c>
      <x:c r="D1231" s="35" t="str">
        <x:v>JacksonCore_18</x:v>
      </x:c>
      <x:c r="E1231" s="35" t="str">
        <x:v>Condition</x:v>
      </x:c>
      <x:c r="F1231" s="35" t="n">
        <x:v>1084</x:v>
      </x:c>
      <x:c r="G1231" s="35" t="str">
        <x:v>RECORDED</x:v>
      </x:c>
      <x:c r="H1231" s="39" t="n">
        <x:f>IF(ISNUMBER('Data'!N377),'Data'!N377*100,"")</x:f>
        <x:v>15.310000000000002</x:v>
      </x:c>
      <x:c r="I1231" s="35" t="str">
        <x:v>PASS</x:v>
      </x:c>
      <x:c r="J1231" s="35" t="str">
        <x:v>PASS</x:v>
      </x:c>
      <x:c r="K1231" s="35" t="str">
        <x:v>PASS</x:v>
      </x:c>
      <x:c r="L1231" s="35" t="str">
        <x:v>FAIL</x:v>
      </x:c>
      <x:c r="M1231" s="35" t="str">
        <x:v>numeric coverage for applicable metric</x:v>
      </x:c>
      <x:c r="N1231" s="35" t="str">
        <x:v>Gemini-3.8-flash/Result/JacksonCore_18/result.json</x:v>
      </x:c>
      <x:c r="O1231" s="39" t="n">
        <x:f>IF(AND(G1231="RECORDED",ISNUMBER(H1231)),H1231,"")</x:f>
        <x:v>15.310000000000002</x:v>
      </x:c>
      <x:c r="P1231" s="35" t="str">
        <x:v>INCONCLUSIVE</x:v>
      </x:c>
      <x:c r="Q1231" s="35" t="str">
        <x:v>Gemini-3.8-flash/Result/JacksonCore_18/result.json</x:v>
      </x:c>
    </x:row>
    <x:row r="1232">
      <x:c r="A1232" s="35" t="str">
        <x:v>gemini</x:v>
      </x:c>
      <x:c r="B1232" s="35" t="str">
        <x:v>JacksonCore</x:v>
      </x:c>
      <x:c r="C1232" s="35" t="str">
        <x:v>Round1</x:v>
      </x:c>
      <x:c r="D1232" s="35" t="str">
        <x:v>JacksonCore_19</x:v>
      </x:c>
      <x:c r="E1232" s="35" t="str">
        <x:v>Condition</x:v>
      </x:c>
      <x:c r="F1232" s="35" t="n">
        <x:v>2254</x:v>
      </x:c>
      <x:c r="G1232" s="35" t="str">
        <x:v>RECORDED</x:v>
      </x:c>
      <x:c r="H1232" s="39" t="n">
        <x:f>IF(ISNUMBER('Data'!N378),'Data'!N378*100,"")</x:f>
        <x:v>12.82</x:v>
      </x:c>
      <x:c r="I1232" s="35" t="str">
        <x:v>PASS</x:v>
      </x:c>
      <x:c r="J1232" s="35" t="str">
        <x:v>PASS</x:v>
      </x:c>
      <x:c r="K1232" s="35" t="str">
        <x:v>PASS</x:v>
      </x:c>
      <x:c r="L1232" s="35" t="str">
        <x:v>PASS</x:v>
      </x:c>
      <x:c r="M1232" s="35" t="str">
        <x:v>numeric coverage for applicable metric</x:v>
      </x:c>
      <x:c r="N1232" s="35" t="str">
        <x:v>Gemini-3.8-flash/Result/JacksonCore_19/result.json</x:v>
      </x:c>
      <x:c r="O1232" s="39" t="n">
        <x:f>IF(AND(G1232="RECORDED",ISNUMBER(H1232)),H1232,"")</x:f>
        <x:v>12.82</x:v>
      </x:c>
      <x:c r="P1232" s="35" t="str">
        <x:v>NOT_REVEALING</x:v>
      </x:c>
      <x:c r="Q1232" s="35" t="str">
        <x:v>Gemini-3.8-flash/Result/JacksonCore_19/result.json</x:v>
      </x:c>
    </x:row>
    <x:row r="1233">
      <x:c r="A1233" s="35" t="str">
        <x:v>gemini</x:v>
      </x:c>
      <x:c r="B1233" s="35" t="str">
        <x:v>JacksonCore</x:v>
      </x:c>
      <x:c r="C1233" s="35" t="str">
        <x:v>Round1</x:v>
      </x:c>
      <x:c r="D1233" s="35" t="str">
        <x:v>JacksonCore_2</x:v>
      </x:c>
      <x:c r="E1233" s="35" t="str">
        <x:v>Condition</x:v>
      </x:c>
      <x:c r="F1233" s="35" t="n">
        <x:v>1698</x:v>
      </x:c>
      <x:c r="G1233" s="35" t="str">
        <x:v>RECORDED</x:v>
      </x:c>
      <x:c r="H1233" s="39" t="n">
        <x:f>IF(ISNUMBER('Data'!N379),'Data'!N379*100,"")</x:f>
        <x:v>15.02</x:v>
      </x:c>
      <x:c r="I1233" s="35" t="str">
        <x:v>PASS</x:v>
      </x:c>
      <x:c r="J1233" s="35" t="str">
        <x:v>PASS</x:v>
      </x:c>
      <x:c r="K1233" s="35" t="str">
        <x:v>PASS</x:v>
      </x:c>
      <x:c r="L1233" s="35" t="str">
        <x:v>PASS</x:v>
      </x:c>
      <x:c r="M1233" s="35" t="str">
        <x:v>numeric coverage for applicable metric</x:v>
      </x:c>
      <x:c r="N1233" s="35" t="str">
        <x:v>Gemini-3.8-flash/Result/JacksonCore_2/result.json</x:v>
      </x:c>
      <x:c r="O1233" s="39" t="n">
        <x:f>IF(AND(G1233="RECORDED",ISNUMBER(H1233)),H1233,"")</x:f>
        <x:v>15.02</x:v>
      </x:c>
      <x:c r="P1233" s="35" t="str">
        <x:v>NOT_REVEALING</x:v>
      </x:c>
      <x:c r="Q1233" s="35" t="str">
        <x:v>Gemini-3.8-flash/Result/JacksonCore_2/result.json</x:v>
      </x:c>
    </x:row>
    <x:row r="1234">
      <x:c r="A1234" s="35" t="str">
        <x:v>gemini</x:v>
      </x:c>
      <x:c r="B1234" s="35" t="str">
        <x:v>JacksonCore</x:v>
      </x:c>
      <x:c r="C1234" s="35" t="str">
        <x:v>Round1</x:v>
      </x:c>
      <x:c r="D1234" s="35" t="str">
        <x:v>JacksonCore_20</x:v>
      </x:c>
      <x:c r="E1234" s="35" t="str">
        <x:v>Condition</x:v>
      </x:c>
      <x:c r="F1234" s="35" t="n">
        <x:v>97</x:v>
      </x:c>
      <x:c r="G1234" s="35" t="str">
        <x:v>RECORDED</x:v>
      </x:c>
      <x:c r="H1234" s="39" t="n">
        <x:f>IF(ISNUMBER('Data'!N380),'Data'!N380*100,"")</x:f>
        <x:v>6.19</x:v>
      </x:c>
      <x:c r="I1234" s="35" t="str">
        <x:v>PASS</x:v>
      </x:c>
      <x:c r="J1234" s="35" t="str">
        <x:v>PASS</x:v>
      </x:c>
      <x:c r="K1234" s="35" t="str">
        <x:v>PASS</x:v>
      </x:c>
      <x:c r="L1234" s="35" t="str">
        <x:v>PASS</x:v>
      </x:c>
      <x:c r="M1234" s="35" t="str">
        <x:v>numeric coverage for applicable metric</x:v>
      </x:c>
      <x:c r="N1234" s="35" t="str">
        <x:v>Gemini-3.8-flash/Result/JacksonCore_20/result.json</x:v>
      </x:c>
      <x:c r="O1234" s="39" t="n">
        <x:f>IF(AND(G1234="RECORDED",ISNUMBER(H1234)),H1234,"")</x:f>
        <x:v>6.19</x:v>
      </x:c>
      <x:c r="P1234" s="35" t="str">
        <x:v>NOT_REVEALING</x:v>
      </x:c>
      <x:c r="Q1234" s="35" t="str">
        <x:v>Gemini-3.8-flash/Result/JacksonCore_20/result.json</x:v>
      </x:c>
    </x:row>
    <x:row r="1235">
      <x:c r="A1235" s="35" t="str">
        <x:v>gemini</x:v>
      </x:c>
      <x:c r="B1235" s="35" t="str">
        <x:v>JacksonCore</x:v>
      </x:c>
      <x:c r="C1235" s="35" t="str">
        <x:v>Round1</x:v>
      </x:c>
      <x:c r="D1235" s="35" t="str">
        <x:v>JacksonCore_21</x:v>
      </x:c>
      <x:c r="E1235" s="35" t="str">
        <x:v>Condition</x:v>
      </x:c>
      <x:c r="F1235" s="35" t="n">
        <x:v>269</x:v>
      </x:c>
      <x:c r="G1235" s="35" t="str">
        <x:v>RECORDED</x:v>
      </x:c>
      <x:c r="H1235" s="39" t="n">
        <x:f>IF(ISNUMBER('Data'!N381),'Data'!N381*100,"")</x:f>
        <x:v>19.33</x:v>
      </x:c>
      <x:c r="I1235" s="35" t="str">
        <x:v>PASS</x:v>
      </x:c>
      <x:c r="J1235" s="35" t="str">
        <x:v>PASS</x:v>
      </x:c>
      <x:c r="K1235" s="35" t="str">
        <x:v>PASS</x:v>
      </x:c>
      <x:c r="L1235" s="35" t="str">
        <x:v>PASS</x:v>
      </x:c>
      <x:c r="M1235" s="35" t="str">
        <x:v>numeric coverage for applicable metric</x:v>
      </x:c>
      <x:c r="N1235" s="35" t="str">
        <x:v>Gemini-3.8-flash/Result/JacksonCore_21/result.json</x:v>
      </x:c>
      <x:c r="O1235" s="39" t="n">
        <x:f>IF(AND(G1235="RECORDED",ISNUMBER(H1235)),H1235,"")</x:f>
        <x:v>19.33</x:v>
      </x:c>
      <x:c r="P1235" s="35" t="str">
        <x:v>NOT_REVEALING</x:v>
      </x:c>
      <x:c r="Q1235" s="35" t="str">
        <x:v>Gemini-3.8-flash/Result/JacksonCore_21/result.json</x:v>
      </x:c>
    </x:row>
    <x:row r="1236">
      <x:c r="A1236" s="35" t="str">
        <x:v>gemini</x:v>
      </x:c>
      <x:c r="B1236" s="35" t="str">
        <x:v>JacksonCore</x:v>
      </x:c>
      <x:c r="C1236" s="35" t="str">
        <x:v>Round1</x:v>
      </x:c>
      <x:c r="D1236" s="35" t="str">
        <x:v>JacksonCore_22</x:v>
      </x:c>
      <x:c r="E1236" s="35" t="str">
        <x:v>Condition</x:v>
      </x:c>
      <x:c r="F1236" s="35" t="n">
        <x:v>267</x:v>
      </x:c>
      <x:c r="G1236" s="35" t="str">
        <x:v>RECORDED</x:v>
      </x:c>
      <x:c r="H1236" s="39" t="n">
        <x:f>IF(ISNUMBER('Data'!N382),'Data'!N382*100,"")</x:f>
        <x:v>18.73</x:v>
      </x:c>
      <x:c r="I1236" s="35" t="str">
        <x:v>PASS</x:v>
      </x:c>
      <x:c r="J1236" s="35" t="str">
        <x:v>PASS</x:v>
      </x:c>
      <x:c r="K1236" s="35" t="str">
        <x:v>PASS</x:v>
      </x:c>
      <x:c r="L1236" s="35" t="str">
        <x:v>PASS</x:v>
      </x:c>
      <x:c r="M1236" s="35" t="str">
        <x:v>numeric coverage for applicable metric</x:v>
      </x:c>
      <x:c r="N1236" s="35" t="str">
        <x:v>Gemini-3.8-flash/Result/JacksonCore_22/result.json</x:v>
      </x:c>
      <x:c r="O1236" s="39" t="n">
        <x:f>IF(AND(G1236="RECORDED",ISNUMBER(H1236)),H1236,"")</x:f>
        <x:v>18.73</x:v>
      </x:c>
      <x:c r="P1236" s="35" t="str">
        <x:v>NOT_REVEALING</x:v>
      </x:c>
      <x:c r="Q1236" s="35" t="str">
        <x:v>Gemini-3.8-flash/Result/JacksonCore_22/result.json</x:v>
      </x:c>
    </x:row>
    <x:row r="1237">
      <x:c r="A1237" s="35" t="str">
        <x:v>gemini</x:v>
      </x:c>
      <x:c r="B1237" s="35" t="str">
        <x:v>JacksonCore</x:v>
      </x:c>
      <x:c r="C1237" s="35" t="str">
        <x:v>Round1</x:v>
      </x:c>
      <x:c r="D1237" s="35" t="str">
        <x:v>JacksonCore_23</x:v>
      </x:c>
      <x:c r="E1237" s="35" t="str">
        <x:v>Condition</x:v>
      </x:c>
      <x:c r="F1237" s="35" t="n">
        <x:v>40</x:v>
      </x:c>
      <x:c r="G1237" s="35" t="str">
        <x:v>RECORDED</x:v>
      </x:c>
      <x:c r="H1237" s="39" t="n">
        <x:f>IF(ISNUMBER('Data'!N383),'Data'!N383*100,"")</x:f>
        <x:v>17.5</x:v>
      </x:c>
      <x:c r="I1237" s="35" t="str">
        <x:v>PASS</x:v>
      </x:c>
      <x:c r="J1237" s="35" t="str">
        <x:v>PASS</x:v>
      </x:c>
      <x:c r="K1237" s="35" t="str">
        <x:v>PASS</x:v>
      </x:c>
      <x:c r="L1237" s="35" t="str">
        <x:v>PASS</x:v>
      </x:c>
      <x:c r="M1237" s="35" t="str">
        <x:v>numeric coverage for applicable metric</x:v>
      </x:c>
      <x:c r="N1237" s="35" t="str">
        <x:v>Gemini-3.8-flash/Result/JacksonCore_23/result.json</x:v>
      </x:c>
      <x:c r="O1237" s="39" t="n">
        <x:f>IF(AND(G1237="RECORDED",ISNUMBER(H1237)),H1237,"")</x:f>
        <x:v>17.5</x:v>
      </x:c>
      <x:c r="P1237" s="35" t="str">
        <x:v>NOT_REVEALING</x:v>
      </x:c>
      <x:c r="Q1237" s="35" t="str">
        <x:v>Gemini-3.8-flash/Result/JacksonCore_23/result.json</x:v>
      </x:c>
    </x:row>
    <x:row r="1238">
      <x:c r="A1238" s="35" t="str">
        <x:v>gemini</x:v>
      </x:c>
      <x:c r="B1238" s="35" t="str">
        <x:v>JacksonCore</x:v>
      </x:c>
      <x:c r="C1238" s="35" t="str">
        <x:v>Round1</x:v>
      </x:c>
      <x:c r="D1238" s="35" t="str">
        <x:v>JacksonCore_24</x:v>
      </x:c>
      <x:c r="E1238" s="35" t="str">
        <x:v>Condition</x:v>
      </x:c>
      <x:c r="F1238" s="35" t="n">
        <x:v>411</x:v>
      </x:c>
      <x:c r="G1238" s="35" t="str">
        <x:v>RECORDED</x:v>
      </x:c>
      <x:c r="H1238" s="39" t="n">
        <x:f>IF(ISNUMBER('Data'!N384),'Data'!N384*100,"")</x:f>
        <x:v>11.44</x:v>
      </x:c>
      <x:c r="I1238" s="35" t="str">
        <x:v>PASS</x:v>
      </x:c>
      <x:c r="J1238" s="35" t="str">
        <x:v>PASS</x:v>
      </x:c>
      <x:c r="K1238" s="35" t="str">
        <x:v>PASS</x:v>
      </x:c>
      <x:c r="L1238" s="35" t="str">
        <x:v>PASS</x:v>
      </x:c>
      <x:c r="M1238" s="35" t="str">
        <x:v>numeric coverage for applicable metric</x:v>
      </x:c>
      <x:c r="N1238" s="35" t="str">
        <x:v>Gemini-3.8-flash/Result/JacksonCore_24/result.json</x:v>
      </x:c>
      <x:c r="O1238" s="39" t="n">
        <x:f>IF(AND(G1238="RECORDED",ISNUMBER(H1238)),H1238,"")</x:f>
        <x:v>11.44</x:v>
      </x:c>
      <x:c r="P1238" s="35" t="str">
        <x:v>NOT_REVEALING</x:v>
      </x:c>
      <x:c r="Q1238" s="35" t="str">
        <x:v>Gemini-3.8-flash/Result/JacksonCore_24/result.json</x:v>
      </x:c>
    </x:row>
    <x:row r="1239">
      <x:c r="A1239" s="35" t="str">
        <x:v>gemini</x:v>
      </x:c>
      <x:c r="B1239" s="35" t="str">
        <x:v>JacksonCore</x:v>
      </x:c>
      <x:c r="C1239" s="35" t="str">
        <x:v>Round1</x:v>
      </x:c>
      <x:c r="D1239" s="35" t="str">
        <x:v>JacksonCore_25</x:v>
      </x:c>
      <x:c r="E1239" s="35" t="str">
        <x:v>Condition</x:v>
      </x:c>
      <x:c r="F1239" s="35" t="n">
        <x:v>1084</x:v>
      </x:c>
      <x:c r="G1239" s="35" t="str">
        <x:v>RECORDED</x:v>
      </x:c>
      <x:c r="H1239" s="39" t="n">
        <x:f>IF(ISNUMBER('Data'!N385),'Data'!N385*100,"")</x:f>
        <x:v>11.25</x:v>
      </x:c>
      <x:c r="I1239" s="35" t="str">
        <x:v>PASS</x:v>
      </x:c>
      <x:c r="J1239" s="35" t="str">
        <x:v>PASS</x:v>
      </x:c>
      <x:c r="K1239" s="35" t="str">
        <x:v>PASS</x:v>
      </x:c>
      <x:c r="L1239" s="35" t="str">
        <x:v>PASS</x:v>
      </x:c>
      <x:c r="M1239" s="35" t="str">
        <x:v>numeric coverage for applicable metric</x:v>
      </x:c>
      <x:c r="N1239" s="35" t="str">
        <x:v>Gemini-3.8-flash/Result/JacksonCore_25/result.json</x:v>
      </x:c>
      <x:c r="O1239" s="39" t="n">
        <x:f>IF(AND(G1239="RECORDED",ISNUMBER(H1239)),H1239,"")</x:f>
        <x:v>11.25</x:v>
      </x:c>
      <x:c r="P1239" s="35" t="str">
        <x:v>NOT_REVEALING</x:v>
      </x:c>
      <x:c r="Q1239" s="35" t="str">
        <x:v>Gemini-3.8-flash/Result/JacksonCore_25/result.json</x:v>
      </x:c>
    </x:row>
    <x:row r="1240">
      <x:c r="A1240" s="35" t="str">
        <x:v>gemini</x:v>
      </x:c>
      <x:c r="B1240" s="35" t="str">
        <x:v>JacksonCore</x:v>
      </x:c>
      <x:c r="C1240" s="35" t="str">
        <x:v>Round1</x:v>
      </x:c>
      <x:c r="D1240" s="35" t="str">
        <x:v>JacksonCore_26</x:v>
      </x:c>
      <x:c r="E1240" s="35" t="str">
        <x:v>Condition</x:v>
      </x:c>
      <x:c r="F1240" s="35" t="n">
        <x:v>951</x:v>
      </x:c>
      <x:c r="G1240" s="35" t="str">
        <x:v>RECORDED</x:v>
      </x:c>
      <x:c r="H1240" s="39" t="n">
        <x:f>IF(ISNUMBER('Data'!N386),'Data'!N386*100,"")</x:f>
        <x:v>8.73</x:v>
      </x:c>
      <x:c r="I1240" s="35" t="str">
        <x:v>PASS</x:v>
      </x:c>
      <x:c r="J1240" s="35" t="str">
        <x:v>PASS</x:v>
      </x:c>
      <x:c r="K1240" s="35" t="str">
        <x:v>PASS</x:v>
      </x:c>
      <x:c r="L1240" s="35" t="str">
        <x:v>PASS</x:v>
      </x:c>
      <x:c r="M1240" s="35" t="str">
        <x:v>numeric coverage for applicable metric</x:v>
      </x:c>
      <x:c r="N1240" s="35" t="str">
        <x:v>Gemini-3.8-flash/Result/JacksonCore_26/result.json</x:v>
      </x:c>
      <x:c r="O1240" s="39" t="n">
        <x:f>IF(AND(G1240="RECORDED",ISNUMBER(H1240)),H1240,"")</x:f>
        <x:v>8.73</x:v>
      </x:c>
      <x:c r="P1240" s="35" t="str">
        <x:v>NOT_REVEALING</x:v>
      </x:c>
      <x:c r="Q1240" s="35" t="str">
        <x:v>Gemini-3.8-flash/Result/JacksonCore_26/result.json</x:v>
      </x:c>
    </x:row>
    <x:row r="1241">
      <x:c r="A1241" s="35" t="str">
        <x:v>gemini</x:v>
      </x:c>
      <x:c r="B1241" s="35" t="str">
        <x:v>JacksonCore</x:v>
      </x:c>
      <x:c r="C1241" s="35" t="str">
        <x:v>Round1</x:v>
      </x:c>
      <x:c r="D1241" s="35" t="str">
        <x:v>JacksonCore_3</x:v>
      </x:c>
      <x:c r="E1241" s="35" t="str">
        <x:v>Condition</x:v>
      </x:c>
      <x:c r="F1241" s="35" t="n">
        <x:v>1016</x:v>
      </x:c>
      <x:c r="G1241" s="35" t="str">
        <x:v>RECORDED</x:v>
      </x:c>
      <x:c r="H1241" s="39" t="n">
        <x:f>IF(ISNUMBER('Data'!N387),'Data'!N387*100,"")</x:f>
        <x:v>14.760000000000002</x:v>
      </x:c>
      <x:c r="I1241" s="35" t="str">
        <x:v>PASS</x:v>
      </x:c>
      <x:c r="J1241" s="35" t="str">
        <x:v>PASS</x:v>
      </x:c>
      <x:c r="K1241" s="35" t="str">
        <x:v>PASS</x:v>
      </x:c>
      <x:c r="L1241" s="35" t="str">
        <x:v>PASS</x:v>
      </x:c>
      <x:c r="M1241" s="35" t="str">
        <x:v>numeric coverage for applicable metric</x:v>
      </x:c>
      <x:c r="N1241" s="35" t="str">
        <x:v>Gemini-3.8-flash/Result/JacksonCore_3/result.json</x:v>
      </x:c>
      <x:c r="O1241" s="39" t="n">
        <x:f>IF(AND(G1241="RECORDED",ISNUMBER(H1241)),H1241,"")</x:f>
        <x:v>14.760000000000002</x:v>
      </x:c>
      <x:c r="P1241" s="35" t="str">
        <x:v>NOT_REVEALING</x:v>
      </x:c>
      <x:c r="Q1241" s="35" t="str">
        <x:v>Gemini-3.8-flash/Result/JacksonCore_3/result.json</x:v>
      </x:c>
    </x:row>
    <x:row r="1242">
      <x:c r="A1242" s="35" t="str">
        <x:v>gemini</x:v>
      </x:c>
      <x:c r="B1242" s="35" t="str">
        <x:v>JacksonCore</x:v>
      </x:c>
      <x:c r="C1242" s="35" t="str">
        <x:v>Round1</x:v>
      </x:c>
      <x:c r="D1242" s="35" t="str">
        <x:v>JacksonCore_4</x:v>
      </x:c>
      <x:c r="E1242" s="35" t="str">
        <x:v>Condition</x:v>
      </x:c>
      <x:c r="F1242" s="35"/>
      <x:c r="G1242" s="35" t="str">
        <x:v>A</x:v>
      </x:c>
      <x:c r="H1242" s="39" t="str">
        <x:f>IF(ISNUMBER('Data'!N388),'Data'!N388*100,"")</x:f>
      </x:c>
      <x:c r="I1242" s="35"/>
      <x:c r="J1242" s="35" t="str">
        <x:v>PASS</x:v>
      </x:c>
      <x:c r="K1242" s="35" t="str">
        <x:v>FAIL</x:v>
      </x:c>
      <x:c r="L1242" s="35" t="str">
        <x:v>NOT_RUN</x:v>
      </x:c>
      <x:c r="M1242" s="35" t="str">
        <x:v>coverage unavailable or execution/compile failed</x:v>
      </x:c>
      <x:c r="N1242" s="35" t="str">
        <x:v>Gemini-3.8-flash/Result/JacksonCore_4/result.json</x:v>
      </x:c>
      <x:c r="O1242" s="39" t="str">
        <x:f>IF(AND(G1242="RECORDED",ISNUMBER(H1242)),H1242,"")</x:f>
      </x:c>
      <x:c r="P1242" s="35" t="str">
        <x:v>NOT_AVAILABLE</x:v>
      </x:c>
      <x:c r="Q1242" s="35" t="str">
        <x:v>Gemini-3.8-flash/Result/JacksonCore_4/result.json</x:v>
      </x:c>
    </x:row>
    <x:row r="1243">
      <x:c r="A1243" s="35" t="str">
        <x:v>gemini</x:v>
      </x:c>
      <x:c r="B1243" s="35" t="str">
        <x:v>JacksonCore</x:v>
      </x:c>
      <x:c r="C1243" s="35" t="str">
        <x:v>Round1</x:v>
      </x:c>
      <x:c r="D1243" s="35" t="str">
        <x:v>JacksonCore_5</x:v>
      </x:c>
      <x:c r="E1243" s="35" t="str">
        <x:v>Condition</x:v>
      </x:c>
      <x:c r="F1243" s="35" t="n">
        <x:v>62</x:v>
      </x:c>
      <x:c r="G1243" s="35" t="str">
        <x:v>RECORDED</x:v>
      </x:c>
      <x:c r="H1243" s="39" t="n">
        <x:f>IF(ISNUMBER('Data'!N389),'Data'!N389*100,"")</x:f>
        <x:v>75.81</x:v>
      </x:c>
      <x:c r="I1243" s="35" t="str">
        <x:v>PASS</x:v>
      </x:c>
      <x:c r="J1243" s="35" t="str">
        <x:v>PASS</x:v>
      </x:c>
      <x:c r="K1243" s="35" t="str">
        <x:v>PASS</x:v>
      </x:c>
      <x:c r="L1243" s="35" t="str">
        <x:v>PASS</x:v>
      </x:c>
      <x:c r="M1243" s="35" t="str">
        <x:v>numeric coverage for applicable metric</x:v>
      </x:c>
      <x:c r="N1243" s="35" t="str">
        <x:v>Gemini-3.8-flash/Result/JacksonCore_5/result.json</x:v>
      </x:c>
      <x:c r="O1243" s="39" t="n">
        <x:f>IF(AND(G1243="RECORDED",ISNUMBER(H1243)),H1243,"")</x:f>
        <x:v>75.81</x:v>
      </x:c>
      <x:c r="P1243" s="35" t="str">
        <x:v>NOT_REVEALING</x:v>
      </x:c>
      <x:c r="Q1243" s="35" t="str">
        <x:v>Gemini-3.8-flash/Result/JacksonCore_5/result.json</x:v>
      </x:c>
    </x:row>
    <x:row r="1244">
      <x:c r="A1244" s="35" t="str">
        <x:v>gemini</x:v>
      </x:c>
      <x:c r="B1244" s="35" t="str">
        <x:v>JacksonCore</x:v>
      </x:c>
      <x:c r="C1244" s="35" t="str">
        <x:v>Round1</x:v>
      </x:c>
      <x:c r="D1244" s="35" t="str">
        <x:v>JacksonCore_6</x:v>
      </x:c>
      <x:c r="E1244" s="35" t="str">
        <x:v>Condition</x:v>
      </x:c>
      <x:c r="F1244" s="35" t="n">
        <x:v>62</x:v>
      </x:c>
      <x:c r="G1244" s="35" t="str">
        <x:v>RECORDED</x:v>
      </x:c>
      <x:c r="H1244" s="39" t="n">
        <x:f>IF(ISNUMBER('Data'!N390),'Data'!N390*100,"")</x:f>
        <x:v>75.81</x:v>
      </x:c>
      <x:c r="I1244" s="35" t="str">
        <x:v>PASS</x:v>
      </x:c>
      <x:c r="J1244" s="35" t="str">
        <x:v>PASS</x:v>
      </x:c>
      <x:c r="K1244" s="35" t="str">
        <x:v>PASS</x:v>
      </x:c>
      <x:c r="L1244" s="35" t="str">
        <x:v>PASS</x:v>
      </x:c>
      <x:c r="M1244" s="35" t="str">
        <x:v>numeric coverage for applicable metric</x:v>
      </x:c>
      <x:c r="N1244" s="35" t="str">
        <x:v>Gemini-3.8-flash/Result/JacksonCore_6/result.json</x:v>
      </x:c>
      <x:c r="O1244" s="39" t="n">
        <x:f>IF(AND(G1244="RECORDED",ISNUMBER(H1244)),H1244,"")</x:f>
        <x:v>75.81</x:v>
      </x:c>
      <x:c r="P1244" s="35" t="str">
        <x:v>NOT_REVEALING</x:v>
      </x:c>
      <x:c r="Q1244" s="35" t="str">
        <x:v>Gemini-3.8-flash/Result/JacksonCore_6/result.json</x:v>
      </x:c>
    </x:row>
    <x:row r="1245">
      <x:c r="A1245" s="35" t="str">
        <x:v>gemini</x:v>
      </x:c>
      <x:c r="B1245" s="35" t="str">
        <x:v>JacksonCore</x:v>
      </x:c>
      <x:c r="C1245" s="35" t="str">
        <x:v>Round1</x:v>
      </x:c>
      <x:c r="D1245" s="35" t="str">
        <x:v>JacksonCore_7</x:v>
      </x:c>
      <x:c r="E1245" s="35" t="str">
        <x:v>Condition</x:v>
      </x:c>
      <x:c r="F1245" s="35"/>
      <x:c r="G1245" s="35" t="str">
        <x:v>A</x:v>
      </x:c>
      <x:c r="H1245" s="39" t="str">
        <x:f>IF(ISNUMBER('Data'!N391),'Data'!N391*100,"")</x:f>
      </x:c>
      <x:c r="I1245" s="35"/>
      <x:c r="J1245" s="35" t="str">
        <x:v>PASS</x:v>
      </x:c>
      <x:c r="K1245" s="35" t="str">
        <x:v>FAIL</x:v>
      </x:c>
      <x:c r="L1245" s="35" t="str">
        <x:v>NOT_RUN</x:v>
      </x:c>
      <x:c r="M1245" s="35" t="str">
        <x:v>coverage unavailable or execution/compile failed</x:v>
      </x:c>
      <x:c r="N1245" s="35" t="str">
        <x:v>Gemini-3.8-flash/Result/JacksonCore_7/result.json</x:v>
      </x:c>
      <x:c r="O1245" s="39" t="str">
        <x:f>IF(AND(G1245="RECORDED",ISNUMBER(H1245)),H1245,"")</x:f>
      </x:c>
      <x:c r="P1245" s="35" t="str">
        <x:v>NOT_AVAILABLE</x:v>
      </x:c>
      <x:c r="Q1245" s="35" t="str">
        <x:v>Gemini-3.8-flash/Result/JacksonCore_7/result.json</x:v>
      </x:c>
    </x:row>
    <x:row r="1246">
      <x:c r="A1246" s="35" t="str">
        <x:v>gemini</x:v>
      </x:c>
      <x:c r="B1246" s="35" t="str">
        <x:v>JacksonCore</x:v>
      </x:c>
      <x:c r="C1246" s="35" t="str">
        <x:v>Round1</x:v>
      </x:c>
      <x:c r="D1246" s="35" t="str">
        <x:v>JacksonCore_8</x:v>
      </x:c>
      <x:c r="E1246" s="35" t="str">
        <x:v>Condition</x:v>
      </x:c>
      <x:c r="F1246" s="35" t="n">
        <x:v>138</x:v>
      </x:c>
      <x:c r="G1246" s="35" t="str">
        <x:v>RECORDED</x:v>
      </x:c>
      <x:c r="H1246" s="39" t="n">
        <x:f>IF(ISNUMBER('Data'!N392),'Data'!N392*100,"")</x:f>
        <x:v>89.13</x:v>
      </x:c>
      <x:c r="I1246" s="35" t="str">
        <x:v>PASS</x:v>
      </x:c>
      <x:c r="J1246" s="35" t="str">
        <x:v>PASS</x:v>
      </x:c>
      <x:c r="K1246" s="35" t="str">
        <x:v>PASS</x:v>
      </x:c>
      <x:c r="L1246" s="35" t="str">
        <x:v>FAIL</x:v>
      </x:c>
      <x:c r="M1246" s="35" t="str">
        <x:v>numeric coverage for applicable metric</x:v>
      </x:c>
      <x:c r="N1246" s="35" t="str">
        <x:v>Gemini-3.8-flash/Result/JacksonCore_8/result.json</x:v>
      </x:c>
      <x:c r="O1246" s="39" t="n">
        <x:f>IF(AND(G1246="RECORDED",ISNUMBER(H1246)),H1246,"")</x:f>
        <x:v>89.13</x:v>
      </x:c>
      <x:c r="P1246" s="35" t="str">
        <x:v>INCONCLUSIVE</x:v>
      </x:c>
      <x:c r="Q1246" s="35" t="str">
        <x:v>Gemini-3.8-flash/Result/JacksonCore_8/result.json</x:v>
      </x:c>
    </x:row>
    <x:row r="1247">
      <x:c r="A1247" s="35" t="str">
        <x:v>gemini</x:v>
      </x:c>
      <x:c r="B1247" s="35" t="str">
        <x:v>JacksonCore</x:v>
      </x:c>
      <x:c r="C1247" s="35" t="str">
        <x:v>Round1</x:v>
      </x:c>
      <x:c r="D1247" s="35" t="str">
        <x:v>JacksonCore_9</x:v>
      </x:c>
      <x:c r="E1247" s="35" t="str">
        <x:v>Condition</x:v>
      </x:c>
      <x:c r="F1247" s="35"/>
      <x:c r="G1247" s="35" t="str">
        <x:v>A</x:v>
      </x:c>
      <x:c r="H1247" s="39" t="str">
        <x:f>IF(ISNUMBER('Data'!N393),'Data'!N393*100,"")</x:f>
      </x:c>
      <x:c r="I1247" s="35"/>
      <x:c r="J1247" s="35" t="str">
        <x:v>PASS</x:v>
      </x:c>
      <x:c r="K1247" s="35" t="str">
        <x:v>FAIL</x:v>
      </x:c>
      <x:c r="L1247" s="35" t="str">
        <x:v>NOT_RUN</x:v>
      </x:c>
      <x:c r="M1247" s="35" t="str">
        <x:v>coverage unavailable or execution/compile failed</x:v>
      </x:c>
      <x:c r="N1247" s="35" t="str">
        <x:v>Gemini-3.8-flash/Result/JacksonCore_9/result.json</x:v>
      </x:c>
      <x:c r="O1247" s="39" t="str">
        <x:f>IF(AND(G1247="RECORDED",ISNUMBER(H1247)),H1247,"")</x:f>
      </x:c>
      <x:c r="P1247" s="35" t="str">
        <x:v>NOT_AVAILABLE</x:v>
      </x:c>
      <x:c r="Q1247" s="35" t="str">
        <x:v>Gemini-3.8-flash/Result/JacksonCore_9/result.json</x:v>
      </x:c>
    </x:row>
    <x:row r="1248">
      <x:c r="A1248" s="35" t="str">
        <x:v>gemini</x:v>
      </x:c>
      <x:c r="B1248" s="35" t="str">
        <x:v>JacksonDatabind</x:v>
      </x:c>
      <x:c r="C1248" s="35" t="str">
        <x:v>Round1</x:v>
      </x:c>
      <x:c r="D1248" s="35" t="str">
        <x:v>JacksonDatabind_1</x:v>
      </x:c>
      <x:c r="E1248" s="35" t="str">
        <x:v>Condition</x:v>
      </x:c>
      <x:c r="F1248" s="35" t="n">
        <x:v>104</x:v>
      </x:c>
      <x:c r="G1248" s="35" t="str">
        <x:v>RECORDED</x:v>
      </x:c>
      <x:c r="H1248" s="39" t="n">
        <x:f>IF(ISNUMBER('Data'!N394),'Data'!N394*100,"")</x:f>
        <x:v>19.23</x:v>
      </x:c>
      <x:c r="I1248" s="35" t="str">
        <x:v>PASS</x:v>
      </x:c>
      <x:c r="J1248" s="35" t="str">
        <x:v>PASS</x:v>
      </x:c>
      <x:c r="K1248" s="35" t="str">
        <x:v>PASS</x:v>
      </x:c>
      <x:c r="L1248" s="35" t="str">
        <x:v>PASS</x:v>
      </x:c>
      <x:c r="M1248" s="35" t="str">
        <x:v>numeric coverage for applicable metric</x:v>
      </x:c>
      <x:c r="N1248" s="35" t="str">
        <x:v>Gemini-3.8-flash/Result/JacksonDatabind_1/result.json</x:v>
      </x:c>
      <x:c r="O1248" s="39" t="n">
        <x:f>IF(AND(G1248="RECORDED",ISNUMBER(H1248)),H1248,"")</x:f>
        <x:v>19.23</x:v>
      </x:c>
      <x:c r="P1248" s="35" t="str">
        <x:v>NOT_REVEALING</x:v>
      </x:c>
      <x:c r="Q1248" s="35" t="str">
        <x:v>Gemini-3.8-flash/Result/JacksonDatabind_1/result.json</x:v>
      </x:c>
    </x:row>
    <x:row r="1249">
      <x:c r="A1249" s="35" t="str">
        <x:v>gemini</x:v>
      </x:c>
      <x:c r="B1249" s="35" t="str">
        <x:v>JacksonDatabind</x:v>
      </x:c>
      <x:c r="C1249" s="35" t="str">
        <x:v>Round1</x:v>
      </x:c>
      <x:c r="D1249" s="35" t="str">
        <x:v>JacksonDatabind_10</x:v>
      </x:c>
      <x:c r="E1249" s="35" t="str">
        <x:v>Condition</x:v>
      </x:c>
      <x:c r="F1249" s="35"/>
      <x:c r="G1249" s="35" t="str">
        <x:v>A</x:v>
      </x:c>
      <x:c r="H1249" s="39" t="str">
        <x:f>IF(ISNUMBER('Data'!N395),'Data'!N395*100,"")</x:f>
      </x:c>
      <x:c r="I1249" s="35"/>
      <x:c r="J1249" s="35" t="str">
        <x:v>PASS</x:v>
      </x:c>
      <x:c r="K1249" s="35" t="str">
        <x:v>FAIL</x:v>
      </x:c>
      <x:c r="L1249" s="35" t="str">
        <x:v>NOT_RUN</x:v>
      </x:c>
      <x:c r="M1249" s="35" t="str">
        <x:v>coverage unavailable or execution/compile failed</x:v>
      </x:c>
      <x:c r="N1249" s="35" t="str">
        <x:v>Gemini-3.8-flash/Result/JacksonDatabind_10/result.json</x:v>
      </x:c>
      <x:c r="O1249" s="39" t="str">
        <x:f>IF(AND(G1249="RECORDED",ISNUMBER(H1249)),H1249,"")</x:f>
      </x:c>
      <x:c r="P1249" s="35" t="str">
        <x:v>NOT_AVAILABLE</x:v>
      </x:c>
      <x:c r="Q1249" s="35" t="str">
        <x:v>Gemini-3.8-flash/Result/JacksonDatabind_10/result.json</x:v>
      </x:c>
    </x:row>
    <x:row r="1250">
      <x:c r="A1250" s="35" t="str">
        <x:v>gemini</x:v>
      </x:c>
      <x:c r="B1250" s="35" t="str">
        <x:v>JacksonDatabind</x:v>
      </x:c>
      <x:c r="C1250" s="35" t="str">
        <x:v>Round1</x:v>
      </x:c>
      <x:c r="D1250" s="35" t="str">
        <x:v>JacksonDatabind_100</x:v>
      </x:c>
      <x:c r="E1250" s="35" t="str">
        <x:v>Condition</x:v>
      </x:c>
      <x:c r="F1250" s="35"/>
      <x:c r="G1250" s="35" t="str">
        <x:v>A</x:v>
      </x:c>
      <x:c r="H1250" s="39" t="str">
        <x:f>IF(ISNUMBER('Data'!N396),'Data'!N396*100,"")</x:f>
      </x:c>
      <x:c r="I1250" s="35"/>
      <x:c r="J1250" s="35" t="str">
        <x:v>PASS</x:v>
      </x:c>
      <x:c r="K1250" s="35" t="str">
        <x:v>FAIL</x:v>
      </x:c>
      <x:c r="L1250" s="35" t="str">
        <x:v>NOT_RUN</x:v>
      </x:c>
      <x:c r="M1250" s="35" t="str">
        <x:v>coverage unavailable or execution/compile failed</x:v>
      </x:c>
      <x:c r="N1250" s="35" t="str">
        <x:v>Gemini-3.8-flash/Result/JacksonDatabind_100/result.json</x:v>
      </x:c>
      <x:c r="O1250" s="39" t="str">
        <x:f>IF(AND(G1250="RECORDED",ISNUMBER(H1250)),H1250,"")</x:f>
      </x:c>
      <x:c r="P1250" s="35" t="str">
        <x:v>NOT_AVAILABLE</x:v>
      </x:c>
      <x:c r="Q1250" s="35" t="str">
        <x:v>Gemini-3.8-flash/Result/JacksonDatabind_100/result.json</x:v>
      </x:c>
    </x:row>
    <x:row r="1251">
      <x:c r="A1251" s="35" t="str">
        <x:v>gemini</x:v>
      </x:c>
      <x:c r="B1251" s="35" t="str">
        <x:v>JacksonDatabind</x:v>
      </x:c>
      <x:c r="C1251" s="35" t="str">
        <x:v>Round1</x:v>
      </x:c>
      <x:c r="D1251" s="35" t="str">
        <x:v>JacksonDatabind_101</x:v>
      </x:c>
      <x:c r="E1251" s="35" t="str">
        <x:v>Condition</x:v>
      </x:c>
      <x:c r="F1251" s="35"/>
      <x:c r="G1251" s="35" t="str">
        <x:v>A</x:v>
      </x:c>
      <x:c r="H1251" s="39" t="str">
        <x:f>IF(ISNUMBER('Data'!N397),'Data'!N397*100,"")</x:f>
      </x:c>
      <x:c r="I1251" s="35"/>
      <x:c r="J1251" s="35" t="str">
        <x:v>PASS</x:v>
      </x:c>
      <x:c r="K1251" s="35" t="str">
        <x:v>FAIL</x:v>
      </x:c>
      <x:c r="L1251" s="35" t="str">
        <x:v>NOT_RUN</x:v>
      </x:c>
      <x:c r="M1251" s="35" t="str">
        <x:v>coverage unavailable or execution/compile failed</x:v>
      </x:c>
      <x:c r="N1251" s="35" t="str">
        <x:v>Gemini-3.8-flash/Result/JacksonDatabind_101/result.json</x:v>
      </x:c>
      <x:c r="O1251" s="39" t="str">
        <x:f>IF(AND(G1251="RECORDED",ISNUMBER(H1251)),H1251,"")</x:f>
      </x:c>
      <x:c r="P1251" s="35" t="str">
        <x:v>NOT_AVAILABLE</x:v>
      </x:c>
      <x:c r="Q1251" s="35" t="str">
        <x:v>Gemini-3.8-flash/Result/JacksonDatabind_101/result.json</x:v>
      </x:c>
    </x:row>
    <x:row r="1252">
      <x:c r="A1252" s="35" t="str">
        <x:v>gemini</x:v>
      </x:c>
      <x:c r="B1252" s="35" t="str">
        <x:v>JacksonDatabind</x:v>
      </x:c>
      <x:c r="C1252" s="35" t="str">
        <x:v>Round1</x:v>
      </x:c>
      <x:c r="D1252" s="35" t="str">
        <x:v>JacksonDatabind_102</x:v>
      </x:c>
      <x:c r="E1252" s="35" t="str">
        <x:v>Condition</x:v>
      </x:c>
      <x:c r="F1252" s="35"/>
      <x:c r="G1252" s="35" t="str">
        <x:v>A</x:v>
      </x:c>
      <x:c r="H1252" s="39" t="str">
        <x:f>IF(ISNUMBER('Data'!N398),'Data'!N398*100,"")</x:f>
      </x:c>
      <x:c r="I1252" s="35"/>
      <x:c r="J1252" s="35" t="str">
        <x:v>PASS</x:v>
      </x:c>
      <x:c r="K1252" s="35" t="str">
        <x:v>FAIL</x:v>
      </x:c>
      <x:c r="L1252" s="35" t="str">
        <x:v>NOT_RUN</x:v>
      </x:c>
      <x:c r="M1252" s="35" t="str">
        <x:v>coverage unavailable or execution/compile failed</x:v>
      </x:c>
      <x:c r="N1252" s="35" t="str">
        <x:v>Gemini-3.8-flash/Result/JacksonDatabind_102/result.json</x:v>
      </x:c>
      <x:c r="O1252" s="39" t="str">
        <x:f>IF(AND(G1252="RECORDED",ISNUMBER(H1252)),H1252,"")</x:f>
      </x:c>
      <x:c r="P1252" s="35" t="str">
        <x:v>NOT_AVAILABLE</x:v>
      </x:c>
      <x:c r="Q1252" s="35" t="str">
        <x:v>Gemini-3.8-flash/Result/JacksonDatabind_102/result.json</x:v>
      </x:c>
    </x:row>
    <x:row r="1253">
      <x:c r="A1253" s="35" t="str">
        <x:v>gemini</x:v>
      </x:c>
      <x:c r="B1253" s="35" t="str">
        <x:v>JacksonDatabind</x:v>
      </x:c>
      <x:c r="C1253" s="35" t="str">
        <x:v>Round1</x:v>
      </x:c>
      <x:c r="D1253" s="35" t="str">
        <x:v>JacksonDatabind_103</x:v>
      </x:c>
      <x:c r="E1253" s="35" t="str">
        <x:v>Condition</x:v>
      </x:c>
      <x:c r="F1253" s="35"/>
      <x:c r="G1253" s="35" t="str">
        <x:v>A</x:v>
      </x:c>
      <x:c r="H1253" s="39" t="str">
        <x:f>IF(ISNUMBER('Data'!N399),'Data'!N399*100,"")</x:f>
      </x:c>
      <x:c r="I1253" s="35"/>
      <x:c r="J1253" s="35" t="str">
        <x:v>PASS</x:v>
      </x:c>
      <x:c r="K1253" s="35" t="str">
        <x:v>FAIL</x:v>
      </x:c>
      <x:c r="L1253" s="35" t="str">
        <x:v>NOT_RUN</x:v>
      </x:c>
      <x:c r="M1253" s="35" t="str">
        <x:v>coverage unavailable or execution/compile failed</x:v>
      </x:c>
      <x:c r="N1253" s="35" t="str">
        <x:v>Gemini-3.8-flash/Result/JacksonDatabind_103/result.json</x:v>
      </x:c>
      <x:c r="O1253" s="39" t="str">
        <x:f>IF(AND(G1253="RECORDED",ISNUMBER(H1253)),H1253,"")</x:f>
      </x:c>
      <x:c r="P1253" s="35" t="str">
        <x:v>NOT_AVAILABLE</x:v>
      </x:c>
      <x:c r="Q1253" s="35" t="str">
        <x:v>Gemini-3.8-flash/Result/JacksonDatabind_103/result.json</x:v>
      </x:c>
    </x:row>
    <x:row r="1254">
      <x:c r="A1254" s="35" t="str">
        <x:v>gemini</x:v>
      </x:c>
      <x:c r="B1254" s="35" t="str">
        <x:v>JacksonDatabind</x:v>
      </x:c>
      <x:c r="C1254" s="35" t="str">
        <x:v>Round1</x:v>
      </x:c>
      <x:c r="D1254" s="35" t="str">
        <x:v>JacksonDatabind_104</x:v>
      </x:c>
      <x:c r="E1254" s="35" t="str">
        <x:v>Condition</x:v>
      </x:c>
      <x:c r="F1254" s="35" t="n">
        <x:v>123</x:v>
      </x:c>
      <x:c r="G1254" s="35" t="str">
        <x:v>RECORDED</x:v>
      </x:c>
      <x:c r="H1254" s="39" t="n">
        <x:f>IF(ISNUMBER('Data'!N400),'Data'!N400*100,"")</x:f>
        <x:v>0</x:v>
      </x:c>
      <x:c r="I1254" s="35" t="str">
        <x:v>PASS</x:v>
      </x:c>
      <x:c r="J1254" s="35" t="str">
        <x:v>PASS</x:v>
      </x:c>
      <x:c r="K1254" s="35" t="str">
        <x:v>PASS</x:v>
      </x:c>
      <x:c r="L1254" s="35" t="str">
        <x:v>PASS</x:v>
      </x:c>
      <x:c r="M1254" s="35" t="str">
        <x:v>numeric coverage for applicable metric</x:v>
      </x:c>
      <x:c r="N1254" s="35" t="str">
        <x:v>Gemini-3.8-flash/Result/JacksonDatabind_104/result.json</x:v>
      </x:c>
      <x:c r="O1254" s="39" t="n">
        <x:f>IF(AND(G1254="RECORDED",ISNUMBER(H1254)),H1254,"")</x:f>
        <x:v>0</x:v>
      </x:c>
      <x:c r="P1254" s="35" t="str">
        <x:v>NOT_REVEALING</x:v>
      </x:c>
      <x:c r="Q1254" s="35" t="str">
        <x:v>Gemini-3.8-flash/Result/JacksonDatabind_104/result.json</x:v>
      </x:c>
    </x:row>
    <x:row r="1255">
      <x:c r="A1255" s="35" t="str">
        <x:v>gemini</x:v>
      </x:c>
      <x:c r="B1255" s="35" t="str">
        <x:v>JacksonDatabind</x:v>
      </x:c>
      <x:c r="C1255" s="35" t="str">
        <x:v>Round1</x:v>
      </x:c>
      <x:c r="D1255" s="35" t="str">
        <x:v>JacksonDatabind_105</x:v>
      </x:c>
      <x:c r="E1255" s="35" t="str">
        <x:v>Condition</x:v>
      </x:c>
      <x:c r="F1255" s="35" t="n">
        <x:v>12</x:v>
      </x:c>
      <x:c r="G1255" s="35" t="str">
        <x:v>RECORDED</x:v>
      </x:c>
      <x:c r="H1255" s="39" t="n">
        <x:f>IF(ISNUMBER('Data'!N401),'Data'!N401*100,"")</x:f>
        <x:v>100</x:v>
      </x:c>
      <x:c r="I1255" s="35" t="str">
        <x:v>PASS</x:v>
      </x:c>
      <x:c r="J1255" s="35" t="str">
        <x:v>PASS</x:v>
      </x:c>
      <x:c r="K1255" s="35" t="str">
        <x:v>PASS</x:v>
      </x:c>
      <x:c r="L1255" s="35" t="str">
        <x:v>PASS</x:v>
      </x:c>
      <x:c r="M1255" s="35" t="str">
        <x:v>numeric coverage for applicable metric</x:v>
      </x:c>
      <x:c r="N1255" s="35" t="str">
        <x:v>Gemini-3.8-flash/Result/JacksonDatabind_105/result.json</x:v>
      </x:c>
      <x:c r="O1255" s="39" t="n">
        <x:f>IF(AND(G1255="RECORDED",ISNUMBER(H1255)),H1255,"")</x:f>
        <x:v>100</x:v>
      </x:c>
      <x:c r="P1255" s="35" t="str">
        <x:v>NOT_REVEALING</x:v>
      </x:c>
      <x:c r="Q1255" s="35" t="str">
        <x:v>Gemini-3.8-flash/Result/JacksonDatabind_105/result.json</x:v>
      </x:c>
    </x:row>
    <x:row r="1256">
      <x:c r="A1256" s="35" t="str">
        <x:v>gemini</x:v>
      </x:c>
      <x:c r="B1256" s="35" t="str">
        <x:v>JacksonDatabind</x:v>
      </x:c>
      <x:c r="C1256" s="35" t="str">
        <x:v>Round1</x:v>
      </x:c>
      <x:c r="D1256" s="35" t="str">
        <x:v>JacksonDatabind_106</x:v>
      </x:c>
      <x:c r="E1256" s="35" t="str">
        <x:v>Condition</x:v>
      </x:c>
      <x:c r="F1256" s="35"/>
      <x:c r="G1256" s="35" t="str">
        <x:v>A</x:v>
      </x:c>
      <x:c r="H1256" s="39" t="str">
        <x:f>IF(ISNUMBER('Data'!N402),'Data'!N402*100,"")</x:f>
      </x:c>
      <x:c r="I1256" s="35"/>
      <x:c r="J1256" s="35" t="str">
        <x:v>PASS</x:v>
      </x:c>
      <x:c r="K1256" s="35" t="str">
        <x:v>FAIL</x:v>
      </x:c>
      <x:c r="L1256" s="35" t="str">
        <x:v>NOT_RUN</x:v>
      </x:c>
      <x:c r="M1256" s="35" t="str">
        <x:v>coverage unavailable or execution/compile failed</x:v>
      </x:c>
      <x:c r="N1256" s="35" t="str">
        <x:v>Gemini-3.8-flash/Result/JacksonDatabind_106/result.json</x:v>
      </x:c>
      <x:c r="O1256" s="39" t="str">
        <x:f>IF(AND(G1256="RECORDED",ISNUMBER(H1256)),H1256,"")</x:f>
      </x:c>
      <x:c r="P1256" s="35" t="str">
        <x:v>NOT_AVAILABLE</x:v>
      </x:c>
      <x:c r="Q1256" s="35" t="str">
        <x:v>Gemini-3.8-flash/Result/JacksonDatabind_106/result.json</x:v>
      </x:c>
    </x:row>
    <x:row r="1257">
      <x:c r="A1257" s="35" t="str">
        <x:v>gemini</x:v>
      </x:c>
      <x:c r="B1257" s="35" t="str">
        <x:v>JacksonDatabind</x:v>
      </x:c>
      <x:c r="C1257" s="35" t="str">
        <x:v>Round1</x:v>
      </x:c>
      <x:c r="D1257" s="35" t="str">
        <x:v>JacksonDatabind_107</x:v>
      </x:c>
      <x:c r="E1257" s="35" t="str">
        <x:v>Condition</x:v>
      </x:c>
      <x:c r="F1257" s="35" t="n">
        <x:v>32</x:v>
      </x:c>
      <x:c r="G1257" s="35" t="str">
        <x:v>RECORDED</x:v>
      </x:c>
      <x:c r="H1257" s="39" t="n">
        <x:f>IF(ISNUMBER('Data'!N403),'Data'!N403*100,"")</x:f>
        <x:v>0</x:v>
      </x:c>
      <x:c r="I1257" s="35" t="str">
        <x:v>PASS</x:v>
      </x:c>
      <x:c r="J1257" s="35" t="str">
        <x:v>PASS</x:v>
      </x:c>
      <x:c r="K1257" s="35" t="str">
        <x:v>PASS</x:v>
      </x:c>
      <x:c r="L1257" s="35" t="str">
        <x:v>PASS</x:v>
      </x:c>
      <x:c r="M1257" s="35" t="str">
        <x:v>numeric coverage for applicable metric</x:v>
      </x:c>
      <x:c r="N1257" s="35" t="str">
        <x:v>Gemini-3.8-flash/Result/JacksonDatabind_107/result.json</x:v>
      </x:c>
      <x:c r="O1257" s="39" t="n">
        <x:f>IF(AND(G1257="RECORDED",ISNUMBER(H1257)),H1257,"")</x:f>
        <x:v>0</x:v>
      </x:c>
      <x:c r="P1257" s="35" t="str">
        <x:v>NOT_REVEALING</x:v>
      </x:c>
      <x:c r="Q1257" s="35" t="str">
        <x:v>Gemini-3.8-flash/Result/JacksonDatabind_107/result.json</x:v>
      </x:c>
    </x:row>
    <x:row r="1258">
      <x:c r="A1258" s="35" t="str">
        <x:v>gemini</x:v>
      </x:c>
      <x:c r="B1258" s="35" t="str">
        <x:v>JacksonDatabind</x:v>
      </x:c>
      <x:c r="C1258" s="35" t="str">
        <x:v>Round1</x:v>
      </x:c>
      <x:c r="D1258" s="35" t="str">
        <x:v>JacksonDatabind_108</x:v>
      </x:c>
      <x:c r="E1258" s="35" t="str">
        <x:v>Condition</x:v>
      </x:c>
      <x:c r="F1258" s="35" t="n">
        <x:v>182</x:v>
      </x:c>
      <x:c r="G1258" s="35" t="str">
        <x:v>RECORDED</x:v>
      </x:c>
      <x:c r="H1258" s="39" t="n">
        <x:f>IF(ISNUMBER('Data'!N404),'Data'!N404*100,"")</x:f>
        <x:v>0</x:v>
      </x:c>
      <x:c r="I1258" s="35" t="str">
        <x:v>PASS</x:v>
      </x:c>
      <x:c r="J1258" s="35" t="str">
        <x:v>PASS</x:v>
      </x:c>
      <x:c r="K1258" s="35" t="str">
        <x:v>PASS</x:v>
      </x:c>
      <x:c r="L1258" s="35" t="str">
        <x:v>PASS</x:v>
      </x:c>
      <x:c r="M1258" s="35" t="str">
        <x:v>numeric coverage for applicable metric</x:v>
      </x:c>
      <x:c r="N1258" s="35" t="str">
        <x:v>Gemini-3.8-flash/Result/JacksonDatabind_108/result.json</x:v>
      </x:c>
      <x:c r="O1258" s="39" t="n">
        <x:f>IF(AND(G1258="RECORDED",ISNUMBER(H1258)),H1258,"")</x:f>
        <x:v>0</x:v>
      </x:c>
      <x:c r="P1258" s="35" t="str">
        <x:v>NOT_REVEALING</x:v>
      </x:c>
      <x:c r="Q1258" s="35" t="str">
        <x:v>Gemini-3.8-flash/Result/JacksonDatabind_108/result.json</x:v>
      </x:c>
    </x:row>
    <x:row r="1259">
      <x:c r="A1259" s="35" t="str">
        <x:v>gemini</x:v>
      </x:c>
      <x:c r="B1259" s="35" t="str">
        <x:v>JacksonDatabind</x:v>
      </x:c>
      <x:c r="C1259" s="35" t="str">
        <x:v>Round1</x:v>
      </x:c>
      <x:c r="D1259" s="35" t="str">
        <x:v>JacksonDatabind_109</x:v>
      </x:c>
      <x:c r="E1259" s="35" t="str">
        <x:v>Condition</x:v>
      </x:c>
      <x:c r="F1259" s="35"/>
      <x:c r="G1259" s="35" t="str">
        <x:v>A</x:v>
      </x:c>
      <x:c r="H1259" s="39" t="str">
        <x:f>IF(ISNUMBER('Data'!N405),'Data'!N405*100,"")</x:f>
      </x:c>
      <x:c r="I1259" s="35"/>
      <x:c r="J1259" s="35" t="str">
        <x:v>PASS</x:v>
      </x:c>
      <x:c r="K1259" s="35" t="str">
        <x:v>FAIL</x:v>
      </x:c>
      <x:c r="L1259" s="35" t="str">
        <x:v>NOT_RUN</x:v>
      </x:c>
      <x:c r="M1259" s="35" t="str">
        <x:v>coverage unavailable or execution/compile failed</x:v>
      </x:c>
      <x:c r="N1259" s="35" t="str">
        <x:v>Gemini-3.8-flash/Result/JacksonDatabind_109/result.json</x:v>
      </x:c>
      <x:c r="O1259" s="39" t="str">
        <x:f>IF(AND(G1259="RECORDED",ISNUMBER(H1259)),H1259,"")</x:f>
      </x:c>
      <x:c r="P1259" s="35" t="str">
        <x:v>NOT_AVAILABLE</x:v>
      </x:c>
      <x:c r="Q1259" s="35" t="str">
        <x:v>Gemini-3.8-flash/Result/JacksonDatabind_109/result.json</x:v>
      </x:c>
    </x:row>
    <x:row r="1260">
      <x:c r="A1260" s="35" t="str">
        <x:v>gemini</x:v>
      </x:c>
      <x:c r="B1260" s="35" t="str">
        <x:v>JacksonDatabind</x:v>
      </x:c>
      <x:c r="C1260" s="35" t="str">
        <x:v>Round1</x:v>
      </x:c>
      <x:c r="D1260" s="35" t="str">
        <x:v>JacksonDatabind_11</x:v>
      </x:c>
      <x:c r="E1260" s="35" t="str">
        <x:v>Condition</x:v>
      </x:c>
      <x:c r="F1260" s="35" t="n">
        <x:v>198</x:v>
      </x:c>
      <x:c r="G1260" s="35" t="str">
        <x:v>RECORDED</x:v>
      </x:c>
      <x:c r="H1260" s="39" t="n">
        <x:f>IF(ISNUMBER('Data'!N406),'Data'!N406*100,"")</x:f>
        <x:v>0</x:v>
      </x:c>
      <x:c r="I1260" s="35" t="str">
        <x:v>PASS</x:v>
      </x:c>
      <x:c r="J1260" s="35" t="str">
        <x:v>PASS</x:v>
      </x:c>
      <x:c r="K1260" s="35" t="str">
        <x:v>PASS</x:v>
      </x:c>
      <x:c r="L1260" s="35" t="str">
        <x:v>PASS</x:v>
      </x:c>
      <x:c r="M1260" s="35" t="str">
        <x:v>numeric coverage for applicable metric</x:v>
      </x:c>
      <x:c r="N1260" s="35" t="str">
        <x:v>Gemini-3.8-flash/Result/JacksonDatabind_11/result.json</x:v>
      </x:c>
      <x:c r="O1260" s="39" t="n">
        <x:f>IF(AND(G1260="RECORDED",ISNUMBER(H1260)),H1260,"")</x:f>
        <x:v>0</x:v>
      </x:c>
      <x:c r="P1260" s="35" t="str">
        <x:v>NOT_REVEALING</x:v>
      </x:c>
      <x:c r="Q1260" s="35" t="str">
        <x:v>Gemini-3.8-flash/Result/JacksonDatabind_11/result.json</x:v>
      </x:c>
    </x:row>
    <x:row r="1261">
      <x:c r="A1261" s="35" t="str">
        <x:v>gemini</x:v>
      </x:c>
      <x:c r="B1261" s="35" t="str">
        <x:v>JacksonDatabind</x:v>
      </x:c>
      <x:c r="C1261" s="35" t="str">
        <x:v>Round1</x:v>
      </x:c>
      <x:c r="D1261" s="35" t="str">
        <x:v>JacksonDatabind_110</x:v>
      </x:c>
      <x:c r="E1261" s="35" t="str">
        <x:v>Condition</x:v>
      </x:c>
      <x:c r="F1261" s="35" t="n">
        <x:v>25</x:v>
      </x:c>
      <x:c r="G1261" s="35" t="str">
        <x:v>RECORDED</x:v>
      </x:c>
      <x:c r="H1261" s="39" t="n">
        <x:f>IF(ISNUMBER('Data'!N407),'Data'!N407*100,"")</x:f>
        <x:v>0</x:v>
      </x:c>
      <x:c r="I1261" s="35" t="str">
        <x:v>PASS</x:v>
      </x:c>
      <x:c r="J1261" s="35" t="str">
        <x:v>PASS</x:v>
      </x:c>
      <x:c r="K1261" s="35" t="str">
        <x:v>PASS</x:v>
      </x:c>
      <x:c r="L1261" s="35" t="str">
        <x:v>FAIL</x:v>
      </x:c>
      <x:c r="M1261" s="35" t="str">
        <x:v>numeric coverage for applicable metric</x:v>
      </x:c>
      <x:c r="N1261" s="35" t="str">
        <x:v>Gemini-3.8-flash/Result/JacksonDatabind_110/result.json</x:v>
      </x:c>
      <x:c r="O1261" s="39" t="n">
        <x:f>IF(AND(G1261="RECORDED",ISNUMBER(H1261)),H1261,"")</x:f>
        <x:v>0</x:v>
      </x:c>
      <x:c r="P1261" s="35" t="str">
        <x:v>INCONCLUSIVE</x:v>
      </x:c>
      <x:c r="Q1261" s="35" t="str">
        <x:v>Gemini-3.8-flash/Result/JacksonDatabind_110/result.json</x:v>
      </x:c>
    </x:row>
    <x:row r="1262">
      <x:c r="A1262" s="35" t="str">
        <x:v>gemini</x:v>
      </x:c>
      <x:c r="B1262" s="35" t="str">
        <x:v>JacksonDatabind</x:v>
      </x:c>
      <x:c r="C1262" s="35" t="str">
        <x:v>Round1</x:v>
      </x:c>
      <x:c r="D1262" s="35" t="str">
        <x:v>JacksonDatabind_111</x:v>
      </x:c>
      <x:c r="E1262" s="35" t="str">
        <x:v>Condition</x:v>
      </x:c>
      <x:c r="F1262" s="35"/>
      <x:c r="G1262" s="35" t="str">
        <x:v>A</x:v>
      </x:c>
      <x:c r="H1262" s="39" t="str">
        <x:f>IF(ISNUMBER('Data'!N408),'Data'!N408*100,"")</x:f>
      </x:c>
      <x:c r="I1262" s="35"/>
      <x:c r="J1262" s="35" t="str">
        <x:v>PASS</x:v>
      </x:c>
      <x:c r="K1262" s="35" t="str">
        <x:v>FAIL</x:v>
      </x:c>
      <x:c r="L1262" s="35" t="str">
        <x:v>NOT_RUN</x:v>
      </x:c>
      <x:c r="M1262" s="35" t="str">
        <x:v>coverage unavailable or execution/compile failed</x:v>
      </x:c>
      <x:c r="N1262" s="35" t="str">
        <x:v>Gemini-3.8-flash/Result/JacksonDatabind_111/result.json</x:v>
      </x:c>
      <x:c r="O1262" s="39" t="str">
        <x:f>IF(AND(G1262="RECORDED",ISNUMBER(H1262)),H1262,"")</x:f>
      </x:c>
      <x:c r="P1262" s="35" t="str">
        <x:v>NOT_AVAILABLE</x:v>
      </x:c>
      <x:c r="Q1262" s="35" t="str">
        <x:v>Gemini-3.8-flash/Result/JacksonDatabind_111/result.json</x:v>
      </x:c>
    </x:row>
    <x:row r="1263">
      <x:c r="A1263" s="35" t="str">
        <x:v>gemini</x:v>
      </x:c>
      <x:c r="B1263" s="35" t="str">
        <x:v>JacksonDatabind</x:v>
      </x:c>
      <x:c r="C1263" s="35" t="str">
        <x:v>Round1</x:v>
      </x:c>
      <x:c r="D1263" s="35" t="str">
        <x:v>JacksonDatabind_112</x:v>
      </x:c>
      <x:c r="E1263" s="35" t="str">
        <x:v>Condition</x:v>
      </x:c>
      <x:c r="F1263" s="35" t="n">
        <x:v>58</x:v>
      </x:c>
      <x:c r="G1263" s="35" t="str">
        <x:v>RECORDED</x:v>
      </x:c>
      <x:c r="H1263" s="39" t="n">
        <x:f>IF(ISNUMBER('Data'!N409),'Data'!N409*100,"")</x:f>
        <x:v>43.1</x:v>
      </x:c>
      <x:c r="I1263" s="35" t="str">
        <x:v>PASS</x:v>
      </x:c>
      <x:c r="J1263" s="35" t="str">
        <x:v>PASS</x:v>
      </x:c>
      <x:c r="K1263" s="35" t="str">
        <x:v>PASS</x:v>
      </x:c>
      <x:c r="L1263" s="35" t="str">
        <x:v>PASS</x:v>
      </x:c>
      <x:c r="M1263" s="35" t="str">
        <x:v>numeric coverage for applicable metric</x:v>
      </x:c>
      <x:c r="N1263" s="35" t="str">
        <x:v>Gemini-3.8-flash/Result/JacksonDatabind_112/result.json</x:v>
      </x:c>
      <x:c r="O1263" s="39" t="n">
        <x:f>IF(AND(G1263="RECORDED",ISNUMBER(H1263)),H1263,"")</x:f>
        <x:v>43.1</x:v>
      </x:c>
      <x:c r="P1263" s="35" t="str">
        <x:v>NOT_REVEALING</x:v>
      </x:c>
      <x:c r="Q1263" s="35" t="str">
        <x:v>Gemini-3.8-flash/Result/JacksonDatabind_112/result.json</x:v>
      </x:c>
    </x:row>
    <x:row r="1264">
      <x:c r="A1264" s="35" t="str">
        <x:v>gemini</x:v>
      </x:c>
      <x:c r="B1264" s="35" t="str">
        <x:v>JacksonDatabind</x:v>
      </x:c>
      <x:c r="C1264" s="35" t="str">
        <x:v>Round1</x:v>
      </x:c>
      <x:c r="D1264" s="35" t="str">
        <x:v>JacksonDatabind_12</x:v>
      </x:c>
      <x:c r="E1264" s="35" t="str">
        <x:v>Condition</x:v>
      </x:c>
      <x:c r="F1264" s="35" t="n">
        <x:v>142</x:v>
      </x:c>
      <x:c r="G1264" s="35" t="str">
        <x:v>RECORDED</x:v>
      </x:c>
      <x:c r="H1264" s="39" t="n">
        <x:f>IF(ISNUMBER('Data'!N410),'Data'!N410*100,"")</x:f>
        <x:v>0</x:v>
      </x:c>
      <x:c r="I1264" s="35" t="str">
        <x:v>PASS</x:v>
      </x:c>
      <x:c r="J1264" s="35" t="str">
        <x:v>PASS</x:v>
      </x:c>
      <x:c r="K1264" s="35" t="str">
        <x:v>PASS</x:v>
      </x:c>
      <x:c r="L1264" s="35" t="str">
        <x:v>PASS</x:v>
      </x:c>
      <x:c r="M1264" s="35" t="str">
        <x:v>numeric coverage for applicable metric</x:v>
      </x:c>
      <x:c r="N1264" s="35" t="str">
        <x:v>Gemini-3.8-flash/Result/JacksonDatabind_12/result.json</x:v>
      </x:c>
      <x:c r="O1264" s="39" t="n">
        <x:f>IF(AND(G1264="RECORDED",ISNUMBER(H1264)),H1264,"")</x:f>
        <x:v>0</x:v>
      </x:c>
      <x:c r="P1264" s="35" t="str">
        <x:v>NOT_REVEALING</x:v>
      </x:c>
      <x:c r="Q1264" s="35" t="str">
        <x:v>Gemini-3.8-flash/Result/JacksonDatabind_12/result.json</x:v>
      </x:c>
    </x:row>
    <x:row r="1265">
      <x:c r="A1265" s="35" t="str">
        <x:v>gemini</x:v>
      </x:c>
      <x:c r="B1265" s="35" t="str">
        <x:v>JacksonDatabind</x:v>
      </x:c>
      <x:c r="C1265" s="35" t="str">
        <x:v>Round1</x:v>
      </x:c>
      <x:c r="D1265" s="35" t="str">
        <x:v>JacksonDatabind_13</x:v>
      </x:c>
      <x:c r="E1265" s="35" t="str">
        <x:v>Condition</x:v>
      </x:c>
      <x:c r="F1265" s="35"/>
      <x:c r="G1265" s="35" t="str">
        <x:v>A</x:v>
      </x:c>
      <x:c r="H1265" s="39" t="str">
        <x:f>IF(ISNUMBER('Data'!N411),'Data'!N411*100,"")</x:f>
      </x:c>
      <x:c r="I1265" s="35"/>
      <x:c r="J1265" s="35" t="str">
        <x:v>PASS</x:v>
      </x:c>
      <x:c r="K1265" s="35" t="str">
        <x:v>FAIL</x:v>
      </x:c>
      <x:c r="L1265" s="35" t="str">
        <x:v>NOT_RUN</x:v>
      </x:c>
      <x:c r="M1265" s="35" t="str">
        <x:v>coverage unavailable or execution/compile failed</x:v>
      </x:c>
      <x:c r="N1265" s="35" t="str">
        <x:v>Gemini-3.8-flash/Result/JacksonDatabind_13/result.json</x:v>
      </x:c>
      <x:c r="O1265" s="39" t="str">
        <x:f>IF(AND(G1265="RECORDED",ISNUMBER(H1265)),H1265,"")</x:f>
      </x:c>
      <x:c r="P1265" s="35" t="str">
        <x:v>NOT_AVAILABLE</x:v>
      </x:c>
      <x:c r="Q1265" s="35" t="str">
        <x:v>Gemini-3.8-flash/Result/JacksonDatabind_13/result.json</x:v>
      </x:c>
    </x:row>
    <x:row r="1266">
      <x:c r="A1266" s="35" t="str">
        <x:v>gemini</x:v>
      </x:c>
      <x:c r="B1266" s="35" t="str">
        <x:v>JacksonDatabind</x:v>
      </x:c>
      <x:c r="C1266" s="35" t="str">
        <x:v>Round1</x:v>
      </x:c>
      <x:c r="D1266" s="35" t="str">
        <x:v>JacksonDatabind_14</x:v>
      </x:c>
      <x:c r="E1266" s="35" t="str">
        <x:v>Condition</x:v>
      </x:c>
      <x:c r="F1266" s="35" t="n">
        <x:v>150</x:v>
      </x:c>
      <x:c r="G1266" s="35" t="str">
        <x:v>RECORDED</x:v>
      </x:c>
      <x:c r="H1266" s="39" t="n">
        <x:f>IF(ISNUMBER('Data'!N412),'Data'!N412*100,"")</x:f>
        <x:v>0</x:v>
      </x:c>
      <x:c r="I1266" s="35" t="str">
        <x:v>PASS</x:v>
      </x:c>
      <x:c r="J1266" s="35" t="str">
        <x:v>PASS</x:v>
      </x:c>
      <x:c r="K1266" s="35" t="str">
        <x:v>PASS</x:v>
      </x:c>
      <x:c r="L1266" s="35" t="str">
        <x:v>PASS</x:v>
      </x:c>
      <x:c r="M1266" s="35" t="str">
        <x:v>numeric coverage for applicable metric</x:v>
      </x:c>
      <x:c r="N1266" s="35" t="str">
        <x:v>Gemini-3.8-flash/Result/JacksonDatabind_14/result.json</x:v>
      </x:c>
      <x:c r="O1266" s="39" t="n">
        <x:f>IF(AND(G1266="RECORDED",ISNUMBER(H1266)),H1266,"")</x:f>
        <x:v>0</x:v>
      </x:c>
      <x:c r="P1266" s="35" t="str">
        <x:v>NOT_REVEALING</x:v>
      </x:c>
      <x:c r="Q1266" s="35" t="str">
        <x:v>Gemini-3.8-flash/Result/JacksonDatabind_14/result.json</x:v>
      </x:c>
    </x:row>
    <x:row r="1267">
      <x:c r="A1267" s="35" t="str">
        <x:v>gemini</x:v>
      </x:c>
      <x:c r="B1267" s="35" t="str">
        <x:v>JacksonDatabind</x:v>
      </x:c>
      <x:c r="C1267" s="35" t="str">
        <x:v>Round1</x:v>
      </x:c>
      <x:c r="D1267" s="35" t="str">
        <x:v>JacksonDatabind_15</x:v>
      </x:c>
      <x:c r="E1267" s="35" t="str">
        <x:v>Condition</x:v>
      </x:c>
      <x:c r="F1267" s="35"/>
      <x:c r="G1267" s="35" t="str">
        <x:v>A</x:v>
      </x:c>
      <x:c r="H1267" s="39" t="str">
        <x:f>IF(ISNUMBER('Data'!N413),'Data'!N413*100,"")</x:f>
      </x:c>
      <x:c r="I1267" s="35"/>
      <x:c r="J1267" s="35" t="str">
        <x:v>PASS</x:v>
      </x:c>
      <x:c r="K1267" s="35" t="str">
        <x:v>FAIL</x:v>
      </x:c>
      <x:c r="L1267" s="35" t="str">
        <x:v>NOT_RUN</x:v>
      </x:c>
      <x:c r="M1267" s="35" t="str">
        <x:v>coverage unavailable or execution/compile failed</x:v>
      </x:c>
      <x:c r="N1267" s="35" t="str">
        <x:v>Gemini-3.8-flash/Result/JacksonDatabind_15/result.json</x:v>
      </x:c>
      <x:c r="O1267" s="39" t="str">
        <x:f>IF(AND(G1267="RECORDED",ISNUMBER(H1267)),H1267,"")</x:f>
      </x:c>
      <x:c r="P1267" s="35" t="str">
        <x:v>NOT_AVAILABLE</x:v>
      </x:c>
      <x:c r="Q1267" s="35" t="str">
        <x:v>Gemini-3.8-flash/Result/JacksonDatabind_15/result.json</x:v>
      </x:c>
    </x:row>
    <x:row r="1268">
      <x:c r="A1268" s="35" t="str">
        <x:v>gemini</x:v>
      </x:c>
      <x:c r="B1268" s="35" t="str">
        <x:v>JacksonDatabind</x:v>
      </x:c>
      <x:c r="C1268" s="35" t="str">
        <x:v>Round1</x:v>
      </x:c>
      <x:c r="D1268" s="35" t="str">
        <x:v>JacksonDatabind_16</x:v>
      </x:c>
      <x:c r="E1268" s="35" t="str">
        <x:v>Condition</x:v>
      </x:c>
      <x:c r="F1268" s="35" t="n">
        <x:v>36</x:v>
      </x:c>
      <x:c r="G1268" s="35" t="str">
        <x:v>RECORDED</x:v>
      </x:c>
      <x:c r="H1268" s="39" t="n">
        <x:f>IF(ISNUMBER('Data'!N414),'Data'!N414*100,"")</x:f>
        <x:v>100</x:v>
      </x:c>
      <x:c r="I1268" s="35" t="str">
        <x:v>PASS</x:v>
      </x:c>
      <x:c r="J1268" s="35" t="str">
        <x:v>PASS</x:v>
      </x:c>
      <x:c r="K1268" s="35" t="str">
        <x:v>PASS</x:v>
      </x:c>
      <x:c r="L1268" s="35" t="str">
        <x:v>PASS</x:v>
      </x:c>
      <x:c r="M1268" s="35" t="str">
        <x:v>numeric coverage for applicable metric</x:v>
      </x:c>
      <x:c r="N1268" s="35" t="str">
        <x:v>Gemini-3.8-flash/Result/JacksonDatabind_16/result.json</x:v>
      </x:c>
      <x:c r="O1268" s="39" t="n">
        <x:f>IF(AND(G1268="RECORDED",ISNUMBER(H1268)),H1268,"")</x:f>
        <x:v>100</x:v>
      </x:c>
      <x:c r="P1268" s="35" t="str">
        <x:v>INCONCLUSIVE</x:v>
      </x:c>
      <x:c r="Q1268" s="35" t="str">
        <x:v>Gemini-3.8-flash/Result/JacksonDatabind_16/result.json</x:v>
      </x:c>
    </x:row>
    <x:row r="1269">
      <x:c r="A1269" s="35" t="str">
        <x:v>gemini</x:v>
      </x:c>
      <x:c r="B1269" s="35" t="str">
        <x:v>JacksonDatabind</x:v>
      </x:c>
      <x:c r="C1269" s="35" t="str">
        <x:v>Round1</x:v>
      </x:c>
      <x:c r="D1269" s="35" t="str">
        <x:v>JacksonDatabind_17</x:v>
      </x:c>
      <x:c r="E1269" s="35" t="str">
        <x:v>Condition</x:v>
      </x:c>
      <x:c r="F1269" s="35" t="n">
        <x:v>192</x:v>
      </x:c>
      <x:c r="G1269" s="35" t="str">
        <x:v>RECORDED</x:v>
      </x:c>
      <x:c r="H1269" s="39" t="n">
        <x:f>IF(ISNUMBER('Data'!N415),'Data'!N415*100,"")</x:f>
        <x:v>0</x:v>
      </x:c>
      <x:c r="I1269" s="35" t="str">
        <x:v>PASS</x:v>
      </x:c>
      <x:c r="J1269" s="35" t="str">
        <x:v>PASS</x:v>
      </x:c>
      <x:c r="K1269" s="35" t="str">
        <x:v>PASS</x:v>
      </x:c>
      <x:c r="L1269" s="35" t="str">
        <x:v>FAIL</x:v>
      </x:c>
      <x:c r="M1269" s="35" t="str">
        <x:v>numeric coverage for applicable metric</x:v>
      </x:c>
      <x:c r="N1269" s="35" t="str">
        <x:v>Gemini-3.8-flash/Result/JacksonDatabind_17/result.json</x:v>
      </x:c>
      <x:c r="O1269" s="39" t="n">
        <x:f>IF(AND(G1269="RECORDED",ISNUMBER(H1269)),H1269,"")</x:f>
        <x:v>0</x:v>
      </x:c>
      <x:c r="P1269" s="35" t="str">
        <x:v>INCONCLUSIVE</x:v>
      </x:c>
      <x:c r="Q1269" s="35" t="str">
        <x:v>Gemini-3.8-flash/Result/JacksonDatabind_17/result.json</x:v>
      </x:c>
    </x:row>
    <x:row r="1270">
      <x:c r="A1270" s="35" t="str">
        <x:v>gemini</x:v>
      </x:c>
      <x:c r="B1270" s="35" t="str">
        <x:v>JacksonDatabind</x:v>
      </x:c>
      <x:c r="C1270" s="35" t="str">
        <x:v>Round1</x:v>
      </x:c>
      <x:c r="D1270" s="35" t="str">
        <x:v>JacksonDatabind_18</x:v>
      </x:c>
      <x:c r="E1270" s="35" t="str">
        <x:v>Condition</x:v>
      </x:c>
      <x:c r="F1270" s="35" t="n">
        <x:v>34</x:v>
      </x:c>
      <x:c r="G1270" s="35" t="str">
        <x:v>RECORDED</x:v>
      </x:c>
      <x:c r="H1270" s="39" t="n">
        <x:f>IF(ISNUMBER('Data'!N416),'Data'!N416*100,"")</x:f>
        <x:v>5.88</x:v>
      </x:c>
      <x:c r="I1270" s="35" t="str">
        <x:v>PASS</x:v>
      </x:c>
      <x:c r="J1270" s="35" t="str">
        <x:v>PASS</x:v>
      </x:c>
      <x:c r="K1270" s="35" t="str">
        <x:v>PASS</x:v>
      </x:c>
      <x:c r="L1270" s="35" t="str">
        <x:v>PASS</x:v>
      </x:c>
      <x:c r="M1270" s="35" t="str">
        <x:v>numeric coverage for applicable metric</x:v>
      </x:c>
      <x:c r="N1270" s="35" t="str">
        <x:v>Gemini-3.8-flash/Result/JacksonDatabind_18/result.json</x:v>
      </x:c>
      <x:c r="O1270" s="39" t="n">
        <x:f>IF(AND(G1270="RECORDED",ISNUMBER(H1270)),H1270,"")</x:f>
        <x:v>5.88</x:v>
      </x:c>
      <x:c r="P1270" s="35" t="str">
        <x:v>NOT_REVEALING</x:v>
      </x:c>
      <x:c r="Q1270" s="35" t="str">
        <x:v>Gemini-3.8-flash/Result/JacksonDatabind_18/result.json</x:v>
      </x:c>
    </x:row>
    <x:row r="1271">
      <x:c r="A1271" s="35" t="str">
        <x:v>gemini</x:v>
      </x:c>
      <x:c r="B1271" s="35" t="str">
        <x:v>JacksonDatabind</x:v>
      </x:c>
      <x:c r="C1271" s="35" t="str">
        <x:v>Round1</x:v>
      </x:c>
      <x:c r="D1271" s="35" t="str">
        <x:v>JacksonDatabind_19</x:v>
      </x:c>
      <x:c r="E1271" s="35" t="str">
        <x:v>Condition</x:v>
      </x:c>
      <x:c r="F1271" s="35" t="n">
        <x:v>230</x:v>
      </x:c>
      <x:c r="G1271" s="35" t="str">
        <x:v>RECORDED</x:v>
      </x:c>
      <x:c r="H1271" s="39" t="n">
        <x:f>IF(ISNUMBER('Data'!N417),'Data'!N417*100,"")</x:f>
        <x:v>0</x:v>
      </x:c>
      <x:c r="I1271" s="35" t="str">
        <x:v>PASS</x:v>
      </x:c>
      <x:c r="J1271" s="35" t="str">
        <x:v>PASS</x:v>
      </x:c>
      <x:c r="K1271" s="35" t="str">
        <x:v>PASS</x:v>
      </x:c>
      <x:c r="L1271" s="35" t="str">
        <x:v>PASS</x:v>
      </x:c>
      <x:c r="M1271" s="35" t="str">
        <x:v>numeric coverage for applicable metric</x:v>
      </x:c>
      <x:c r="N1271" s="35" t="str">
        <x:v>Gemini-3.8-flash/Result/JacksonDatabind_19/result.json</x:v>
      </x:c>
      <x:c r="O1271" s="39" t="n">
        <x:f>IF(AND(G1271="RECORDED",ISNUMBER(H1271)),H1271,"")</x:f>
        <x:v>0</x:v>
      </x:c>
      <x:c r="P1271" s="35" t="str">
        <x:v>NOT_REVEALING</x:v>
      </x:c>
      <x:c r="Q1271" s="35" t="str">
        <x:v>Gemini-3.8-flash/Result/JacksonDatabind_19/result.json</x:v>
      </x:c>
    </x:row>
    <x:row r="1272">
      <x:c r="A1272" s="35" t="str">
        <x:v>gemini</x:v>
      </x:c>
      <x:c r="B1272" s="35" t="str">
        <x:v>JacksonDatabind</x:v>
      </x:c>
      <x:c r="C1272" s="35" t="str">
        <x:v>Round1</x:v>
      </x:c>
      <x:c r="D1272" s="35" t="str">
        <x:v>JacksonDatabind_2</x:v>
      </x:c>
      <x:c r="E1272" s="35" t="str">
        <x:v>Condition</x:v>
      </x:c>
      <x:c r="F1272" s="35" t="n">
        <x:v>298</x:v>
      </x:c>
      <x:c r="G1272" s="35" t="str">
        <x:v>RECORDED</x:v>
      </x:c>
      <x:c r="H1272" s="39" t="n">
        <x:f>IF(ISNUMBER('Data'!N418),'Data'!N418*100,"")</x:f>
        <x:v>22.15</x:v>
      </x:c>
      <x:c r="I1272" s="35" t="str">
        <x:v>PASS</x:v>
      </x:c>
      <x:c r="J1272" s="35" t="str">
        <x:v>PASS</x:v>
      </x:c>
      <x:c r="K1272" s="35" t="str">
        <x:v>PASS</x:v>
      </x:c>
      <x:c r="L1272" s="35" t="str">
        <x:v>PASS</x:v>
      </x:c>
      <x:c r="M1272" s="35" t="str">
        <x:v>numeric coverage for applicable metric</x:v>
      </x:c>
      <x:c r="N1272" s="35" t="str">
        <x:v>Gemini-3.8-flash/Result/JacksonDatabind_2/result.json</x:v>
      </x:c>
      <x:c r="O1272" s="39" t="n">
        <x:f>IF(AND(G1272="RECORDED",ISNUMBER(H1272)),H1272,"")</x:f>
        <x:v>22.15</x:v>
      </x:c>
      <x:c r="P1272" s="35" t="str">
        <x:v>NOT_REVEALING</x:v>
      </x:c>
      <x:c r="Q1272" s="35" t="str">
        <x:v>Gemini-3.8-flash/Result/JacksonDatabind_2/result.json</x:v>
      </x:c>
    </x:row>
    <x:row r="1273">
      <x:c r="A1273" s="35" t="str">
        <x:v>gemini</x:v>
      </x:c>
      <x:c r="B1273" s="35" t="str">
        <x:v>JacksonDatabind</x:v>
      </x:c>
      <x:c r="C1273" s="35" t="str">
        <x:v>Round1</x:v>
      </x:c>
      <x:c r="D1273" s="35" t="str">
        <x:v>JacksonDatabind_20</x:v>
      </x:c>
      <x:c r="E1273" s="35" t="str">
        <x:v>Condition</x:v>
      </x:c>
      <x:c r="F1273" s="35" t="n">
        <x:v>84</x:v>
      </x:c>
      <x:c r="G1273" s="35" t="str">
        <x:v>RECORDED</x:v>
      </x:c>
      <x:c r="H1273" s="39" t="n">
        <x:f>IF(ISNUMBER('Data'!N419),'Data'!N419*100,"")</x:f>
        <x:v>0</x:v>
      </x:c>
      <x:c r="I1273" s="35" t="str">
        <x:v>PASS</x:v>
      </x:c>
      <x:c r="J1273" s="35" t="str">
        <x:v>PASS</x:v>
      </x:c>
      <x:c r="K1273" s="35" t="str">
        <x:v>PASS</x:v>
      </x:c>
      <x:c r="L1273" s="35" t="str">
        <x:v>PASS</x:v>
      </x:c>
      <x:c r="M1273" s="35" t="str">
        <x:v>numeric coverage for applicable metric</x:v>
      </x:c>
      <x:c r="N1273" s="35" t="str">
        <x:v>Gemini-3.8-flash/Result/JacksonDatabind_20/result.json</x:v>
      </x:c>
      <x:c r="O1273" s="39" t="n">
        <x:f>IF(AND(G1273="RECORDED",ISNUMBER(H1273)),H1273,"")</x:f>
        <x:v>0</x:v>
      </x:c>
      <x:c r="P1273" s="35" t="str">
        <x:v>NOT_REVEALING</x:v>
      </x:c>
      <x:c r="Q1273" s="35" t="str">
        <x:v>Gemini-3.8-flash/Result/JacksonDatabind_20/result.json</x:v>
      </x:c>
    </x:row>
    <x:row r="1274">
      <x:c r="A1274" s="35" t="str">
        <x:v>gemini</x:v>
      </x:c>
      <x:c r="B1274" s="35" t="str">
        <x:v>JacksonDatabind</x:v>
      </x:c>
      <x:c r="C1274" s="35" t="str">
        <x:v>Round1</x:v>
      </x:c>
      <x:c r="D1274" s="35" t="str">
        <x:v>JacksonDatabind_21</x:v>
      </x:c>
      <x:c r="E1274" s="35" t="str">
        <x:v>Condition</x:v>
      </x:c>
      <x:c r="F1274" s="35" t="n">
        <x:v>249</x:v>
      </x:c>
      <x:c r="G1274" s="35" t="str">
        <x:v>RECORDED</x:v>
      </x:c>
      <x:c r="H1274" s="39" t="n">
        <x:f>IF(ISNUMBER('Data'!N420),'Data'!N420*100,"")</x:f>
        <x:v>0</x:v>
      </x:c>
      <x:c r="I1274" s="35" t="str">
        <x:v>PASS</x:v>
      </x:c>
      <x:c r="J1274" s="35" t="str">
        <x:v>PASS</x:v>
      </x:c>
      <x:c r="K1274" s="35" t="str">
        <x:v>PASS</x:v>
      </x:c>
      <x:c r="L1274" s="35" t="str">
        <x:v>PASS</x:v>
      </x:c>
      <x:c r="M1274" s="35" t="str">
        <x:v>numeric coverage for applicable metric</x:v>
      </x:c>
      <x:c r="N1274" s="35" t="str">
        <x:v>Gemini-3.8-flash/Result/JacksonDatabind_21/result.json</x:v>
      </x:c>
      <x:c r="O1274" s="39" t="n">
        <x:f>IF(AND(G1274="RECORDED",ISNUMBER(H1274)),H1274,"")</x:f>
        <x:v>0</x:v>
      </x:c>
      <x:c r="P1274" s="35" t="str">
        <x:v>NOT_REVEALING</x:v>
      </x:c>
      <x:c r="Q1274" s="35" t="str">
        <x:v>Gemini-3.8-flash/Result/JacksonDatabind_21/result.json</x:v>
      </x:c>
    </x:row>
    <x:row r="1275">
      <x:c r="A1275" s="35" t="str">
        <x:v>gemini</x:v>
      </x:c>
      <x:c r="B1275" s="35" t="str">
        <x:v>JacksonDatabind</x:v>
      </x:c>
      <x:c r="C1275" s="35" t="str">
        <x:v>Round1</x:v>
      </x:c>
      <x:c r="D1275" s="35" t="str">
        <x:v>JacksonDatabind_22</x:v>
      </x:c>
      <x:c r="E1275" s="35" t="str">
        <x:v>Condition</x:v>
      </x:c>
      <x:c r="F1275" s="35"/>
      <x:c r="G1275" s="35" t="str">
        <x:v>A</x:v>
      </x:c>
      <x:c r="H1275" s="39" t="str">
        <x:f>IF(ISNUMBER('Data'!N421),'Data'!N421*100,"")</x:f>
      </x:c>
      <x:c r="I1275" s="35"/>
      <x:c r="J1275" s="35" t="str">
        <x:v>PASS</x:v>
      </x:c>
      <x:c r="K1275" s="35" t="str">
        <x:v>FAIL</x:v>
      </x:c>
      <x:c r="L1275" s="35" t="str">
        <x:v>NOT_RUN</x:v>
      </x:c>
      <x:c r="M1275" s="35" t="str">
        <x:v>coverage unavailable or execution/compile failed</x:v>
      </x:c>
      <x:c r="N1275" s="35" t="str">
        <x:v>Gemini-3.8-flash/Result/JacksonDatabind_22/result.json</x:v>
      </x:c>
      <x:c r="O1275" s="39" t="str">
        <x:f>IF(AND(G1275="RECORDED",ISNUMBER(H1275)),H1275,"")</x:f>
      </x:c>
      <x:c r="P1275" s="35" t="str">
        <x:v>NOT_AVAILABLE</x:v>
      </x:c>
      <x:c r="Q1275" s="35" t="str">
        <x:v>Gemini-3.8-flash/Result/JacksonDatabind_22/result.json</x:v>
      </x:c>
    </x:row>
    <x:row r="1276">
      <x:c r="A1276" s="35" t="str">
        <x:v>gemini</x:v>
      </x:c>
      <x:c r="B1276" s="35" t="str">
        <x:v>JacksonDatabind</x:v>
      </x:c>
      <x:c r="C1276" s="35" t="str">
        <x:v>Round1</x:v>
      </x:c>
      <x:c r="D1276" s="35" t="str">
        <x:v>JacksonDatabind_23</x:v>
      </x:c>
      <x:c r="E1276" s="35" t="str">
        <x:v>Condition</x:v>
      </x:c>
      <x:c r="F1276" s="35" t="n">
        <x:v>20</x:v>
      </x:c>
      <x:c r="G1276" s="35" t="str">
        <x:v>RECORDED</x:v>
      </x:c>
      <x:c r="H1276" s="39" t="n">
        <x:f>IF(ISNUMBER('Data'!N422),'Data'!N422*100,"")</x:f>
        <x:v>0</x:v>
      </x:c>
      <x:c r="I1276" s="35" t="str">
        <x:v>PASS</x:v>
      </x:c>
      <x:c r="J1276" s="35" t="str">
        <x:v>PASS</x:v>
      </x:c>
      <x:c r="K1276" s="35" t="str">
        <x:v>PASS</x:v>
      </x:c>
      <x:c r="L1276" s="35" t="str">
        <x:v>FAIL</x:v>
      </x:c>
      <x:c r="M1276" s="35" t="str">
        <x:v>numeric coverage for applicable metric</x:v>
      </x:c>
      <x:c r="N1276" s="35" t="str">
        <x:v>Gemini-3.8-flash/Result/JacksonDatabind_23/result.json</x:v>
      </x:c>
      <x:c r="O1276" s="39" t="n">
        <x:f>IF(AND(G1276="RECORDED",ISNUMBER(H1276)),H1276,"")</x:f>
        <x:v>0</x:v>
      </x:c>
      <x:c r="P1276" s="35" t="str">
        <x:v>INCONCLUSIVE</x:v>
      </x:c>
      <x:c r="Q1276" s="35" t="str">
        <x:v>Gemini-3.8-flash/Result/JacksonDatabind_23/result.json</x:v>
      </x:c>
    </x:row>
    <x:row r="1277">
      <x:c r="A1277" s="35" t="str">
        <x:v>gemini</x:v>
      </x:c>
      <x:c r="B1277" s="35" t="str">
        <x:v>JacksonDatabind</x:v>
      </x:c>
      <x:c r="C1277" s="35" t="str">
        <x:v>Round1</x:v>
      </x:c>
      <x:c r="D1277" s="35" t="str">
        <x:v>JacksonDatabind_24</x:v>
      </x:c>
      <x:c r="E1277" s="35" t="str">
        <x:v>Condition</x:v>
      </x:c>
      <x:c r="F1277" s="35" t="n">
        <x:v>26</x:v>
      </x:c>
      <x:c r="G1277" s="35" t="str">
        <x:v>RECORDED</x:v>
      </x:c>
      <x:c r="H1277" s="39" t="n">
        <x:f>IF(ISNUMBER('Data'!N423),'Data'!N423*100,"")</x:f>
        <x:v>0</x:v>
      </x:c>
      <x:c r="I1277" s="35" t="str">
        <x:v>PASS</x:v>
      </x:c>
      <x:c r="J1277" s="35" t="str">
        <x:v>PASS</x:v>
      </x:c>
      <x:c r="K1277" s="35" t="str">
        <x:v>PASS</x:v>
      </x:c>
      <x:c r="L1277" s="35" t="str">
        <x:v>PASS</x:v>
      </x:c>
      <x:c r="M1277" s="35" t="str">
        <x:v>numeric coverage for applicable metric</x:v>
      </x:c>
      <x:c r="N1277" s="35" t="str">
        <x:v>Gemini-3.8-flash/Result/JacksonDatabind_24/result.json</x:v>
      </x:c>
      <x:c r="O1277" s="39" t="n">
        <x:f>IF(AND(G1277="RECORDED",ISNUMBER(H1277)),H1277,"")</x:f>
        <x:v>0</x:v>
      </x:c>
      <x:c r="P1277" s="35" t="str">
        <x:v>NOT_REVEALING</x:v>
      </x:c>
      <x:c r="Q1277" s="35" t="str">
        <x:v>Gemini-3.8-flash/Result/JacksonDatabind_24/result.json</x:v>
      </x:c>
    </x:row>
    <x:row r="1278">
      <x:c r="A1278" s="35" t="str">
        <x:v>gemini</x:v>
      </x:c>
      <x:c r="B1278" s="35" t="str">
        <x:v>JacksonDatabind</x:v>
      </x:c>
      <x:c r="C1278" s="35" t="str">
        <x:v>Round1</x:v>
      </x:c>
      <x:c r="D1278" s="35" t="str">
        <x:v>JacksonDatabind_25</x:v>
      </x:c>
      <x:c r="E1278" s="35" t="str">
        <x:v>Condition</x:v>
      </x:c>
      <x:c r="F1278" s="35" t="n">
        <x:v>770</x:v>
      </x:c>
      <x:c r="G1278" s="35" t="str">
        <x:v>RECORDED</x:v>
      </x:c>
      <x:c r="H1278" s="39" t="n">
        <x:f>IF(ISNUMBER('Data'!N424),'Data'!N424*100,"")</x:f>
        <x:v>1.04</x:v>
      </x:c>
      <x:c r="I1278" s="35" t="str">
        <x:v>PASS</x:v>
      </x:c>
      <x:c r="J1278" s="35" t="str">
        <x:v>PASS</x:v>
      </x:c>
      <x:c r="K1278" s="35" t="str">
        <x:v>PASS</x:v>
      </x:c>
      <x:c r="L1278" s="35" t="str">
        <x:v>PASS</x:v>
      </x:c>
      <x:c r="M1278" s="35" t="str">
        <x:v>numeric coverage for applicable metric</x:v>
      </x:c>
      <x:c r="N1278" s="35" t="str">
        <x:v>Gemini-3.8-flash/Result/JacksonDatabind_25/result.json</x:v>
      </x:c>
      <x:c r="O1278" s="39" t="n">
        <x:f>IF(AND(G1278="RECORDED",ISNUMBER(H1278)),H1278,"")</x:f>
        <x:v>1.04</x:v>
      </x:c>
      <x:c r="P1278" s="35" t="str">
        <x:v>INCONCLUSIVE</x:v>
      </x:c>
      <x:c r="Q1278" s="35" t="str">
        <x:v>Gemini-3.8-flash/Result/JacksonDatabind_25/result.json</x:v>
      </x:c>
    </x:row>
    <x:row r="1279">
      <x:c r="A1279" s="35" t="str">
        <x:v>gemini</x:v>
      </x:c>
      <x:c r="B1279" s="35" t="str">
        <x:v>JacksonDatabind</x:v>
      </x:c>
      <x:c r="C1279" s="35" t="str">
        <x:v>Round1</x:v>
      </x:c>
      <x:c r="D1279" s="35" t="str">
        <x:v>JacksonDatabind_26</x:v>
      </x:c>
      <x:c r="E1279" s="35" t="str">
        <x:v>Condition</x:v>
      </x:c>
      <x:c r="F1279" s="35" t="n">
        <x:v>148</x:v>
      </x:c>
      <x:c r="G1279" s="35" t="str">
        <x:v>RECORDED</x:v>
      </x:c>
      <x:c r="H1279" s="39" t="n">
        <x:f>IF(ISNUMBER('Data'!N425),'Data'!N425*100,"")</x:f>
        <x:v>14.859999999999998</x:v>
      </x:c>
      <x:c r="I1279" s="35" t="str">
        <x:v>PASS</x:v>
      </x:c>
      <x:c r="J1279" s="35" t="str">
        <x:v>PASS</x:v>
      </x:c>
      <x:c r="K1279" s="35" t="str">
        <x:v>PASS</x:v>
      </x:c>
      <x:c r="L1279" s="35" t="str">
        <x:v>PASS</x:v>
      </x:c>
      <x:c r="M1279" s="35" t="str">
        <x:v>numeric coverage for applicable metric</x:v>
      </x:c>
      <x:c r="N1279" s="35" t="str">
        <x:v>Gemini-3.8-flash/Result/JacksonDatabind_26/result.json</x:v>
      </x:c>
      <x:c r="O1279" s="39" t="n">
        <x:f>IF(AND(G1279="RECORDED",ISNUMBER(H1279)),H1279,"")</x:f>
        <x:v>14.859999999999998</x:v>
      </x:c>
      <x:c r="P1279" s="35" t="str">
        <x:v>NOT_REVEALING</x:v>
      </x:c>
      <x:c r="Q1279" s="35" t="str">
        <x:v>Gemini-3.8-flash/Result/JacksonDatabind_26/result.json</x:v>
      </x:c>
    </x:row>
    <x:row r="1280">
      <x:c r="A1280" s="35" t="str">
        <x:v>gemini</x:v>
      </x:c>
      <x:c r="B1280" s="35" t="str">
        <x:v>JacksonDatabind</x:v>
      </x:c>
      <x:c r="C1280" s="35" t="str">
        <x:v>Round1</x:v>
      </x:c>
      <x:c r="D1280" s="35" t="str">
        <x:v>JacksonDatabind_27</x:v>
      </x:c>
      <x:c r="E1280" s="35" t="str">
        <x:v>Condition</x:v>
      </x:c>
      <x:c r="F1280" s="35"/>
      <x:c r="G1280" s="35" t="str">
        <x:v>A</x:v>
      </x:c>
      <x:c r="H1280" s="39" t="str">
        <x:f>IF(ISNUMBER('Data'!N426),'Data'!N426*100,"")</x:f>
      </x:c>
      <x:c r="I1280" s="35"/>
      <x:c r="J1280" s="35" t="str">
        <x:v>PASS</x:v>
      </x:c>
      <x:c r="K1280" s="35" t="str">
        <x:v>FAIL</x:v>
      </x:c>
      <x:c r="L1280" s="35" t="str">
        <x:v>NOT_RUN</x:v>
      </x:c>
      <x:c r="M1280" s="35" t="str">
        <x:v>coverage unavailable or execution/compile failed</x:v>
      </x:c>
      <x:c r="N1280" s="35" t="str">
        <x:v>Gemini-3.8-flash/Result/JacksonDatabind_27/result.json</x:v>
      </x:c>
      <x:c r="O1280" s="39" t="str">
        <x:f>IF(AND(G1280="RECORDED",ISNUMBER(H1280)),H1280,"")</x:f>
      </x:c>
      <x:c r="P1280" s="35" t="str">
        <x:v>NOT_AVAILABLE</x:v>
      </x:c>
      <x:c r="Q1280" s="35" t="str">
        <x:v>Gemini-3.8-flash/Result/JacksonDatabind_27/result.json</x:v>
      </x:c>
    </x:row>
    <x:row r="1281">
      <x:c r="A1281" s="35" t="str">
        <x:v>gemini</x:v>
      </x:c>
      <x:c r="B1281" s="35" t="str">
        <x:v>JacksonDatabind</x:v>
      </x:c>
      <x:c r="C1281" s="35" t="str">
        <x:v>Round1</x:v>
      </x:c>
      <x:c r="D1281" s="35" t="str">
        <x:v>JacksonDatabind_28</x:v>
      </x:c>
      <x:c r="E1281" s="35" t="str">
        <x:v>Condition</x:v>
      </x:c>
      <x:c r="F1281" s="35" t="n">
        <x:v>13</x:v>
      </x:c>
      <x:c r="G1281" s="35" t="str">
        <x:v>RECORDED</x:v>
      </x:c>
      <x:c r="H1281" s="39" t="n">
        <x:f>IF(ISNUMBER('Data'!N427),'Data'!N427*100,"")</x:f>
        <x:v>0</x:v>
      </x:c>
      <x:c r="I1281" s="35" t="str">
        <x:v>PASS</x:v>
      </x:c>
      <x:c r="J1281" s="35" t="str">
        <x:v>PASS</x:v>
      </x:c>
      <x:c r="K1281" s="35" t="str">
        <x:v>PASS</x:v>
      </x:c>
      <x:c r="L1281" s="35" t="str">
        <x:v>FAIL</x:v>
      </x:c>
      <x:c r="M1281" s="35" t="str">
        <x:v>numeric coverage for applicable metric</x:v>
      </x:c>
      <x:c r="N1281" s="35" t="str">
        <x:v>Gemini-3.8-flash/Result/JacksonDatabind_28/result.json</x:v>
      </x:c>
      <x:c r="O1281" s="39" t="n">
        <x:f>IF(AND(G1281="RECORDED",ISNUMBER(H1281)),H1281,"")</x:f>
        <x:v>0</x:v>
      </x:c>
      <x:c r="P1281" s="35" t="str">
        <x:v>INCONCLUSIVE</x:v>
      </x:c>
      <x:c r="Q1281" s="35" t="str">
        <x:v>Gemini-3.8-flash/Result/JacksonDatabind_28/result.json</x:v>
      </x:c>
    </x:row>
    <x:row r="1282">
      <x:c r="A1282" s="35" t="str">
        <x:v>gemini</x:v>
      </x:c>
      <x:c r="B1282" s="35" t="str">
        <x:v>JacksonDatabind</x:v>
      </x:c>
      <x:c r="C1282" s="35" t="str">
        <x:v>Round1</x:v>
      </x:c>
      <x:c r="D1282" s="35" t="str">
        <x:v>JacksonDatabind_29</x:v>
      </x:c>
      <x:c r="E1282" s="35" t="str">
        <x:v>Condition</x:v>
      </x:c>
      <x:c r="F1282" s="35" t="n">
        <x:v>62</x:v>
      </x:c>
      <x:c r="G1282" s="35" t="str">
        <x:v>RECORDED</x:v>
      </x:c>
      <x:c r="H1282" s="39" t="n">
        <x:f>IF(ISNUMBER('Data'!N428),'Data'!N428*100,"")</x:f>
        <x:v>0</x:v>
      </x:c>
      <x:c r="I1282" s="35" t="str">
        <x:v>PASS</x:v>
      </x:c>
      <x:c r="J1282" s="35" t="str">
        <x:v>PASS</x:v>
      </x:c>
      <x:c r="K1282" s="35" t="str">
        <x:v>PASS</x:v>
      </x:c>
      <x:c r="L1282" s="35" t="str">
        <x:v>FAIL</x:v>
      </x:c>
      <x:c r="M1282" s="35" t="str">
        <x:v>numeric coverage for applicable metric</x:v>
      </x:c>
      <x:c r="N1282" s="35" t="str">
        <x:v>Gemini-3.8-flash/Result/JacksonDatabind_29/result.json</x:v>
      </x:c>
      <x:c r="O1282" s="39" t="n">
        <x:f>IF(AND(G1282="RECORDED",ISNUMBER(H1282)),H1282,"")</x:f>
        <x:v>0</x:v>
      </x:c>
      <x:c r="P1282" s="35" t="str">
        <x:v>INCONCLUSIVE</x:v>
      </x:c>
      <x:c r="Q1282" s="35" t="str">
        <x:v>Gemini-3.8-flash/Result/JacksonDatabind_29/result.json</x:v>
      </x:c>
    </x:row>
    <x:row r="1283">
      <x:c r="A1283" s="35" t="str">
        <x:v>gemini</x:v>
      </x:c>
      <x:c r="B1283" s="35" t="str">
        <x:v>JacksonDatabind</x:v>
      </x:c>
      <x:c r="C1283" s="35" t="str">
        <x:v>Round1</x:v>
      </x:c>
      <x:c r="D1283" s="35" t="str">
        <x:v>JacksonDatabind_3</x:v>
      </x:c>
      <x:c r="E1283" s="35" t="str">
        <x:v>Condition</x:v>
      </x:c>
      <x:c r="F1283" s="35" t="n">
        <x:v>36</x:v>
      </x:c>
      <x:c r="G1283" s="35" t="str">
        <x:v>RECORDED</x:v>
      </x:c>
      <x:c r="H1283" s="39" t="n">
        <x:f>IF(ISNUMBER('Data'!N429),'Data'!N429*100,"")</x:f>
        <x:v>41.67</x:v>
      </x:c>
      <x:c r="I1283" s="35" t="str">
        <x:v>PASS</x:v>
      </x:c>
      <x:c r="J1283" s="35" t="str">
        <x:v>PASS</x:v>
      </x:c>
      <x:c r="K1283" s="35" t="str">
        <x:v>PASS</x:v>
      </x:c>
      <x:c r="L1283" s="35" t="str">
        <x:v>PASS</x:v>
      </x:c>
      <x:c r="M1283" s="35" t="str">
        <x:v>numeric coverage for applicable metric</x:v>
      </x:c>
      <x:c r="N1283" s="35" t="str">
        <x:v>Gemini-3.8-flash/Result/JacksonDatabind_3/result.json</x:v>
      </x:c>
      <x:c r="O1283" s="39" t="n">
        <x:f>IF(AND(G1283="RECORDED",ISNUMBER(H1283)),H1283,"")</x:f>
        <x:v>41.67</x:v>
      </x:c>
      <x:c r="P1283" s="35" t="str">
        <x:v>NOT_REVEALING</x:v>
      </x:c>
      <x:c r="Q1283" s="35" t="str">
        <x:v>Gemini-3.8-flash/Result/JacksonDatabind_3/result.json</x:v>
      </x:c>
    </x:row>
    <x:row r="1284">
      <x:c r="A1284" s="35" t="str">
        <x:v>gemini</x:v>
      </x:c>
      <x:c r="B1284" s="35" t="str">
        <x:v>JacksonDatabind</x:v>
      </x:c>
      <x:c r="C1284" s="35" t="str">
        <x:v>Round1</x:v>
      </x:c>
      <x:c r="D1284" s="35" t="str">
        <x:v>JacksonDatabind_30</x:v>
      </x:c>
      <x:c r="E1284" s="35" t="str">
        <x:v>Condition</x:v>
      </x:c>
      <x:c r="F1284" s="35" t="n">
        <x:v>536</x:v>
      </x:c>
      <x:c r="G1284" s="35" t="str">
        <x:v>RECORDED</x:v>
      </x:c>
      <x:c r="H1284" s="39" t="n">
        <x:f>IF(ISNUMBER('Data'!N430),'Data'!N430*100,"")</x:f>
        <x:v>12.689999999999998</x:v>
      </x:c>
      <x:c r="I1284" s="35" t="str">
        <x:v>PASS</x:v>
      </x:c>
      <x:c r="J1284" s="35" t="str">
        <x:v>PASS</x:v>
      </x:c>
      <x:c r="K1284" s="35" t="str">
        <x:v>PASS</x:v>
      </x:c>
      <x:c r="L1284" s="35" t="str">
        <x:v>FAIL</x:v>
      </x:c>
      <x:c r="M1284" s="35" t="str">
        <x:v>numeric coverage for applicable metric</x:v>
      </x:c>
      <x:c r="N1284" s="35" t="str">
        <x:v>Gemini-3.8-flash/Result/JacksonDatabind_30/result.json</x:v>
      </x:c>
      <x:c r="O1284" s="39" t="n">
        <x:f>IF(AND(G1284="RECORDED",ISNUMBER(H1284)),H1284,"")</x:f>
        <x:v>12.689999999999998</x:v>
      </x:c>
      <x:c r="P1284" s="35" t="str">
        <x:v>INCONCLUSIVE</x:v>
      </x:c>
      <x:c r="Q1284" s="35" t="str">
        <x:v>Gemini-3.8-flash/Result/JacksonDatabind_30/result.json</x:v>
      </x:c>
    </x:row>
    <x:row r="1285">
      <x:c r="A1285" s="35" t="str">
        <x:v>gemini</x:v>
      </x:c>
      <x:c r="B1285" s="35" t="str">
        <x:v>JacksonDatabind</x:v>
      </x:c>
      <x:c r="C1285" s="35" t="str">
        <x:v>Round1</x:v>
      </x:c>
      <x:c r="D1285" s="35" t="str">
        <x:v>JacksonDatabind_31</x:v>
      </x:c>
      <x:c r="E1285" s="35" t="str">
        <x:v>Condition</x:v>
      </x:c>
      <x:c r="F1285" s="35" t="n">
        <x:v>342</x:v>
      </x:c>
      <x:c r="G1285" s="35" t="str">
        <x:v>RECORDED</x:v>
      </x:c>
      <x:c r="H1285" s="39" t="n">
        <x:f>IF(ISNUMBER('Data'!N431),'Data'!N431*100,"")</x:f>
        <x:v>19.88</x:v>
      </x:c>
      <x:c r="I1285" s="35" t="str">
        <x:v>PASS</x:v>
      </x:c>
      <x:c r="J1285" s="35" t="str">
        <x:v>PASS</x:v>
      </x:c>
      <x:c r="K1285" s="35" t="str">
        <x:v>PASS</x:v>
      </x:c>
      <x:c r="L1285" s="35" t="str">
        <x:v>PASS</x:v>
      </x:c>
      <x:c r="M1285" s="35" t="str">
        <x:v>numeric coverage for applicable metric</x:v>
      </x:c>
      <x:c r="N1285" s="35" t="str">
        <x:v>Gemini-3.8-flash/Result/JacksonDatabind_31/result.json</x:v>
      </x:c>
      <x:c r="O1285" s="39" t="n">
        <x:f>IF(AND(G1285="RECORDED",ISNUMBER(H1285)),H1285,"")</x:f>
        <x:v>19.88</x:v>
      </x:c>
      <x:c r="P1285" s="35" t="str">
        <x:v>NOT_REVEALING</x:v>
      </x:c>
      <x:c r="Q1285" s="35" t="str">
        <x:v>Gemini-3.8-flash/Result/JacksonDatabind_31/result.json</x:v>
      </x:c>
    </x:row>
    <x:row r="1286">
      <x:c r="A1286" s="35" t="str">
        <x:v>gemini</x:v>
      </x:c>
      <x:c r="B1286" s="35" t="str">
        <x:v>JacksonDatabind</x:v>
      </x:c>
      <x:c r="C1286" s="35" t="str">
        <x:v>Round1</x:v>
      </x:c>
      <x:c r="D1286" s="35" t="str">
        <x:v>JacksonDatabind_32</x:v>
      </x:c>
      <x:c r="E1286" s="35" t="str">
        <x:v>Condition</x:v>
      </x:c>
      <x:c r="F1286" s="35" t="n">
        <x:v>145</x:v>
      </x:c>
      <x:c r="G1286" s="35" t="str">
        <x:v>RECORDED</x:v>
      </x:c>
      <x:c r="H1286" s="39" t="n">
        <x:f>IF(ISNUMBER('Data'!N432),'Data'!N432*100,"")</x:f>
        <x:v>0</x:v>
      </x:c>
      <x:c r="I1286" s="35" t="str">
        <x:v>PASS</x:v>
      </x:c>
      <x:c r="J1286" s="35" t="str">
        <x:v>PASS</x:v>
      </x:c>
      <x:c r="K1286" s="35" t="str">
        <x:v>PASS</x:v>
      </x:c>
      <x:c r="L1286" s="35" t="str">
        <x:v>PASS</x:v>
      </x:c>
      <x:c r="M1286" s="35" t="str">
        <x:v>numeric coverage for applicable metric</x:v>
      </x:c>
      <x:c r="N1286" s="35" t="str">
        <x:v>Gemini-3.8-flash/Result/JacksonDatabind_32/result.json</x:v>
      </x:c>
      <x:c r="O1286" s="39" t="n">
        <x:f>IF(AND(G1286="RECORDED",ISNUMBER(H1286)),H1286,"")</x:f>
        <x:v>0</x:v>
      </x:c>
      <x:c r="P1286" s="35" t="str">
        <x:v>NOT_REVEALING</x:v>
      </x:c>
      <x:c r="Q1286" s="35" t="str">
        <x:v>Gemini-3.8-flash/Result/JacksonDatabind_32/result.json</x:v>
      </x:c>
    </x:row>
    <x:row r="1287">
      <x:c r="A1287" s="35" t="str">
        <x:v>gemini</x:v>
      </x:c>
      <x:c r="B1287" s="35" t="str">
        <x:v>JacksonDatabind</x:v>
      </x:c>
      <x:c r="C1287" s="35" t="str">
        <x:v>Round1</x:v>
      </x:c>
      <x:c r="D1287" s="35" t="str">
        <x:v>JacksonDatabind_33</x:v>
      </x:c>
      <x:c r="E1287" s="35" t="str">
        <x:v>Condition</x:v>
      </x:c>
      <x:c r="F1287" s="35" t="n">
        <x:v>276</x:v>
      </x:c>
      <x:c r="G1287" s="35" t="str">
        <x:v>RECORDED</x:v>
      </x:c>
      <x:c r="H1287" s="39" t="n">
        <x:f>IF(ISNUMBER('Data'!N433),'Data'!N433*100,"")</x:f>
        <x:v>0</x:v>
      </x:c>
      <x:c r="I1287" s="35" t="str">
        <x:v>PASS</x:v>
      </x:c>
      <x:c r="J1287" s="35" t="str">
        <x:v>PASS</x:v>
      </x:c>
      <x:c r="K1287" s="35" t="str">
        <x:v>PASS</x:v>
      </x:c>
      <x:c r="L1287" s="35" t="str">
        <x:v>PASS</x:v>
      </x:c>
      <x:c r="M1287" s="35" t="str">
        <x:v>numeric coverage for applicable metric</x:v>
      </x:c>
      <x:c r="N1287" s="35" t="str">
        <x:v>Gemini-3.8-flash/Result/JacksonDatabind_33/result.json</x:v>
      </x:c>
      <x:c r="O1287" s="39" t="n">
        <x:f>IF(AND(G1287="RECORDED",ISNUMBER(H1287)),H1287,"")</x:f>
        <x:v>0</x:v>
      </x:c>
      <x:c r="P1287" s="35" t="str">
        <x:v>NOT_REVEALING</x:v>
      </x:c>
      <x:c r="Q1287" s="35" t="str">
        <x:v>Gemini-3.8-flash/Result/JacksonDatabind_33/result.json</x:v>
      </x:c>
    </x:row>
    <x:row r="1288">
      <x:c r="A1288" s="35" t="str">
        <x:v>gemini</x:v>
      </x:c>
      <x:c r="B1288" s="35" t="str">
        <x:v>JacksonDatabind</x:v>
      </x:c>
      <x:c r="C1288" s="35" t="str">
        <x:v>Round1</x:v>
      </x:c>
      <x:c r="D1288" s="35" t="str">
        <x:v>JacksonDatabind_34</x:v>
      </x:c>
      <x:c r="E1288" s="35" t="str">
        <x:v>Condition</x:v>
      </x:c>
      <x:c r="F1288" s="35" t="n">
        <x:v>24</x:v>
      </x:c>
      <x:c r="G1288" s="35" t="str">
        <x:v>RECORDED</x:v>
      </x:c>
      <x:c r="H1288" s="39" t="n">
        <x:f>IF(ISNUMBER('Data'!N434),'Data'!N434*100,"")</x:f>
        <x:v>100</x:v>
      </x:c>
      <x:c r="I1288" s="35" t="str">
        <x:v>PASS</x:v>
      </x:c>
      <x:c r="J1288" s="35" t="str">
        <x:v>PASS</x:v>
      </x:c>
      <x:c r="K1288" s="35" t="str">
        <x:v>PASS</x:v>
      </x:c>
      <x:c r="L1288" s="35" t="str">
        <x:v>PASS</x:v>
      </x:c>
      <x:c r="M1288" s="35" t="str">
        <x:v>numeric coverage for applicable metric</x:v>
      </x:c>
      <x:c r="N1288" s="35" t="str">
        <x:v>Gemini-3.8-flash/Result/JacksonDatabind_34/result.json</x:v>
      </x:c>
      <x:c r="O1288" s="39" t="n">
        <x:f>IF(AND(G1288="RECORDED",ISNUMBER(H1288)),H1288,"")</x:f>
        <x:v>100</x:v>
      </x:c>
      <x:c r="P1288" s="35" t="str">
        <x:v>INCONCLUSIVE</x:v>
      </x:c>
      <x:c r="Q1288" s="35" t="str">
        <x:v>Gemini-3.8-flash/Result/JacksonDatabind_34/result.json</x:v>
      </x:c>
    </x:row>
    <x:row r="1289">
      <x:c r="A1289" s="35" t="str">
        <x:v>gemini</x:v>
      </x:c>
      <x:c r="B1289" s="35" t="str">
        <x:v>JacksonDatabind</x:v>
      </x:c>
      <x:c r="C1289" s="35" t="str">
        <x:v>Round1</x:v>
      </x:c>
      <x:c r="D1289" s="35" t="str">
        <x:v>JacksonDatabind_35</x:v>
      </x:c>
      <x:c r="E1289" s="35" t="str">
        <x:v>Condition</x:v>
      </x:c>
      <x:c r="F1289" s="35"/>
      <x:c r="G1289" s="35" t="str">
        <x:v>A</x:v>
      </x:c>
      <x:c r="H1289" s="39" t="str">
        <x:f>IF(ISNUMBER('Data'!N435),'Data'!N435*100,"")</x:f>
      </x:c>
      <x:c r="I1289" s="35"/>
      <x:c r="J1289" s="35" t="str">
        <x:v>PASS</x:v>
      </x:c>
      <x:c r="K1289" s="35" t="str">
        <x:v>FAIL</x:v>
      </x:c>
      <x:c r="L1289" s="35" t="str">
        <x:v>NOT_RUN</x:v>
      </x:c>
      <x:c r="M1289" s="35" t="str">
        <x:v>coverage unavailable or execution/compile failed</x:v>
      </x:c>
      <x:c r="N1289" s="35" t="str">
        <x:v>Gemini-3.8-flash/Result/JacksonDatabind_35/result.json</x:v>
      </x:c>
      <x:c r="O1289" s="39" t="str">
        <x:f>IF(AND(G1289="RECORDED",ISNUMBER(H1289)),H1289,"")</x:f>
      </x:c>
      <x:c r="P1289" s="35" t="str">
        <x:v>NOT_AVAILABLE</x:v>
      </x:c>
      <x:c r="Q1289" s="35" t="str">
        <x:v>Gemini-3.8-flash/Result/JacksonDatabind_35/result.json</x:v>
      </x:c>
    </x:row>
    <x:row r="1290">
      <x:c r="A1290" s="35" t="str">
        <x:v>gemini</x:v>
      </x:c>
      <x:c r="B1290" s="35" t="str">
        <x:v>JacksonDatabind</x:v>
      </x:c>
      <x:c r="C1290" s="35" t="str">
        <x:v>Round1</x:v>
      </x:c>
      <x:c r="D1290" s="35" t="str">
        <x:v>JacksonDatabind_36</x:v>
      </x:c>
      <x:c r="E1290" s="35" t="str">
        <x:v>Condition</x:v>
      </x:c>
      <x:c r="F1290" s="35" t="n">
        <x:v>130</x:v>
      </x:c>
      <x:c r="G1290" s="35" t="str">
        <x:v>RECORDED</x:v>
      </x:c>
      <x:c r="H1290" s="39" t="n">
        <x:f>IF(ISNUMBER('Data'!N436),'Data'!N436*100,"")</x:f>
        <x:v>0</x:v>
      </x:c>
      <x:c r="I1290" s="35" t="str">
        <x:v>PASS</x:v>
      </x:c>
      <x:c r="J1290" s="35" t="str">
        <x:v>PASS</x:v>
      </x:c>
      <x:c r="K1290" s="35" t="str">
        <x:v>PASS</x:v>
      </x:c>
      <x:c r="L1290" s="35" t="str">
        <x:v>PASS</x:v>
      </x:c>
      <x:c r="M1290" s="35" t="str">
        <x:v>numeric coverage for applicable metric</x:v>
      </x:c>
      <x:c r="N1290" s="35" t="str">
        <x:v>Gemini-3.8-flash/Result/JacksonDatabind_36/result.json</x:v>
      </x:c>
      <x:c r="O1290" s="39" t="n">
        <x:f>IF(AND(G1290="RECORDED",ISNUMBER(H1290)),H1290,"")</x:f>
        <x:v>0</x:v>
      </x:c>
      <x:c r="P1290" s="35" t="str">
        <x:v>NOT_REVEALING</x:v>
      </x:c>
      <x:c r="Q1290" s="35" t="str">
        <x:v>Gemini-3.8-flash/Result/JacksonDatabind_36/result.json</x:v>
      </x:c>
    </x:row>
    <x:row r="1291">
      <x:c r="A1291" s="35" t="str">
        <x:v>gemini</x:v>
      </x:c>
      <x:c r="B1291" s="35" t="str">
        <x:v>JacksonDatabind</x:v>
      </x:c>
      <x:c r="C1291" s="35" t="str">
        <x:v>Round1</x:v>
      </x:c>
      <x:c r="D1291" s="35" t="str">
        <x:v>JacksonDatabind_37</x:v>
      </x:c>
      <x:c r="E1291" s="35" t="str">
        <x:v>Condition</x:v>
      </x:c>
      <x:c r="F1291" s="35" t="n">
        <x:v>32</x:v>
      </x:c>
      <x:c r="G1291" s="35" t="str">
        <x:v>RECORDED</x:v>
      </x:c>
      <x:c r="H1291" s="39" t="n">
        <x:f>IF(ISNUMBER('Data'!N437),'Data'!N437*100,"")</x:f>
        <x:v>0</x:v>
      </x:c>
      <x:c r="I1291" s="35" t="str">
        <x:v>PASS</x:v>
      </x:c>
      <x:c r="J1291" s="35" t="str">
        <x:v>PASS</x:v>
      </x:c>
      <x:c r="K1291" s="35" t="str">
        <x:v>PASS</x:v>
      </x:c>
      <x:c r="L1291" s="35" t="str">
        <x:v>PASS</x:v>
      </x:c>
      <x:c r="M1291" s="35" t="str">
        <x:v>numeric coverage for applicable metric</x:v>
      </x:c>
      <x:c r="N1291" s="35" t="str">
        <x:v>Gemini-3.8-flash/Result/JacksonDatabind_37/result.json</x:v>
      </x:c>
      <x:c r="O1291" s="39" t="n">
        <x:f>IF(AND(G1291="RECORDED",ISNUMBER(H1291)),H1291,"")</x:f>
        <x:v>0</x:v>
      </x:c>
      <x:c r="P1291" s="35" t="str">
        <x:v>NOT_REVEALING</x:v>
      </x:c>
      <x:c r="Q1291" s="35" t="str">
        <x:v>Gemini-3.8-flash/Result/JacksonDatabind_37/result.json</x:v>
      </x:c>
    </x:row>
    <x:row r="1292">
      <x:c r="A1292" s="35" t="str">
        <x:v>gemini</x:v>
      </x:c>
      <x:c r="B1292" s="35" t="str">
        <x:v>JacksonDatabind</x:v>
      </x:c>
      <x:c r="C1292" s="35" t="str">
        <x:v>Round1</x:v>
      </x:c>
      <x:c r="D1292" s="35" t="str">
        <x:v>JacksonDatabind_38</x:v>
      </x:c>
      <x:c r="E1292" s="35" t="str">
        <x:v>Condition</x:v>
      </x:c>
      <x:c r="F1292" s="35"/>
      <x:c r="G1292" s="35" t="str">
        <x:v>A</x:v>
      </x:c>
      <x:c r="H1292" s="39" t="str">
        <x:f>IF(ISNUMBER('Data'!N438),'Data'!N438*100,"")</x:f>
      </x:c>
      <x:c r="I1292" s="35"/>
      <x:c r="J1292" s="35" t="str">
        <x:v>PASS</x:v>
      </x:c>
      <x:c r="K1292" s="35" t="str">
        <x:v>FAIL</x:v>
      </x:c>
      <x:c r="L1292" s="35" t="str">
        <x:v>NOT_RUN</x:v>
      </x:c>
      <x:c r="M1292" s="35" t="str">
        <x:v>coverage unavailable or execution/compile failed</x:v>
      </x:c>
      <x:c r="N1292" s="35" t="str">
        <x:v>Gemini-3.8-flash/Result/JacksonDatabind_38/result.json</x:v>
      </x:c>
      <x:c r="O1292" s="39" t="str">
        <x:f>IF(AND(G1292="RECORDED",ISNUMBER(H1292)),H1292,"")</x:f>
      </x:c>
      <x:c r="P1292" s="35" t="str">
        <x:v>NOT_AVAILABLE</x:v>
      </x:c>
      <x:c r="Q1292" s="35" t="str">
        <x:v>Gemini-3.8-flash/Result/JacksonDatabind_38/result.json</x:v>
      </x:c>
    </x:row>
    <x:row r="1293">
      <x:c r="A1293" s="35" t="str">
        <x:v>gemini</x:v>
      </x:c>
      <x:c r="B1293" s="35" t="str">
        <x:v>JacksonDatabind</x:v>
      </x:c>
      <x:c r="C1293" s="35" t="str">
        <x:v>Round1</x:v>
      </x:c>
      <x:c r="D1293" s="35" t="str">
        <x:v>JacksonDatabind_39</x:v>
      </x:c>
      <x:c r="E1293" s="35" t="str">
        <x:v>Condition</x:v>
      </x:c>
      <x:c r="F1293" s="35" t="n">
        <x:v>2</x:v>
      </x:c>
      <x:c r="G1293" s="35" t="str">
        <x:v>RECORDED</x:v>
      </x:c>
      <x:c r="H1293" s="39" t="n">
        <x:f>IF(ISNUMBER('Data'!N439),'Data'!N439*100,"")</x:f>
        <x:v>100</x:v>
      </x:c>
      <x:c r="I1293" s="35" t="str">
        <x:v>PASS</x:v>
      </x:c>
      <x:c r="J1293" s="35" t="str">
        <x:v>PASS</x:v>
      </x:c>
      <x:c r="K1293" s="35" t="str">
        <x:v>PASS</x:v>
      </x:c>
      <x:c r="L1293" s="35" t="str">
        <x:v>PASS</x:v>
      </x:c>
      <x:c r="M1293" s="35" t="str">
        <x:v>numeric coverage for applicable metric</x:v>
      </x:c>
      <x:c r="N1293" s="35" t="str">
        <x:v>Gemini-3.8-flash/Result/JacksonDatabind_39/result.json</x:v>
      </x:c>
      <x:c r="O1293" s="39" t="n">
        <x:f>IF(AND(G1293="RECORDED",ISNUMBER(H1293)),H1293,"")</x:f>
        <x:v>100</x:v>
      </x:c>
      <x:c r="P1293" s="35" t="str">
        <x:v>INCONCLUSIVE</x:v>
      </x:c>
      <x:c r="Q1293" s="35" t="str">
        <x:v>Gemini-3.8-flash/Result/JacksonDatabind_39/result.json</x:v>
      </x:c>
    </x:row>
    <x:row r="1294">
      <x:c r="A1294" s="35" t="str">
        <x:v>gemini</x:v>
      </x:c>
      <x:c r="B1294" s="35" t="str">
        <x:v>JacksonDatabind</x:v>
      </x:c>
      <x:c r="C1294" s="35" t="str">
        <x:v>Round1</x:v>
      </x:c>
      <x:c r="D1294" s="35" t="str">
        <x:v>JacksonDatabind_4</x:v>
      </x:c>
      <x:c r="E1294" s="35" t="str">
        <x:v>Condition</x:v>
      </x:c>
      <x:c r="F1294" s="35"/>
      <x:c r="G1294" s="35" t="str">
        <x:v>A</x:v>
      </x:c>
      <x:c r="H1294" s="39" t="str">
        <x:f>IF(ISNUMBER('Data'!N440),'Data'!N440*100,"")</x:f>
      </x:c>
      <x:c r="I1294" s="35"/>
      <x:c r="J1294" s="35" t="str">
        <x:v>PASS</x:v>
      </x:c>
      <x:c r="K1294" s="35" t="str">
        <x:v>FAIL</x:v>
      </x:c>
      <x:c r="L1294" s="35" t="str">
        <x:v>NOT_RUN</x:v>
      </x:c>
      <x:c r="M1294" s="35" t="str">
        <x:v>coverage unavailable or execution/compile failed</x:v>
      </x:c>
      <x:c r="N1294" s="35" t="str">
        <x:v>Gemini-3.8-flash/Result/JacksonDatabind_4/result.json</x:v>
      </x:c>
      <x:c r="O1294" s="39" t="str">
        <x:f>IF(AND(G1294="RECORDED",ISNUMBER(H1294)),H1294,"")</x:f>
      </x:c>
      <x:c r="P1294" s="35" t="str">
        <x:v>NOT_AVAILABLE</x:v>
      </x:c>
      <x:c r="Q1294" s="35" t="str">
        <x:v>Gemini-3.8-flash/Result/JacksonDatabind_4/result.json</x:v>
      </x:c>
    </x:row>
    <x:row r="1295">
      <x:c r="A1295" s="35" t="str">
        <x:v>gemini</x:v>
      </x:c>
      <x:c r="B1295" s="35" t="str">
        <x:v>JacksonDatabind</x:v>
      </x:c>
      <x:c r="C1295" s="35" t="str">
        <x:v>Round1</x:v>
      </x:c>
      <x:c r="D1295" s="35" t="str">
        <x:v>JacksonDatabind_40</x:v>
      </x:c>
      <x:c r="E1295" s="35" t="str">
        <x:v>Condition</x:v>
      </x:c>
      <x:c r="F1295" s="35" t="n">
        <x:v>130</x:v>
      </x:c>
      <x:c r="G1295" s="35" t="str">
        <x:v>RECORDED</x:v>
      </x:c>
      <x:c r="H1295" s="39" t="n">
        <x:f>IF(ISNUMBER('Data'!N441),'Data'!N441*100,"")</x:f>
        <x:v>0</x:v>
      </x:c>
      <x:c r="I1295" s="35" t="str">
        <x:v>PASS</x:v>
      </x:c>
      <x:c r="J1295" s="35" t="str">
        <x:v>PASS</x:v>
      </x:c>
      <x:c r="K1295" s="35" t="str">
        <x:v>PASS</x:v>
      </x:c>
      <x:c r="L1295" s="35" t="str">
        <x:v>FAIL</x:v>
      </x:c>
      <x:c r="M1295" s="35" t="str">
        <x:v>numeric coverage for applicable metric</x:v>
      </x:c>
      <x:c r="N1295" s="35" t="str">
        <x:v>Gemini-3.8-flash/Result/JacksonDatabind_40/result.json</x:v>
      </x:c>
      <x:c r="O1295" s="39" t="n">
        <x:f>IF(AND(G1295="RECORDED",ISNUMBER(H1295)),H1295,"")</x:f>
        <x:v>0</x:v>
      </x:c>
      <x:c r="P1295" s="35" t="str">
        <x:v>INCONCLUSIVE</x:v>
      </x:c>
      <x:c r="Q1295" s="35" t="str">
        <x:v>Gemini-3.8-flash/Result/JacksonDatabind_40/result.json</x:v>
      </x:c>
    </x:row>
    <x:row r="1296">
      <x:c r="A1296" s="35" t="str">
        <x:v>gemini</x:v>
      </x:c>
      <x:c r="B1296" s="35" t="str">
        <x:v>JacksonDatabind</x:v>
      </x:c>
      <x:c r="C1296" s="35" t="str">
        <x:v>Round1</x:v>
      </x:c>
      <x:c r="D1296" s="35" t="str">
        <x:v>JacksonDatabind_41</x:v>
      </x:c>
      <x:c r="E1296" s="35" t="str">
        <x:v>Condition</x:v>
      </x:c>
      <x:c r="F1296" s="35" t="n">
        <x:v>213</x:v>
      </x:c>
      <x:c r="G1296" s="35" t="str">
        <x:v>RECORDED</x:v>
      </x:c>
      <x:c r="H1296" s="39" t="n">
        <x:f>IF(ISNUMBER('Data'!N442),'Data'!N442*100,"")</x:f>
        <x:v>0</x:v>
      </x:c>
      <x:c r="I1296" s="35" t="str">
        <x:v>PASS</x:v>
      </x:c>
      <x:c r="J1296" s="35" t="str">
        <x:v>PASS</x:v>
      </x:c>
      <x:c r="K1296" s="35" t="str">
        <x:v>PASS</x:v>
      </x:c>
      <x:c r="L1296" s="35" t="str">
        <x:v>PASS</x:v>
      </x:c>
      <x:c r="M1296" s="35" t="str">
        <x:v>numeric coverage for applicable metric</x:v>
      </x:c>
      <x:c r="N1296" s="35" t="str">
        <x:v>Gemini-3.8-flash/Result/JacksonDatabind_41/result.json</x:v>
      </x:c>
      <x:c r="O1296" s="39" t="n">
        <x:f>IF(AND(G1296="RECORDED",ISNUMBER(H1296)),H1296,"")</x:f>
        <x:v>0</x:v>
      </x:c>
      <x:c r="P1296" s="35" t="str">
        <x:v>NOT_REVEALING</x:v>
      </x:c>
      <x:c r="Q1296" s="35" t="str">
        <x:v>Gemini-3.8-flash/Result/JacksonDatabind_41/result.json</x:v>
      </x:c>
    </x:row>
    <x:row r="1297">
      <x:c r="A1297" s="35" t="str">
        <x:v>gemini</x:v>
      </x:c>
      <x:c r="B1297" s="35" t="str">
        <x:v>JacksonDatabind</x:v>
      </x:c>
      <x:c r="C1297" s="35" t="str">
        <x:v>Round1</x:v>
      </x:c>
      <x:c r="D1297" s="35" t="str">
        <x:v>JacksonDatabind_42</x:v>
      </x:c>
      <x:c r="E1297" s="35" t="str">
        <x:v>Condition</x:v>
      </x:c>
      <x:c r="F1297" s="35" t="n">
        <x:v>79</x:v>
      </x:c>
      <x:c r="G1297" s="35" t="str">
        <x:v>RECORDED</x:v>
      </x:c>
      <x:c r="H1297" s="39" t="n">
        <x:f>IF(ISNUMBER('Data'!N443),'Data'!N443*100,"")</x:f>
        <x:v>0</x:v>
      </x:c>
      <x:c r="I1297" s="35" t="str">
        <x:v>PASS</x:v>
      </x:c>
      <x:c r="J1297" s="35" t="str">
        <x:v>PASS</x:v>
      </x:c>
      <x:c r="K1297" s="35" t="str">
        <x:v>PASS</x:v>
      </x:c>
      <x:c r="L1297" s="35" t="str">
        <x:v>PASS</x:v>
      </x:c>
      <x:c r="M1297" s="35" t="str">
        <x:v>numeric coverage for applicable metric</x:v>
      </x:c>
      <x:c r="N1297" s="35" t="str">
        <x:v>Gemini-3.8-flash/Result/JacksonDatabind_42/result.json</x:v>
      </x:c>
      <x:c r="O1297" s="39" t="n">
        <x:f>IF(AND(G1297="RECORDED",ISNUMBER(H1297)),H1297,"")</x:f>
        <x:v>0</x:v>
      </x:c>
      <x:c r="P1297" s="35" t="str">
        <x:v>NOT_AVAILABLE</x:v>
      </x:c>
      <x:c r="Q1297" s="35" t="str">
        <x:v>Gemini-3.8-flash/Result/JacksonDatabind_42/result.json</x:v>
      </x:c>
    </x:row>
    <x:row r="1298">
      <x:c r="A1298" s="35" t="str">
        <x:v>gemini</x:v>
      </x:c>
      <x:c r="B1298" s="35" t="str">
        <x:v>JacksonDatabind</x:v>
      </x:c>
      <x:c r="C1298" s="35" t="str">
        <x:v>Round1</x:v>
      </x:c>
      <x:c r="D1298" s="35" t="str">
        <x:v>JacksonDatabind_43</x:v>
      </x:c>
      <x:c r="E1298" s="35" t="str">
        <x:v>Condition</x:v>
      </x:c>
      <x:c r="F1298" s="35"/>
      <x:c r="G1298" s="35" t="str">
        <x:v>A</x:v>
      </x:c>
      <x:c r="H1298" s="39" t="str">
        <x:f>IF(ISNUMBER('Data'!N444),'Data'!N444*100,"")</x:f>
      </x:c>
      <x:c r="I1298" s="35"/>
      <x:c r="J1298" s="35" t="str">
        <x:v>PASS</x:v>
      </x:c>
      <x:c r="K1298" s="35" t="str">
        <x:v>FAIL</x:v>
      </x:c>
      <x:c r="L1298" s="35" t="str">
        <x:v>NOT_RUN</x:v>
      </x:c>
      <x:c r="M1298" s="35" t="str">
        <x:v>coverage unavailable or execution/compile failed</x:v>
      </x:c>
      <x:c r="N1298" s="35" t="str">
        <x:v>Gemini-3.8-flash/Result/JacksonDatabind_43/result.json</x:v>
      </x:c>
      <x:c r="O1298" s="39" t="str">
        <x:f>IF(AND(G1298="RECORDED",ISNUMBER(H1298)),H1298,"")</x:f>
      </x:c>
      <x:c r="P1298" s="35" t="str">
        <x:v>NOT_AVAILABLE</x:v>
      </x:c>
      <x:c r="Q1298" s="35" t="str">
        <x:v>Gemini-3.8-flash/Result/JacksonDatabind_43/result.json</x:v>
      </x:c>
    </x:row>
    <x:row r="1299">
      <x:c r="A1299" s="35" t="str">
        <x:v>gemini</x:v>
      </x:c>
      <x:c r="B1299" s="35" t="str">
        <x:v>JacksonDatabind</x:v>
      </x:c>
      <x:c r="C1299" s="35" t="str">
        <x:v>Round1</x:v>
      </x:c>
      <x:c r="D1299" s="35" t="str">
        <x:v>JacksonDatabind_44</x:v>
      </x:c>
      <x:c r="E1299" s="35" t="str">
        <x:v>Condition</x:v>
      </x:c>
      <x:c r="F1299" s="35" t="n">
        <x:v>36</x:v>
      </x:c>
      <x:c r="G1299" s="35" t="str">
        <x:v>RECORDED</x:v>
      </x:c>
      <x:c r="H1299" s="39" t="n">
        <x:f>IF(ISNUMBER('Data'!N445),'Data'!N445*100,"")</x:f>
        <x:v>0</x:v>
      </x:c>
      <x:c r="I1299" s="35" t="str">
        <x:v>PASS</x:v>
      </x:c>
      <x:c r="J1299" s="35" t="str">
        <x:v>PASS</x:v>
      </x:c>
      <x:c r="K1299" s="35" t="str">
        <x:v>PASS</x:v>
      </x:c>
      <x:c r="L1299" s="35" t="str">
        <x:v>PASS</x:v>
      </x:c>
      <x:c r="M1299" s="35" t="str">
        <x:v>numeric coverage for applicable metric</x:v>
      </x:c>
      <x:c r="N1299" s="35" t="str">
        <x:v>Gemini-3.8-flash/Result/JacksonDatabind_44/result.json</x:v>
      </x:c>
      <x:c r="O1299" s="39" t="n">
        <x:f>IF(AND(G1299="RECORDED",ISNUMBER(H1299)),H1299,"")</x:f>
        <x:v>0</x:v>
      </x:c>
      <x:c r="P1299" s="35" t="str">
        <x:v>NOT_REVEALING</x:v>
      </x:c>
      <x:c r="Q1299" s="35" t="str">
        <x:v>Gemini-3.8-flash/Result/JacksonDatabind_44/result.json</x:v>
      </x:c>
    </x:row>
    <x:row r="1300">
      <x:c r="A1300" s="35" t="str">
        <x:v>gemini</x:v>
      </x:c>
      <x:c r="B1300" s="35" t="str">
        <x:v>JacksonDatabind</x:v>
      </x:c>
      <x:c r="C1300" s="35" t="str">
        <x:v>Round1</x:v>
      </x:c>
      <x:c r="D1300" s="35" t="str">
        <x:v>JacksonDatabind_45</x:v>
      </x:c>
      <x:c r="E1300" s="35" t="str">
        <x:v>Condition</x:v>
      </x:c>
      <x:c r="F1300" s="35"/>
      <x:c r="G1300" s="35" t="str">
        <x:v>A</x:v>
      </x:c>
      <x:c r="H1300" s="39" t="str">
        <x:f>IF(ISNUMBER('Data'!N446),'Data'!N446*100,"")</x:f>
      </x:c>
      <x:c r="I1300" s="35"/>
      <x:c r="J1300" s="35" t="str">
        <x:v>PASS</x:v>
      </x:c>
      <x:c r="K1300" s="35" t="str">
        <x:v>FAIL</x:v>
      </x:c>
      <x:c r="L1300" s="35" t="str">
        <x:v>NOT_RUN</x:v>
      </x:c>
      <x:c r="M1300" s="35" t="str">
        <x:v>coverage unavailable or execution/compile failed</x:v>
      </x:c>
      <x:c r="N1300" s="35" t="str">
        <x:v>Gemini-3.8-flash/Result/JacksonDatabind_45/result.json</x:v>
      </x:c>
      <x:c r="O1300" s="39" t="str">
        <x:f>IF(AND(G1300="RECORDED",ISNUMBER(H1300)),H1300,"")</x:f>
      </x:c>
      <x:c r="P1300" s="35" t="str">
        <x:v>NOT_AVAILABLE</x:v>
      </x:c>
      <x:c r="Q1300" s="35" t="str">
        <x:v>Gemini-3.8-flash/Result/JacksonDatabind_45/result.json</x:v>
      </x:c>
    </x:row>
    <x:row r="1301">
      <x:c r="A1301" s="35" t="str">
        <x:v>gemini</x:v>
      </x:c>
      <x:c r="B1301" s="35" t="str">
        <x:v>JacksonDatabind</x:v>
      </x:c>
      <x:c r="C1301" s="35" t="str">
        <x:v>Round1</x:v>
      </x:c>
      <x:c r="D1301" s="35" t="str">
        <x:v>JacksonDatabind_46</x:v>
      </x:c>
      <x:c r="E1301" s="35" t="str">
        <x:v>Condition</x:v>
      </x:c>
      <x:c r="F1301" s="35"/>
      <x:c r="G1301" s="35" t="str">
        <x:v>A</x:v>
      </x:c>
      <x:c r="H1301" s="39" t="str">
        <x:f>IF(ISNUMBER('Data'!N447),'Data'!N447*100,"")</x:f>
      </x:c>
      <x:c r="I1301" s="35"/>
      <x:c r="J1301" s="35" t="str">
        <x:v>PASS</x:v>
      </x:c>
      <x:c r="K1301" s="35" t="str">
        <x:v>FAIL</x:v>
      </x:c>
      <x:c r="L1301" s="35" t="str">
        <x:v>NOT_RUN</x:v>
      </x:c>
      <x:c r="M1301" s="35" t="str">
        <x:v>coverage unavailable or execution/compile failed</x:v>
      </x:c>
      <x:c r="N1301" s="35" t="str">
        <x:v>Gemini-3.8-flash/Result/JacksonDatabind_46/result.json</x:v>
      </x:c>
      <x:c r="O1301" s="39" t="str">
        <x:f>IF(AND(G1301="RECORDED",ISNUMBER(H1301)),H1301,"")</x:f>
      </x:c>
      <x:c r="P1301" s="35" t="str">
        <x:v>NOT_AVAILABLE</x:v>
      </x:c>
      <x:c r="Q1301" s="35" t="str">
        <x:v>Gemini-3.8-flash/Result/JacksonDatabind_46/result.json</x:v>
      </x:c>
    </x:row>
    <x:row r="1302">
      <x:c r="A1302" s="35" t="str">
        <x:v>gemini</x:v>
      </x:c>
      <x:c r="B1302" s="35" t="str">
        <x:v>JacksonDatabind</x:v>
      </x:c>
      <x:c r="C1302" s="35" t="str">
        <x:v>Round1</x:v>
      </x:c>
      <x:c r="D1302" s="35" t="str">
        <x:v>JacksonDatabind_47</x:v>
      </x:c>
      <x:c r="E1302" s="35" t="str">
        <x:v>Condition</x:v>
      </x:c>
      <x:c r="F1302" s="35" t="n">
        <x:v>44</x:v>
      </x:c>
      <x:c r="G1302" s="35" t="str">
        <x:v>RECORDED</x:v>
      </x:c>
      <x:c r="H1302" s="39" t="n">
        <x:f>IF(ISNUMBER('Data'!N448),'Data'!N448*100,"")</x:f>
        <x:v>0</x:v>
      </x:c>
      <x:c r="I1302" s="35" t="str">
        <x:v>PASS</x:v>
      </x:c>
      <x:c r="J1302" s="35" t="str">
        <x:v>PASS</x:v>
      </x:c>
      <x:c r="K1302" s="35" t="str">
        <x:v>PASS</x:v>
      </x:c>
      <x:c r="L1302" s="35" t="str">
        <x:v>FAIL</x:v>
      </x:c>
      <x:c r="M1302" s="35" t="str">
        <x:v>numeric coverage for applicable metric</x:v>
      </x:c>
      <x:c r="N1302" s="35" t="str">
        <x:v>Gemini-3.8-flash/Result/JacksonDatabind_47/result.json</x:v>
      </x:c>
      <x:c r="O1302" s="39" t="n">
        <x:f>IF(AND(G1302="RECORDED",ISNUMBER(H1302)),H1302,"")</x:f>
        <x:v>0</x:v>
      </x:c>
      <x:c r="P1302" s="35" t="str">
        <x:v>INCONCLUSIVE</x:v>
      </x:c>
      <x:c r="Q1302" s="35" t="str">
        <x:v>Gemini-3.8-flash/Result/JacksonDatabind_47/result.json</x:v>
      </x:c>
    </x:row>
    <x:row r="1303">
      <x:c r="A1303" s="35" t="str">
        <x:v>gemini</x:v>
      </x:c>
      <x:c r="B1303" s="35" t="str">
        <x:v>JacksonDatabind</x:v>
      </x:c>
      <x:c r="C1303" s="35" t="str">
        <x:v>Round1</x:v>
      </x:c>
      <x:c r="D1303" s="35" t="str">
        <x:v>JacksonDatabind_48</x:v>
      </x:c>
      <x:c r="E1303" s="35" t="str">
        <x:v>Condition</x:v>
      </x:c>
      <x:c r="F1303" s="35" t="n">
        <x:v>254</x:v>
      </x:c>
      <x:c r="G1303" s="35" t="str">
        <x:v>RECORDED</x:v>
      </x:c>
      <x:c r="H1303" s="39" t="n">
        <x:f>IF(ISNUMBER('Data'!N449),'Data'!N449*100,"")</x:f>
        <x:v>0</x:v>
      </x:c>
      <x:c r="I1303" s="35" t="str">
        <x:v>PASS</x:v>
      </x:c>
      <x:c r="J1303" s="35" t="str">
        <x:v>PASS</x:v>
      </x:c>
      <x:c r="K1303" s="35" t="str">
        <x:v>PASS</x:v>
      </x:c>
      <x:c r="L1303" s="35" t="str">
        <x:v>PASS</x:v>
      </x:c>
      <x:c r="M1303" s="35" t="str">
        <x:v>numeric coverage for applicable metric</x:v>
      </x:c>
      <x:c r="N1303" s="35" t="str">
        <x:v>Gemini-3.8-flash/Result/JacksonDatabind_48/result.json</x:v>
      </x:c>
      <x:c r="O1303" s="39" t="n">
        <x:f>IF(AND(G1303="RECORDED",ISNUMBER(H1303)),H1303,"")</x:f>
        <x:v>0</x:v>
      </x:c>
      <x:c r="P1303" s="35" t="str">
        <x:v>NOT_REVEALING</x:v>
      </x:c>
      <x:c r="Q1303" s="35" t="str">
        <x:v>Gemini-3.8-flash/Result/JacksonDatabind_48/result.json</x:v>
      </x:c>
    </x:row>
    <x:row r="1304">
      <x:c r="A1304" s="35" t="str">
        <x:v>gemini</x:v>
      </x:c>
      <x:c r="B1304" s="35" t="str">
        <x:v>JacksonDatabind</x:v>
      </x:c>
      <x:c r="C1304" s="35" t="str">
        <x:v>Round1</x:v>
      </x:c>
      <x:c r="D1304" s="35" t="str">
        <x:v>JacksonDatabind_49</x:v>
      </x:c>
      <x:c r="E1304" s="35" t="str">
        <x:v>Condition</x:v>
      </x:c>
      <x:c r="F1304" s="35" t="n">
        <x:v>12</x:v>
      </x:c>
      <x:c r="G1304" s="35" t="str">
        <x:v>RECORDED</x:v>
      </x:c>
      <x:c r="H1304" s="39" t="n">
        <x:f>IF(ISNUMBER('Data'!N450),'Data'!N450*100,"")</x:f>
        <x:v>100</x:v>
      </x:c>
      <x:c r="I1304" s="35" t="str">
        <x:v>PASS</x:v>
      </x:c>
      <x:c r="J1304" s="35" t="str">
        <x:v>PASS</x:v>
      </x:c>
      <x:c r="K1304" s="35" t="str">
        <x:v>PASS</x:v>
      </x:c>
      <x:c r="L1304" s="35" t="str">
        <x:v>PASS</x:v>
      </x:c>
      <x:c r="M1304" s="35" t="str">
        <x:v>numeric coverage for applicable metric</x:v>
      </x:c>
      <x:c r="N1304" s="35" t="str">
        <x:v>Gemini-3.8-flash/Result/JacksonDatabind_49/result.json</x:v>
      </x:c>
      <x:c r="O1304" s="39" t="n">
        <x:f>IF(AND(G1304="RECORDED",ISNUMBER(H1304)),H1304,"")</x:f>
        <x:v>100</x:v>
      </x:c>
      <x:c r="P1304" s="35" t="str">
        <x:v>NOT_REVEALING</x:v>
      </x:c>
      <x:c r="Q1304" s="35" t="str">
        <x:v>Gemini-3.8-flash/Result/JacksonDatabind_49/result.json</x:v>
      </x:c>
    </x:row>
    <x:row r="1305">
      <x:c r="A1305" s="35" t="str">
        <x:v>gemini</x:v>
      </x:c>
      <x:c r="B1305" s="35" t="str">
        <x:v>JacksonDatabind</x:v>
      </x:c>
      <x:c r="C1305" s="35" t="str">
        <x:v>Round1</x:v>
      </x:c>
      <x:c r="D1305" s="35" t="str">
        <x:v>JacksonDatabind_5</x:v>
      </x:c>
      <x:c r="E1305" s="35" t="str">
        <x:v>Condition</x:v>
      </x:c>
      <x:c r="F1305" s="35" t="n">
        <x:v>272</x:v>
      </x:c>
      <x:c r="G1305" s="35" t="str">
        <x:v>RECORDED</x:v>
      </x:c>
      <x:c r="H1305" s="39" t="n">
        <x:f>IF(ISNUMBER('Data'!N451),'Data'!N451*100,"")</x:f>
        <x:v>0</x:v>
      </x:c>
      <x:c r="I1305" s="35" t="str">
        <x:v>PASS</x:v>
      </x:c>
      <x:c r="J1305" s="35" t="str">
        <x:v>PASS</x:v>
      </x:c>
      <x:c r="K1305" s="35" t="str">
        <x:v>PASS</x:v>
      </x:c>
      <x:c r="L1305" s="35" t="str">
        <x:v>PASS</x:v>
      </x:c>
      <x:c r="M1305" s="35" t="str">
        <x:v>numeric coverage for applicable metric</x:v>
      </x:c>
      <x:c r="N1305" s="35" t="str">
        <x:v>Gemini-3.8-flash/Result/JacksonDatabind_5/result.json</x:v>
      </x:c>
      <x:c r="O1305" s="39" t="n">
        <x:f>IF(AND(G1305="RECORDED",ISNUMBER(H1305)),H1305,"")</x:f>
        <x:v>0</x:v>
      </x:c>
      <x:c r="P1305" s="35" t="str">
        <x:v>NOT_REVEALING</x:v>
      </x:c>
      <x:c r="Q1305" s="35" t="str">
        <x:v>Gemini-3.8-flash/Result/JacksonDatabind_5/result.json</x:v>
      </x:c>
    </x:row>
    <x:row r="1306">
      <x:c r="A1306" s="35" t="str">
        <x:v>gemini</x:v>
      </x:c>
      <x:c r="B1306" s="35" t="str">
        <x:v>JacksonDatabind</x:v>
      </x:c>
      <x:c r="C1306" s="35" t="str">
        <x:v>Round1</x:v>
      </x:c>
      <x:c r="D1306" s="35" t="str">
        <x:v>JacksonDatabind_50</x:v>
      </x:c>
      <x:c r="E1306" s="35" t="str">
        <x:v>Condition</x:v>
      </x:c>
      <x:c r="F1306" s="35"/>
      <x:c r="G1306" s="35" t="str">
        <x:v>A</x:v>
      </x:c>
      <x:c r="H1306" s="39" t="str">
        <x:f>IF(ISNUMBER('Data'!N452),'Data'!N452*100,"")</x:f>
      </x:c>
      <x:c r="I1306" s="35"/>
      <x:c r="J1306" s="35" t="str">
        <x:v>PASS</x:v>
      </x:c>
      <x:c r="K1306" s="35" t="str">
        <x:v>FAIL</x:v>
      </x:c>
      <x:c r="L1306" s="35" t="str">
        <x:v>NOT_RUN</x:v>
      </x:c>
      <x:c r="M1306" s="35" t="str">
        <x:v>coverage unavailable or execution/compile failed</x:v>
      </x:c>
      <x:c r="N1306" s="35" t="str">
        <x:v>Gemini-3.8-flash/Result/JacksonDatabind_50/result.json</x:v>
      </x:c>
      <x:c r="O1306" s="39" t="str">
        <x:f>IF(AND(G1306="RECORDED",ISNUMBER(H1306)),H1306,"")</x:f>
      </x:c>
      <x:c r="P1306" s="35" t="str">
        <x:v>NOT_AVAILABLE</x:v>
      </x:c>
      <x:c r="Q1306" s="35" t="str">
        <x:v>Gemini-3.8-flash/Result/JacksonDatabind_50/result.json</x:v>
      </x:c>
    </x:row>
    <x:row r="1307">
      <x:c r="A1307" s="35" t="str">
        <x:v>gemini</x:v>
      </x:c>
      <x:c r="B1307" s="35" t="str">
        <x:v>JacksonDatabind</x:v>
      </x:c>
      <x:c r="C1307" s="35" t="str">
        <x:v>Round1</x:v>
      </x:c>
      <x:c r="D1307" s="35" t="str">
        <x:v>JacksonDatabind_51</x:v>
      </x:c>
      <x:c r="E1307" s="35" t="str">
        <x:v>Condition</x:v>
      </x:c>
      <x:c r="F1307" s="35" t="n">
        <x:v>34</x:v>
      </x:c>
      <x:c r="G1307" s="35" t="str">
        <x:v>RECORDED</x:v>
      </x:c>
      <x:c r="H1307" s="39" t="n">
        <x:f>IF(ISNUMBER('Data'!N453),'Data'!N453*100,"")</x:f>
        <x:v>0</x:v>
      </x:c>
      <x:c r="I1307" s="35" t="str">
        <x:v>PASS</x:v>
      </x:c>
      <x:c r="J1307" s="35" t="str">
        <x:v>PASS</x:v>
      </x:c>
      <x:c r="K1307" s="35" t="str">
        <x:v>PASS</x:v>
      </x:c>
      <x:c r="L1307" s="35" t="str">
        <x:v>PASS</x:v>
      </x:c>
      <x:c r="M1307" s="35" t="str">
        <x:v>numeric coverage for applicable metric</x:v>
      </x:c>
      <x:c r="N1307" s="35" t="str">
        <x:v>Gemini-3.8-flash/Result/JacksonDatabind_51/result.json</x:v>
      </x:c>
      <x:c r="O1307" s="39" t="n">
        <x:f>IF(AND(G1307="RECORDED",ISNUMBER(H1307)),H1307,"")</x:f>
        <x:v>0</x:v>
      </x:c>
      <x:c r="P1307" s="35" t="str">
        <x:v>NOT_REVEALING</x:v>
      </x:c>
      <x:c r="Q1307" s="35" t="str">
        <x:v>Gemini-3.8-flash/Result/JacksonDatabind_51/result.json</x:v>
      </x:c>
    </x:row>
    <x:row r="1308">
      <x:c r="A1308" s="35" t="str">
        <x:v>gemini</x:v>
      </x:c>
      <x:c r="B1308" s="35" t="str">
        <x:v>JacksonDatabind</x:v>
      </x:c>
      <x:c r="C1308" s="35" t="str">
        <x:v>Round1</x:v>
      </x:c>
      <x:c r="D1308" s="35" t="str">
        <x:v>JacksonDatabind_52</x:v>
      </x:c>
      <x:c r="E1308" s="35" t="str">
        <x:v>Condition</x:v>
      </x:c>
      <x:c r="F1308" s="35" t="n">
        <x:v>435</x:v>
      </x:c>
      <x:c r="G1308" s="35" t="str">
        <x:v>RECORDED</x:v>
      </x:c>
      <x:c r="H1308" s="39" t="n">
        <x:f>IF(ISNUMBER('Data'!N454),'Data'!N454*100,"")</x:f>
        <x:v>0</x:v>
      </x:c>
      <x:c r="I1308" s="35" t="str">
        <x:v>PASS</x:v>
      </x:c>
      <x:c r="J1308" s="35" t="str">
        <x:v>PASS</x:v>
      </x:c>
      <x:c r="K1308" s="35" t="str">
        <x:v>PASS</x:v>
      </x:c>
      <x:c r="L1308" s="35" t="str">
        <x:v>FAIL</x:v>
      </x:c>
      <x:c r="M1308" s="35" t="str">
        <x:v>numeric coverage for applicable metric</x:v>
      </x:c>
      <x:c r="N1308" s="35" t="str">
        <x:v>Gemini-3.8-flash/Result/JacksonDatabind_52/result.json</x:v>
      </x:c>
      <x:c r="O1308" s="39" t="n">
        <x:f>IF(AND(G1308="RECORDED",ISNUMBER(H1308)),H1308,"")</x:f>
        <x:v>0</x:v>
      </x:c>
      <x:c r="P1308" s="35" t="str">
        <x:v>INCONCLUSIVE</x:v>
      </x:c>
      <x:c r="Q1308" s="35" t="str">
        <x:v>Gemini-3.8-flash/Result/JacksonDatabind_52/result.json</x:v>
      </x:c>
    </x:row>
    <x:row r="1309">
      <x:c r="A1309" s="35" t="str">
        <x:v>gemini</x:v>
      </x:c>
      <x:c r="B1309" s="35" t="str">
        <x:v>JacksonDatabind</x:v>
      </x:c>
      <x:c r="C1309" s="35" t="str">
        <x:v>Round1</x:v>
      </x:c>
      <x:c r="D1309" s="35" t="str">
        <x:v>JacksonDatabind_53</x:v>
      </x:c>
      <x:c r="E1309" s="35" t="str">
        <x:v>Condition</x:v>
      </x:c>
      <x:c r="F1309" s="35" t="n">
        <x:v>346</x:v>
      </x:c>
      <x:c r="G1309" s="35" t="str">
        <x:v>RECORDED</x:v>
      </x:c>
      <x:c r="H1309" s="39" t="n">
        <x:f>IF(ISNUMBER('Data'!N455),'Data'!N455*100,"")</x:f>
        <x:v>1.16</x:v>
      </x:c>
      <x:c r="I1309" s="35" t="str">
        <x:v>PASS</x:v>
      </x:c>
      <x:c r="J1309" s="35" t="str">
        <x:v>PASS</x:v>
      </x:c>
      <x:c r="K1309" s="35" t="str">
        <x:v>PASS</x:v>
      </x:c>
      <x:c r="L1309" s="35" t="str">
        <x:v>PASS</x:v>
      </x:c>
      <x:c r="M1309" s="35" t="str">
        <x:v>numeric coverage for applicable metric</x:v>
      </x:c>
      <x:c r="N1309" s="35" t="str">
        <x:v>Gemini-3.8-flash/Result/JacksonDatabind_53/result.json</x:v>
      </x:c>
      <x:c r="O1309" s="39" t="n">
        <x:f>IF(AND(G1309="RECORDED",ISNUMBER(H1309)),H1309,"")</x:f>
        <x:v>1.16</x:v>
      </x:c>
      <x:c r="P1309" s="35" t="str">
        <x:v>NOT_REVEALING</x:v>
      </x:c>
      <x:c r="Q1309" s="35" t="str">
        <x:v>Gemini-3.8-flash/Result/JacksonDatabind_53/result.json</x:v>
      </x:c>
    </x:row>
    <x:row r="1310">
      <x:c r="A1310" s="35" t="str">
        <x:v>gemini</x:v>
      </x:c>
      <x:c r="B1310" s="35" t="str">
        <x:v>JacksonDatabind</x:v>
      </x:c>
      <x:c r="C1310" s="35" t="str">
        <x:v>Round1</x:v>
      </x:c>
      <x:c r="D1310" s="35" t="str">
        <x:v>JacksonDatabind_54</x:v>
      </x:c>
      <x:c r="E1310" s="35" t="str">
        <x:v>Condition</x:v>
      </x:c>
      <x:c r="F1310" s="35" t="n">
        <x:v>67</x:v>
      </x:c>
      <x:c r="G1310" s="35" t="str">
        <x:v>RECORDED</x:v>
      </x:c>
      <x:c r="H1310" s="39" t="n">
        <x:f>IF(ISNUMBER('Data'!N456),'Data'!N456*100,"")</x:f>
        <x:v>0</x:v>
      </x:c>
      <x:c r="I1310" s="35" t="str">
        <x:v>PASS</x:v>
      </x:c>
      <x:c r="J1310" s="35" t="str">
        <x:v>PASS</x:v>
      </x:c>
      <x:c r="K1310" s="35" t="str">
        <x:v>PASS</x:v>
      </x:c>
      <x:c r="L1310" s="35" t="str">
        <x:v>PASS</x:v>
      </x:c>
      <x:c r="M1310" s="35" t="str">
        <x:v>numeric coverage for applicable metric</x:v>
      </x:c>
      <x:c r="N1310" s="35" t="str">
        <x:v>Gemini-3.8-flash/Result/JacksonDatabind_54/result.json</x:v>
      </x:c>
      <x:c r="O1310" s="39" t="n">
        <x:f>IF(AND(G1310="RECORDED",ISNUMBER(H1310)),H1310,"")</x:f>
        <x:v>0</x:v>
      </x:c>
      <x:c r="P1310" s="35" t="str">
        <x:v>NOT_REVEALING</x:v>
      </x:c>
      <x:c r="Q1310" s="35" t="str">
        <x:v>Gemini-3.8-flash/Result/JacksonDatabind_54/result.json</x:v>
      </x:c>
    </x:row>
    <x:row r="1311">
      <x:c r="A1311" s="35" t="str">
        <x:v>gemini</x:v>
      </x:c>
      <x:c r="B1311" s="35" t="str">
        <x:v>JacksonDatabind</x:v>
      </x:c>
      <x:c r="C1311" s="35" t="str">
        <x:v>Round1</x:v>
      </x:c>
      <x:c r="D1311" s="35" t="str">
        <x:v>JacksonDatabind_55</x:v>
      </x:c>
      <x:c r="E1311" s="35" t="str">
        <x:v>Condition</x:v>
      </x:c>
      <x:c r="F1311" s="35" t="n">
        <x:v>37</x:v>
      </x:c>
      <x:c r="G1311" s="35" t="str">
        <x:v>RECORDED</x:v>
      </x:c>
      <x:c r="H1311" s="39" t="n">
        <x:f>IF(ISNUMBER('Data'!N457),'Data'!N457*100,"")</x:f>
        <x:v>0</x:v>
      </x:c>
      <x:c r="I1311" s="35" t="str">
        <x:v>PASS</x:v>
      </x:c>
      <x:c r="J1311" s="35" t="str">
        <x:v>PASS</x:v>
      </x:c>
      <x:c r="K1311" s="35" t="str">
        <x:v>PASS</x:v>
      </x:c>
      <x:c r="L1311" s="35" t="str">
        <x:v>FAIL</x:v>
      </x:c>
      <x:c r="M1311" s="35" t="str">
        <x:v>numeric coverage for applicable metric</x:v>
      </x:c>
      <x:c r="N1311" s="35" t="str">
        <x:v>Gemini-3.8-flash/Result/JacksonDatabind_55/result.json</x:v>
      </x:c>
      <x:c r="O1311" s="39" t="n">
        <x:f>IF(AND(G1311="RECORDED",ISNUMBER(H1311)),H1311,"")</x:f>
        <x:v>0</x:v>
      </x:c>
      <x:c r="P1311" s="35" t="str">
        <x:v>INCONCLUSIVE</x:v>
      </x:c>
      <x:c r="Q1311" s="35" t="str">
        <x:v>Gemini-3.8-flash/Result/JacksonDatabind_55/result.json</x:v>
      </x:c>
    </x:row>
    <x:row r="1312">
      <x:c r="A1312" s="35" t="str">
        <x:v>gemini</x:v>
      </x:c>
      <x:c r="B1312" s="35" t="str">
        <x:v>JacksonDatabind</x:v>
      </x:c>
      <x:c r="C1312" s="35" t="str">
        <x:v>Round1</x:v>
      </x:c>
      <x:c r="D1312" s="35" t="str">
        <x:v>JacksonDatabind_56</x:v>
      </x:c>
      <x:c r="E1312" s="35" t="str">
        <x:v>Condition</x:v>
      </x:c>
      <x:c r="F1312" s="35" t="n">
        <x:v>81</x:v>
      </x:c>
      <x:c r="G1312" s="35" t="str">
        <x:v>RECORDED</x:v>
      </x:c>
      <x:c r="H1312" s="39" t="n">
        <x:f>IF(ISNUMBER('Data'!N458),'Data'!N458*100,"")</x:f>
        <x:v>0</x:v>
      </x:c>
      <x:c r="I1312" s="35" t="str">
        <x:v>PASS</x:v>
      </x:c>
      <x:c r="J1312" s="35" t="str">
        <x:v>PASS</x:v>
      </x:c>
      <x:c r="K1312" s="35" t="str">
        <x:v>PASS</x:v>
      </x:c>
      <x:c r="L1312" s="35" t="str">
        <x:v>PASS</x:v>
      </x:c>
      <x:c r="M1312" s="35" t="str">
        <x:v>numeric coverage for applicable metric</x:v>
      </x:c>
      <x:c r="N1312" s="35" t="str">
        <x:v>Gemini-3.8-flash/Result/JacksonDatabind_56/result.json</x:v>
      </x:c>
      <x:c r="O1312" s="39" t="n">
        <x:f>IF(AND(G1312="RECORDED",ISNUMBER(H1312)),H1312,"")</x:f>
        <x:v>0</x:v>
      </x:c>
      <x:c r="P1312" s="35" t="str">
        <x:v>NOT_REVEALING</x:v>
      </x:c>
      <x:c r="Q1312" s="35" t="str">
        <x:v>Gemini-3.8-flash/Result/JacksonDatabind_56/result.json</x:v>
      </x:c>
    </x:row>
    <x:row r="1313">
      <x:c r="A1313" s="35" t="str">
        <x:v>gemini</x:v>
      </x:c>
      <x:c r="B1313" s="35" t="str">
        <x:v>JacksonDatabind</x:v>
      </x:c>
      <x:c r="C1313" s="35" t="str">
        <x:v>Round1</x:v>
      </x:c>
      <x:c r="D1313" s="35" t="str">
        <x:v>JacksonDatabind_57</x:v>
      </x:c>
      <x:c r="E1313" s="35" t="str">
        <x:v>Condition</x:v>
      </x:c>
      <x:c r="F1313" s="35" t="n">
        <x:v>156</x:v>
      </x:c>
      <x:c r="G1313" s="35" t="str">
        <x:v>RECORDED</x:v>
      </x:c>
      <x:c r="H1313" s="39" t="n">
        <x:f>IF(ISNUMBER('Data'!N459),'Data'!N459*100,"")</x:f>
        <x:v>0</x:v>
      </x:c>
      <x:c r="I1313" s="35" t="str">
        <x:v>PASS</x:v>
      </x:c>
      <x:c r="J1313" s="35" t="str">
        <x:v>PASS</x:v>
      </x:c>
      <x:c r="K1313" s="35" t="str">
        <x:v>PASS</x:v>
      </x:c>
      <x:c r="L1313" s="35" t="str">
        <x:v>PASS</x:v>
      </x:c>
      <x:c r="M1313" s="35" t="str">
        <x:v>numeric coverage for applicable metric</x:v>
      </x:c>
      <x:c r="N1313" s="35" t="str">
        <x:v>Gemini-3.8-flash/Result/JacksonDatabind_57/result.json</x:v>
      </x:c>
      <x:c r="O1313" s="39" t="n">
        <x:f>IF(AND(G1313="RECORDED",ISNUMBER(H1313)),H1313,"")</x:f>
        <x:v>0</x:v>
      </x:c>
      <x:c r="P1313" s="35" t="str">
        <x:v>NOT_REVEALING</x:v>
      </x:c>
      <x:c r="Q1313" s="35" t="str">
        <x:v>Gemini-3.8-flash/Result/JacksonDatabind_57/result.json</x:v>
      </x:c>
    </x:row>
    <x:row r="1314">
      <x:c r="A1314" s="35" t="str">
        <x:v>gemini</x:v>
      </x:c>
      <x:c r="B1314" s="35" t="str">
        <x:v>JacksonDatabind</x:v>
      </x:c>
      <x:c r="C1314" s="35" t="str">
        <x:v>Round1</x:v>
      </x:c>
      <x:c r="D1314" s="35" t="str">
        <x:v>JacksonDatabind_58</x:v>
      </x:c>
      <x:c r="E1314" s="35" t="str">
        <x:v>Condition</x:v>
      </x:c>
      <x:c r="F1314" s="35"/>
      <x:c r="G1314" s="35" t="str">
        <x:v>A</x:v>
      </x:c>
      <x:c r="H1314" s="39" t="str">
        <x:f>IF(ISNUMBER('Data'!N460),'Data'!N460*100,"")</x:f>
      </x:c>
      <x:c r="I1314" s="35"/>
      <x:c r="J1314" s="35" t="str">
        <x:v>PASS</x:v>
      </x:c>
      <x:c r="K1314" s="35" t="str">
        <x:v>FAIL</x:v>
      </x:c>
      <x:c r="L1314" s="35" t="str">
        <x:v>NOT_RUN</x:v>
      </x:c>
      <x:c r="M1314" s="35" t="str">
        <x:v>coverage unavailable or execution/compile failed</x:v>
      </x:c>
      <x:c r="N1314" s="35" t="str">
        <x:v>Gemini-3.8-flash/Result/JacksonDatabind_58/result.json</x:v>
      </x:c>
      <x:c r="O1314" s="39" t="str">
        <x:f>IF(AND(G1314="RECORDED",ISNUMBER(H1314)),H1314,"")</x:f>
      </x:c>
      <x:c r="P1314" s="35" t="str">
        <x:v>NOT_AVAILABLE</x:v>
      </x:c>
      <x:c r="Q1314" s="35" t="str">
        <x:v>Gemini-3.8-flash/Result/JacksonDatabind_58/result.json</x:v>
      </x:c>
    </x:row>
    <x:row r="1315">
      <x:c r="A1315" s="35" t="str">
        <x:v>gemini</x:v>
      </x:c>
      <x:c r="B1315" s="35" t="str">
        <x:v>JacksonDatabind</x:v>
      </x:c>
      <x:c r="C1315" s="35" t="str">
        <x:v>Round1</x:v>
      </x:c>
      <x:c r="D1315" s="35" t="str">
        <x:v>JacksonDatabind_59</x:v>
      </x:c>
      <x:c r="E1315" s="35" t="str">
        <x:v>Condition</x:v>
      </x:c>
      <x:c r="F1315" s="35" t="n">
        <x:v>313</x:v>
      </x:c>
      <x:c r="G1315" s="35" t="str">
        <x:v>RECORDED</x:v>
      </x:c>
      <x:c r="H1315" s="39" t="n">
        <x:f>IF(ISNUMBER('Data'!N461),'Data'!N461*100,"")</x:f>
        <x:v>0.32</x:v>
      </x:c>
      <x:c r="I1315" s="35" t="str">
        <x:v>PASS</x:v>
      </x:c>
      <x:c r="J1315" s="35" t="str">
        <x:v>PASS</x:v>
      </x:c>
      <x:c r="K1315" s="35" t="str">
        <x:v>PASS</x:v>
      </x:c>
      <x:c r="L1315" s="35" t="str">
        <x:v>PASS</x:v>
      </x:c>
      <x:c r="M1315" s="35" t="str">
        <x:v>numeric coverage for applicable metric</x:v>
      </x:c>
      <x:c r="N1315" s="35" t="str">
        <x:v>Gemini-3.8-flash/Result/JacksonDatabind_59/result.json</x:v>
      </x:c>
      <x:c r="O1315" s="39" t="n">
        <x:f>IF(AND(G1315="RECORDED",ISNUMBER(H1315)),H1315,"")</x:f>
        <x:v>0.32</x:v>
      </x:c>
      <x:c r="P1315" s="35" t="str">
        <x:v>NOT_REVEALING</x:v>
      </x:c>
      <x:c r="Q1315" s="35" t="str">
        <x:v>Gemini-3.8-flash/Result/JacksonDatabind_59/result.json</x:v>
      </x:c>
    </x:row>
    <x:row r="1316">
      <x:c r="A1316" s="35" t="str">
        <x:v>gemini</x:v>
      </x:c>
      <x:c r="B1316" s="35" t="str">
        <x:v>JacksonDatabind</x:v>
      </x:c>
      <x:c r="C1316" s="35" t="str">
        <x:v>Round1</x:v>
      </x:c>
      <x:c r="D1316" s="35" t="str">
        <x:v>JacksonDatabind_6</x:v>
      </x:c>
      <x:c r="E1316" s="35" t="str">
        <x:v>Condition</x:v>
      </x:c>
      <x:c r="F1316" s="35" t="n">
        <x:v>94</x:v>
      </x:c>
      <x:c r="G1316" s="35" t="str">
        <x:v>RECORDED</x:v>
      </x:c>
      <x:c r="H1316" s="39" t="n">
        <x:f>IF(ISNUMBER('Data'!N462),'Data'!N462*100,"")</x:f>
        <x:v>0</x:v>
      </x:c>
      <x:c r="I1316" s="35" t="str">
        <x:v>PASS</x:v>
      </x:c>
      <x:c r="J1316" s="35" t="str">
        <x:v>PASS</x:v>
      </x:c>
      <x:c r="K1316" s="35" t="str">
        <x:v>PASS</x:v>
      </x:c>
      <x:c r="L1316" s="35" t="str">
        <x:v>PASS</x:v>
      </x:c>
      <x:c r="M1316" s="35" t="str">
        <x:v>numeric coverage for applicable metric</x:v>
      </x:c>
      <x:c r="N1316" s="35" t="str">
        <x:v>Gemini-3.8-flash/Result/JacksonDatabind_6/result.json</x:v>
      </x:c>
      <x:c r="O1316" s="39" t="n">
        <x:f>IF(AND(G1316="RECORDED",ISNUMBER(H1316)),H1316,"")</x:f>
        <x:v>0</x:v>
      </x:c>
      <x:c r="P1316" s="35" t="str">
        <x:v>NOT_REVEALING</x:v>
      </x:c>
      <x:c r="Q1316" s="35" t="str">
        <x:v>Gemini-3.8-flash/Result/JacksonDatabind_6/result.json</x:v>
      </x:c>
    </x:row>
    <x:row r="1317">
      <x:c r="A1317" s="35" t="str">
        <x:v>gemini</x:v>
      </x:c>
      <x:c r="B1317" s="35" t="str">
        <x:v>JacksonDatabind</x:v>
      </x:c>
      <x:c r="C1317" s="35" t="str">
        <x:v>Round1</x:v>
      </x:c>
      <x:c r="D1317" s="35" t="str">
        <x:v>JacksonDatabind_60</x:v>
      </x:c>
      <x:c r="E1317" s="35" t="str">
        <x:v>Condition</x:v>
      </x:c>
      <x:c r="F1317" s="35" t="n">
        <x:v>74</x:v>
      </x:c>
      <x:c r="G1317" s="35" t="str">
        <x:v>RECORDED</x:v>
      </x:c>
      <x:c r="H1317" s="39" t="n">
        <x:f>IF(ISNUMBER('Data'!N463),'Data'!N463*100,"")</x:f>
        <x:v>0</x:v>
      </x:c>
      <x:c r="I1317" s="35" t="str">
        <x:v>PASS</x:v>
      </x:c>
      <x:c r="J1317" s="35" t="str">
        <x:v>PASS</x:v>
      </x:c>
      <x:c r="K1317" s="35" t="str">
        <x:v>PASS</x:v>
      </x:c>
      <x:c r="L1317" s="35" t="str">
        <x:v>PASS</x:v>
      </x:c>
      <x:c r="M1317" s="35" t="str">
        <x:v>numeric coverage for applicable metric</x:v>
      </x:c>
      <x:c r="N1317" s="35" t="str">
        <x:v>Gemini-3.8-flash/Result/JacksonDatabind_60/result.json</x:v>
      </x:c>
      <x:c r="O1317" s="39" t="n">
        <x:f>IF(AND(G1317="RECORDED",ISNUMBER(H1317)),H1317,"")</x:f>
        <x:v>0</x:v>
      </x:c>
      <x:c r="P1317" s="35" t="str">
        <x:v>NOT_REVEALING</x:v>
      </x:c>
      <x:c r="Q1317" s="35" t="str">
        <x:v>Gemini-3.8-flash/Result/JacksonDatabind_60/result.json</x:v>
      </x:c>
    </x:row>
    <x:row r="1318">
      <x:c r="A1318" s="35" t="str">
        <x:v>gemini</x:v>
      </x:c>
      <x:c r="B1318" s="35" t="str">
        <x:v>JacksonDatabind</x:v>
      </x:c>
      <x:c r="C1318" s="35" t="str">
        <x:v>Round1</x:v>
      </x:c>
      <x:c r="D1318" s="35" t="str">
        <x:v>JacksonDatabind_61</x:v>
      </x:c>
      <x:c r="E1318" s="35" t="str">
        <x:v>Condition</x:v>
      </x:c>
      <x:c r="F1318" s="35" t="n">
        <x:v>242</x:v>
      </x:c>
      <x:c r="G1318" s="35" t="str">
        <x:v>RECORDED</x:v>
      </x:c>
      <x:c r="H1318" s="39" t="n">
        <x:f>IF(ISNUMBER('Data'!N464),'Data'!N464*100,"")</x:f>
        <x:v>0</x:v>
      </x:c>
      <x:c r="I1318" s="35" t="str">
        <x:v>PASS</x:v>
      </x:c>
      <x:c r="J1318" s="35" t="str">
        <x:v>PASS</x:v>
      </x:c>
      <x:c r="K1318" s="35" t="str">
        <x:v>PASS</x:v>
      </x:c>
      <x:c r="L1318" s="35" t="str">
        <x:v>FAIL</x:v>
      </x:c>
      <x:c r="M1318" s="35" t="str">
        <x:v>numeric coverage for applicable metric</x:v>
      </x:c>
      <x:c r="N1318" s="35" t="str">
        <x:v>Gemini-3.8-flash/Result/JacksonDatabind_61/result.json</x:v>
      </x:c>
      <x:c r="O1318" s="39" t="n">
        <x:f>IF(AND(G1318="RECORDED",ISNUMBER(H1318)),H1318,"")</x:f>
        <x:v>0</x:v>
      </x:c>
      <x:c r="P1318" s="35" t="str">
        <x:v>INCONCLUSIVE</x:v>
      </x:c>
      <x:c r="Q1318" s="35" t="str">
        <x:v>Gemini-3.8-flash/Result/JacksonDatabind_61/result.json</x:v>
      </x:c>
    </x:row>
    <x:row r="1319">
      <x:c r="A1319" s="35" t="str">
        <x:v>gemini</x:v>
      </x:c>
      <x:c r="B1319" s="35" t="str">
        <x:v>JacksonDatabind</x:v>
      </x:c>
      <x:c r="C1319" s="35" t="str">
        <x:v>Round1</x:v>
      </x:c>
      <x:c r="D1319" s="35" t="str">
        <x:v>JacksonDatabind_62</x:v>
      </x:c>
      <x:c r="E1319" s="35" t="str">
        <x:v>Condition</x:v>
      </x:c>
      <x:c r="F1319" s="35" t="n">
        <x:v>70</x:v>
      </x:c>
      <x:c r="G1319" s="35" t="str">
        <x:v>RECORDED</x:v>
      </x:c>
      <x:c r="H1319" s="39" t="n">
        <x:f>IF(ISNUMBER('Data'!N465),'Data'!N465*100,"")</x:f>
        <x:v>0</x:v>
      </x:c>
      <x:c r="I1319" s="35" t="str">
        <x:v>PASS</x:v>
      </x:c>
      <x:c r="J1319" s="35" t="str">
        <x:v>PASS</x:v>
      </x:c>
      <x:c r="K1319" s="35" t="str">
        <x:v>PASS</x:v>
      </x:c>
      <x:c r="L1319" s="35" t="str">
        <x:v>FAIL</x:v>
      </x:c>
      <x:c r="M1319" s="35" t="str">
        <x:v>numeric coverage for applicable metric</x:v>
      </x:c>
      <x:c r="N1319" s="35" t="str">
        <x:v>Gemini-3.8-flash/Result/JacksonDatabind_62/result.json</x:v>
      </x:c>
      <x:c r="O1319" s="39" t="n">
        <x:f>IF(AND(G1319="RECORDED",ISNUMBER(H1319)),H1319,"")</x:f>
        <x:v>0</x:v>
      </x:c>
      <x:c r="P1319" s="35" t="str">
        <x:v>INCONCLUSIVE</x:v>
      </x:c>
      <x:c r="Q1319" s="35" t="str">
        <x:v>Gemini-3.8-flash/Result/JacksonDatabind_62/result.json</x:v>
      </x:c>
    </x:row>
    <x:row r="1320">
      <x:c r="A1320" s="35" t="str">
        <x:v>gemini</x:v>
      </x:c>
      <x:c r="B1320" s="35" t="str">
        <x:v>JacksonDatabind</x:v>
      </x:c>
      <x:c r="C1320" s="35" t="str">
        <x:v>Round1</x:v>
      </x:c>
      <x:c r="D1320" s="35" t="str">
        <x:v>JacksonDatabind_63</x:v>
      </x:c>
      <x:c r="E1320" s="35" t="str">
        <x:v>Condition</x:v>
      </x:c>
      <x:c r="F1320" s="35"/>
      <x:c r="G1320" s="35" t="str">
        <x:v>A</x:v>
      </x:c>
      <x:c r="H1320" s="39" t="str">
        <x:f>IF(ISNUMBER('Data'!N466),'Data'!N466*100,"")</x:f>
      </x:c>
      <x:c r="I1320" s="35"/>
      <x:c r="J1320" s="35" t="str">
        <x:v>PASS</x:v>
      </x:c>
      <x:c r="K1320" s="35" t="str">
        <x:v>FAIL</x:v>
      </x:c>
      <x:c r="L1320" s="35" t="str">
        <x:v>NOT_RUN</x:v>
      </x:c>
      <x:c r="M1320" s="35" t="str">
        <x:v>coverage unavailable or execution/compile failed</x:v>
      </x:c>
      <x:c r="N1320" s="35" t="str">
        <x:v>Gemini-3.8-flash/Result/JacksonDatabind_63/result.json</x:v>
      </x:c>
      <x:c r="O1320" s="39" t="str">
        <x:f>IF(AND(G1320="RECORDED",ISNUMBER(H1320)),H1320,"")</x:f>
      </x:c>
      <x:c r="P1320" s="35" t="str">
        <x:v>NOT_AVAILABLE</x:v>
      </x:c>
      <x:c r="Q1320" s="35" t="str">
        <x:v>Gemini-3.8-flash/Result/JacksonDatabind_63/result.json</x:v>
      </x:c>
    </x:row>
    <x:row r="1321">
      <x:c r="A1321" s="35" t="str">
        <x:v>gemini</x:v>
      </x:c>
      <x:c r="B1321" s="35" t="str">
        <x:v>JacksonDatabind</x:v>
      </x:c>
      <x:c r="C1321" s="35" t="str">
        <x:v>Round1</x:v>
      </x:c>
      <x:c r="D1321" s="35" t="str">
        <x:v>JacksonDatabind_64</x:v>
      </x:c>
      <x:c r="E1321" s="35" t="str">
        <x:v>Condition</x:v>
      </x:c>
      <x:c r="F1321" s="35" t="n">
        <x:v>71</x:v>
      </x:c>
      <x:c r="G1321" s="35" t="str">
        <x:v>RECORDED</x:v>
      </x:c>
      <x:c r="H1321" s="39" t="n">
        <x:f>IF(ISNUMBER('Data'!N467),'Data'!N467*100,"")</x:f>
        <x:v>0</x:v>
      </x:c>
      <x:c r="I1321" s="35" t="str">
        <x:v>PASS</x:v>
      </x:c>
      <x:c r="J1321" s="35" t="str">
        <x:v>PASS</x:v>
      </x:c>
      <x:c r="K1321" s="35" t="str">
        <x:v>PASS</x:v>
      </x:c>
      <x:c r="L1321" s="35" t="str">
        <x:v>PASS</x:v>
      </x:c>
      <x:c r="M1321" s="35" t="str">
        <x:v>numeric coverage for applicable metric</x:v>
      </x:c>
      <x:c r="N1321" s="35" t="str">
        <x:v>Gemini-3.8-flash/Result/JacksonDatabind_64/result.json</x:v>
      </x:c>
      <x:c r="O1321" s="39" t="n">
        <x:f>IF(AND(G1321="RECORDED",ISNUMBER(H1321)),H1321,"")</x:f>
        <x:v>0</x:v>
      </x:c>
      <x:c r="P1321" s="35" t="str">
        <x:v>NOT_REVEALING</x:v>
      </x:c>
      <x:c r="Q1321" s="35" t="str">
        <x:v>Gemini-3.8-flash/Result/JacksonDatabind_64/result.json</x:v>
      </x:c>
    </x:row>
    <x:row r="1322">
      <x:c r="A1322" s="35" t="str">
        <x:v>gemini</x:v>
      </x:c>
      <x:c r="B1322" s="35" t="str">
        <x:v>JacksonDatabind</x:v>
      </x:c>
      <x:c r="C1322" s="35" t="str">
        <x:v>Round1</x:v>
      </x:c>
      <x:c r="D1322" s="35" t="str">
        <x:v>JacksonDatabind_66</x:v>
      </x:c>
      <x:c r="E1322" s="35" t="str">
        <x:v>Condition</x:v>
      </x:c>
      <x:c r="F1322" s="35"/>
      <x:c r="G1322" s="35" t="str">
        <x:v>A</x:v>
      </x:c>
      <x:c r="H1322" s="39" t="str">
        <x:f>IF(ISNUMBER('Data'!N468),'Data'!N468*100,"")</x:f>
      </x:c>
      <x:c r="I1322" s="35"/>
      <x:c r="J1322" s="35" t="str">
        <x:v>PASS</x:v>
      </x:c>
      <x:c r="K1322" s="35" t="str">
        <x:v>FAIL</x:v>
      </x:c>
      <x:c r="L1322" s="35" t="str">
        <x:v>NOT_RUN</x:v>
      </x:c>
      <x:c r="M1322" s="35" t="str">
        <x:v>coverage unavailable or execution/compile failed</x:v>
      </x:c>
      <x:c r="N1322" s="35" t="str">
        <x:v>Gemini-3.8-flash/Result/JacksonDatabind_66/result.json</x:v>
      </x:c>
      <x:c r="O1322" s="39" t="str">
        <x:f>IF(AND(G1322="RECORDED",ISNUMBER(H1322)),H1322,"")</x:f>
      </x:c>
      <x:c r="P1322" s="35" t="str">
        <x:v>NOT_AVAILABLE</x:v>
      </x:c>
      <x:c r="Q1322" s="35" t="str">
        <x:v>Gemini-3.8-flash/Result/JacksonDatabind_66/result.json</x:v>
      </x:c>
    </x:row>
    <x:row r="1323">
      <x:c r="A1323" s="35" t="str">
        <x:v>gemini</x:v>
      </x:c>
      <x:c r="B1323" s="35" t="str">
        <x:v>JacksonDatabind</x:v>
      </x:c>
      <x:c r="C1323" s="35" t="str">
        <x:v>Round1</x:v>
      </x:c>
      <x:c r="D1323" s="35" t="str">
        <x:v>JacksonDatabind_67</x:v>
      </x:c>
      <x:c r="E1323" s="35" t="str">
        <x:v>Condition</x:v>
      </x:c>
      <x:c r="F1323" s="35"/>
      <x:c r="G1323" s="35" t="str">
        <x:v>A</x:v>
      </x:c>
      <x:c r="H1323" s="39" t="str">
        <x:f>IF(ISNUMBER('Data'!N469),'Data'!N469*100,"")</x:f>
      </x:c>
      <x:c r="I1323" s="35"/>
      <x:c r="J1323" s="35" t="str">
        <x:v>PASS</x:v>
      </x:c>
      <x:c r="K1323" s="35" t="str">
        <x:v>FAIL</x:v>
      </x:c>
      <x:c r="L1323" s="35" t="str">
        <x:v>NOT_RUN</x:v>
      </x:c>
      <x:c r="M1323" s="35" t="str">
        <x:v>coverage unavailable or execution/compile failed</x:v>
      </x:c>
      <x:c r="N1323" s="35" t="str">
        <x:v>Gemini-3.8-flash/Result/JacksonDatabind_67/result.json</x:v>
      </x:c>
      <x:c r="O1323" s="39" t="str">
        <x:f>IF(AND(G1323="RECORDED",ISNUMBER(H1323)),H1323,"")</x:f>
      </x:c>
      <x:c r="P1323" s="35" t="str">
        <x:v>NOT_AVAILABLE</x:v>
      </x:c>
      <x:c r="Q1323" s="35" t="str">
        <x:v>Gemini-3.8-flash/Result/JacksonDatabind_67/result.json</x:v>
      </x:c>
    </x:row>
    <x:row r="1324">
      <x:c r="A1324" s="35" t="str">
        <x:v>gemini</x:v>
      </x:c>
      <x:c r="B1324" s="35" t="str">
        <x:v>JacksonDatabind</x:v>
      </x:c>
      <x:c r="C1324" s="35" t="str">
        <x:v>Round1</x:v>
      </x:c>
      <x:c r="D1324" s="35" t="str">
        <x:v>JacksonDatabind_68</x:v>
      </x:c>
      <x:c r="E1324" s="35" t="str">
        <x:v>Condition</x:v>
      </x:c>
      <x:c r="F1324" s="35" t="n">
        <x:v>369</x:v>
      </x:c>
      <x:c r="G1324" s="35" t="str">
        <x:v>RECORDED</x:v>
      </x:c>
      <x:c r="H1324" s="39" t="n">
        <x:f>IF(ISNUMBER('Data'!N470),'Data'!N470*100,"")</x:f>
        <x:v>0</x:v>
      </x:c>
      <x:c r="I1324" s="35" t="str">
        <x:v>PASS</x:v>
      </x:c>
      <x:c r="J1324" s="35" t="str">
        <x:v>PASS</x:v>
      </x:c>
      <x:c r="K1324" s="35" t="str">
        <x:v>PASS</x:v>
      </x:c>
      <x:c r="L1324" s="35" t="str">
        <x:v>PASS</x:v>
      </x:c>
      <x:c r="M1324" s="35" t="str">
        <x:v>numeric coverage for applicable metric</x:v>
      </x:c>
      <x:c r="N1324" s="35" t="str">
        <x:v>Gemini-3.8-flash/Result/JacksonDatabind_68/result.json</x:v>
      </x:c>
      <x:c r="O1324" s="39" t="n">
        <x:f>IF(AND(G1324="RECORDED",ISNUMBER(H1324)),H1324,"")</x:f>
        <x:v>0</x:v>
      </x:c>
      <x:c r="P1324" s="35" t="str">
        <x:v>NOT_REVEALING</x:v>
      </x:c>
      <x:c r="Q1324" s="35" t="str">
        <x:v>Gemini-3.8-flash/Result/JacksonDatabind_68/result.json</x:v>
      </x:c>
    </x:row>
    <x:row r="1325">
      <x:c r="A1325" s="35" t="str">
        <x:v>gemini</x:v>
      </x:c>
      <x:c r="B1325" s="35" t="str">
        <x:v>JacksonDatabind</x:v>
      </x:c>
      <x:c r="C1325" s="35" t="str">
        <x:v>Round1</x:v>
      </x:c>
      <x:c r="D1325" s="35" t="str">
        <x:v>JacksonDatabind_69</x:v>
      </x:c>
      <x:c r="E1325" s="35" t="str">
        <x:v>Condition</x:v>
      </x:c>
      <x:c r="F1325" s="35" t="n">
        <x:v>74</x:v>
      </x:c>
      <x:c r="G1325" s="35" t="str">
        <x:v>RECORDED</x:v>
      </x:c>
      <x:c r="H1325" s="39" t="n">
        <x:f>IF(ISNUMBER('Data'!N471),'Data'!N471*100,"")</x:f>
        <x:v>0</x:v>
      </x:c>
      <x:c r="I1325" s="35" t="str">
        <x:v>PASS</x:v>
      </x:c>
      <x:c r="J1325" s="35" t="str">
        <x:v>PASS</x:v>
      </x:c>
      <x:c r="K1325" s="35" t="str">
        <x:v>PASS</x:v>
      </x:c>
      <x:c r="L1325" s="35" t="str">
        <x:v>PASS</x:v>
      </x:c>
      <x:c r="M1325" s="35" t="str">
        <x:v>numeric coverage for applicable metric</x:v>
      </x:c>
      <x:c r="N1325" s="35" t="str">
        <x:v>Gemini-3.8-flash/Result/JacksonDatabind_69/result.json</x:v>
      </x:c>
      <x:c r="O1325" s="39" t="n">
        <x:f>IF(AND(G1325="RECORDED",ISNUMBER(H1325)),H1325,"")</x:f>
        <x:v>0</x:v>
      </x:c>
      <x:c r="P1325" s="35" t="str">
        <x:v>NOT_REVEALING</x:v>
      </x:c>
      <x:c r="Q1325" s="35" t="str">
        <x:v>Gemini-3.8-flash/Result/JacksonDatabind_69/result.json</x:v>
      </x:c>
    </x:row>
    <x:row r="1326">
      <x:c r="A1326" s="35" t="str">
        <x:v>gemini</x:v>
      </x:c>
      <x:c r="B1326" s="35" t="str">
        <x:v>JacksonDatabind</x:v>
      </x:c>
      <x:c r="C1326" s="35" t="str">
        <x:v>Round1</x:v>
      </x:c>
      <x:c r="D1326" s="35" t="str">
        <x:v>JacksonDatabind_7</x:v>
      </x:c>
      <x:c r="E1326" s="35" t="str">
        <x:v>Condition</x:v>
      </x:c>
      <x:c r="F1326" s="35" t="n">
        <x:v>308</x:v>
      </x:c>
      <x:c r="G1326" s="35" t="str">
        <x:v>RECORDED</x:v>
      </x:c>
      <x:c r="H1326" s="39" t="n">
        <x:f>IF(ISNUMBER('Data'!N472),'Data'!N472*100,"")</x:f>
        <x:v>21.43</x:v>
      </x:c>
      <x:c r="I1326" s="35" t="str">
        <x:v>PASS</x:v>
      </x:c>
      <x:c r="J1326" s="35" t="str">
        <x:v>PASS</x:v>
      </x:c>
      <x:c r="K1326" s="35" t="str">
        <x:v>PASS</x:v>
      </x:c>
      <x:c r="L1326" s="35" t="str">
        <x:v>PASS</x:v>
      </x:c>
      <x:c r="M1326" s="35" t="str">
        <x:v>numeric coverage for applicable metric</x:v>
      </x:c>
      <x:c r="N1326" s="35" t="str">
        <x:v>Gemini-3.8-flash/Result/JacksonDatabind_7/result.json</x:v>
      </x:c>
      <x:c r="O1326" s="39" t="n">
        <x:f>IF(AND(G1326="RECORDED",ISNUMBER(H1326)),H1326,"")</x:f>
        <x:v>21.43</x:v>
      </x:c>
      <x:c r="P1326" s="35" t="str">
        <x:v>NOT_REVEALING</x:v>
      </x:c>
      <x:c r="Q1326" s="35" t="str">
        <x:v>Gemini-3.8-flash/Result/JacksonDatabind_7/result.json</x:v>
      </x:c>
    </x:row>
    <x:row r="1327">
      <x:c r="A1327" s="35" t="str">
        <x:v>gemini</x:v>
      </x:c>
      <x:c r="B1327" s="35" t="str">
        <x:v>JacksonDatabind</x:v>
      </x:c>
      <x:c r="C1327" s="35" t="str">
        <x:v>Round1</x:v>
      </x:c>
      <x:c r="D1327" s="35" t="str">
        <x:v>JacksonDatabind_70</x:v>
      </x:c>
      <x:c r="E1327" s="35" t="str">
        <x:v>Condition</x:v>
      </x:c>
      <x:c r="F1327" s="35" t="n">
        <x:v>138</x:v>
      </x:c>
      <x:c r="G1327" s="35" t="str">
        <x:v>RECORDED</x:v>
      </x:c>
      <x:c r="H1327" s="39" t="n">
        <x:f>IF(ISNUMBER('Data'!N473),'Data'!N473*100,"")</x:f>
        <x:v>0</x:v>
      </x:c>
      <x:c r="I1327" s="35" t="str">
        <x:v>PASS</x:v>
      </x:c>
      <x:c r="J1327" s="35" t="str">
        <x:v>PASS</x:v>
      </x:c>
      <x:c r="K1327" s="35" t="str">
        <x:v>PASS</x:v>
      </x:c>
      <x:c r="L1327" s="35" t="str">
        <x:v>PASS</x:v>
      </x:c>
      <x:c r="M1327" s="35" t="str">
        <x:v>numeric coverage for applicable metric</x:v>
      </x:c>
      <x:c r="N1327" s="35" t="str">
        <x:v>Gemini-3.8-flash/Result/JacksonDatabind_70/result.json</x:v>
      </x:c>
      <x:c r="O1327" s="39" t="n">
        <x:f>IF(AND(G1327="RECORDED",ISNUMBER(H1327)),H1327,"")</x:f>
        <x:v>0</x:v>
      </x:c>
      <x:c r="P1327" s="35" t="str">
        <x:v>NOT_REVEALING</x:v>
      </x:c>
      <x:c r="Q1327" s="35" t="str">
        <x:v>Gemini-3.8-flash/Result/JacksonDatabind_70/result.json</x:v>
      </x:c>
    </x:row>
    <x:row r="1328">
      <x:c r="A1328" s="35" t="str">
        <x:v>gemini</x:v>
      </x:c>
      <x:c r="B1328" s="35" t="str">
        <x:v>JacksonDatabind</x:v>
      </x:c>
      <x:c r="C1328" s="35" t="str">
        <x:v>Round1</x:v>
      </x:c>
      <x:c r="D1328" s="35" t="str">
        <x:v>JacksonDatabind_71</x:v>
      </x:c>
      <x:c r="E1328" s="35" t="str">
        <x:v>Condition</x:v>
      </x:c>
      <x:c r="F1328" s="35"/>
      <x:c r="G1328" s="35" t="str">
        <x:v>A</x:v>
      </x:c>
      <x:c r="H1328" s="39" t="str">
        <x:f>IF(ISNUMBER('Data'!N474),'Data'!N474*100,"")</x:f>
      </x:c>
      <x:c r="I1328" s="35"/>
      <x:c r="J1328" s="35" t="str">
        <x:v>PASS</x:v>
      </x:c>
      <x:c r="K1328" s="35" t="str">
        <x:v>FAIL</x:v>
      </x:c>
      <x:c r="L1328" s="35" t="str">
        <x:v>NOT_RUN</x:v>
      </x:c>
      <x:c r="M1328" s="35" t="str">
        <x:v>coverage unavailable or execution/compile failed</x:v>
      </x:c>
      <x:c r="N1328" s="35" t="str">
        <x:v>Gemini-3.8-flash/Result/JacksonDatabind_71/result.json</x:v>
      </x:c>
      <x:c r="O1328" s="39" t="str">
        <x:f>IF(AND(G1328="RECORDED",ISNUMBER(H1328)),H1328,"")</x:f>
      </x:c>
      <x:c r="P1328" s="35" t="str">
        <x:v>NOT_AVAILABLE</x:v>
      </x:c>
      <x:c r="Q1328" s="35" t="str">
        <x:v>Gemini-3.8-flash/Result/JacksonDatabind_71/result.json</x:v>
      </x:c>
    </x:row>
    <x:row r="1329">
      <x:c r="A1329" s="35" t="str">
        <x:v>gemini</x:v>
      </x:c>
      <x:c r="B1329" s="35" t="str">
        <x:v>JacksonDatabind</x:v>
      </x:c>
      <x:c r="C1329" s="35" t="str">
        <x:v>Round1</x:v>
      </x:c>
      <x:c r="D1329" s="35" t="str">
        <x:v>JacksonDatabind_72</x:v>
      </x:c>
      <x:c r="E1329" s="35" t="str">
        <x:v>Condition</x:v>
      </x:c>
      <x:c r="F1329" s="35"/>
      <x:c r="G1329" s="35" t="str">
        <x:v>A</x:v>
      </x:c>
      <x:c r="H1329" s="39" t="str">
        <x:f>IF(ISNUMBER('Data'!N475),'Data'!N475*100,"")</x:f>
      </x:c>
      <x:c r="I1329" s="35"/>
      <x:c r="J1329" s="35" t="str">
        <x:v>PASS</x:v>
      </x:c>
      <x:c r="K1329" s="35" t="str">
        <x:v>FAIL</x:v>
      </x:c>
      <x:c r="L1329" s="35" t="str">
        <x:v>NOT_RUN</x:v>
      </x:c>
      <x:c r="M1329" s="35" t="str">
        <x:v>coverage unavailable or execution/compile failed</x:v>
      </x:c>
      <x:c r="N1329" s="35" t="str">
        <x:v>Gemini-3.8-flash/Result/JacksonDatabind_72/result.json</x:v>
      </x:c>
      <x:c r="O1329" s="39" t="str">
        <x:f>IF(AND(G1329="RECORDED",ISNUMBER(H1329)),H1329,"")</x:f>
      </x:c>
      <x:c r="P1329" s="35" t="str">
        <x:v>NOT_AVAILABLE</x:v>
      </x:c>
      <x:c r="Q1329" s="35" t="str">
        <x:v>Gemini-3.8-flash/Result/JacksonDatabind_72/result.json</x:v>
      </x:c>
    </x:row>
    <x:row r="1330">
      <x:c r="A1330" s="35" t="str">
        <x:v>gemini</x:v>
      </x:c>
      <x:c r="B1330" s="35" t="str">
        <x:v>JacksonDatabind</x:v>
      </x:c>
      <x:c r="C1330" s="35" t="str">
        <x:v>Round1</x:v>
      </x:c>
      <x:c r="D1330" s="35" t="str">
        <x:v>JacksonDatabind_73</x:v>
      </x:c>
      <x:c r="E1330" s="35" t="str">
        <x:v>Condition</x:v>
      </x:c>
      <x:c r="F1330" s="35" t="n">
        <x:v>716</x:v>
      </x:c>
      <x:c r="G1330" s="35" t="str">
        <x:v>RECORDED</x:v>
      </x:c>
      <x:c r="H1330" s="39" t="n">
        <x:f>IF(ISNUMBER('Data'!N476),'Data'!N476*100,"")</x:f>
        <x:v>0</x:v>
      </x:c>
      <x:c r="I1330" s="35" t="str">
        <x:v>PASS</x:v>
      </x:c>
      <x:c r="J1330" s="35" t="str">
        <x:v>PASS</x:v>
      </x:c>
      <x:c r="K1330" s="35" t="str">
        <x:v>PASS</x:v>
      </x:c>
      <x:c r="L1330" s="35" t="str">
        <x:v>FAIL</x:v>
      </x:c>
      <x:c r="M1330" s="35" t="str">
        <x:v>numeric coverage for applicable metric</x:v>
      </x:c>
      <x:c r="N1330" s="35" t="str">
        <x:v>Gemini-3.8-flash/Result/JacksonDatabind_73/result.json</x:v>
      </x:c>
      <x:c r="O1330" s="39" t="n">
        <x:f>IF(AND(G1330="RECORDED",ISNUMBER(H1330)),H1330,"")</x:f>
        <x:v>0</x:v>
      </x:c>
      <x:c r="P1330" s="35" t="str">
        <x:v>INCONCLUSIVE</x:v>
      </x:c>
      <x:c r="Q1330" s="35" t="str">
        <x:v>Gemini-3.8-flash/Result/JacksonDatabind_73/result.json</x:v>
      </x:c>
    </x:row>
    <x:row r="1331">
      <x:c r="A1331" s="35" t="str">
        <x:v>gemini</x:v>
      </x:c>
      <x:c r="B1331" s="35" t="str">
        <x:v>JacksonDatabind</x:v>
      </x:c>
      <x:c r="C1331" s="35" t="str">
        <x:v>Round1</x:v>
      </x:c>
      <x:c r="D1331" s="35" t="str">
        <x:v>JacksonDatabind_74</x:v>
      </x:c>
      <x:c r="E1331" s="35" t="str">
        <x:v>Condition</x:v>
      </x:c>
      <x:c r="F1331" s="35" t="n">
        <x:v>32</x:v>
      </x:c>
      <x:c r="G1331" s="35" t="str">
        <x:v>RECORDED</x:v>
      </x:c>
      <x:c r="H1331" s="39" t="n">
        <x:f>IF(ISNUMBER('Data'!N477),'Data'!N477*100,"")</x:f>
        <x:v>0</x:v>
      </x:c>
      <x:c r="I1331" s="35" t="str">
        <x:v>PASS</x:v>
      </x:c>
      <x:c r="J1331" s="35" t="str">
        <x:v>PASS</x:v>
      </x:c>
      <x:c r="K1331" s="35" t="str">
        <x:v>PASS</x:v>
      </x:c>
      <x:c r="L1331" s="35" t="str">
        <x:v>PASS</x:v>
      </x:c>
      <x:c r="M1331" s="35" t="str">
        <x:v>numeric coverage for applicable metric</x:v>
      </x:c>
      <x:c r="N1331" s="35" t="str">
        <x:v>Gemini-3.8-flash/Result/JacksonDatabind_74/result.json</x:v>
      </x:c>
      <x:c r="O1331" s="39" t="n">
        <x:f>IF(AND(G1331="RECORDED",ISNUMBER(H1331)),H1331,"")</x:f>
        <x:v>0</x:v>
      </x:c>
      <x:c r="P1331" s="35" t="str">
        <x:v>NOT_REVEALING</x:v>
      </x:c>
      <x:c r="Q1331" s="35" t="str">
        <x:v>Gemini-3.8-flash/Result/JacksonDatabind_74/result.json</x:v>
      </x:c>
    </x:row>
    <x:row r="1332">
      <x:c r="A1332" s="35" t="str">
        <x:v>gemini</x:v>
      </x:c>
      <x:c r="B1332" s="35" t="str">
        <x:v>JacksonDatabind</x:v>
      </x:c>
      <x:c r="C1332" s="35" t="str">
        <x:v>Round1</x:v>
      </x:c>
      <x:c r="D1332" s="35" t="str">
        <x:v>JacksonDatabind_75</x:v>
      </x:c>
      <x:c r="E1332" s="35" t="str">
        <x:v>Condition</x:v>
      </x:c>
      <x:c r="F1332" s="35" t="n">
        <x:v>50</x:v>
      </x:c>
      <x:c r="G1332" s="35" t="str">
        <x:v>RECORDED</x:v>
      </x:c>
      <x:c r="H1332" s="39" t="n">
        <x:f>IF(ISNUMBER('Data'!N478),'Data'!N478*100,"")</x:f>
        <x:v>0</x:v>
      </x:c>
      <x:c r="I1332" s="35" t="str">
        <x:v>PASS</x:v>
      </x:c>
      <x:c r="J1332" s="35" t="str">
        <x:v>PASS</x:v>
      </x:c>
      <x:c r="K1332" s="35" t="str">
        <x:v>PASS</x:v>
      </x:c>
      <x:c r="L1332" s="35" t="str">
        <x:v>PASS</x:v>
      </x:c>
      <x:c r="M1332" s="35" t="str">
        <x:v>numeric coverage for applicable metric</x:v>
      </x:c>
      <x:c r="N1332" s="35" t="str">
        <x:v>Gemini-3.8-flash/Result/JacksonDatabind_75/result.json</x:v>
      </x:c>
      <x:c r="O1332" s="39" t="n">
        <x:f>IF(AND(G1332="RECORDED",ISNUMBER(H1332)),H1332,"")</x:f>
        <x:v>0</x:v>
      </x:c>
      <x:c r="P1332" s="35" t="str">
        <x:v>NOT_REVEALING</x:v>
      </x:c>
      <x:c r="Q1332" s="35" t="str">
        <x:v>Gemini-3.8-flash/Result/JacksonDatabind_75/result.json</x:v>
      </x:c>
    </x:row>
    <x:row r="1333">
      <x:c r="A1333" s="35" t="str">
        <x:v>gemini</x:v>
      </x:c>
      <x:c r="B1333" s="35" t="str">
        <x:v>JacksonDatabind</x:v>
      </x:c>
      <x:c r="C1333" s="35" t="str">
        <x:v>Round1</x:v>
      </x:c>
      <x:c r="D1333" s="35" t="str">
        <x:v>JacksonDatabind_76</x:v>
      </x:c>
      <x:c r="E1333" s="35" t="str">
        <x:v>Condition</x:v>
      </x:c>
      <x:c r="F1333" s="35" t="n">
        <x:v>168</x:v>
      </x:c>
      <x:c r="G1333" s="35" t="str">
        <x:v>RECORDED</x:v>
      </x:c>
      <x:c r="H1333" s="39" t="n">
        <x:f>IF(ISNUMBER('Data'!N479),'Data'!N479*100,"")</x:f>
        <x:v>0</x:v>
      </x:c>
      <x:c r="I1333" s="35" t="str">
        <x:v>PASS</x:v>
      </x:c>
      <x:c r="J1333" s="35" t="str">
        <x:v>PASS</x:v>
      </x:c>
      <x:c r="K1333" s="35" t="str">
        <x:v>PASS</x:v>
      </x:c>
      <x:c r="L1333" s="35" t="str">
        <x:v>PASS</x:v>
      </x:c>
      <x:c r="M1333" s="35" t="str">
        <x:v>numeric coverage for applicable metric</x:v>
      </x:c>
      <x:c r="N1333" s="35" t="str">
        <x:v>Gemini-3.8-flash/Result/JacksonDatabind_76/result.json</x:v>
      </x:c>
      <x:c r="O1333" s="39" t="n">
        <x:f>IF(AND(G1333="RECORDED",ISNUMBER(H1333)),H1333,"")</x:f>
        <x:v>0</x:v>
      </x:c>
      <x:c r="P1333" s="35" t="str">
        <x:v>NOT_REVEALING</x:v>
      </x:c>
      <x:c r="Q1333" s="35" t="str">
        <x:v>Gemini-3.8-flash/Result/JacksonDatabind_76/result.json</x:v>
      </x:c>
    </x:row>
    <x:row r="1334">
      <x:c r="A1334" s="35" t="str">
        <x:v>gemini</x:v>
      </x:c>
      <x:c r="B1334" s="35" t="str">
        <x:v>JacksonDatabind</x:v>
      </x:c>
      <x:c r="C1334" s="35" t="str">
        <x:v>Round1</x:v>
      </x:c>
      <x:c r="D1334" s="35" t="str">
        <x:v>JacksonDatabind_77</x:v>
      </x:c>
      <x:c r="E1334" s="35" t="str">
        <x:v>Condition</x:v>
      </x:c>
      <x:c r="F1334" s="35"/>
      <x:c r="G1334" s="35" t="str">
        <x:v>A</x:v>
      </x:c>
      <x:c r="H1334" s="39" t="str">
        <x:f>IF(ISNUMBER('Data'!N480),'Data'!N480*100,"")</x:f>
      </x:c>
      <x:c r="I1334" s="35"/>
      <x:c r="J1334" s="35" t="str">
        <x:v>PASS</x:v>
      </x:c>
      <x:c r="K1334" s="35" t="str">
        <x:v>FAIL</x:v>
      </x:c>
      <x:c r="L1334" s="35" t="str">
        <x:v>NOT_RUN</x:v>
      </x:c>
      <x:c r="M1334" s="35" t="str">
        <x:v>coverage unavailable or execution/compile failed</x:v>
      </x:c>
      <x:c r="N1334" s="35" t="str">
        <x:v>Gemini-3.8-flash/Result/JacksonDatabind_77/result.json</x:v>
      </x:c>
      <x:c r="O1334" s="39" t="str">
        <x:f>IF(AND(G1334="RECORDED",ISNUMBER(H1334)),H1334,"")</x:f>
      </x:c>
      <x:c r="P1334" s="35" t="str">
        <x:v>NOT_AVAILABLE</x:v>
      </x:c>
      <x:c r="Q1334" s="35" t="str">
        <x:v>Gemini-3.8-flash/Result/JacksonDatabind_77/result.json</x:v>
      </x:c>
    </x:row>
    <x:row r="1335">
      <x:c r="A1335" s="35" t="str">
        <x:v>gemini</x:v>
      </x:c>
      <x:c r="B1335" s="35" t="str">
        <x:v>JacksonDatabind</x:v>
      </x:c>
      <x:c r="C1335" s="35" t="str">
        <x:v>Round1</x:v>
      </x:c>
      <x:c r="D1335" s="35" t="str">
        <x:v>JacksonDatabind_78</x:v>
      </x:c>
      <x:c r="E1335" s="35" t="str">
        <x:v>Condition</x:v>
      </x:c>
      <x:c r="F1335" s="35"/>
      <x:c r="G1335" s="35" t="str">
        <x:v>A</x:v>
      </x:c>
      <x:c r="H1335" s="39" t="str">
        <x:f>IF(ISNUMBER('Data'!N481),'Data'!N481*100,"")</x:f>
      </x:c>
      <x:c r="I1335" s="35"/>
      <x:c r="J1335" s="35" t="str">
        <x:v>PASS</x:v>
      </x:c>
      <x:c r="K1335" s="35" t="str">
        <x:v>FAIL</x:v>
      </x:c>
      <x:c r="L1335" s="35" t="str">
        <x:v>NOT_RUN</x:v>
      </x:c>
      <x:c r="M1335" s="35" t="str">
        <x:v>coverage unavailable or execution/compile failed</x:v>
      </x:c>
      <x:c r="N1335" s="35" t="str">
        <x:v>Gemini-3.8-flash/Result/JacksonDatabind_78/result.json</x:v>
      </x:c>
      <x:c r="O1335" s="39" t="str">
        <x:f>IF(AND(G1335="RECORDED",ISNUMBER(H1335)),H1335,"")</x:f>
      </x:c>
      <x:c r="P1335" s="35" t="str">
        <x:v>NOT_AVAILABLE</x:v>
      </x:c>
      <x:c r="Q1335" s="35" t="str">
        <x:v>Gemini-3.8-flash/Result/JacksonDatabind_78/result.json</x:v>
      </x:c>
    </x:row>
    <x:row r="1336">
      <x:c r="A1336" s="35" t="str">
        <x:v>gemini</x:v>
      </x:c>
      <x:c r="B1336" s="35" t="str">
        <x:v>JacksonDatabind</x:v>
      </x:c>
      <x:c r="C1336" s="35" t="str">
        <x:v>Round1</x:v>
      </x:c>
      <x:c r="D1336" s="35" t="str">
        <x:v>JacksonDatabind_79</x:v>
      </x:c>
      <x:c r="E1336" s="35" t="str">
        <x:v>Condition</x:v>
      </x:c>
      <x:c r="F1336" s="35" t="n">
        <x:v>558</x:v>
      </x:c>
      <x:c r="G1336" s="35" t="str">
        <x:v>RECORDED</x:v>
      </x:c>
      <x:c r="H1336" s="39" t="n">
        <x:f>IF(ISNUMBER('Data'!N482),'Data'!N482*100,"")</x:f>
        <x:v>1.43</x:v>
      </x:c>
      <x:c r="I1336" s="35" t="str">
        <x:v>PASS</x:v>
      </x:c>
      <x:c r="J1336" s="35" t="str">
        <x:v>PASS</x:v>
      </x:c>
      <x:c r="K1336" s="35" t="str">
        <x:v>PASS</x:v>
      </x:c>
      <x:c r="L1336" s="35" t="str">
        <x:v>PASS</x:v>
      </x:c>
      <x:c r="M1336" s="35" t="str">
        <x:v>numeric coverage for applicable metric</x:v>
      </x:c>
      <x:c r="N1336" s="35" t="str">
        <x:v>Gemini-3.8-flash/Result/JacksonDatabind_79/result.json</x:v>
      </x:c>
      <x:c r="O1336" s="39" t="n">
        <x:f>IF(AND(G1336="RECORDED",ISNUMBER(H1336)),H1336,"")</x:f>
        <x:v>1.43</x:v>
      </x:c>
      <x:c r="P1336" s="35" t="str">
        <x:v>NOT_REVEALING</x:v>
      </x:c>
      <x:c r="Q1336" s="35" t="str">
        <x:v>Gemini-3.8-flash/Result/JacksonDatabind_79/result.json</x:v>
      </x:c>
    </x:row>
    <x:row r="1337">
      <x:c r="A1337" s="35" t="str">
        <x:v>gemini</x:v>
      </x:c>
      <x:c r="B1337" s="35" t="str">
        <x:v>JacksonDatabind</x:v>
      </x:c>
      <x:c r="C1337" s="35" t="str">
        <x:v>Round1</x:v>
      </x:c>
      <x:c r="D1337" s="35" t="str">
        <x:v>JacksonDatabind_8</x:v>
      </x:c>
      <x:c r="E1337" s="35" t="str">
        <x:v>Condition</x:v>
      </x:c>
      <x:c r="F1337" s="35" t="n">
        <x:v>64</x:v>
      </x:c>
      <x:c r="G1337" s="35" t="str">
        <x:v>RECORDED</x:v>
      </x:c>
      <x:c r="H1337" s="39" t="n">
        <x:f>IF(ISNUMBER('Data'!N483),'Data'!N483*100,"")</x:f>
        <x:v>0</x:v>
      </x:c>
      <x:c r="I1337" s="35" t="str">
        <x:v>PASS</x:v>
      </x:c>
      <x:c r="J1337" s="35" t="str">
        <x:v>PASS</x:v>
      </x:c>
      <x:c r="K1337" s="35" t="str">
        <x:v>PASS</x:v>
      </x:c>
      <x:c r="L1337" s="35" t="str">
        <x:v>PASS</x:v>
      </x:c>
      <x:c r="M1337" s="35" t="str">
        <x:v>numeric coverage for applicable metric</x:v>
      </x:c>
      <x:c r="N1337" s="35" t="str">
        <x:v>Gemini-3.8-flash/Result/JacksonDatabind_8/result.json</x:v>
      </x:c>
      <x:c r="O1337" s="39" t="n">
        <x:f>IF(AND(G1337="RECORDED",ISNUMBER(H1337)),H1337,"")</x:f>
        <x:v>0</x:v>
      </x:c>
      <x:c r="P1337" s="35" t="str">
        <x:v>NOT_REVEALING</x:v>
      </x:c>
      <x:c r="Q1337" s="35" t="str">
        <x:v>Gemini-3.8-flash/Result/JacksonDatabind_8/result.json</x:v>
      </x:c>
    </x:row>
    <x:row r="1338">
      <x:c r="A1338" s="35" t="str">
        <x:v>gemini</x:v>
      </x:c>
      <x:c r="B1338" s="35" t="str">
        <x:v>JacksonDatabind</x:v>
      </x:c>
      <x:c r="C1338" s="35" t="str">
        <x:v>Round1</x:v>
      </x:c>
      <x:c r="D1338" s="35" t="str">
        <x:v>JacksonDatabind_80</x:v>
      </x:c>
      <x:c r="E1338" s="35" t="str">
        <x:v>Condition</x:v>
      </x:c>
      <x:c r="F1338" s="35" t="n">
        <x:v>78</x:v>
      </x:c>
      <x:c r="G1338" s="35" t="str">
        <x:v>RECORDED</x:v>
      </x:c>
      <x:c r="H1338" s="39" t="n">
        <x:f>IF(ISNUMBER('Data'!N484),'Data'!N484*100,"")</x:f>
        <x:v>0</x:v>
      </x:c>
      <x:c r="I1338" s="35" t="str">
        <x:v>PASS</x:v>
      </x:c>
      <x:c r="J1338" s="35" t="str">
        <x:v>PASS</x:v>
      </x:c>
      <x:c r="K1338" s="35" t="str">
        <x:v>PASS</x:v>
      </x:c>
      <x:c r="L1338" s="35" t="str">
        <x:v>PASS</x:v>
      </x:c>
      <x:c r="M1338" s="35" t="str">
        <x:v>numeric coverage for applicable metric</x:v>
      </x:c>
      <x:c r="N1338" s="35" t="str">
        <x:v>Gemini-3.8-flash/Result/JacksonDatabind_80/result.json</x:v>
      </x:c>
      <x:c r="O1338" s="39" t="n">
        <x:f>IF(AND(G1338="RECORDED",ISNUMBER(H1338)),H1338,"")</x:f>
        <x:v>0</x:v>
      </x:c>
      <x:c r="P1338" s="35" t="str">
        <x:v>NOT_REVEALING</x:v>
      </x:c>
      <x:c r="Q1338" s="35" t="str">
        <x:v>Gemini-3.8-flash/Result/JacksonDatabind_80/result.json</x:v>
      </x:c>
    </x:row>
    <x:row r="1339">
      <x:c r="A1339" s="35" t="str">
        <x:v>gemini</x:v>
      </x:c>
      <x:c r="B1339" s="35" t="str">
        <x:v>JacksonDatabind</x:v>
      </x:c>
      <x:c r="C1339" s="35" t="str">
        <x:v>Round1</x:v>
      </x:c>
      <x:c r="D1339" s="35" t="str">
        <x:v>JacksonDatabind_81</x:v>
      </x:c>
      <x:c r="E1339" s="35" t="str">
        <x:v>Condition</x:v>
      </x:c>
      <x:c r="F1339" s="35" t="n">
        <x:v>365</x:v>
      </x:c>
      <x:c r="G1339" s="35" t="str">
        <x:v>RECORDED</x:v>
      </x:c>
      <x:c r="H1339" s="39" t="n">
        <x:f>IF(ISNUMBER('Data'!N485),'Data'!N485*100,"")</x:f>
        <x:v>0</x:v>
      </x:c>
      <x:c r="I1339" s="35" t="str">
        <x:v>PASS</x:v>
      </x:c>
      <x:c r="J1339" s="35" t="str">
        <x:v>PASS</x:v>
      </x:c>
      <x:c r="K1339" s="35" t="str">
        <x:v>PASS</x:v>
      </x:c>
      <x:c r="L1339" s="35" t="str">
        <x:v>PASS</x:v>
      </x:c>
      <x:c r="M1339" s="35" t="str">
        <x:v>numeric coverage for applicable metric</x:v>
      </x:c>
      <x:c r="N1339" s="35" t="str">
        <x:v>Gemini-3.8-flash/Result/JacksonDatabind_81/result.json</x:v>
      </x:c>
      <x:c r="O1339" s="39" t="n">
        <x:f>IF(AND(G1339="RECORDED",ISNUMBER(H1339)),H1339,"")</x:f>
        <x:v>0</x:v>
      </x:c>
      <x:c r="P1339" s="35" t="str">
        <x:v>NOT_REVEALING</x:v>
      </x:c>
      <x:c r="Q1339" s="35" t="str">
        <x:v>Gemini-3.8-flash/Result/JacksonDatabind_81/result.json</x:v>
      </x:c>
    </x:row>
    <x:row r="1340">
      <x:c r="A1340" s="35" t="str">
        <x:v>gemini</x:v>
      </x:c>
      <x:c r="B1340" s="35" t="str">
        <x:v>JacksonDatabind</x:v>
      </x:c>
      <x:c r="C1340" s="35" t="str">
        <x:v>Round1</x:v>
      </x:c>
      <x:c r="D1340" s="35" t="str">
        <x:v>JacksonDatabind_82</x:v>
      </x:c>
      <x:c r="E1340" s="35" t="str">
        <x:v>Condition</x:v>
      </x:c>
      <x:c r="F1340" s="35"/>
      <x:c r="G1340" s="35" t="str">
        <x:v>A</x:v>
      </x:c>
      <x:c r="H1340" s="39" t="str">
        <x:f>IF(ISNUMBER('Data'!N486),'Data'!N486*100,"")</x:f>
      </x:c>
      <x:c r="I1340" s="35"/>
      <x:c r="J1340" s="35" t="str">
        <x:v>PASS</x:v>
      </x:c>
      <x:c r="K1340" s="35" t="str">
        <x:v>FAIL</x:v>
      </x:c>
      <x:c r="L1340" s="35" t="str">
        <x:v>NOT_RUN</x:v>
      </x:c>
      <x:c r="M1340" s="35" t="str">
        <x:v>coverage unavailable or execution/compile failed</x:v>
      </x:c>
      <x:c r="N1340" s="35" t="str">
        <x:v>Gemini-3.8-flash/Result/JacksonDatabind_82/result.json</x:v>
      </x:c>
      <x:c r="O1340" s="39" t="str">
        <x:f>IF(AND(G1340="RECORDED",ISNUMBER(H1340)),H1340,"")</x:f>
      </x:c>
      <x:c r="P1340" s="35" t="str">
        <x:v>NOT_AVAILABLE</x:v>
      </x:c>
      <x:c r="Q1340" s="35" t="str">
        <x:v>Gemini-3.8-flash/Result/JacksonDatabind_82/result.json</x:v>
      </x:c>
    </x:row>
    <x:row r="1341">
      <x:c r="A1341" s="35" t="str">
        <x:v>gemini</x:v>
      </x:c>
      <x:c r="B1341" s="35" t="str">
        <x:v>JacksonDatabind</x:v>
      </x:c>
      <x:c r="C1341" s="35" t="str">
        <x:v>Round1</x:v>
      </x:c>
      <x:c r="D1341" s="35" t="str">
        <x:v>JacksonDatabind_83</x:v>
      </x:c>
      <x:c r="E1341" s="35" t="str">
        <x:v>Condition</x:v>
      </x:c>
      <x:c r="F1341" s="35" t="n">
        <x:v>88</x:v>
      </x:c>
      <x:c r="G1341" s="35" t="str">
        <x:v>RECORDED</x:v>
      </x:c>
      <x:c r="H1341" s="39" t="n">
        <x:f>IF(ISNUMBER('Data'!N487),'Data'!N487*100,"")</x:f>
        <x:v>0</x:v>
      </x:c>
      <x:c r="I1341" s="35" t="str">
        <x:v>PASS</x:v>
      </x:c>
      <x:c r="J1341" s="35" t="str">
        <x:v>PASS</x:v>
      </x:c>
      <x:c r="K1341" s="35" t="str">
        <x:v>PASS</x:v>
      </x:c>
      <x:c r="L1341" s="35" t="str">
        <x:v>FAIL</x:v>
      </x:c>
      <x:c r="M1341" s="35" t="str">
        <x:v>numeric coverage for applicable metric</x:v>
      </x:c>
      <x:c r="N1341" s="35" t="str">
        <x:v>Gemini-3.8-flash/Result/JacksonDatabind_83/result.json</x:v>
      </x:c>
      <x:c r="O1341" s="39" t="n">
        <x:f>IF(AND(G1341="RECORDED",ISNUMBER(H1341)),H1341,"")</x:f>
        <x:v>0</x:v>
      </x:c>
      <x:c r="P1341" s="35" t="str">
        <x:v>INCONCLUSIVE</x:v>
      </x:c>
      <x:c r="Q1341" s="35" t="str">
        <x:v>Gemini-3.8-flash/Result/JacksonDatabind_83/result.json</x:v>
      </x:c>
    </x:row>
    <x:row r="1342">
      <x:c r="A1342" s="35" t="str">
        <x:v>gemini</x:v>
      </x:c>
      <x:c r="B1342" s="35" t="str">
        <x:v>JacksonDatabind</x:v>
      </x:c>
      <x:c r="C1342" s="35" t="str">
        <x:v>Round1</x:v>
      </x:c>
      <x:c r="D1342" s="35" t="str">
        <x:v>JacksonDatabind_84</x:v>
      </x:c>
      <x:c r="E1342" s="35" t="str">
        <x:v>Condition</x:v>
      </x:c>
      <x:c r="F1342" s="35" t="n">
        <x:v>14</x:v>
      </x:c>
      <x:c r="G1342" s="35" t="str">
        <x:v>RECORDED</x:v>
      </x:c>
      <x:c r="H1342" s="39" t="n">
        <x:f>IF(ISNUMBER('Data'!N488),'Data'!N488*100,"")</x:f>
        <x:v>100</x:v>
      </x:c>
      <x:c r="I1342" s="35" t="str">
        <x:v>PASS</x:v>
      </x:c>
      <x:c r="J1342" s="35" t="str">
        <x:v>PASS</x:v>
      </x:c>
      <x:c r="K1342" s="35" t="str">
        <x:v>PASS</x:v>
      </x:c>
      <x:c r="L1342" s="35" t="str">
        <x:v>PASS</x:v>
      </x:c>
      <x:c r="M1342" s="35" t="str">
        <x:v>numeric coverage for applicable metric</x:v>
      </x:c>
      <x:c r="N1342" s="35" t="str">
        <x:v>Gemini-3.8-flash/Result/JacksonDatabind_84/result.json</x:v>
      </x:c>
      <x:c r="O1342" s="39" t="n">
        <x:f>IF(AND(G1342="RECORDED",ISNUMBER(H1342)),H1342,"")</x:f>
        <x:v>100</x:v>
      </x:c>
      <x:c r="P1342" s="35" t="str">
        <x:v>NOT_REVEALING</x:v>
      </x:c>
      <x:c r="Q1342" s="35" t="str">
        <x:v>Gemini-3.8-flash/Result/JacksonDatabind_84/result.json</x:v>
      </x:c>
    </x:row>
    <x:row r="1343">
      <x:c r="A1343" s="35" t="str">
        <x:v>gemini</x:v>
      </x:c>
      <x:c r="B1343" s="35" t="str">
        <x:v>JacksonDatabind</x:v>
      </x:c>
      <x:c r="C1343" s="35" t="str">
        <x:v>Round1</x:v>
      </x:c>
      <x:c r="D1343" s="35" t="str">
        <x:v>JacksonDatabind_85</x:v>
      </x:c>
      <x:c r="E1343" s="35" t="str">
        <x:v>Condition</x:v>
      </x:c>
      <x:c r="F1343" s="35"/>
      <x:c r="G1343" s="35" t="str">
        <x:v>A</x:v>
      </x:c>
      <x:c r="H1343" s="39" t="str">
        <x:f>IF(ISNUMBER('Data'!N489),'Data'!N489*100,"")</x:f>
      </x:c>
      <x:c r="I1343" s="35"/>
      <x:c r="J1343" s="35" t="str">
        <x:v>PASS</x:v>
      </x:c>
      <x:c r="K1343" s="35" t="str">
        <x:v>FAIL</x:v>
      </x:c>
      <x:c r="L1343" s="35" t="str">
        <x:v>NOT_RUN</x:v>
      </x:c>
      <x:c r="M1343" s="35" t="str">
        <x:v>coverage unavailable or execution/compile failed</x:v>
      </x:c>
      <x:c r="N1343" s="35" t="str">
        <x:v>Gemini-3.8-flash/Result/JacksonDatabind_85/result.json</x:v>
      </x:c>
      <x:c r="O1343" s="39" t="str">
        <x:f>IF(AND(G1343="RECORDED",ISNUMBER(H1343)),H1343,"")</x:f>
      </x:c>
      <x:c r="P1343" s="35" t="str">
        <x:v>NOT_AVAILABLE</x:v>
      </x:c>
      <x:c r="Q1343" s="35" t="str">
        <x:v>Gemini-3.8-flash/Result/JacksonDatabind_85/result.json</x:v>
      </x:c>
    </x:row>
    <x:row r="1344">
      <x:c r="A1344" s="35" t="str">
        <x:v>gemini</x:v>
      </x:c>
      <x:c r="B1344" s="35" t="str">
        <x:v>JacksonDatabind</x:v>
      </x:c>
      <x:c r="C1344" s="35" t="str">
        <x:v>Round1</x:v>
      </x:c>
      <x:c r="D1344" s="35" t="str">
        <x:v>JacksonDatabind_86</x:v>
      </x:c>
      <x:c r="E1344" s="35" t="str">
        <x:v>Condition</x:v>
      </x:c>
      <x:c r="F1344" s="35" t="n">
        <x:v>14</x:v>
      </x:c>
      <x:c r="G1344" s="35" t="str">
        <x:v>RECORDED</x:v>
      </x:c>
      <x:c r="H1344" s="39" t="n">
        <x:f>IF(ISNUMBER('Data'!N490),'Data'!N490*100,"")</x:f>
        <x:v>100</x:v>
      </x:c>
      <x:c r="I1344" s="35" t="str">
        <x:v>PASS</x:v>
      </x:c>
      <x:c r="J1344" s="35" t="str">
        <x:v>PASS</x:v>
      </x:c>
      <x:c r="K1344" s="35" t="str">
        <x:v>PASS</x:v>
      </x:c>
      <x:c r="L1344" s="35" t="str">
        <x:v>PASS</x:v>
      </x:c>
      <x:c r="M1344" s="35" t="str">
        <x:v>numeric coverage for applicable metric</x:v>
      </x:c>
      <x:c r="N1344" s="35" t="str">
        <x:v>Gemini-3.8-flash/Result/JacksonDatabind_86/result.json</x:v>
      </x:c>
      <x:c r="O1344" s="39" t="n">
        <x:f>IF(AND(G1344="RECORDED",ISNUMBER(H1344)),H1344,"")</x:f>
        <x:v>100</x:v>
      </x:c>
      <x:c r="P1344" s="35" t="str">
        <x:v>NOT_REVEALING</x:v>
      </x:c>
      <x:c r="Q1344" s="35" t="str">
        <x:v>Gemini-3.8-flash/Result/JacksonDatabind_86/result.json</x:v>
      </x:c>
    </x:row>
    <x:row r="1345">
      <x:c r="A1345" s="35" t="str">
        <x:v>gemini</x:v>
      </x:c>
      <x:c r="B1345" s="35" t="str">
        <x:v>JacksonDatabind</x:v>
      </x:c>
      <x:c r="C1345" s="35" t="str">
        <x:v>Round1</x:v>
      </x:c>
      <x:c r="D1345" s="35" t="str">
        <x:v>JacksonDatabind_87</x:v>
      </x:c>
      <x:c r="E1345" s="35" t="str">
        <x:v>Condition</x:v>
      </x:c>
      <x:c r="F1345" s="35" t="n">
        <x:v>136</x:v>
      </x:c>
      <x:c r="G1345" s="35" t="str">
        <x:v>RECORDED</x:v>
      </x:c>
      <x:c r="H1345" s="39" t="n">
        <x:f>IF(ISNUMBER('Data'!N491),'Data'!N491*100,"")</x:f>
        <x:v>0</x:v>
      </x:c>
      <x:c r="I1345" s="35" t="str">
        <x:v>PASS</x:v>
      </x:c>
      <x:c r="J1345" s="35" t="str">
        <x:v>PASS</x:v>
      </x:c>
      <x:c r="K1345" s="35" t="str">
        <x:v>PASS</x:v>
      </x:c>
      <x:c r="L1345" s="35" t="str">
        <x:v>PASS</x:v>
      </x:c>
      <x:c r="M1345" s="35" t="str">
        <x:v>numeric coverage for applicable metric</x:v>
      </x:c>
      <x:c r="N1345" s="35" t="str">
        <x:v>Gemini-3.8-flash/Result/JacksonDatabind_87/result.json</x:v>
      </x:c>
      <x:c r="O1345" s="39" t="n">
        <x:f>IF(AND(G1345="RECORDED",ISNUMBER(H1345)),H1345,"")</x:f>
        <x:v>0</x:v>
      </x:c>
      <x:c r="P1345" s="35" t="str">
        <x:v>NOT_REVEALING</x:v>
      </x:c>
      <x:c r="Q1345" s="35" t="str">
        <x:v>Gemini-3.8-flash/Result/JacksonDatabind_87/result.json</x:v>
      </x:c>
    </x:row>
    <x:row r="1346">
      <x:c r="A1346" s="35" t="str">
        <x:v>gemini</x:v>
      </x:c>
      <x:c r="B1346" s="35" t="str">
        <x:v>JacksonDatabind</x:v>
      </x:c>
      <x:c r="C1346" s="35" t="str">
        <x:v>Round1</x:v>
      </x:c>
      <x:c r="D1346" s="35" t="str">
        <x:v>JacksonDatabind_88</x:v>
      </x:c>
      <x:c r="E1346" s="35" t="str">
        <x:v>Condition</x:v>
      </x:c>
      <x:c r="F1346" s="35" t="n">
        <x:v>26</x:v>
      </x:c>
      <x:c r="G1346" s="35" t="str">
        <x:v>RECORDED</x:v>
      </x:c>
      <x:c r="H1346" s="39" t="n">
        <x:f>IF(ISNUMBER('Data'!N492),'Data'!N492*100,"")</x:f>
        <x:v>65.38</x:v>
      </x:c>
      <x:c r="I1346" s="35" t="str">
        <x:v>PASS</x:v>
      </x:c>
      <x:c r="J1346" s="35" t="str">
        <x:v>PASS</x:v>
      </x:c>
      <x:c r="K1346" s="35" t="str">
        <x:v>PASS</x:v>
      </x:c>
      <x:c r="L1346" s="35" t="str">
        <x:v>FAIL</x:v>
      </x:c>
      <x:c r="M1346" s="35" t="str">
        <x:v>numeric coverage for applicable metric</x:v>
      </x:c>
      <x:c r="N1346" s="35" t="str">
        <x:v>Gemini-3.8-flash/Result/JacksonDatabind_88/result.json</x:v>
      </x:c>
      <x:c r="O1346" s="39" t="n">
        <x:f>IF(AND(G1346="RECORDED",ISNUMBER(H1346)),H1346,"")</x:f>
        <x:v>65.38</x:v>
      </x:c>
      <x:c r="P1346" s="35" t="str">
        <x:v>INCONCLUSIVE</x:v>
      </x:c>
      <x:c r="Q1346" s="35" t="str">
        <x:v>Gemini-3.8-flash/Result/JacksonDatabind_88/result.json</x:v>
      </x:c>
    </x:row>
    <x:row r="1347">
      <x:c r="A1347" s="35" t="str">
        <x:v>gemini</x:v>
      </x:c>
      <x:c r="B1347" s="35" t="str">
        <x:v>JacksonDatabind</x:v>
      </x:c>
      <x:c r="C1347" s="35" t="str">
        <x:v>Round1</x:v>
      </x:c>
      <x:c r="D1347" s="35" t="str">
        <x:v>JacksonDatabind_9</x:v>
      </x:c>
      <x:c r="E1347" s="35" t="str">
        <x:v>Condition</x:v>
      </x:c>
      <x:c r="F1347" s="35"/>
      <x:c r="G1347" s="35" t="str">
        <x:v>A</x:v>
      </x:c>
      <x:c r="H1347" s="39" t="str">
        <x:f>IF(ISNUMBER('Data'!N493),'Data'!N493*100,"")</x:f>
      </x:c>
      <x:c r="I1347" s="35"/>
      <x:c r="J1347" s="35" t="str">
        <x:v>PASS</x:v>
      </x:c>
      <x:c r="K1347" s="35" t="str">
        <x:v>FAIL</x:v>
      </x:c>
      <x:c r="L1347" s="35" t="str">
        <x:v>NOT_RUN</x:v>
      </x:c>
      <x:c r="M1347" s="35" t="str">
        <x:v>coverage unavailable or execution/compile failed</x:v>
      </x:c>
      <x:c r="N1347" s="35" t="str">
        <x:v>Gemini-3.8-flash/Result/JacksonDatabind_9/result.json</x:v>
      </x:c>
      <x:c r="O1347" s="39" t="str">
        <x:f>IF(AND(G1347="RECORDED",ISNUMBER(H1347)),H1347,"")</x:f>
      </x:c>
      <x:c r="P1347" s="35" t="str">
        <x:v>NOT_AVAILABLE</x:v>
      </x:c>
      <x:c r="Q1347" s="35" t="str">
        <x:v>Gemini-3.8-flash/Result/JacksonDatabind_9/result.json</x:v>
      </x:c>
    </x:row>
    <x:row r="1348">
      <x:c r="A1348" s="35" t="str">
        <x:v>gemini</x:v>
      </x:c>
      <x:c r="B1348" s="35" t="str">
        <x:v>JacksonDatabind</x:v>
      </x:c>
      <x:c r="C1348" s="35" t="str">
        <x:v>Round1</x:v>
      </x:c>
      <x:c r="D1348" s="35" t="str">
        <x:v>JacksonDatabind_90</x:v>
      </x:c>
      <x:c r="E1348" s="35" t="str">
        <x:v>Condition</x:v>
      </x:c>
      <x:c r="F1348" s="35"/>
      <x:c r="G1348" s="35" t="str">
        <x:v>A</x:v>
      </x:c>
      <x:c r="H1348" s="39" t="str">
        <x:f>IF(ISNUMBER('Data'!N494),'Data'!N494*100,"")</x:f>
      </x:c>
      <x:c r="I1348" s="35"/>
      <x:c r="J1348" s="35" t="str">
        <x:v>PASS</x:v>
      </x:c>
      <x:c r="K1348" s="35" t="str">
        <x:v>FAIL</x:v>
      </x:c>
      <x:c r="L1348" s="35" t="str">
        <x:v>NOT_RUN</x:v>
      </x:c>
      <x:c r="M1348" s="35" t="str">
        <x:v>coverage unavailable or execution/compile failed</x:v>
      </x:c>
      <x:c r="N1348" s="35" t="str">
        <x:v>Gemini-3.8-flash/Result/JacksonDatabind_90/result.json</x:v>
      </x:c>
      <x:c r="O1348" s="39" t="str">
        <x:f>IF(AND(G1348="RECORDED",ISNUMBER(H1348)),H1348,"")</x:f>
      </x:c>
      <x:c r="P1348" s="35" t="str">
        <x:v>NOT_AVAILABLE</x:v>
      </x:c>
      <x:c r="Q1348" s="35" t="str">
        <x:v>Gemini-3.8-flash/Result/JacksonDatabind_90/result.json</x:v>
      </x:c>
    </x:row>
    <x:row r="1349">
      <x:c r="A1349" s="35" t="str">
        <x:v>gemini</x:v>
      </x:c>
      <x:c r="B1349" s="35" t="str">
        <x:v>JacksonDatabind</x:v>
      </x:c>
      <x:c r="C1349" s="35" t="str">
        <x:v>Round1</x:v>
      </x:c>
      <x:c r="D1349" s="35" t="str">
        <x:v>JacksonDatabind_91</x:v>
      </x:c>
      <x:c r="E1349" s="35" t="str">
        <x:v>Condition</x:v>
      </x:c>
      <x:c r="F1349" s="35"/>
      <x:c r="G1349" s="35" t="str">
        <x:v>A</x:v>
      </x:c>
      <x:c r="H1349" s="39" t="str">
        <x:f>IF(ISNUMBER('Data'!N495),'Data'!N495*100,"")</x:f>
      </x:c>
      <x:c r="I1349" s="35"/>
      <x:c r="J1349" s="35" t="str">
        <x:v>PASS</x:v>
      </x:c>
      <x:c r="K1349" s="35" t="str">
        <x:v>FAIL</x:v>
      </x:c>
      <x:c r="L1349" s="35" t="str">
        <x:v>NOT_RUN</x:v>
      </x:c>
      <x:c r="M1349" s="35" t="str">
        <x:v>coverage unavailable or execution/compile failed</x:v>
      </x:c>
      <x:c r="N1349" s="35" t="str">
        <x:v>Gemini-3.8-flash/Result/JacksonDatabind_91/result.json</x:v>
      </x:c>
      <x:c r="O1349" s="39" t="str">
        <x:f>IF(AND(G1349="RECORDED",ISNUMBER(H1349)),H1349,"")</x:f>
      </x:c>
      <x:c r="P1349" s="35" t="str">
        <x:v>NOT_AVAILABLE</x:v>
      </x:c>
      <x:c r="Q1349" s="35" t="str">
        <x:v>Gemini-3.8-flash/Result/JacksonDatabind_91/result.json</x:v>
      </x:c>
    </x:row>
    <x:row r="1350">
      <x:c r="A1350" s="35" t="str">
        <x:v>gemini</x:v>
      </x:c>
      <x:c r="B1350" s="35" t="str">
        <x:v>JacksonDatabind</x:v>
      </x:c>
      <x:c r="C1350" s="35" t="str">
        <x:v>Round1</x:v>
      </x:c>
      <x:c r="D1350" s="35" t="str">
        <x:v>JacksonDatabind_92</x:v>
      </x:c>
      <x:c r="E1350" s="35" t="str">
        <x:v>Condition</x:v>
      </x:c>
      <x:c r="F1350" s="35"/>
      <x:c r="G1350" s="35" t="str">
        <x:v>A</x:v>
      </x:c>
      <x:c r="H1350" s="39" t="str">
        <x:f>IF(ISNUMBER('Data'!N496),'Data'!N496*100,"")</x:f>
      </x:c>
      <x:c r="I1350" s="35"/>
      <x:c r="J1350" s="35" t="str">
        <x:v>PASS</x:v>
      </x:c>
      <x:c r="K1350" s="35" t="str">
        <x:v>FAIL</x:v>
      </x:c>
      <x:c r="L1350" s="35" t="str">
        <x:v>NOT_RUN</x:v>
      </x:c>
      <x:c r="M1350" s="35" t="str">
        <x:v>coverage unavailable or execution/compile failed</x:v>
      </x:c>
      <x:c r="N1350" s="35" t="str">
        <x:v>Gemini-3.8-flash/Result/JacksonDatabind_92/result.json</x:v>
      </x:c>
      <x:c r="O1350" s="39" t="str">
        <x:f>IF(AND(G1350="RECORDED",ISNUMBER(H1350)),H1350,"")</x:f>
      </x:c>
      <x:c r="P1350" s="35" t="str">
        <x:v>NOT_AVAILABLE</x:v>
      </x:c>
      <x:c r="Q1350" s="35" t="str">
        <x:v>Gemini-3.8-flash/Result/JacksonDatabind_92/result.json</x:v>
      </x:c>
    </x:row>
    <x:row r="1351">
      <x:c r="A1351" s="35" t="str">
        <x:v>gemini</x:v>
      </x:c>
      <x:c r="B1351" s="35" t="str">
        <x:v>JacksonDatabind</x:v>
      </x:c>
      <x:c r="C1351" s="35" t="str">
        <x:v>Round1</x:v>
      </x:c>
      <x:c r="D1351" s="35" t="str">
        <x:v>JacksonDatabind_93</x:v>
      </x:c>
      <x:c r="E1351" s="35" t="str">
        <x:v>Condition</x:v>
      </x:c>
      <x:c r="F1351" s="35" t="n">
        <x:v>10</x:v>
      </x:c>
      <x:c r="G1351" s="35" t="str">
        <x:v>RECORDED</x:v>
      </x:c>
      <x:c r="H1351" s="39" t="n">
        <x:f>IF(ISNUMBER('Data'!N497),'Data'!N497*100,"")</x:f>
        <x:v>100</x:v>
      </x:c>
      <x:c r="I1351" s="35" t="str">
        <x:v>PASS</x:v>
      </x:c>
      <x:c r="J1351" s="35" t="str">
        <x:v>PASS</x:v>
      </x:c>
      <x:c r="K1351" s="35" t="str">
        <x:v>PASS</x:v>
      </x:c>
      <x:c r="L1351" s="35" t="str">
        <x:v>FAIL</x:v>
      </x:c>
      <x:c r="M1351" s="35" t="str">
        <x:v>numeric coverage for applicable metric</x:v>
      </x:c>
      <x:c r="N1351" s="35" t="str">
        <x:v>Gemini-3.8-flash/Result/JacksonDatabind_93/result.json</x:v>
      </x:c>
      <x:c r="O1351" s="39" t="n">
        <x:f>IF(AND(G1351="RECORDED",ISNUMBER(H1351)),H1351,"")</x:f>
        <x:v>100</x:v>
      </x:c>
      <x:c r="P1351" s="35" t="str">
        <x:v>INCONCLUSIVE</x:v>
      </x:c>
      <x:c r="Q1351" s="35" t="str">
        <x:v>Gemini-3.8-flash/Result/JacksonDatabind_93/result.json</x:v>
      </x:c>
    </x:row>
    <x:row r="1352">
      <x:c r="A1352" s="35" t="str">
        <x:v>gemini</x:v>
      </x:c>
      <x:c r="B1352" s="35" t="str">
        <x:v>JacksonDatabind</x:v>
      </x:c>
      <x:c r="C1352" s="35" t="str">
        <x:v>Round1</x:v>
      </x:c>
      <x:c r="D1352" s="35" t="str">
        <x:v>JacksonDatabind_94</x:v>
      </x:c>
      <x:c r="E1352" s="35" t="str">
        <x:v>Condition</x:v>
      </x:c>
      <x:c r="F1352" s="35" t="n">
        <x:v>14</x:v>
      </x:c>
      <x:c r="G1352" s="35" t="str">
        <x:v>RECORDED</x:v>
      </x:c>
      <x:c r="H1352" s="39" t="n">
        <x:f>IF(ISNUMBER('Data'!N498),'Data'!N498*100,"")</x:f>
        <x:v>92.86</x:v>
      </x:c>
      <x:c r="I1352" s="35" t="str">
        <x:v>PASS</x:v>
      </x:c>
      <x:c r="J1352" s="35" t="str">
        <x:v>PASS</x:v>
      </x:c>
      <x:c r="K1352" s="35" t="str">
        <x:v>PASS</x:v>
      </x:c>
      <x:c r="L1352" s="35" t="str">
        <x:v>FAIL</x:v>
      </x:c>
      <x:c r="M1352" s="35" t="str">
        <x:v>numeric coverage for applicable metric</x:v>
      </x:c>
      <x:c r="N1352" s="35" t="str">
        <x:v>Gemini-3.8-flash/Result/JacksonDatabind_94/result.json</x:v>
      </x:c>
      <x:c r="O1352" s="39" t="n">
        <x:f>IF(AND(G1352="RECORDED",ISNUMBER(H1352)),H1352,"")</x:f>
        <x:v>92.86</x:v>
      </x:c>
      <x:c r="P1352" s="35" t="str">
        <x:v>INCONCLUSIVE</x:v>
      </x:c>
      <x:c r="Q1352" s="35" t="str">
        <x:v>Gemini-3.8-flash/Result/JacksonDatabind_94/result.json</x:v>
      </x:c>
    </x:row>
    <x:row r="1353">
      <x:c r="A1353" s="35" t="str">
        <x:v>gemini</x:v>
      </x:c>
      <x:c r="B1353" s="35" t="str">
        <x:v>JacksonDatabind</x:v>
      </x:c>
      <x:c r="C1353" s="35" t="str">
        <x:v>Round1</x:v>
      </x:c>
      <x:c r="D1353" s="35" t="str">
        <x:v>JacksonDatabind_95</x:v>
      </x:c>
      <x:c r="E1353" s="35" t="str">
        <x:v>Condition</x:v>
      </x:c>
      <x:c r="F1353" s="35" t="n">
        <x:v>271</x:v>
      </x:c>
      <x:c r="G1353" s="35" t="str">
        <x:v>RECORDED</x:v>
      </x:c>
      <x:c r="H1353" s="39" t="n">
        <x:f>IF(ISNUMBER('Data'!N499),'Data'!N499*100,"")</x:f>
        <x:v>35.79</x:v>
      </x:c>
      <x:c r="I1353" s="35" t="str">
        <x:v>PASS</x:v>
      </x:c>
      <x:c r="J1353" s="35" t="str">
        <x:v>PASS</x:v>
      </x:c>
      <x:c r="K1353" s="35" t="str">
        <x:v>PASS</x:v>
      </x:c>
      <x:c r="L1353" s="35" t="str">
        <x:v>FAIL</x:v>
      </x:c>
      <x:c r="M1353" s="35" t="str">
        <x:v>numeric coverage for applicable metric</x:v>
      </x:c>
      <x:c r="N1353" s="35" t="str">
        <x:v>Gemini-3.8-flash/Result/JacksonDatabind_95/result.json</x:v>
      </x:c>
      <x:c r="O1353" s="39" t="n">
        <x:f>IF(AND(G1353="RECORDED",ISNUMBER(H1353)),H1353,"")</x:f>
        <x:v>35.79</x:v>
      </x:c>
      <x:c r="P1353" s="35" t="str">
        <x:v>INCONCLUSIVE</x:v>
      </x:c>
      <x:c r="Q1353" s="35" t="str">
        <x:v>Gemini-3.8-flash/Result/JacksonDatabind_95/result.json</x:v>
      </x:c>
    </x:row>
    <x:row r="1354">
      <x:c r="A1354" s="35" t="str">
        <x:v>gemini</x:v>
      </x:c>
      <x:c r="B1354" s="35" t="str">
        <x:v>JacksonDatabind</x:v>
      </x:c>
      <x:c r="C1354" s="35" t="str">
        <x:v>Round1</x:v>
      </x:c>
      <x:c r="D1354" s="35" t="str">
        <x:v>JacksonDatabind_96</x:v>
      </x:c>
      <x:c r="E1354" s="35" t="str">
        <x:v>Condition</x:v>
      </x:c>
      <x:c r="F1354" s="35"/>
      <x:c r="G1354" s="35" t="str">
        <x:v>A</x:v>
      </x:c>
      <x:c r="H1354" s="39" t="str">
        <x:f>IF(ISNUMBER('Data'!N500),'Data'!N500*100,"")</x:f>
      </x:c>
      <x:c r="I1354" s="35"/>
      <x:c r="J1354" s="35" t="str">
        <x:v>PASS</x:v>
      </x:c>
      <x:c r="K1354" s="35" t="str">
        <x:v>FAIL</x:v>
      </x:c>
      <x:c r="L1354" s="35" t="str">
        <x:v>NOT_RUN</x:v>
      </x:c>
      <x:c r="M1354" s="35" t="str">
        <x:v>coverage unavailable or execution/compile failed</x:v>
      </x:c>
      <x:c r="N1354" s="35" t="str">
        <x:v>Gemini-3.8-flash/Result/JacksonDatabind_96/result.json</x:v>
      </x:c>
      <x:c r="O1354" s="39" t="str">
        <x:f>IF(AND(G1354="RECORDED",ISNUMBER(H1354)),H1354,"")</x:f>
      </x:c>
      <x:c r="P1354" s="35" t="str">
        <x:v>NOT_AVAILABLE</x:v>
      </x:c>
      <x:c r="Q1354" s="35" t="str">
        <x:v>Gemini-3.8-flash/Result/JacksonDatabind_96/result.json</x:v>
      </x:c>
    </x:row>
    <x:row r="1355">
      <x:c r="A1355" s="35" t="str">
        <x:v>gemini</x:v>
      </x:c>
      <x:c r="B1355" s="35" t="str">
        <x:v>JacksonDatabind</x:v>
      </x:c>
      <x:c r="C1355" s="35" t="str">
        <x:v>Round1</x:v>
      </x:c>
      <x:c r="D1355" s="35" t="str">
        <x:v>JacksonDatabind_97</x:v>
      </x:c>
      <x:c r="E1355" s="35" t="str">
        <x:v>Condition</x:v>
      </x:c>
      <x:c r="F1355" s="35"/>
      <x:c r="G1355" s="35" t="str">
        <x:v>A</x:v>
      </x:c>
      <x:c r="H1355" s="39" t="str">
        <x:f>IF(ISNUMBER('Data'!N501),'Data'!N501*100,"")</x:f>
      </x:c>
      <x:c r="I1355" s="35"/>
      <x:c r="J1355" s="35" t="str">
        <x:v>PASS</x:v>
      </x:c>
      <x:c r="K1355" s="35" t="str">
        <x:v>FAIL</x:v>
      </x:c>
      <x:c r="L1355" s="35" t="str">
        <x:v>NOT_RUN</x:v>
      </x:c>
      <x:c r="M1355" s="35" t="str">
        <x:v>coverage unavailable or execution/compile failed</x:v>
      </x:c>
      <x:c r="N1355" s="35" t="str">
        <x:v>Gemini-3.8-flash/Result/JacksonDatabind_97/result.json</x:v>
      </x:c>
      <x:c r="O1355" s="39" t="str">
        <x:f>IF(AND(G1355="RECORDED",ISNUMBER(H1355)),H1355,"")</x:f>
      </x:c>
      <x:c r="P1355" s="35" t="str">
        <x:v>NOT_AVAILABLE</x:v>
      </x:c>
      <x:c r="Q1355" s="35" t="str">
        <x:v>Gemini-3.8-flash/Result/JacksonDatabind_97/result.json</x:v>
      </x:c>
    </x:row>
    <x:row r="1356">
      <x:c r="A1356" s="35" t="str">
        <x:v>gemini</x:v>
      </x:c>
      <x:c r="B1356" s="35" t="str">
        <x:v>JacksonDatabind</x:v>
      </x:c>
      <x:c r="C1356" s="35" t="str">
        <x:v>Round1</x:v>
      </x:c>
      <x:c r="D1356" s="35" t="str">
        <x:v>JacksonDatabind_98</x:v>
      </x:c>
      <x:c r="E1356" s="35" t="str">
        <x:v>Condition</x:v>
      </x:c>
      <x:c r="F1356" s="35" t="n">
        <x:v>92</x:v>
      </x:c>
      <x:c r="G1356" s="35" t="str">
        <x:v>RECORDED</x:v>
      </x:c>
      <x:c r="H1356" s="39" t="n">
        <x:f>IF(ISNUMBER('Data'!N502),'Data'!N502*100,"")</x:f>
        <x:v>0</x:v>
      </x:c>
      <x:c r="I1356" s="35" t="str">
        <x:v>PASS</x:v>
      </x:c>
      <x:c r="J1356" s="35" t="str">
        <x:v>PASS</x:v>
      </x:c>
      <x:c r="K1356" s="35" t="str">
        <x:v>PASS</x:v>
      </x:c>
      <x:c r="L1356" s="35" t="str">
        <x:v>FAIL</x:v>
      </x:c>
      <x:c r="M1356" s="35" t="str">
        <x:v>numeric coverage for applicable metric</x:v>
      </x:c>
      <x:c r="N1356" s="35" t="str">
        <x:v>Gemini-3.8-flash/Result/JacksonDatabind_98/result.json</x:v>
      </x:c>
      <x:c r="O1356" s="39" t="n">
        <x:f>IF(AND(G1356="RECORDED",ISNUMBER(H1356)),H1356,"")</x:f>
        <x:v>0</x:v>
      </x:c>
      <x:c r="P1356" s="35" t="str">
        <x:v>INCONCLUSIVE</x:v>
      </x:c>
      <x:c r="Q1356" s="35" t="str">
        <x:v>Gemini-3.8-flash/Result/JacksonDatabind_98/result.json</x:v>
      </x:c>
    </x:row>
    <x:row r="1357">
      <x:c r="A1357" s="35" t="str">
        <x:v>gemini</x:v>
      </x:c>
      <x:c r="B1357" s="35" t="str">
        <x:v>JacksonDatabind</x:v>
      </x:c>
      <x:c r="C1357" s="35" t="str">
        <x:v>Round1</x:v>
      </x:c>
      <x:c r="D1357" s="35" t="str">
        <x:v>JacksonDatabind_99</x:v>
      </x:c>
      <x:c r="E1357" s="35" t="str">
        <x:v>Condition</x:v>
      </x:c>
      <x:c r="F1357" s="35"/>
      <x:c r="G1357" s="35" t="str">
        <x:v>A</x:v>
      </x:c>
      <x:c r="H1357" s="39" t="str">
        <x:f>IF(ISNUMBER('Data'!N503),'Data'!N503*100,"")</x:f>
      </x:c>
      <x:c r="I1357" s="35"/>
      <x:c r="J1357" s="35" t="str">
        <x:v>PASS</x:v>
      </x:c>
      <x:c r="K1357" s="35" t="str">
        <x:v>FAIL</x:v>
      </x:c>
      <x:c r="L1357" s="35" t="str">
        <x:v>NOT_RUN</x:v>
      </x:c>
      <x:c r="M1357" s="35" t="str">
        <x:v>coverage unavailable or execution/compile failed</x:v>
      </x:c>
      <x:c r="N1357" s="35" t="str">
        <x:v>Gemini-3.8-flash/Result/JacksonDatabind_99/result.json</x:v>
      </x:c>
      <x:c r="O1357" s="39" t="str">
        <x:f>IF(AND(G1357="RECORDED",ISNUMBER(H1357)),H1357,"")</x:f>
      </x:c>
      <x:c r="P1357" s="35" t="str">
        <x:v>NOT_AVAILABLE</x:v>
      </x:c>
      <x:c r="Q1357" s="35" t="str">
        <x:v>Gemini-3.8-flash/Result/JacksonDatabind_99/result.json</x:v>
      </x:c>
    </x:row>
    <x:row r="1358">
      <x:c r="A1358" s="35" t="str">
        <x:v>gemini</x:v>
      </x:c>
      <x:c r="B1358" s="35" t="str">
        <x:v>JacksonXml</x:v>
      </x:c>
      <x:c r="C1358" s="35" t="str">
        <x:v>Round1</x:v>
      </x:c>
      <x:c r="D1358" s="35" t="str">
        <x:v>JacksonXml_1</x:v>
      </x:c>
      <x:c r="E1358" s="35" t="str">
        <x:v>Condition</x:v>
      </x:c>
      <x:c r="F1358" s="35" t="n">
        <x:v>147</x:v>
      </x:c>
      <x:c r="G1358" s="35" t="str">
        <x:v>RECORDED</x:v>
      </x:c>
      <x:c r="H1358" s="39" t="n">
        <x:f>IF(ISNUMBER('Data'!N504),'Data'!N504*100,"")</x:f>
        <x:v>18.37</x:v>
      </x:c>
      <x:c r="I1358" s="35" t="str">
        <x:v>PASS</x:v>
      </x:c>
      <x:c r="J1358" s="35" t="str">
        <x:v>PASS</x:v>
      </x:c>
      <x:c r="K1358" s="35" t="str">
        <x:v>PASS</x:v>
      </x:c>
      <x:c r="L1358" s="35" t="str">
        <x:v>PASS</x:v>
      </x:c>
      <x:c r="M1358" s="35" t="str">
        <x:v>numeric coverage for applicable metric</x:v>
      </x:c>
      <x:c r="N1358" s="35" t="str">
        <x:v>Gemini-3.8-flash/Result/JacksonXml_1/result.json</x:v>
      </x:c>
      <x:c r="O1358" s="39" t="n">
        <x:f>IF(AND(G1358="RECORDED",ISNUMBER(H1358)),H1358,"")</x:f>
        <x:v>18.37</x:v>
      </x:c>
      <x:c r="P1358" s="35" t="str">
        <x:v>NOT_REVEALING</x:v>
      </x:c>
      <x:c r="Q1358" s="35" t="str">
        <x:v>Gemini-3.8-flash/Result/JacksonXml_1/result.json</x:v>
      </x:c>
    </x:row>
    <x:row r="1359">
      <x:c r="A1359" s="35" t="str">
        <x:v>gemini</x:v>
      </x:c>
      <x:c r="B1359" s="35" t="str">
        <x:v>JacksonXml</x:v>
      </x:c>
      <x:c r="C1359" s="35" t="str">
        <x:v>Round1</x:v>
      </x:c>
      <x:c r="D1359" s="35" t="str">
        <x:v>JacksonXml_2</x:v>
      </x:c>
      <x:c r="E1359" s="35" t="str">
        <x:v>Condition</x:v>
      </x:c>
      <x:c r="F1359" s="35"/>
      <x:c r="G1359" s="35" t="str">
        <x:v>A</x:v>
      </x:c>
      <x:c r="H1359" s="39" t="str">
        <x:f>IF(ISNUMBER('Data'!N505),'Data'!N505*100,"")</x:f>
      </x:c>
      <x:c r="I1359" s="35"/>
      <x:c r="J1359" s="35" t="str">
        <x:v>PASS</x:v>
      </x:c>
      <x:c r="K1359" s="35" t="str">
        <x:v>FAIL</x:v>
      </x:c>
      <x:c r="L1359" s="35" t="str">
        <x:v>NOT_RUN</x:v>
      </x:c>
      <x:c r="M1359" s="35" t="str">
        <x:v>coverage unavailable or execution/compile failed</x:v>
      </x:c>
      <x:c r="N1359" s="35" t="str">
        <x:v>Gemini-3.8-flash/Result/JacksonXml_2/result.json</x:v>
      </x:c>
      <x:c r="O1359" s="39" t="str">
        <x:f>IF(AND(G1359="RECORDED",ISNUMBER(H1359)),H1359,"")</x:f>
      </x:c>
      <x:c r="P1359" s="35" t="str">
        <x:v>NOT_AVAILABLE</x:v>
      </x:c>
      <x:c r="Q1359" s="35" t="str">
        <x:v>Gemini-3.8-flash/Result/JacksonXml_2/result.json</x:v>
      </x:c>
    </x:row>
    <x:row r="1360">
      <x:c r="A1360" s="35" t="str">
        <x:v>gemini</x:v>
      </x:c>
      <x:c r="B1360" s="35" t="str">
        <x:v>JacksonXml</x:v>
      </x:c>
      <x:c r="C1360" s="35" t="str">
        <x:v>Round1</x:v>
      </x:c>
      <x:c r="D1360" s="35" t="str">
        <x:v>JacksonXml_3</x:v>
      </x:c>
      <x:c r="E1360" s="35" t="str">
        <x:v>Condition</x:v>
      </x:c>
      <x:c r="F1360" s="35" t="n">
        <x:v>151</x:v>
      </x:c>
      <x:c r="G1360" s="35" t="str">
        <x:v>RECORDED</x:v>
      </x:c>
      <x:c r="H1360" s="39" t="n">
        <x:f>IF(ISNUMBER('Data'!N506),'Data'!N506*100,"")</x:f>
        <x:v>17.88</x:v>
      </x:c>
      <x:c r="I1360" s="35" t="str">
        <x:v>PASS</x:v>
      </x:c>
      <x:c r="J1360" s="35" t="str">
        <x:v>PASS</x:v>
      </x:c>
      <x:c r="K1360" s="35" t="str">
        <x:v>PASS</x:v>
      </x:c>
      <x:c r="L1360" s="35" t="str">
        <x:v>PASS</x:v>
      </x:c>
      <x:c r="M1360" s="35" t="str">
        <x:v>numeric coverage for applicable metric</x:v>
      </x:c>
      <x:c r="N1360" s="35" t="str">
        <x:v>Gemini-3.8-flash/Result/JacksonXml_3/result.json</x:v>
      </x:c>
      <x:c r="O1360" s="39" t="n">
        <x:f>IF(AND(G1360="RECORDED",ISNUMBER(H1360)),H1360,"")</x:f>
        <x:v>17.88</x:v>
      </x:c>
      <x:c r="P1360" s="35" t="str">
        <x:v>NOT_REVEALING</x:v>
      </x:c>
      <x:c r="Q1360" s="35" t="str">
        <x:v>Gemini-3.8-flash/Result/JacksonXml_3/result.json</x:v>
      </x:c>
    </x:row>
    <x:row r="1361">
      <x:c r="A1361" s="35" t="str">
        <x:v>gemini</x:v>
      </x:c>
      <x:c r="B1361" s="35" t="str">
        <x:v>JacksonXml</x:v>
      </x:c>
      <x:c r="C1361" s="35" t="str">
        <x:v>Round1</x:v>
      </x:c>
      <x:c r="D1361" s="35" t="str">
        <x:v>JacksonXml_4</x:v>
      </x:c>
      <x:c r="E1361" s="35" t="str">
        <x:v>Condition</x:v>
      </x:c>
      <x:c r="F1361" s="35" t="n">
        <x:v>58</x:v>
      </x:c>
      <x:c r="G1361" s="35" t="str">
        <x:v>RECORDED</x:v>
      </x:c>
      <x:c r="H1361" s="39" t="n">
        <x:f>IF(ISNUMBER('Data'!N507),'Data'!N507*100,"")</x:f>
        <x:v>17.24</x:v>
      </x:c>
      <x:c r="I1361" s="35" t="str">
        <x:v>PASS</x:v>
      </x:c>
      <x:c r="J1361" s="35" t="str">
        <x:v>PASS</x:v>
      </x:c>
      <x:c r="K1361" s="35" t="str">
        <x:v>PASS</x:v>
      </x:c>
      <x:c r="L1361" s="35" t="str">
        <x:v>PASS</x:v>
      </x:c>
      <x:c r="M1361" s="35" t="str">
        <x:v>numeric coverage for applicable metric</x:v>
      </x:c>
      <x:c r="N1361" s="35" t="str">
        <x:v>Gemini-3.8-flash/Result/JacksonXml_4/result.json</x:v>
      </x:c>
      <x:c r="O1361" s="39" t="n">
        <x:f>IF(AND(G1361="RECORDED",ISNUMBER(H1361)),H1361,"")</x:f>
        <x:v>17.24</x:v>
      </x:c>
      <x:c r="P1361" s="35" t="str">
        <x:v>NOT_REVEALING</x:v>
      </x:c>
      <x:c r="Q1361" s="35" t="str">
        <x:v>Gemini-3.8-flash/Result/JacksonXml_4/result.json</x:v>
      </x:c>
    </x:row>
    <x:row r="1362">
      <x:c r="A1362" s="35" t="str">
        <x:v>gemini</x:v>
      </x:c>
      <x:c r="B1362" s="35" t="str">
        <x:v>JacksonXml</x:v>
      </x:c>
      <x:c r="C1362" s="35" t="str">
        <x:v>Round1</x:v>
      </x:c>
      <x:c r="D1362" s="35" t="str">
        <x:v>JacksonXml_5</x:v>
      </x:c>
      <x:c r="E1362" s="35" t="str">
        <x:v>Condition</x:v>
      </x:c>
      <x:c r="F1362" s="35" t="n">
        <x:v>48</x:v>
      </x:c>
      <x:c r="G1362" s="35" t="str">
        <x:v>RECORDED</x:v>
      </x:c>
      <x:c r="H1362" s="39" t="n">
        <x:f>IF(ISNUMBER('Data'!N508),'Data'!N508*100,"")</x:f>
        <x:v>20.83</x:v>
      </x:c>
      <x:c r="I1362" s="35" t="str">
        <x:v>PASS</x:v>
      </x:c>
      <x:c r="J1362" s="35" t="str">
        <x:v>PASS</x:v>
      </x:c>
      <x:c r="K1362" s="35" t="str">
        <x:v>PASS</x:v>
      </x:c>
      <x:c r="L1362" s="35" t="str">
        <x:v>PASS</x:v>
      </x:c>
      <x:c r="M1362" s="35" t="str">
        <x:v>numeric coverage for applicable metric</x:v>
      </x:c>
      <x:c r="N1362" s="35" t="str">
        <x:v>Gemini-3.8-flash/Result/JacksonXml_5/result.json</x:v>
      </x:c>
      <x:c r="O1362" s="39" t="n">
        <x:f>IF(AND(G1362="RECORDED",ISNUMBER(H1362)),H1362,"")</x:f>
        <x:v>20.83</x:v>
      </x:c>
      <x:c r="P1362" s="35" t="str">
        <x:v>NOT_REVEALING</x:v>
      </x:c>
      <x:c r="Q1362" s="35" t="str">
        <x:v>Gemini-3.8-flash/Result/JacksonXml_5/result.json</x:v>
      </x:c>
    </x:row>
    <x:row r="1363">
      <x:c r="A1363" s="35" t="str">
        <x:v>gemini</x:v>
      </x:c>
      <x:c r="B1363" s="35" t="str">
        <x:v>JacksonXml</x:v>
      </x:c>
      <x:c r="C1363" s="35" t="str">
        <x:v>Round1</x:v>
      </x:c>
      <x:c r="D1363" s="35" t="str">
        <x:v>JacksonXml_6</x:v>
      </x:c>
      <x:c r="E1363" s="35" t="str">
        <x:v>Condition</x:v>
      </x:c>
      <x:c r="F1363" s="35" t="n">
        <x:v>222</x:v>
      </x:c>
      <x:c r="G1363" s="35" t="str">
        <x:v>RECORDED</x:v>
      </x:c>
      <x:c r="H1363" s="39" t="n">
        <x:f>IF(ISNUMBER('Data'!N509),'Data'!N509*100,"")</x:f>
        <x:v>3.6000000000000005</x:v>
      </x:c>
      <x:c r="I1363" s="35" t="str">
        <x:v>PASS</x:v>
      </x:c>
      <x:c r="J1363" s="35" t="str">
        <x:v>PASS</x:v>
      </x:c>
      <x:c r="K1363" s="35" t="str">
        <x:v>PASS</x:v>
      </x:c>
      <x:c r="L1363" s="35" t="str">
        <x:v>FAIL</x:v>
      </x:c>
      <x:c r="M1363" s="35" t="str">
        <x:v>numeric coverage for applicable metric</x:v>
      </x:c>
      <x:c r="N1363" s="35" t="str">
        <x:v>Gemini-3.8-flash/Result/JacksonXml_6/result.json</x:v>
      </x:c>
      <x:c r="O1363" s="39" t="n">
        <x:f>IF(AND(G1363="RECORDED",ISNUMBER(H1363)),H1363,"")</x:f>
        <x:v>3.6000000000000005</x:v>
      </x:c>
      <x:c r="P1363" s="35" t="str">
        <x:v>INCONCLUSIVE</x:v>
      </x:c>
      <x:c r="Q1363" s="35" t="str">
        <x:v>Gemini-3.8-flash/Result/JacksonXml_6/result.json</x:v>
      </x:c>
    </x:row>
    <x:row r="1364">
      <x:c r="A1364" s="35" t="str">
        <x:v>gemini</x:v>
      </x:c>
      <x:c r="B1364" s="35" t="str">
        <x:v>Jsoup</x:v>
      </x:c>
      <x:c r="C1364" s="35" t="str">
        <x:v>Round1</x:v>
      </x:c>
      <x:c r="D1364" s="35" t="str">
        <x:v>Jsoup_1</x:v>
      </x:c>
      <x:c r="E1364" s="35" t="str">
        <x:v>Condition</x:v>
      </x:c>
      <x:c r="F1364" s="35" t="n">
        <x:v>18</x:v>
      </x:c>
      <x:c r="G1364" s="35" t="str">
        <x:v>RECORDED</x:v>
      </x:c>
      <x:c r="H1364" s="39" t="n">
        <x:f>IF(ISNUMBER('Data'!N510),'Data'!N510*100,"")</x:f>
        <x:v>100</x:v>
      </x:c>
      <x:c r="I1364" s="35" t="str">
        <x:v>PASS</x:v>
      </x:c>
      <x:c r="J1364" s="35" t="str">
        <x:v>PASS</x:v>
      </x:c>
      <x:c r="K1364" s="35" t="str">
        <x:v>PASS</x:v>
      </x:c>
      <x:c r="L1364" s="35" t="str">
        <x:v>PASS</x:v>
      </x:c>
      <x:c r="M1364" s="35" t="str">
        <x:v>numeric coverage for applicable metric</x:v>
      </x:c>
      <x:c r="N1364" s="35" t="str">
        <x:v>Gemini-3.8-flash/Result/Jsoup_1/result.json</x:v>
      </x:c>
      <x:c r="O1364" s="39" t="n">
        <x:f>IF(AND(G1364="RECORDED",ISNUMBER(H1364)),H1364,"")</x:f>
        <x:v>100</x:v>
      </x:c>
      <x:c r="P1364" s="35" t="str">
        <x:v>NOT_REVEALING</x:v>
      </x:c>
      <x:c r="Q1364" s="35" t="str">
        <x:v>Gemini-3.8-flash/Result/Jsoup_1/result.json</x:v>
      </x:c>
    </x:row>
    <x:row r="1365">
      <x:c r="A1365" s="35" t="str">
        <x:v>gemini</x:v>
      </x:c>
      <x:c r="B1365" s="35" t="str">
        <x:v>Jsoup</x:v>
      </x:c>
      <x:c r="C1365" s="35" t="str">
        <x:v>Round1</x:v>
      </x:c>
      <x:c r="D1365" s="35" t="str">
        <x:v>Jsoup_10</x:v>
      </x:c>
      <x:c r="E1365" s="35" t="str">
        <x:v>Condition</x:v>
      </x:c>
      <x:c r="F1365" s="35" t="n">
        <x:v>48</x:v>
      </x:c>
      <x:c r="G1365" s="35" t="str">
        <x:v>RECORDED</x:v>
      </x:c>
      <x:c r="H1365" s="39" t="n">
        <x:f>IF(ISNUMBER('Data'!N511),'Data'!N511*100,"")</x:f>
        <x:v>100</x:v>
      </x:c>
      <x:c r="I1365" s="35" t="str">
        <x:v>PASS</x:v>
      </x:c>
      <x:c r="J1365" s="35" t="str">
        <x:v>PASS</x:v>
      </x:c>
      <x:c r="K1365" s="35" t="str">
        <x:v>PASS</x:v>
      </x:c>
      <x:c r="L1365" s="35" t="str">
        <x:v>FAIL</x:v>
      </x:c>
      <x:c r="M1365" s="35" t="str">
        <x:v>numeric coverage for applicable metric</x:v>
      </x:c>
      <x:c r="N1365" s="35" t="str">
        <x:v>Gemini-3.8-flash/Result/Jsoup_10/result.json</x:v>
      </x:c>
      <x:c r="O1365" s="39" t="n">
        <x:f>IF(AND(G1365="RECORDED",ISNUMBER(H1365)),H1365,"")</x:f>
        <x:v>100</x:v>
      </x:c>
      <x:c r="P1365" s="35" t="str">
        <x:v>INCONCLUSIVE</x:v>
      </x:c>
      <x:c r="Q1365" s="35" t="str">
        <x:v>Gemini-3.8-flash/Result/Jsoup_10/result.json</x:v>
      </x:c>
    </x:row>
    <x:row r="1366">
      <x:c r="A1366" s="35" t="str">
        <x:v>gemini</x:v>
      </x:c>
      <x:c r="B1366" s="35" t="str">
        <x:v>Jsoup</x:v>
      </x:c>
      <x:c r="C1366" s="35" t="str">
        <x:v>Round1</x:v>
      </x:c>
      <x:c r="D1366" s="35" t="str">
        <x:v>Jsoup_11</x:v>
      </x:c>
      <x:c r="E1366" s="35" t="str">
        <x:v>Condition</x:v>
      </x:c>
      <x:c r="F1366" s="35" t="n">
        <x:v>120</x:v>
      </x:c>
      <x:c r="G1366" s="35" t="str">
        <x:v>RECORDED</x:v>
      </x:c>
      <x:c r="H1366" s="39" t="n">
        <x:f>IF(ISNUMBER('Data'!N512),'Data'!N512*100,"")</x:f>
        <x:v>95</x:v>
      </x:c>
      <x:c r="I1366" s="35" t="str">
        <x:v>PASS</x:v>
      </x:c>
      <x:c r="J1366" s="35" t="str">
        <x:v>PASS</x:v>
      </x:c>
      <x:c r="K1366" s="35" t="str">
        <x:v>PASS</x:v>
      </x:c>
      <x:c r="L1366" s="35" t="str">
        <x:v>FAIL</x:v>
      </x:c>
      <x:c r="M1366" s="35" t="str">
        <x:v>numeric coverage for applicable metric</x:v>
      </x:c>
      <x:c r="N1366" s="35" t="str">
        <x:v>Gemini-3.8-flash/Result/Jsoup_11/result.json</x:v>
      </x:c>
      <x:c r="O1366" s="39" t="n">
        <x:f>IF(AND(G1366="RECORDED",ISNUMBER(H1366)),H1366,"")</x:f>
        <x:v>95</x:v>
      </x:c>
      <x:c r="P1366" s="35" t="str">
        <x:v>INCONCLUSIVE</x:v>
      </x:c>
      <x:c r="Q1366" s="35" t="str">
        <x:v>Gemini-3.8-flash/Result/Jsoup_11/result.json</x:v>
      </x:c>
    </x:row>
    <x:row r="1367">
      <x:c r="A1367" s="35" t="str">
        <x:v>gemini</x:v>
      </x:c>
      <x:c r="B1367" s="35" t="str">
        <x:v>Jsoup</x:v>
      </x:c>
      <x:c r="C1367" s="35" t="str">
        <x:v>Round1</x:v>
      </x:c>
      <x:c r="D1367" s="35" t="str">
        <x:v>Jsoup_12</x:v>
      </x:c>
      <x:c r="E1367" s="35" t="str">
        <x:v>Condition</x:v>
      </x:c>
      <x:c r="F1367" s="35" t="n">
        <x:v>132</x:v>
      </x:c>
      <x:c r="G1367" s="35" t="str">
        <x:v>RECORDED</x:v>
      </x:c>
      <x:c r="H1367" s="39" t="n">
        <x:f>IF(ISNUMBER('Data'!N513),'Data'!N513*100,"")</x:f>
        <x:v>95.45</x:v>
      </x:c>
      <x:c r="I1367" s="35" t="str">
        <x:v>PASS</x:v>
      </x:c>
      <x:c r="J1367" s="35" t="str">
        <x:v>PASS</x:v>
      </x:c>
      <x:c r="K1367" s="35" t="str">
        <x:v>PASS</x:v>
      </x:c>
      <x:c r="L1367" s="35" t="str">
        <x:v>FAIL</x:v>
      </x:c>
      <x:c r="M1367" s="35" t="str">
        <x:v>numeric coverage for applicable metric</x:v>
      </x:c>
      <x:c r="N1367" s="35" t="str">
        <x:v>Gemini-3.8-flash/Result/Jsoup_12/result.json</x:v>
      </x:c>
      <x:c r="O1367" s="39" t="n">
        <x:f>IF(AND(G1367="RECORDED",ISNUMBER(H1367)),H1367,"")</x:f>
        <x:v>95.45</x:v>
      </x:c>
      <x:c r="P1367" s="35" t="str">
        <x:v>INCONCLUSIVE</x:v>
      </x:c>
      <x:c r="Q1367" s="35" t="str">
        <x:v>Gemini-3.8-flash/Result/Jsoup_12/result.json</x:v>
      </x:c>
    </x:row>
    <x:row r="1368">
      <x:c r="A1368" s="35" t="str">
        <x:v>gemini</x:v>
      </x:c>
      <x:c r="B1368" s="35" t="str">
        <x:v>Jsoup</x:v>
      </x:c>
      <x:c r="C1368" s="35" t="str">
        <x:v>Round1</x:v>
      </x:c>
      <x:c r="D1368" s="35" t="str">
        <x:v>Jsoup_13</x:v>
      </x:c>
      <x:c r="E1368" s="35" t="str">
        <x:v>Condition</x:v>
      </x:c>
      <x:c r="F1368" s="35"/>
      <x:c r="G1368" s="35" t="str">
        <x:v>A</x:v>
      </x:c>
      <x:c r="H1368" s="39" t="str">
        <x:f>IF(ISNUMBER('Data'!N514),'Data'!N514*100,"")</x:f>
      </x:c>
      <x:c r="I1368" s="35"/>
      <x:c r="J1368" s="35" t="str">
        <x:v>PASS</x:v>
      </x:c>
      <x:c r="K1368" s="35" t="str">
        <x:v>FAIL</x:v>
      </x:c>
      <x:c r="L1368" s="35" t="str">
        <x:v>NOT_RUN</x:v>
      </x:c>
      <x:c r="M1368" s="35" t="str">
        <x:v>coverage unavailable or execution/compile failed</x:v>
      </x:c>
      <x:c r="N1368" s="35" t="str">
        <x:v>Gemini-3.8-flash/Result/Jsoup_13/result.json</x:v>
      </x:c>
      <x:c r="O1368" s="39" t="str">
        <x:f>IF(AND(G1368="RECORDED",ISNUMBER(H1368)),H1368,"")</x:f>
      </x:c>
      <x:c r="P1368" s="35" t="str">
        <x:v>NOT_AVAILABLE</x:v>
      </x:c>
      <x:c r="Q1368" s="35" t="str">
        <x:v>Gemini-3.8-flash/Result/Jsoup_13/result.json</x:v>
      </x:c>
    </x:row>
    <x:row r="1369">
      <x:c r="A1369" s="35" t="str">
        <x:v>gemini</x:v>
      </x:c>
      <x:c r="B1369" s="35" t="str">
        <x:v>Jsoup</x:v>
      </x:c>
      <x:c r="C1369" s="35" t="str">
        <x:v>Round1</x:v>
      </x:c>
      <x:c r="D1369" s="35" t="str">
        <x:v>Jsoup_14</x:v>
      </x:c>
      <x:c r="E1369" s="35" t="str">
        <x:v>Condition</x:v>
      </x:c>
      <x:c r="F1369" s="35"/>
      <x:c r="G1369" s="35" t="str">
        <x:v>A</x:v>
      </x:c>
      <x:c r="H1369" s="39" t="str">
        <x:f>IF(ISNUMBER('Data'!N515),'Data'!N515*100,"")</x:f>
      </x:c>
      <x:c r="I1369" s="35"/>
      <x:c r="J1369" s="35" t="str">
        <x:v>PASS</x:v>
      </x:c>
      <x:c r="K1369" s="35" t="str">
        <x:v>FAIL</x:v>
      </x:c>
      <x:c r="L1369" s="35" t="str">
        <x:v>NOT_RUN</x:v>
      </x:c>
      <x:c r="M1369" s="35" t="str">
        <x:v>coverage unavailable or execution/compile failed</x:v>
      </x:c>
      <x:c r="N1369" s="35" t="str">
        <x:v>Gemini-3.8-flash/Result/Jsoup_14/result.json</x:v>
      </x:c>
      <x:c r="O1369" s="39" t="str">
        <x:f>IF(AND(G1369="RECORDED",ISNUMBER(H1369)),H1369,"")</x:f>
      </x:c>
      <x:c r="P1369" s="35" t="str">
        <x:v>NOT_AVAILABLE</x:v>
      </x:c>
      <x:c r="Q1369" s="35" t="str">
        <x:v>Gemini-3.8-flash/Result/Jsoup_14/result.json</x:v>
      </x:c>
    </x:row>
    <x:row r="1370">
      <x:c r="A1370" s="35" t="str">
        <x:v>gemini</x:v>
      </x:c>
      <x:c r="B1370" s="35" t="str">
        <x:v>Jsoup</x:v>
      </x:c>
      <x:c r="C1370" s="35" t="str">
        <x:v>Round1</x:v>
      </x:c>
      <x:c r="D1370" s="35" t="str">
        <x:v>Jsoup_15</x:v>
      </x:c>
      <x:c r="E1370" s="35" t="str">
        <x:v>Condition</x:v>
      </x:c>
      <x:c r="F1370" s="35"/>
      <x:c r="G1370" s="35" t="str">
        <x:v>A</x:v>
      </x:c>
      <x:c r="H1370" s="39" t="str">
        <x:f>IF(ISNUMBER('Data'!N516),'Data'!N516*100,"")</x:f>
      </x:c>
      <x:c r="I1370" s="35"/>
      <x:c r="J1370" s="35" t="str">
        <x:v>PASS</x:v>
      </x:c>
      <x:c r="K1370" s="35" t="str">
        <x:v>FAIL</x:v>
      </x:c>
      <x:c r="L1370" s="35" t="str">
        <x:v>NOT_RUN</x:v>
      </x:c>
      <x:c r="M1370" s="35" t="str">
        <x:v>coverage unavailable or execution/compile failed</x:v>
      </x:c>
      <x:c r="N1370" s="35" t="str">
        <x:v>Gemini-3.8-flash/Result/Jsoup_15/result.json</x:v>
      </x:c>
      <x:c r="O1370" s="39" t="str">
        <x:f>IF(AND(G1370="RECORDED",ISNUMBER(H1370)),H1370,"")</x:f>
      </x:c>
      <x:c r="P1370" s="35" t="str">
        <x:v>NOT_AVAILABLE</x:v>
      </x:c>
      <x:c r="Q1370" s="35" t="str">
        <x:v>Gemini-3.8-flash/Result/Jsoup_15/result.json</x:v>
      </x:c>
    </x:row>
    <x:row r="1371">
      <x:c r="A1371" s="35" t="str">
        <x:v>gemini</x:v>
      </x:c>
      <x:c r="B1371" s="35" t="str">
        <x:v>Jsoup</x:v>
      </x:c>
      <x:c r="C1371" s="35" t="str">
        <x:v>Round1</x:v>
      </x:c>
      <x:c r="D1371" s="35" t="str">
        <x:v>Jsoup_16</x:v>
      </x:c>
      <x:c r="E1371" s="35" t="str">
        <x:v>Condition</x:v>
      </x:c>
      <x:c r="F1371" s="35" t="n">
        <x:v>4</x:v>
      </x:c>
      <x:c r="G1371" s="35" t="str">
        <x:v>RECORDED</x:v>
      </x:c>
      <x:c r="H1371" s="39" t="n">
        <x:f>IF(ISNUMBER('Data'!N517),'Data'!N517*100,"")</x:f>
        <x:v>100</x:v>
      </x:c>
      <x:c r="I1371" s="35" t="str">
        <x:v>PASS</x:v>
      </x:c>
      <x:c r="J1371" s="35" t="str">
        <x:v>PASS</x:v>
      </x:c>
      <x:c r="K1371" s="35" t="str">
        <x:v>PASS</x:v>
      </x:c>
      <x:c r="L1371" s="35" t="str">
        <x:v>PASS</x:v>
      </x:c>
      <x:c r="M1371" s="35" t="str">
        <x:v>numeric coverage for applicable metric</x:v>
      </x:c>
      <x:c r="N1371" s="35" t="str">
        <x:v>Gemini-3.8-flash/Result/Jsoup_16/result.json</x:v>
      </x:c>
      <x:c r="O1371" s="39" t="n">
        <x:f>IF(AND(G1371="RECORDED",ISNUMBER(H1371)),H1371,"")</x:f>
        <x:v>100</x:v>
      </x:c>
      <x:c r="P1371" s="35" t="str">
        <x:v>INCONCLUSIVE</x:v>
      </x:c>
      <x:c r="Q1371" s="35" t="str">
        <x:v>Gemini-3.8-flash/Result/Jsoup_16/result.json</x:v>
      </x:c>
    </x:row>
    <x:row r="1372">
      <x:c r="A1372" s="35" t="str">
        <x:v>gemini</x:v>
      </x:c>
      <x:c r="B1372" s="35" t="str">
        <x:v>Jsoup</x:v>
      </x:c>
      <x:c r="C1372" s="35" t="str">
        <x:v>Round1</x:v>
      </x:c>
      <x:c r="D1372" s="35" t="str">
        <x:v>Jsoup_17</x:v>
      </x:c>
      <x:c r="E1372" s="35" t="str">
        <x:v>Condition</x:v>
      </x:c>
      <x:c r="F1372" s="35"/>
      <x:c r="G1372" s="35" t="str">
        <x:v>A</x:v>
      </x:c>
      <x:c r="H1372" s="39" t="str">
        <x:f>IF(ISNUMBER('Data'!N518),'Data'!N518*100,"")</x:f>
      </x:c>
      <x:c r="I1372" s="35"/>
      <x:c r="J1372" s="35" t="str">
        <x:v>PASS</x:v>
      </x:c>
      <x:c r="K1372" s="35" t="str">
        <x:v>FAIL</x:v>
      </x:c>
      <x:c r="L1372" s="35" t="str">
        <x:v>NOT_RUN</x:v>
      </x:c>
      <x:c r="M1372" s="35" t="str">
        <x:v>coverage unavailable or execution/compile failed</x:v>
      </x:c>
      <x:c r="N1372" s="35" t="str">
        <x:v>Gemini-3.8-flash/Result/Jsoup_17/result.json</x:v>
      </x:c>
      <x:c r="O1372" s="39" t="str">
        <x:f>IF(AND(G1372="RECORDED",ISNUMBER(H1372)),H1372,"")</x:f>
      </x:c>
      <x:c r="P1372" s="35" t="str">
        <x:v>NOT_AVAILABLE</x:v>
      </x:c>
      <x:c r="Q1372" s="35" t="str">
        <x:v>Gemini-3.8-flash/Result/Jsoup_17/result.json</x:v>
      </x:c>
    </x:row>
    <x:row r="1373">
      <x:c r="A1373" s="35" t="str">
        <x:v>gemini</x:v>
      </x:c>
      <x:c r="B1373" s="35" t="str">
        <x:v>Jsoup</x:v>
      </x:c>
      <x:c r="C1373" s="35" t="str">
        <x:v>Round1</x:v>
      </x:c>
      <x:c r="D1373" s="35" t="str">
        <x:v>Jsoup_18</x:v>
      </x:c>
      <x:c r="E1373" s="35" t="str">
        <x:v>Condition</x:v>
      </x:c>
      <x:c r="F1373" s="35" t="n">
        <x:v>82</x:v>
      </x:c>
      <x:c r="G1373" s="35" t="str">
        <x:v>RECORDED</x:v>
      </x:c>
      <x:c r="H1373" s="39" t="n">
        <x:f>IF(ISNUMBER('Data'!N519),'Data'!N519*100,"")</x:f>
        <x:v>93.9</x:v>
      </x:c>
      <x:c r="I1373" s="35" t="str">
        <x:v>PASS</x:v>
      </x:c>
      <x:c r="J1373" s="35" t="str">
        <x:v>PASS</x:v>
      </x:c>
      <x:c r="K1373" s="35" t="str">
        <x:v>PASS</x:v>
      </x:c>
      <x:c r="L1373" s="35" t="str">
        <x:v>PASS</x:v>
      </x:c>
      <x:c r="M1373" s="35" t="str">
        <x:v>numeric coverage for applicable metric</x:v>
      </x:c>
      <x:c r="N1373" s="35" t="str">
        <x:v>Gemini-3.8-flash/Result/Jsoup_18/result.json</x:v>
      </x:c>
      <x:c r="O1373" s="39" t="n">
        <x:f>IF(AND(G1373="RECORDED",ISNUMBER(H1373)),H1373,"")</x:f>
        <x:v>93.9</x:v>
      </x:c>
      <x:c r="P1373" s="35" t="str">
        <x:v>INCONCLUSIVE</x:v>
      </x:c>
      <x:c r="Q1373" s="35" t="str">
        <x:v>Gemini-3.8-flash/Result/Jsoup_18/result.json</x:v>
      </x:c>
    </x:row>
    <x:row r="1374">
      <x:c r="A1374" s="35" t="str">
        <x:v>gemini</x:v>
      </x:c>
      <x:c r="B1374" s="35" t="str">
        <x:v>Jsoup</x:v>
      </x:c>
      <x:c r="C1374" s="35" t="str">
        <x:v>Round1</x:v>
      </x:c>
      <x:c r="D1374" s="35" t="str">
        <x:v>Jsoup_19</x:v>
      </x:c>
      <x:c r="E1374" s="35" t="str">
        <x:v>Condition</x:v>
      </x:c>
      <x:c r="F1374" s="35" t="n">
        <x:v>52</x:v>
      </x:c>
      <x:c r="G1374" s="35" t="str">
        <x:v>RECORDED</x:v>
      </x:c>
      <x:c r="H1374" s="39" t="n">
        <x:f>IF(ISNUMBER('Data'!N520),'Data'!N520*100,"")</x:f>
        <x:v>92.31</x:v>
      </x:c>
      <x:c r="I1374" s="35" t="str">
        <x:v>PASS</x:v>
      </x:c>
      <x:c r="J1374" s="35" t="str">
        <x:v>PASS</x:v>
      </x:c>
      <x:c r="K1374" s="35" t="str">
        <x:v>PASS</x:v>
      </x:c>
      <x:c r="L1374" s="35" t="str">
        <x:v>FAIL</x:v>
      </x:c>
      <x:c r="M1374" s="35" t="str">
        <x:v>numeric coverage for applicable metric</x:v>
      </x:c>
      <x:c r="N1374" s="35" t="str">
        <x:v>Gemini-3.8-flash/Result/Jsoup_19/result.json</x:v>
      </x:c>
      <x:c r="O1374" s="39" t="n">
        <x:f>IF(AND(G1374="RECORDED",ISNUMBER(H1374)),H1374,"")</x:f>
        <x:v>92.31</x:v>
      </x:c>
      <x:c r="P1374" s="35" t="str">
        <x:v>INCONCLUSIVE</x:v>
      </x:c>
      <x:c r="Q1374" s="35" t="str">
        <x:v>Gemini-3.8-flash/Result/Jsoup_19/result.json</x:v>
      </x:c>
    </x:row>
    <x:row r="1375">
      <x:c r="A1375" s="35" t="str">
        <x:v>gemini</x:v>
      </x:c>
      <x:c r="B1375" s="35" t="str">
        <x:v>Jsoup</x:v>
      </x:c>
      <x:c r="C1375" s="35" t="str">
        <x:v>Round1</x:v>
      </x:c>
      <x:c r="D1375" s="35" t="str">
        <x:v>Jsoup_2</x:v>
      </x:c>
      <x:c r="E1375" s="35" t="str">
        <x:v>Condition</x:v>
      </x:c>
      <x:c r="F1375" s="35" t="n">
        <x:v>86</x:v>
      </x:c>
      <x:c r="G1375" s="35" t="str">
        <x:v>RECORDED</x:v>
      </x:c>
      <x:c r="H1375" s="39" t="n">
        <x:f>IF(ISNUMBER('Data'!N521),'Data'!N521*100,"")</x:f>
        <x:v>90.7</x:v>
      </x:c>
      <x:c r="I1375" s="35" t="str">
        <x:v>PASS</x:v>
      </x:c>
      <x:c r="J1375" s="35" t="str">
        <x:v>PASS</x:v>
      </x:c>
      <x:c r="K1375" s="35" t="str">
        <x:v>PASS</x:v>
      </x:c>
      <x:c r="L1375" s="35" t="str">
        <x:v>FAIL</x:v>
      </x:c>
      <x:c r="M1375" s="35" t="str">
        <x:v>numeric coverage for applicable metric</x:v>
      </x:c>
      <x:c r="N1375" s="35" t="str">
        <x:v>Gemini-3.8-flash/Result/Jsoup_2/result.json</x:v>
      </x:c>
      <x:c r="O1375" s="39" t="n">
        <x:f>IF(AND(G1375="RECORDED",ISNUMBER(H1375)),H1375,"")</x:f>
        <x:v>90.7</x:v>
      </x:c>
      <x:c r="P1375" s="35" t="str">
        <x:v>INCONCLUSIVE</x:v>
      </x:c>
      <x:c r="Q1375" s="35" t="str">
        <x:v>Gemini-3.8-flash/Result/Jsoup_2/result.json</x:v>
      </x:c>
    </x:row>
    <x:row r="1376">
      <x:c r="A1376" s="35" t="str">
        <x:v>gemini</x:v>
      </x:c>
      <x:c r="B1376" s="35" t="str">
        <x:v>Jsoup</x:v>
      </x:c>
      <x:c r="C1376" s="35" t="str">
        <x:v>Round1</x:v>
      </x:c>
      <x:c r="D1376" s="35" t="str">
        <x:v>Jsoup_20</x:v>
      </x:c>
      <x:c r="E1376" s="35" t="str">
        <x:v>Condition</x:v>
      </x:c>
      <x:c r="F1376" s="35" t="n">
        <x:v>22</x:v>
      </x:c>
      <x:c r="G1376" s="35" t="str">
        <x:v>RECORDED</x:v>
      </x:c>
      <x:c r="H1376" s="39" t="n">
        <x:f>IF(ISNUMBER('Data'!N522),'Data'!N522*100,"")</x:f>
        <x:v>95.45</x:v>
      </x:c>
      <x:c r="I1376" s="35" t="str">
        <x:v>PASS</x:v>
      </x:c>
      <x:c r="J1376" s="35" t="str">
        <x:v>PASS</x:v>
      </x:c>
      <x:c r="K1376" s="35" t="str">
        <x:v>PASS</x:v>
      </x:c>
      <x:c r="L1376" s="35" t="str">
        <x:v>FAIL</x:v>
      </x:c>
      <x:c r="M1376" s="35" t="str">
        <x:v>numeric coverage for applicable metric</x:v>
      </x:c>
      <x:c r="N1376" s="35" t="str">
        <x:v>Gemini-3.8-flash/Result/Jsoup_20/result.json</x:v>
      </x:c>
      <x:c r="O1376" s="39" t="n">
        <x:f>IF(AND(G1376="RECORDED",ISNUMBER(H1376)),H1376,"")</x:f>
        <x:v>95.45</x:v>
      </x:c>
      <x:c r="P1376" s="35" t="str">
        <x:v>INCONCLUSIVE</x:v>
      </x:c>
      <x:c r="Q1376" s="35" t="str">
        <x:v>Gemini-3.8-flash/Result/Jsoup_20/result.json</x:v>
      </x:c>
    </x:row>
    <x:row r="1377">
      <x:c r="A1377" s="35" t="str">
        <x:v>gemini</x:v>
      </x:c>
      <x:c r="B1377" s="35" t="str">
        <x:v>Jsoup</x:v>
      </x:c>
      <x:c r="C1377" s="35" t="str">
        <x:v>Round1</x:v>
      </x:c>
      <x:c r="D1377" s="35" t="str">
        <x:v>Jsoup_21</x:v>
      </x:c>
      <x:c r="E1377" s="35" t="str">
        <x:v>Condition</x:v>
      </x:c>
      <x:c r="F1377" s="35" t="n">
        <x:v>96</x:v>
      </x:c>
      <x:c r="G1377" s="35" t="str">
        <x:v>RECORDED</x:v>
      </x:c>
      <x:c r="H1377" s="39" t="n">
        <x:f>IF(ISNUMBER('Data'!N523),'Data'!N523*100,"")</x:f>
        <x:v>94.79</x:v>
      </x:c>
      <x:c r="I1377" s="35" t="str">
        <x:v>PASS</x:v>
      </x:c>
      <x:c r="J1377" s="35" t="str">
        <x:v>PASS</x:v>
      </x:c>
      <x:c r="K1377" s="35" t="str">
        <x:v>PASS</x:v>
      </x:c>
      <x:c r="L1377" s="35" t="str">
        <x:v>FAIL</x:v>
      </x:c>
      <x:c r="M1377" s="35" t="str">
        <x:v>numeric coverage for applicable metric</x:v>
      </x:c>
      <x:c r="N1377" s="35" t="str">
        <x:v>Gemini-3.8-flash/Result/Jsoup_21/result.json</x:v>
      </x:c>
      <x:c r="O1377" s="39" t="n">
        <x:f>IF(AND(G1377="RECORDED",ISNUMBER(H1377)),H1377,"")</x:f>
        <x:v>94.79</x:v>
      </x:c>
      <x:c r="P1377" s="35" t="str">
        <x:v>INCONCLUSIVE</x:v>
      </x:c>
      <x:c r="Q1377" s="35" t="str">
        <x:v>Gemini-3.8-flash/Result/Jsoup_21/result.json</x:v>
      </x:c>
    </x:row>
    <x:row r="1378">
      <x:c r="A1378" s="35" t="str">
        <x:v>gemini</x:v>
      </x:c>
      <x:c r="B1378" s="35" t="str">
        <x:v>Jsoup</x:v>
      </x:c>
      <x:c r="C1378" s="35" t="str">
        <x:v>Round1</x:v>
      </x:c>
      <x:c r="D1378" s="35" t="str">
        <x:v>Jsoup_22</x:v>
      </x:c>
      <x:c r="E1378" s="35" t="str">
        <x:v>Condition</x:v>
      </x:c>
      <x:c r="F1378" s="35"/>
      <x:c r="G1378" s="35" t="str">
        <x:v>A</x:v>
      </x:c>
      <x:c r="H1378" s="39" t="str">
        <x:f>IF(ISNUMBER('Data'!N524),'Data'!N524*100,"")</x:f>
      </x:c>
      <x:c r="I1378" s="35"/>
      <x:c r="J1378" s="35" t="str">
        <x:v>PASS</x:v>
      </x:c>
      <x:c r="K1378" s="35" t="str">
        <x:v>FAIL</x:v>
      </x:c>
      <x:c r="L1378" s="35" t="str">
        <x:v>NOT_RUN</x:v>
      </x:c>
      <x:c r="M1378" s="35" t="str">
        <x:v>coverage unavailable or execution/compile failed</x:v>
      </x:c>
      <x:c r="N1378" s="35" t="str">
        <x:v>Gemini-3.8-flash/Result/Jsoup_22/result.json</x:v>
      </x:c>
      <x:c r="O1378" s="39" t="str">
        <x:f>IF(AND(G1378="RECORDED",ISNUMBER(H1378)),H1378,"")</x:f>
      </x:c>
      <x:c r="P1378" s="35" t="str">
        <x:v>NOT_AVAILABLE</x:v>
      </x:c>
      <x:c r="Q1378" s="35" t="str">
        <x:v>Gemini-3.8-flash/Result/Jsoup_22/result.json</x:v>
      </x:c>
    </x:row>
    <x:row r="1379">
      <x:c r="A1379" s="35" t="str">
        <x:v>gemini</x:v>
      </x:c>
      <x:c r="B1379" s="35" t="str">
        <x:v>Jsoup</x:v>
      </x:c>
      <x:c r="C1379" s="35" t="str">
        <x:v>Round1</x:v>
      </x:c>
      <x:c r="D1379" s="35" t="str">
        <x:v>Jsoup_23</x:v>
      </x:c>
      <x:c r="E1379" s="35" t="str">
        <x:v>Condition</x:v>
      </x:c>
      <x:c r="F1379" s="35" t="n">
        <x:v>152</x:v>
      </x:c>
      <x:c r="G1379" s="35" t="str">
        <x:v>RECORDED</x:v>
      </x:c>
      <x:c r="H1379" s="39" t="n">
        <x:f>IF(ISNUMBER('Data'!N525),'Data'!N525*100,"")</x:f>
        <x:v>93.42</x:v>
      </x:c>
      <x:c r="I1379" s="35" t="str">
        <x:v>PASS</x:v>
      </x:c>
      <x:c r="J1379" s="35" t="str">
        <x:v>PASS</x:v>
      </x:c>
      <x:c r="K1379" s="35" t="str">
        <x:v>PASS</x:v>
      </x:c>
      <x:c r="L1379" s="35" t="str">
        <x:v>FAIL</x:v>
      </x:c>
      <x:c r="M1379" s="35" t="str">
        <x:v>numeric coverage for applicable metric</x:v>
      </x:c>
      <x:c r="N1379" s="35" t="str">
        <x:v>Gemini-3.8-flash/Result/Jsoup_23/result.json</x:v>
      </x:c>
      <x:c r="O1379" s="39" t="n">
        <x:f>IF(AND(G1379="RECORDED",ISNUMBER(H1379)),H1379,"")</x:f>
        <x:v>93.42</x:v>
      </x:c>
      <x:c r="P1379" s="35" t="str">
        <x:v>INCONCLUSIVE</x:v>
      </x:c>
      <x:c r="Q1379" s="35" t="str">
        <x:v>Gemini-3.8-flash/Result/Jsoup_23/result.json</x:v>
      </x:c>
    </x:row>
    <x:row r="1380">
      <x:c r="A1380" s="35" t="str">
        <x:v>gemini</x:v>
      </x:c>
      <x:c r="B1380" s="35" t="str">
        <x:v>Jsoup</x:v>
      </x:c>
      <x:c r="C1380" s="35" t="str">
        <x:v>Round1</x:v>
      </x:c>
      <x:c r="D1380" s="35" t="str">
        <x:v>Jsoup_24</x:v>
      </x:c>
      <x:c r="E1380" s="35" t="str">
        <x:v>Condition</x:v>
      </x:c>
      <x:c r="F1380" s="35"/>
      <x:c r="G1380" s="35" t="str">
        <x:v>A</x:v>
      </x:c>
      <x:c r="H1380" s="39" t="str">
        <x:f>IF(ISNUMBER('Data'!N526),'Data'!N526*100,"")</x:f>
      </x:c>
      <x:c r="I1380" s="35"/>
      <x:c r="J1380" s="35" t="str">
        <x:v>PASS</x:v>
      </x:c>
      <x:c r="K1380" s="35" t="str">
        <x:v>FAIL</x:v>
      </x:c>
      <x:c r="L1380" s="35" t="str">
        <x:v>NOT_RUN</x:v>
      </x:c>
      <x:c r="M1380" s="35" t="str">
        <x:v>coverage unavailable or execution/compile failed</x:v>
      </x:c>
      <x:c r="N1380" s="35" t="str">
        <x:v>Gemini-3.8-flash/Result/Jsoup_24/result.json</x:v>
      </x:c>
      <x:c r="O1380" s="39" t="str">
        <x:f>IF(AND(G1380="RECORDED",ISNUMBER(H1380)),H1380,"")</x:f>
      </x:c>
      <x:c r="P1380" s="35" t="str">
        <x:v>NOT_AVAILABLE</x:v>
      </x:c>
      <x:c r="Q1380" s="35" t="str">
        <x:v>Gemini-3.8-flash/Result/Jsoup_24/result.json</x:v>
      </x:c>
    </x:row>
    <x:row r="1381">
      <x:c r="A1381" s="35" t="str">
        <x:v>gemini</x:v>
      </x:c>
      <x:c r="B1381" s="35" t="str">
        <x:v>Jsoup</x:v>
      </x:c>
      <x:c r="C1381" s="35" t="str">
        <x:v>Round1</x:v>
      </x:c>
      <x:c r="D1381" s="35" t="str">
        <x:v>Jsoup_25</x:v>
      </x:c>
      <x:c r="E1381" s="35" t="str">
        <x:v>Condition</x:v>
      </x:c>
      <x:c r="F1381" s="35"/>
      <x:c r="G1381" s="35" t="str">
        <x:v>A</x:v>
      </x:c>
      <x:c r="H1381" s="39" t="str">
        <x:f>IF(ISNUMBER('Data'!N527),'Data'!N527*100,"")</x:f>
      </x:c>
      <x:c r="I1381" s="35"/>
      <x:c r="J1381" s="35" t="str">
        <x:v>PASS</x:v>
      </x:c>
      <x:c r="K1381" s="35" t="str">
        <x:v>FAIL</x:v>
      </x:c>
      <x:c r="L1381" s="35" t="str">
        <x:v>NOT_RUN</x:v>
      </x:c>
      <x:c r="M1381" s="35" t="str">
        <x:v>coverage unavailable or execution/compile failed</x:v>
      </x:c>
      <x:c r="N1381" s="35" t="str">
        <x:v>Gemini-3.8-flash/Result/Jsoup_25/result.json</x:v>
      </x:c>
      <x:c r="O1381" s="39" t="str">
        <x:f>IF(AND(G1381="RECORDED",ISNUMBER(H1381)),H1381,"")</x:f>
      </x:c>
      <x:c r="P1381" s="35" t="str">
        <x:v>NOT_AVAILABLE</x:v>
      </x:c>
      <x:c r="Q1381" s="35" t="str">
        <x:v>Gemini-3.8-flash/Result/Jsoup_25/result.json</x:v>
      </x:c>
    </x:row>
    <x:row r="1382">
      <x:c r="A1382" s="35" t="str">
        <x:v>gemini</x:v>
      </x:c>
      <x:c r="B1382" s="35" t="str">
        <x:v>Jsoup</x:v>
      </x:c>
      <x:c r="C1382" s="35" t="str">
        <x:v>Round1</x:v>
      </x:c>
      <x:c r="D1382" s="35" t="str">
        <x:v>Jsoup_26</x:v>
      </x:c>
      <x:c r="E1382" s="35" t="str">
        <x:v>Condition</x:v>
      </x:c>
      <x:c r="F1382" s="35" t="n">
        <x:v>14</x:v>
      </x:c>
      <x:c r="G1382" s="35" t="str">
        <x:v>RECORDED</x:v>
      </x:c>
      <x:c r="H1382" s="39" t="n">
        <x:f>IF(ISNUMBER('Data'!N528),'Data'!N528*100,"")</x:f>
        <x:v>100</x:v>
      </x:c>
      <x:c r="I1382" s="35" t="str">
        <x:v>PASS</x:v>
      </x:c>
      <x:c r="J1382" s="35" t="str">
        <x:v>PASS</x:v>
      </x:c>
      <x:c r="K1382" s="35" t="str">
        <x:v>PASS</x:v>
      </x:c>
      <x:c r="L1382" s="35" t="str">
        <x:v>PASS</x:v>
      </x:c>
      <x:c r="M1382" s="35" t="str">
        <x:v>numeric coverage for applicable metric</x:v>
      </x:c>
      <x:c r="N1382" s="35" t="str">
        <x:v>Gemini-3.8-flash/Result/Jsoup_26/result.json</x:v>
      </x:c>
      <x:c r="O1382" s="39" t="n">
        <x:f>IF(AND(G1382="RECORDED",ISNUMBER(H1382)),H1382,"")</x:f>
        <x:v>100</x:v>
      </x:c>
      <x:c r="P1382" s="35" t="str">
        <x:v>NOT_REVEALING</x:v>
      </x:c>
      <x:c r="Q1382" s="35" t="str">
        <x:v>Gemini-3.8-flash/Result/Jsoup_26/result.json</x:v>
      </x:c>
    </x:row>
    <x:row r="1383">
      <x:c r="A1383" s="35" t="str">
        <x:v>gemini</x:v>
      </x:c>
      <x:c r="B1383" s="35" t="str">
        <x:v>Jsoup</x:v>
      </x:c>
      <x:c r="C1383" s="35" t="str">
        <x:v>Round1</x:v>
      </x:c>
      <x:c r="D1383" s="35" t="str">
        <x:v>Jsoup_27</x:v>
      </x:c>
      <x:c r="E1383" s="35" t="str">
        <x:v>Condition</x:v>
      </x:c>
      <x:c r="F1383" s="35" t="n">
        <x:v>24</x:v>
      </x:c>
      <x:c r="G1383" s="35" t="str">
        <x:v>RECORDED</x:v>
      </x:c>
      <x:c r="H1383" s="39" t="n">
        <x:f>IF(ISNUMBER('Data'!N529),'Data'!N529*100,"")</x:f>
        <x:v>91.67</x:v>
      </x:c>
      <x:c r="I1383" s="35" t="str">
        <x:v>PASS</x:v>
      </x:c>
      <x:c r="J1383" s="35" t="str">
        <x:v>PASS</x:v>
      </x:c>
      <x:c r="K1383" s="35" t="str">
        <x:v>PASS</x:v>
      </x:c>
      <x:c r="L1383" s="35" t="str">
        <x:v>FAIL</x:v>
      </x:c>
      <x:c r="M1383" s="35" t="str">
        <x:v>numeric coverage for applicable metric</x:v>
      </x:c>
      <x:c r="N1383" s="35" t="str">
        <x:v>Gemini-3.8-flash/Result/Jsoup_27/result.json</x:v>
      </x:c>
      <x:c r="O1383" s="39" t="n">
        <x:f>IF(AND(G1383="RECORDED",ISNUMBER(H1383)),H1383,"")</x:f>
        <x:v>91.67</x:v>
      </x:c>
      <x:c r="P1383" s="35" t="str">
        <x:v>INCONCLUSIVE</x:v>
      </x:c>
      <x:c r="Q1383" s="35" t="str">
        <x:v>Gemini-3.8-flash/Result/Jsoup_27/result.json</x:v>
      </x:c>
    </x:row>
    <x:row r="1384">
      <x:c r="A1384" s="35" t="str">
        <x:v>gemini</x:v>
      </x:c>
      <x:c r="B1384" s="35" t="str">
        <x:v>Jsoup</x:v>
      </x:c>
      <x:c r="C1384" s="35" t="str">
        <x:v>Round1</x:v>
      </x:c>
      <x:c r="D1384" s="35" t="str">
        <x:v>Jsoup_28</x:v>
      </x:c>
      <x:c r="E1384" s="35" t="str">
        <x:v>Condition</x:v>
      </x:c>
      <x:c r="F1384" s="35"/>
      <x:c r="G1384" s="35" t="str">
        <x:v>A</x:v>
      </x:c>
      <x:c r="H1384" s="39" t="str">
        <x:f>IF(ISNUMBER('Data'!N530),'Data'!N530*100,"")</x:f>
      </x:c>
      <x:c r="I1384" s="35"/>
      <x:c r="J1384" s="35" t="str">
        <x:v>PASS</x:v>
      </x:c>
      <x:c r="K1384" s="35" t="str">
        <x:v>FAIL</x:v>
      </x:c>
      <x:c r="L1384" s="35" t="str">
        <x:v>NOT_RUN</x:v>
      </x:c>
      <x:c r="M1384" s="35" t="str">
        <x:v>coverage unavailable or execution/compile failed</x:v>
      </x:c>
      <x:c r="N1384" s="35" t="str">
        <x:v>Gemini-3.8-flash/Result/Jsoup_28/result.json</x:v>
      </x:c>
      <x:c r="O1384" s="39" t="str">
        <x:f>IF(AND(G1384="RECORDED",ISNUMBER(H1384)),H1384,"")</x:f>
      </x:c>
      <x:c r="P1384" s="35" t="str">
        <x:v>NOT_AVAILABLE</x:v>
      </x:c>
      <x:c r="Q1384" s="35" t="str">
        <x:v>Gemini-3.8-flash/Result/Jsoup_28/result.json</x:v>
      </x:c>
    </x:row>
    <x:row r="1385">
      <x:c r="A1385" s="35" t="str">
        <x:v>gemini</x:v>
      </x:c>
      <x:c r="B1385" s="35" t="str">
        <x:v>Jsoup</x:v>
      </x:c>
      <x:c r="C1385" s="35" t="str">
        <x:v>Round1</x:v>
      </x:c>
      <x:c r="D1385" s="35" t="str">
        <x:v>Jsoup_29</x:v>
      </x:c>
      <x:c r="E1385" s="35" t="str">
        <x:v>Condition</x:v>
      </x:c>
      <x:c r="F1385" s="35" t="n">
        <x:v>36</x:v>
      </x:c>
      <x:c r="G1385" s="35" t="str">
        <x:v>RECORDED</x:v>
      </x:c>
      <x:c r="H1385" s="39" t="n">
        <x:f>IF(ISNUMBER('Data'!N531),'Data'!N531*100,"")</x:f>
        <x:v>97.22</x:v>
      </x:c>
      <x:c r="I1385" s="35" t="str">
        <x:v>PASS</x:v>
      </x:c>
      <x:c r="J1385" s="35" t="str">
        <x:v>PASS</x:v>
      </x:c>
      <x:c r="K1385" s="35" t="str">
        <x:v>PASS</x:v>
      </x:c>
      <x:c r="L1385" s="35" t="str">
        <x:v>PASS</x:v>
      </x:c>
      <x:c r="M1385" s="35" t="str">
        <x:v>numeric coverage for applicable metric</x:v>
      </x:c>
      <x:c r="N1385" s="35" t="str">
        <x:v>Gemini-3.8-flash/Result/Jsoup_29/result.json</x:v>
      </x:c>
      <x:c r="O1385" s="39" t="n">
        <x:f>IF(AND(G1385="RECORDED",ISNUMBER(H1385)),H1385,"")</x:f>
        <x:v>97.22</x:v>
      </x:c>
      <x:c r="P1385" s="35" t="str">
        <x:v>NOT_REVEALING</x:v>
      </x:c>
      <x:c r="Q1385" s="35" t="str">
        <x:v>Gemini-3.8-flash/Result/Jsoup_29/result.json</x:v>
      </x:c>
    </x:row>
    <x:row r="1386">
      <x:c r="A1386" s="35" t="str">
        <x:v>gemini</x:v>
      </x:c>
      <x:c r="B1386" s="35" t="str">
        <x:v>Jsoup</x:v>
      </x:c>
      <x:c r="C1386" s="35" t="str">
        <x:v>Round1</x:v>
      </x:c>
      <x:c r="D1386" s="35" t="str">
        <x:v>Jsoup_3</x:v>
      </x:c>
      <x:c r="E1386" s="35" t="str">
        <x:v>Condition</x:v>
      </x:c>
      <x:c r="F1386" s="35" t="n">
        <x:v>294</x:v>
      </x:c>
      <x:c r="G1386" s="35" t="str">
        <x:v>RECORDED</x:v>
      </x:c>
      <x:c r="H1386" s="39" t="n">
        <x:f>IF(ISNUMBER('Data'!N532),'Data'!N532*100,"")</x:f>
        <x:v>85.37</x:v>
      </x:c>
      <x:c r="I1386" s="35" t="str">
        <x:v>PASS</x:v>
      </x:c>
      <x:c r="J1386" s="35" t="str">
        <x:v>PASS</x:v>
      </x:c>
      <x:c r="K1386" s="35" t="str">
        <x:v>PASS</x:v>
      </x:c>
      <x:c r="L1386" s="35" t="str">
        <x:v>FAIL</x:v>
      </x:c>
      <x:c r="M1386" s="35" t="str">
        <x:v>numeric coverage for applicable metric</x:v>
      </x:c>
      <x:c r="N1386" s="35" t="str">
        <x:v>Gemini-3.8-flash/Result/Jsoup_3/result.json</x:v>
      </x:c>
      <x:c r="O1386" s="39" t="n">
        <x:f>IF(AND(G1386="RECORDED",ISNUMBER(H1386)),H1386,"")</x:f>
        <x:v>85.37</x:v>
      </x:c>
      <x:c r="P1386" s="35" t="str">
        <x:v>INCONCLUSIVE</x:v>
      </x:c>
      <x:c r="Q1386" s="35" t="str">
        <x:v>Gemini-3.8-flash/Result/Jsoup_3/result.json</x:v>
      </x:c>
    </x:row>
    <x:row r="1387">
      <x:c r="A1387" s="35" t="str">
        <x:v>gemini</x:v>
      </x:c>
      <x:c r="B1387" s="35" t="str">
        <x:v>Jsoup</x:v>
      </x:c>
      <x:c r="C1387" s="35" t="str">
        <x:v>Round1</x:v>
      </x:c>
      <x:c r="D1387" s="35" t="str">
        <x:v>Jsoup_30</x:v>
      </x:c>
      <x:c r="E1387" s="35" t="str">
        <x:v>Condition</x:v>
      </x:c>
      <x:c r="F1387" s="35" t="n">
        <x:v>16</x:v>
      </x:c>
      <x:c r="G1387" s="35" t="str">
        <x:v>RECORDED</x:v>
      </x:c>
      <x:c r="H1387" s="39" t="n">
        <x:f>IF(ISNUMBER('Data'!N533),'Data'!N533*100,"")</x:f>
        <x:v>100</x:v>
      </x:c>
      <x:c r="I1387" s="35" t="str">
        <x:v>PASS</x:v>
      </x:c>
      <x:c r="J1387" s="35" t="str">
        <x:v>PASS</x:v>
      </x:c>
      <x:c r="K1387" s="35" t="str">
        <x:v>PASS</x:v>
      </x:c>
      <x:c r="L1387" s="35" t="str">
        <x:v>FAIL</x:v>
      </x:c>
      <x:c r="M1387" s="35" t="str">
        <x:v>numeric coverage for applicable metric</x:v>
      </x:c>
      <x:c r="N1387" s="35" t="str">
        <x:v>Gemini-3.8-flash/Result/Jsoup_30/result.json</x:v>
      </x:c>
      <x:c r="O1387" s="39" t="n">
        <x:f>IF(AND(G1387="RECORDED",ISNUMBER(H1387)),H1387,"")</x:f>
        <x:v>100</x:v>
      </x:c>
      <x:c r="P1387" s="35" t="str">
        <x:v>INCONCLUSIVE</x:v>
      </x:c>
      <x:c r="Q1387" s="35" t="str">
        <x:v>Gemini-3.8-flash/Result/Jsoup_30/result.json</x:v>
      </x:c>
    </x:row>
    <x:row r="1388">
      <x:c r="A1388" s="35" t="str">
        <x:v>gemini</x:v>
      </x:c>
      <x:c r="B1388" s="35" t="str">
        <x:v>Jsoup</x:v>
      </x:c>
      <x:c r="C1388" s="35" t="str">
        <x:v>Round1</x:v>
      </x:c>
      <x:c r="D1388" s="35" t="str">
        <x:v>Jsoup_31</x:v>
      </x:c>
      <x:c r="E1388" s="35" t="str">
        <x:v>Condition</x:v>
      </x:c>
      <x:c r="F1388" s="35"/>
      <x:c r="G1388" s="35" t="str">
        <x:v>A</x:v>
      </x:c>
      <x:c r="H1388" s="39" t="str">
        <x:f>IF(ISNUMBER('Data'!N534),'Data'!N534*100,"")</x:f>
      </x:c>
      <x:c r="I1388" s="35"/>
      <x:c r="J1388" s="35" t="str">
        <x:v>PASS</x:v>
      </x:c>
      <x:c r="K1388" s="35" t="str">
        <x:v>FAIL</x:v>
      </x:c>
      <x:c r="L1388" s="35" t="str">
        <x:v>NOT_RUN</x:v>
      </x:c>
      <x:c r="M1388" s="35" t="str">
        <x:v>coverage unavailable or execution/compile failed</x:v>
      </x:c>
      <x:c r="N1388" s="35" t="str">
        <x:v>Gemini-3.8-flash/Result/Jsoup_31/result.json</x:v>
      </x:c>
      <x:c r="O1388" s="39" t="str">
        <x:f>IF(AND(G1388="RECORDED",ISNUMBER(H1388)),H1388,"")</x:f>
      </x:c>
      <x:c r="P1388" s="35" t="str">
        <x:v>NOT_AVAILABLE</x:v>
      </x:c>
      <x:c r="Q1388" s="35" t="str">
        <x:v>Gemini-3.8-flash/Result/Jsoup_31/result.json</x:v>
      </x:c>
    </x:row>
    <x:row r="1389">
      <x:c r="A1389" s="35" t="str">
        <x:v>gemini</x:v>
      </x:c>
      <x:c r="B1389" s="35" t="str">
        <x:v>Jsoup</x:v>
      </x:c>
      <x:c r="C1389" s="35" t="str">
        <x:v>Round1</x:v>
      </x:c>
      <x:c r="D1389" s="35" t="str">
        <x:v>Jsoup_32</x:v>
      </x:c>
      <x:c r="E1389" s="35" t="str">
        <x:v>Condition</x:v>
      </x:c>
      <x:c r="F1389" s="35" t="n">
        <x:v>140</x:v>
      </x:c>
      <x:c r="G1389" s="35" t="str">
        <x:v>RECORDED</x:v>
      </x:c>
      <x:c r="H1389" s="39" t="n">
        <x:f>IF(ISNUMBER('Data'!N535),'Data'!N535*100,"")</x:f>
        <x:v>84.29</x:v>
      </x:c>
      <x:c r="I1389" s="35" t="str">
        <x:v>PASS</x:v>
      </x:c>
      <x:c r="J1389" s="35" t="str">
        <x:v>PASS</x:v>
      </x:c>
      <x:c r="K1389" s="35" t="str">
        <x:v>PASS</x:v>
      </x:c>
      <x:c r="L1389" s="35" t="str">
        <x:v>FAIL</x:v>
      </x:c>
      <x:c r="M1389" s="35" t="str">
        <x:v>numeric coverage for applicable metric</x:v>
      </x:c>
      <x:c r="N1389" s="35" t="str">
        <x:v>Gemini-3.8-flash/Result/Jsoup_32/result.json</x:v>
      </x:c>
      <x:c r="O1389" s="39" t="n">
        <x:f>IF(AND(G1389="RECORDED",ISNUMBER(H1389)),H1389,"")</x:f>
        <x:v>84.29</x:v>
      </x:c>
      <x:c r="P1389" s="35" t="str">
        <x:v>INCONCLUSIVE</x:v>
      </x:c>
      <x:c r="Q1389" s="35" t="str">
        <x:v>Gemini-3.8-flash/Result/Jsoup_32/result.json</x:v>
      </x:c>
    </x:row>
    <x:row r="1390">
      <x:c r="A1390" s="35" t="str">
        <x:v>gemini</x:v>
      </x:c>
      <x:c r="B1390" s="35" t="str">
        <x:v>Jsoup</x:v>
      </x:c>
      <x:c r="C1390" s="35" t="str">
        <x:v>Round1</x:v>
      </x:c>
      <x:c r="D1390" s="35" t="str">
        <x:v>Jsoup_33</x:v>
      </x:c>
      <x:c r="E1390" s="35" t="str">
        <x:v>Condition</x:v>
      </x:c>
      <x:c r="F1390" s="35"/>
      <x:c r="G1390" s="35" t="str">
        <x:v>A</x:v>
      </x:c>
      <x:c r="H1390" s="39" t="str">
        <x:f>IF(ISNUMBER('Data'!N536),'Data'!N536*100,"")</x:f>
      </x:c>
      <x:c r="I1390" s="35"/>
      <x:c r="J1390" s="35" t="str">
        <x:v>PASS</x:v>
      </x:c>
      <x:c r="K1390" s="35" t="str">
        <x:v>FAIL</x:v>
      </x:c>
      <x:c r="L1390" s="35" t="str">
        <x:v>NOT_RUN</x:v>
      </x:c>
      <x:c r="M1390" s="35" t="str">
        <x:v>coverage unavailable or execution/compile failed</x:v>
      </x:c>
      <x:c r="N1390" s="35" t="str">
        <x:v>Gemini-3.8-flash/Result/Jsoup_33/result.json</x:v>
      </x:c>
      <x:c r="O1390" s="39" t="str">
        <x:f>IF(AND(G1390="RECORDED",ISNUMBER(H1390)),H1390,"")</x:f>
      </x:c>
      <x:c r="P1390" s="35" t="str">
        <x:v>NOT_AVAILABLE</x:v>
      </x:c>
      <x:c r="Q1390" s="35" t="str">
        <x:v>Gemini-3.8-flash/Result/Jsoup_33/result.json</x:v>
      </x:c>
    </x:row>
    <x:row r="1391">
      <x:c r="A1391" s="35" t="str">
        <x:v>gemini</x:v>
      </x:c>
      <x:c r="B1391" s="35" t="str">
        <x:v>Jsoup</x:v>
      </x:c>
      <x:c r="C1391" s="35" t="str">
        <x:v>Round1</x:v>
      </x:c>
      <x:c r="D1391" s="35" t="str">
        <x:v>Jsoup_34</x:v>
      </x:c>
      <x:c r="E1391" s="35" t="str">
        <x:v>Condition</x:v>
      </x:c>
      <x:c r="F1391" s="35"/>
      <x:c r="G1391" s="35" t="str">
        <x:v>A</x:v>
      </x:c>
      <x:c r="H1391" s="39" t="str">
        <x:f>IF(ISNUMBER('Data'!N537),'Data'!N537*100,"")</x:f>
      </x:c>
      <x:c r="I1391" s="35"/>
      <x:c r="J1391" s="35" t="str">
        <x:v>PASS</x:v>
      </x:c>
      <x:c r="K1391" s="35" t="str">
        <x:v>FAIL</x:v>
      </x:c>
      <x:c r="L1391" s="35" t="str">
        <x:v>NOT_RUN</x:v>
      </x:c>
      <x:c r="M1391" s="35" t="str">
        <x:v>coverage unavailable or execution/compile failed</x:v>
      </x:c>
      <x:c r="N1391" s="35" t="str">
        <x:v>Gemini-3.8-flash/Result/Jsoup_34/result.json</x:v>
      </x:c>
      <x:c r="O1391" s="39" t="str">
        <x:f>IF(AND(G1391="RECORDED",ISNUMBER(H1391)),H1391,"")</x:f>
      </x:c>
      <x:c r="P1391" s="35" t="str">
        <x:v>NOT_AVAILABLE</x:v>
      </x:c>
      <x:c r="Q1391" s="35" t="str">
        <x:v>Gemini-3.8-flash/Result/Jsoup_34/result.json</x:v>
      </x:c>
    </x:row>
    <x:row r="1392">
      <x:c r="A1392" s="35" t="str">
        <x:v>gemini</x:v>
      </x:c>
      <x:c r="B1392" s="35" t="str">
        <x:v>Jsoup</x:v>
      </x:c>
      <x:c r="C1392" s="35" t="str">
        <x:v>Round1</x:v>
      </x:c>
      <x:c r="D1392" s="35" t="str">
        <x:v>Jsoup_35</x:v>
      </x:c>
      <x:c r="E1392" s="35" t="str">
        <x:v>Condition</x:v>
      </x:c>
      <x:c r="F1392" s="35"/>
      <x:c r="G1392" s="35" t="str">
        <x:v>A</x:v>
      </x:c>
      <x:c r="H1392" s="39" t="str">
        <x:f>IF(ISNUMBER('Data'!N538),'Data'!N538*100,"")</x:f>
      </x:c>
      <x:c r="I1392" s="35"/>
      <x:c r="J1392" s="35" t="str">
        <x:v>PASS</x:v>
      </x:c>
      <x:c r="K1392" s="35" t="str">
        <x:v>FAIL</x:v>
      </x:c>
      <x:c r="L1392" s="35" t="str">
        <x:v>NOT_RUN</x:v>
      </x:c>
      <x:c r="M1392" s="35" t="str">
        <x:v>coverage unavailable or execution/compile failed</x:v>
      </x:c>
      <x:c r="N1392" s="35" t="str">
        <x:v>Gemini-3.8-flash/Result/Jsoup_35/result.json</x:v>
      </x:c>
      <x:c r="O1392" s="39" t="str">
        <x:f>IF(AND(G1392="RECORDED",ISNUMBER(H1392)),H1392,"")</x:f>
      </x:c>
      <x:c r="P1392" s="35" t="str">
        <x:v>NOT_AVAILABLE</x:v>
      </x:c>
      <x:c r="Q1392" s="35" t="str">
        <x:v>Gemini-3.8-flash/Result/Jsoup_35/result.json</x:v>
      </x:c>
    </x:row>
    <x:row r="1393">
      <x:c r="A1393" s="35" t="str">
        <x:v>gemini</x:v>
      </x:c>
      <x:c r="B1393" s="35" t="str">
        <x:v>Jsoup</x:v>
      </x:c>
      <x:c r="C1393" s="35" t="str">
        <x:v>Round1</x:v>
      </x:c>
      <x:c r="D1393" s="35" t="str">
        <x:v>Jsoup_36</x:v>
      </x:c>
      <x:c r="E1393" s="35" t="str">
        <x:v>Condition</x:v>
      </x:c>
      <x:c r="F1393" s="35"/>
      <x:c r="G1393" s="35" t="str">
        <x:v>A</x:v>
      </x:c>
      <x:c r="H1393" s="39" t="str">
        <x:f>IF(ISNUMBER('Data'!N539),'Data'!N539*100,"")</x:f>
      </x:c>
      <x:c r="I1393" s="35"/>
      <x:c r="J1393" s="35" t="str">
        <x:v>PASS</x:v>
      </x:c>
      <x:c r="K1393" s="35" t="str">
        <x:v>FAIL</x:v>
      </x:c>
      <x:c r="L1393" s="35" t="str">
        <x:v>NOT_RUN</x:v>
      </x:c>
      <x:c r="M1393" s="35" t="str">
        <x:v>coverage unavailable or execution/compile failed</x:v>
      </x:c>
      <x:c r="N1393" s="35" t="str">
        <x:v>Gemini-3.8-flash/Result/Jsoup_36/result.json</x:v>
      </x:c>
      <x:c r="O1393" s="39" t="str">
        <x:f>IF(AND(G1393="RECORDED",ISNUMBER(H1393)),H1393,"")</x:f>
      </x:c>
      <x:c r="P1393" s="35" t="str">
        <x:v>NOT_AVAILABLE</x:v>
      </x:c>
      <x:c r="Q1393" s="35" t="str">
        <x:v>Gemini-3.8-flash/Result/Jsoup_36/result.json</x:v>
      </x:c>
    </x:row>
    <x:row r="1394">
      <x:c r="A1394" s="35" t="str">
        <x:v>gemini</x:v>
      </x:c>
      <x:c r="B1394" s="35" t="str">
        <x:v>Jsoup</x:v>
      </x:c>
      <x:c r="C1394" s="35" t="str">
        <x:v>Round1</x:v>
      </x:c>
      <x:c r="D1394" s="35" t="str">
        <x:v>Jsoup_37</x:v>
      </x:c>
      <x:c r="E1394" s="35" t="str">
        <x:v>Condition</x:v>
      </x:c>
      <x:c r="F1394" s="35" t="n">
        <x:v>152</x:v>
      </x:c>
      <x:c r="G1394" s="35" t="str">
        <x:v>RECORDED</x:v>
      </x:c>
      <x:c r="H1394" s="39" t="n">
        <x:f>IF(ISNUMBER('Data'!N540),'Data'!N540*100,"")</x:f>
        <x:v>81.58</x:v>
      </x:c>
      <x:c r="I1394" s="35" t="str">
        <x:v>PASS</x:v>
      </x:c>
      <x:c r="J1394" s="35" t="str">
        <x:v>PASS</x:v>
      </x:c>
      <x:c r="K1394" s="35" t="str">
        <x:v>PASS</x:v>
      </x:c>
      <x:c r="L1394" s="35" t="str">
        <x:v>FAIL</x:v>
      </x:c>
      <x:c r="M1394" s="35" t="str">
        <x:v>numeric coverage for applicable metric</x:v>
      </x:c>
      <x:c r="N1394" s="35" t="str">
        <x:v>Gemini-3.8-flash/Result/Jsoup_37/result.json</x:v>
      </x:c>
      <x:c r="O1394" s="39" t="n">
        <x:f>IF(AND(G1394="RECORDED",ISNUMBER(H1394)),H1394,"")</x:f>
        <x:v>81.58</x:v>
      </x:c>
      <x:c r="P1394" s="35" t="str">
        <x:v>INCONCLUSIVE</x:v>
      </x:c>
      <x:c r="Q1394" s="35" t="str">
        <x:v>Gemini-3.8-flash/Result/Jsoup_37/result.json</x:v>
      </x:c>
    </x:row>
    <x:row r="1395">
      <x:c r="A1395" s="35" t="str">
        <x:v>gemini</x:v>
      </x:c>
      <x:c r="B1395" s="35" t="str">
        <x:v>Jsoup</x:v>
      </x:c>
      <x:c r="C1395" s="35" t="str">
        <x:v>Round1</x:v>
      </x:c>
      <x:c r="D1395" s="35" t="str">
        <x:v>Jsoup_38</x:v>
      </x:c>
      <x:c r="E1395" s="35" t="str">
        <x:v>Condition</x:v>
      </x:c>
      <x:c r="F1395" s="35"/>
      <x:c r="G1395" s="35" t="str">
        <x:v>A</x:v>
      </x:c>
      <x:c r="H1395" s="39" t="str">
        <x:f>IF(ISNUMBER('Data'!N541),'Data'!N541*100,"")</x:f>
      </x:c>
      <x:c r="I1395" s="35"/>
      <x:c r="J1395" s="35" t="str">
        <x:v>PASS</x:v>
      </x:c>
      <x:c r="K1395" s="35" t="str">
        <x:v>FAIL</x:v>
      </x:c>
      <x:c r="L1395" s="35" t="str">
        <x:v>NOT_RUN</x:v>
      </x:c>
      <x:c r="M1395" s="35" t="str">
        <x:v>coverage unavailable or execution/compile failed</x:v>
      </x:c>
      <x:c r="N1395" s="35" t="str">
        <x:v>Gemini-3.8-flash/Result/Jsoup_38/result.json</x:v>
      </x:c>
      <x:c r="O1395" s="39" t="str">
        <x:f>IF(AND(G1395="RECORDED",ISNUMBER(H1395)),H1395,"")</x:f>
      </x:c>
      <x:c r="P1395" s="35" t="str">
        <x:v>NOT_AVAILABLE</x:v>
      </x:c>
      <x:c r="Q1395" s="35" t="str">
        <x:v>Gemini-3.8-flash/Result/Jsoup_38/result.json</x:v>
      </x:c>
    </x:row>
    <x:row r="1396">
      <x:c r="A1396" s="35" t="str">
        <x:v>gemini</x:v>
      </x:c>
      <x:c r="B1396" s="35" t="str">
        <x:v>Jsoup</x:v>
      </x:c>
      <x:c r="C1396" s="35" t="str">
        <x:v>Round1</x:v>
      </x:c>
      <x:c r="D1396" s="35" t="str">
        <x:v>Jsoup_39</x:v>
      </x:c>
      <x:c r="E1396" s="35" t="str">
        <x:v>Condition</x:v>
      </x:c>
      <x:c r="F1396" s="35" t="n">
        <x:v>46</x:v>
      </x:c>
      <x:c r="G1396" s="35" t="str">
        <x:v>RECORDED</x:v>
      </x:c>
      <x:c r="H1396" s="39" t="n">
        <x:f>IF(ISNUMBER('Data'!N542),'Data'!N542*100,"")</x:f>
        <x:v>89.13</x:v>
      </x:c>
      <x:c r="I1396" s="35" t="str">
        <x:v>PASS</x:v>
      </x:c>
      <x:c r="J1396" s="35" t="str">
        <x:v>PASS</x:v>
      </x:c>
      <x:c r="K1396" s="35" t="str">
        <x:v>PASS</x:v>
      </x:c>
      <x:c r="L1396" s="35" t="str">
        <x:v>PASS</x:v>
      </x:c>
      <x:c r="M1396" s="35" t="str">
        <x:v>numeric coverage for applicable metric</x:v>
      </x:c>
      <x:c r="N1396" s="35" t="str">
        <x:v>Gemini-3.8-flash/Result/Jsoup_39/result.json</x:v>
      </x:c>
      <x:c r="O1396" s="39" t="n">
        <x:f>IF(AND(G1396="RECORDED",ISNUMBER(H1396)),H1396,"")</x:f>
        <x:v>89.13</x:v>
      </x:c>
      <x:c r="P1396" s="35" t="str">
        <x:v>NOT_REVEALING</x:v>
      </x:c>
      <x:c r="Q1396" s="35" t="str">
        <x:v>Gemini-3.8-flash/Result/Jsoup_39/result.json</x:v>
      </x:c>
    </x:row>
    <x:row r="1397">
      <x:c r="A1397" s="35" t="str">
        <x:v>gemini</x:v>
      </x:c>
      <x:c r="B1397" s="35" t="str">
        <x:v>Jsoup</x:v>
      </x:c>
      <x:c r="C1397" s="35" t="str">
        <x:v>Round1</x:v>
      </x:c>
      <x:c r="D1397" s="35" t="str">
        <x:v>Jsoup_4</x:v>
      </x:c>
      <x:c r="E1397" s="35" t="str">
        <x:v>Condition</x:v>
      </x:c>
      <x:c r="F1397" s="35"/>
      <x:c r="G1397" s="35" t="str">
        <x:v>A</x:v>
      </x:c>
      <x:c r="H1397" s="39" t="str">
        <x:f>IF(ISNUMBER('Data'!N543),'Data'!N543*100,"")</x:f>
      </x:c>
      <x:c r="I1397" s="35"/>
      <x:c r="J1397" s="35" t="str">
        <x:v>PASS</x:v>
      </x:c>
      <x:c r="K1397" s="35" t="str">
        <x:v>FAIL</x:v>
      </x:c>
      <x:c r="L1397" s="35" t="str">
        <x:v>NOT_RUN</x:v>
      </x:c>
      <x:c r="M1397" s="35" t="str">
        <x:v>coverage unavailable or execution/compile failed</x:v>
      </x:c>
      <x:c r="N1397" s="35" t="str">
        <x:v>Gemini-3.8-flash/Result/Jsoup_4/result.json</x:v>
      </x:c>
      <x:c r="O1397" s="39" t="str">
        <x:f>IF(AND(G1397="RECORDED",ISNUMBER(H1397)),H1397,"")</x:f>
      </x:c>
      <x:c r="P1397" s="35" t="str">
        <x:v>NOT_AVAILABLE</x:v>
      </x:c>
      <x:c r="Q1397" s="35" t="str">
        <x:v>Gemini-3.8-flash/Result/Jsoup_4/result.json</x:v>
      </x:c>
    </x:row>
    <x:row r="1398">
      <x:c r="A1398" s="35" t="str">
        <x:v>gemini</x:v>
      </x:c>
      <x:c r="B1398" s="35" t="str">
        <x:v>Jsoup</x:v>
      </x:c>
      <x:c r="C1398" s="35" t="str">
        <x:v>Round1</x:v>
      </x:c>
      <x:c r="D1398" s="35" t="str">
        <x:v>Jsoup_40</x:v>
      </x:c>
      <x:c r="E1398" s="35" t="str">
        <x:v>Condition</x:v>
      </x:c>
      <x:c r="F1398" s="35" t="n">
        <x:v>6</x:v>
      </x:c>
      <x:c r="G1398" s="35" t="str">
        <x:v>RECORDED</x:v>
      </x:c>
      <x:c r="H1398" s="39" t="n">
        <x:f>IF(ISNUMBER('Data'!N544),'Data'!N544*100,"")</x:f>
        <x:v>100</x:v>
      </x:c>
      <x:c r="I1398" s="35" t="str">
        <x:v>PASS</x:v>
      </x:c>
      <x:c r="J1398" s="35" t="str">
        <x:v>PASS</x:v>
      </x:c>
      <x:c r="K1398" s="35" t="str">
        <x:v>PASS</x:v>
      </x:c>
      <x:c r="L1398" s="35" t="str">
        <x:v>FAIL</x:v>
      </x:c>
      <x:c r="M1398" s="35" t="str">
        <x:v>numeric coverage for applicable metric</x:v>
      </x:c>
      <x:c r="N1398" s="35" t="str">
        <x:v>Gemini-3.8-flash/Result/Jsoup_40/result.json</x:v>
      </x:c>
      <x:c r="O1398" s="39" t="n">
        <x:f>IF(AND(G1398="RECORDED",ISNUMBER(H1398)),H1398,"")</x:f>
        <x:v>100</x:v>
      </x:c>
      <x:c r="P1398" s="35" t="str">
        <x:v>INCONCLUSIVE</x:v>
      </x:c>
      <x:c r="Q1398" s="35" t="str">
        <x:v>Gemini-3.8-flash/Result/Jsoup_40/result.json</x:v>
      </x:c>
    </x:row>
    <x:row r="1399">
      <x:c r="A1399" s="35" t="str">
        <x:v>gemini</x:v>
      </x:c>
      <x:c r="B1399" s="35" t="str">
        <x:v>Jsoup</x:v>
      </x:c>
      <x:c r="C1399" s="35" t="str">
        <x:v>Round1</x:v>
      </x:c>
      <x:c r="D1399" s="35" t="str">
        <x:v>Jsoup_41</x:v>
      </x:c>
      <x:c r="E1399" s="35" t="str">
        <x:v>Condition</x:v>
      </x:c>
      <x:c r="F1399" s="35"/>
      <x:c r="G1399" s="35" t="str">
        <x:v>A</x:v>
      </x:c>
      <x:c r="H1399" s="39" t="str">
        <x:f>IF(ISNUMBER('Data'!N545),'Data'!N545*100,"")</x:f>
      </x:c>
      <x:c r="I1399" s="35"/>
      <x:c r="J1399" s="35" t="str">
        <x:v>PASS</x:v>
      </x:c>
      <x:c r="K1399" s="35" t="str">
        <x:v>FAIL</x:v>
      </x:c>
      <x:c r="L1399" s="35" t="str">
        <x:v>NOT_RUN</x:v>
      </x:c>
      <x:c r="M1399" s="35" t="str">
        <x:v>coverage unavailable or execution/compile failed</x:v>
      </x:c>
      <x:c r="N1399" s="35" t="str">
        <x:v>Gemini-3.8-flash/Result/Jsoup_41/result.json</x:v>
      </x:c>
      <x:c r="O1399" s="39" t="str">
        <x:f>IF(AND(G1399="RECORDED",ISNUMBER(H1399)),H1399,"")</x:f>
      </x:c>
      <x:c r="P1399" s="35" t="str">
        <x:v>NOT_AVAILABLE</x:v>
      </x:c>
      <x:c r="Q1399" s="35" t="str">
        <x:v>Gemini-3.8-flash/Result/Jsoup_41/result.json</x:v>
      </x:c>
    </x:row>
    <x:row r="1400">
      <x:c r="A1400" s="35" t="str">
        <x:v>gemini</x:v>
      </x:c>
      <x:c r="B1400" s="35" t="str">
        <x:v>Jsoup</x:v>
      </x:c>
      <x:c r="C1400" s="35" t="str">
        <x:v>Round1</x:v>
      </x:c>
      <x:c r="D1400" s="35" t="str">
        <x:v>Jsoup_42</x:v>
      </x:c>
      <x:c r="E1400" s="35" t="str">
        <x:v>Condition</x:v>
      </x:c>
      <x:c r="F1400" s="35" t="n">
        <x:v>24</x:v>
      </x:c>
      <x:c r="G1400" s="35" t="str">
        <x:v>RECORDED</x:v>
      </x:c>
      <x:c r="H1400" s="39" t="n">
        <x:f>IF(ISNUMBER('Data'!N546),'Data'!N546*100,"")</x:f>
        <x:v>100</x:v>
      </x:c>
      <x:c r="I1400" s="35" t="str">
        <x:v>PASS</x:v>
      </x:c>
      <x:c r="J1400" s="35" t="str">
        <x:v>PASS</x:v>
      </x:c>
      <x:c r="K1400" s="35" t="str">
        <x:v>PASS</x:v>
      </x:c>
      <x:c r="L1400" s="35" t="str">
        <x:v>PASS</x:v>
      </x:c>
      <x:c r="M1400" s="35" t="str">
        <x:v>numeric coverage for applicable metric</x:v>
      </x:c>
      <x:c r="N1400" s="35" t="str">
        <x:v>Gemini-3.8-flash/Result/Jsoup_42/result.json</x:v>
      </x:c>
      <x:c r="O1400" s="39" t="n">
        <x:f>IF(AND(G1400="RECORDED",ISNUMBER(H1400)),H1400,"")</x:f>
        <x:v>100</x:v>
      </x:c>
      <x:c r="P1400" s="35" t="str">
        <x:v>NOT_REVEALING</x:v>
      </x:c>
      <x:c r="Q1400" s="35" t="str">
        <x:v>Gemini-3.8-flash/Result/Jsoup_42/result.json</x:v>
      </x:c>
    </x:row>
    <x:row r="1401">
      <x:c r="A1401" s="35" t="str">
        <x:v>gemini</x:v>
      </x:c>
      <x:c r="B1401" s="35" t="str">
        <x:v>Jsoup</x:v>
      </x:c>
      <x:c r="C1401" s="35" t="str">
        <x:v>Round1</x:v>
      </x:c>
      <x:c r="D1401" s="35" t="str">
        <x:v>Jsoup_43</x:v>
      </x:c>
      <x:c r="E1401" s="35" t="str">
        <x:v>Condition</x:v>
      </x:c>
      <x:c r="F1401" s="35"/>
      <x:c r="G1401" s="35" t="str">
        <x:v>A</x:v>
      </x:c>
      <x:c r="H1401" s="39" t="str">
        <x:f>IF(ISNUMBER('Data'!N547),'Data'!N547*100,"")</x:f>
      </x:c>
      <x:c r="I1401" s="35"/>
      <x:c r="J1401" s="35" t="str">
        <x:v>PASS</x:v>
      </x:c>
      <x:c r="K1401" s="35" t="str">
        <x:v>FAIL</x:v>
      </x:c>
      <x:c r="L1401" s="35" t="str">
        <x:v>NOT_RUN</x:v>
      </x:c>
      <x:c r="M1401" s="35" t="str">
        <x:v>coverage unavailable or execution/compile failed</x:v>
      </x:c>
      <x:c r="N1401" s="35" t="str">
        <x:v>Gemini-3.8-flash/Result/Jsoup_43/result.json</x:v>
      </x:c>
      <x:c r="O1401" s="39" t="str">
        <x:f>IF(AND(G1401="RECORDED",ISNUMBER(H1401)),H1401,"")</x:f>
      </x:c>
      <x:c r="P1401" s="35" t="str">
        <x:v>NOT_AVAILABLE</x:v>
      </x:c>
      <x:c r="Q1401" s="35" t="str">
        <x:v>Gemini-3.8-flash/Result/Jsoup_43/result.json</x:v>
      </x:c>
    </x:row>
    <x:row r="1402">
      <x:c r="A1402" s="35" t="str">
        <x:v>gemini</x:v>
      </x:c>
      <x:c r="B1402" s="35" t="str">
        <x:v>Jsoup</x:v>
      </x:c>
      <x:c r="C1402" s="35" t="str">
        <x:v>Round1</x:v>
      </x:c>
      <x:c r="D1402" s="35" t="str">
        <x:v>Jsoup_44</x:v>
      </x:c>
      <x:c r="E1402" s="35" t="str">
        <x:v>Condition</x:v>
      </x:c>
      <x:c r="F1402" s="35"/>
      <x:c r="G1402" s="35" t="str">
        <x:v>A</x:v>
      </x:c>
      <x:c r="H1402" s="39" t="str">
        <x:f>IF(ISNUMBER('Data'!N548),'Data'!N548*100,"")</x:f>
      </x:c>
      <x:c r="I1402" s="35"/>
      <x:c r="J1402" s="35" t="str">
        <x:v>PASS</x:v>
      </x:c>
      <x:c r="K1402" s="35" t="str">
        <x:v>FAIL</x:v>
      </x:c>
      <x:c r="L1402" s="35" t="str">
        <x:v>NOT_RUN</x:v>
      </x:c>
      <x:c r="M1402" s="35" t="str">
        <x:v>coverage unavailable or execution/compile failed</x:v>
      </x:c>
      <x:c r="N1402" s="35" t="str">
        <x:v>Gemini-3.8-flash/Result/Jsoup_44/result.json</x:v>
      </x:c>
      <x:c r="O1402" s="39" t="str">
        <x:f>IF(AND(G1402="RECORDED",ISNUMBER(H1402)),H1402,"")</x:f>
      </x:c>
      <x:c r="P1402" s="35" t="str">
        <x:v>NOT_AVAILABLE</x:v>
      </x:c>
      <x:c r="Q1402" s="35" t="str">
        <x:v>Gemini-3.8-flash/Result/Jsoup_44/result.json</x:v>
      </x:c>
    </x:row>
    <x:row r="1403">
      <x:c r="A1403" s="35" t="str">
        <x:v>gemini</x:v>
      </x:c>
      <x:c r="B1403" s="35" t="str">
        <x:v>Jsoup</x:v>
      </x:c>
      <x:c r="C1403" s="35" t="str">
        <x:v>Round1</x:v>
      </x:c>
      <x:c r="D1403" s="35" t="str">
        <x:v>Jsoup_45</x:v>
      </x:c>
      <x:c r="E1403" s="35" t="str">
        <x:v>Condition</x:v>
      </x:c>
      <x:c r="F1403" s="35"/>
      <x:c r="G1403" s="35" t="str">
        <x:v>A</x:v>
      </x:c>
      <x:c r="H1403" s="39" t="str">
        <x:f>IF(ISNUMBER('Data'!N549),'Data'!N549*100,"")</x:f>
      </x:c>
      <x:c r="I1403" s="35"/>
      <x:c r="J1403" s="35" t="str">
        <x:v>PASS</x:v>
      </x:c>
      <x:c r="K1403" s="35" t="str">
        <x:v>FAIL</x:v>
      </x:c>
      <x:c r="L1403" s="35" t="str">
        <x:v>NOT_RUN</x:v>
      </x:c>
      <x:c r="M1403" s="35" t="str">
        <x:v>coverage unavailable or execution/compile failed</x:v>
      </x:c>
      <x:c r="N1403" s="35" t="str">
        <x:v>Gemini-3.8-flash/Result/Jsoup_45/result.json</x:v>
      </x:c>
      <x:c r="O1403" s="39" t="str">
        <x:f>IF(AND(G1403="RECORDED",ISNUMBER(H1403)),H1403,"")</x:f>
      </x:c>
      <x:c r="P1403" s="35" t="str">
        <x:v>NOT_AVAILABLE</x:v>
      </x:c>
      <x:c r="Q1403" s="35" t="str">
        <x:v>Gemini-3.8-flash/Result/Jsoup_45/result.json</x:v>
      </x:c>
    </x:row>
    <x:row r="1404">
      <x:c r="A1404" s="35" t="str">
        <x:v>gemini</x:v>
      </x:c>
      <x:c r="B1404" s="35" t="str">
        <x:v>Jsoup</x:v>
      </x:c>
      <x:c r="C1404" s="35" t="str">
        <x:v>Round1</x:v>
      </x:c>
      <x:c r="D1404" s="35" t="str">
        <x:v>Jsoup_46</x:v>
      </x:c>
      <x:c r="E1404" s="35" t="str">
        <x:v>Condition</x:v>
      </x:c>
      <x:c r="F1404" s="35" t="n">
        <x:v>51</x:v>
      </x:c>
      <x:c r="G1404" s="35" t="str">
        <x:v>RECORDED</x:v>
      </x:c>
      <x:c r="H1404" s="39" t="n">
        <x:f>IF(ISNUMBER('Data'!N550),'Data'!N550*100,"")</x:f>
        <x:v>98.04</x:v>
      </x:c>
      <x:c r="I1404" s="35" t="str">
        <x:v>PASS</x:v>
      </x:c>
      <x:c r="J1404" s="35" t="str">
        <x:v>PASS</x:v>
      </x:c>
      <x:c r="K1404" s="35" t="str">
        <x:v>PASS</x:v>
      </x:c>
      <x:c r="L1404" s="35" t="str">
        <x:v>PASS</x:v>
      </x:c>
      <x:c r="M1404" s="35" t="str">
        <x:v>numeric coverage for applicable metric</x:v>
      </x:c>
      <x:c r="N1404" s="35" t="str">
        <x:v>Gemini-3.8-flash/Result/Jsoup_46/result.json</x:v>
      </x:c>
      <x:c r="O1404" s="39" t="n">
        <x:f>IF(AND(G1404="RECORDED",ISNUMBER(H1404)),H1404,"")</x:f>
        <x:v>98.04</x:v>
      </x:c>
      <x:c r="P1404" s="35" t="str">
        <x:v>INCONCLUSIVE</x:v>
      </x:c>
      <x:c r="Q1404" s="35" t="str">
        <x:v>Gemini-3.8-flash/Result/Jsoup_46/result.json</x:v>
      </x:c>
    </x:row>
    <x:row r="1405">
      <x:c r="A1405" s="35" t="str">
        <x:v>gemini</x:v>
      </x:c>
      <x:c r="B1405" s="35" t="str">
        <x:v>Jsoup</x:v>
      </x:c>
      <x:c r="C1405" s="35" t="str">
        <x:v>Round1</x:v>
      </x:c>
      <x:c r="D1405" s="35" t="str">
        <x:v>Jsoup_47</x:v>
      </x:c>
      <x:c r="E1405" s="35" t="str">
        <x:v>Condition</x:v>
      </x:c>
      <x:c r="F1405" s="35" t="n">
        <x:v>51</x:v>
      </x:c>
      <x:c r="G1405" s="35" t="str">
        <x:v>RECORDED</x:v>
      </x:c>
      <x:c r="H1405" s="39" t="n">
        <x:f>IF(ISNUMBER('Data'!N551),'Data'!N551*100,"")</x:f>
        <x:v>98.04</x:v>
      </x:c>
      <x:c r="I1405" s="35" t="str">
        <x:v>PASS</x:v>
      </x:c>
      <x:c r="J1405" s="35" t="str">
        <x:v>PASS</x:v>
      </x:c>
      <x:c r="K1405" s="35" t="str">
        <x:v>PASS</x:v>
      </x:c>
      <x:c r="L1405" s="35" t="str">
        <x:v>PASS</x:v>
      </x:c>
      <x:c r="M1405" s="35" t="str">
        <x:v>numeric coverage for applicable metric</x:v>
      </x:c>
      <x:c r="N1405" s="35" t="str">
        <x:v>Gemini-3.8-flash/Result/Jsoup_47/result.json</x:v>
      </x:c>
      <x:c r="O1405" s="39" t="n">
        <x:f>IF(AND(G1405="RECORDED",ISNUMBER(H1405)),H1405,"")</x:f>
        <x:v>98.04</x:v>
      </x:c>
      <x:c r="P1405" s="35" t="str">
        <x:v>NOT_REVEALING</x:v>
      </x:c>
      <x:c r="Q1405" s="35" t="str">
        <x:v>Gemini-3.8-flash/Result/Jsoup_47/result.json</x:v>
      </x:c>
    </x:row>
    <x:row r="1406">
      <x:c r="A1406" s="35" t="str">
        <x:v>gemini</x:v>
      </x:c>
      <x:c r="B1406" s="35" t="str">
        <x:v>Jsoup</x:v>
      </x:c>
      <x:c r="C1406" s="35" t="str">
        <x:v>Round1</x:v>
      </x:c>
      <x:c r="D1406" s="35" t="str">
        <x:v>Jsoup_48</x:v>
      </x:c>
      <x:c r="E1406" s="35" t="str">
        <x:v>Condition</x:v>
      </x:c>
      <x:c r="F1406" s="35" t="n">
        <x:v>170</x:v>
      </x:c>
      <x:c r="G1406" s="35" t="str">
        <x:v>RECORDED</x:v>
      </x:c>
      <x:c r="H1406" s="39" t="n">
        <x:f>IF(ISNUMBER('Data'!N552),'Data'!N552*100,"")</x:f>
        <x:v>31.180000000000003</x:v>
      </x:c>
      <x:c r="I1406" s="35" t="str">
        <x:v>PASS</x:v>
      </x:c>
      <x:c r="J1406" s="35" t="str">
        <x:v>PASS</x:v>
      </x:c>
      <x:c r="K1406" s="35" t="str">
        <x:v>PASS</x:v>
      </x:c>
      <x:c r="L1406" s="35" t="str">
        <x:v>FAIL</x:v>
      </x:c>
      <x:c r="M1406" s="35" t="str">
        <x:v>numeric coverage for applicable metric</x:v>
      </x:c>
      <x:c r="N1406" s="35" t="str">
        <x:v>Gemini-3.8-flash/Result/Jsoup_48/result.json</x:v>
      </x:c>
      <x:c r="O1406" s="39" t="n">
        <x:f>IF(AND(G1406="RECORDED",ISNUMBER(H1406)),H1406,"")</x:f>
        <x:v>31.180000000000003</x:v>
      </x:c>
      <x:c r="P1406" s="35" t="str">
        <x:v>INCONCLUSIVE</x:v>
      </x:c>
      <x:c r="Q1406" s="35" t="str">
        <x:v>Gemini-3.8-flash/Result/Jsoup_48/result.json</x:v>
      </x:c>
    </x:row>
    <x:row r="1407">
      <x:c r="A1407" s="35" t="str">
        <x:v>gemini</x:v>
      </x:c>
      <x:c r="B1407" s="35" t="str">
        <x:v>Jsoup</x:v>
      </x:c>
      <x:c r="C1407" s="35" t="str">
        <x:v>Round1</x:v>
      </x:c>
      <x:c r="D1407" s="35" t="str">
        <x:v>Jsoup_49</x:v>
      </x:c>
      <x:c r="E1407" s="35" t="str">
        <x:v>Condition</x:v>
      </x:c>
      <x:c r="F1407" s="35"/>
      <x:c r="G1407" s="35" t="str">
        <x:v>A</x:v>
      </x:c>
      <x:c r="H1407" s="39" t="str">
        <x:f>IF(ISNUMBER('Data'!N553),'Data'!N553*100,"")</x:f>
      </x:c>
      <x:c r="I1407" s="35"/>
      <x:c r="J1407" s="35" t="str">
        <x:v>PASS</x:v>
      </x:c>
      <x:c r="K1407" s="35" t="str">
        <x:v>FAIL</x:v>
      </x:c>
      <x:c r="L1407" s="35" t="str">
        <x:v>NOT_RUN</x:v>
      </x:c>
      <x:c r="M1407" s="35" t="str">
        <x:v>coverage unavailable or execution/compile failed</x:v>
      </x:c>
      <x:c r="N1407" s="35" t="str">
        <x:v>Gemini-3.8-flash/Result/Jsoup_49/result.json</x:v>
      </x:c>
      <x:c r="O1407" s="39" t="str">
        <x:f>IF(AND(G1407="RECORDED",ISNUMBER(H1407)),H1407,"")</x:f>
      </x:c>
      <x:c r="P1407" s="35" t="str">
        <x:v>NOT_AVAILABLE</x:v>
      </x:c>
      <x:c r="Q1407" s="35" t="str">
        <x:v>Gemini-3.8-flash/Result/Jsoup_49/result.json</x:v>
      </x:c>
    </x:row>
    <x:row r="1408">
      <x:c r="A1408" s="35" t="str">
        <x:v>gemini</x:v>
      </x:c>
      <x:c r="B1408" s="35" t="str">
        <x:v>Jsoup</x:v>
      </x:c>
      <x:c r="C1408" s="35" t="str">
        <x:v>Round1</x:v>
      </x:c>
      <x:c r="D1408" s="35" t="str">
        <x:v>Jsoup_5</x:v>
      </x:c>
      <x:c r="E1408" s="35" t="str">
        <x:v>Condition</x:v>
      </x:c>
      <x:c r="F1408" s="35" t="n">
        <x:v>92</x:v>
      </x:c>
      <x:c r="G1408" s="35" t="str">
        <x:v>RECORDED</x:v>
      </x:c>
      <x:c r="H1408" s="39" t="n">
        <x:f>IF(ISNUMBER('Data'!N554),'Data'!N554*100,"")</x:f>
        <x:v>92.39</x:v>
      </x:c>
      <x:c r="I1408" s="35" t="str">
        <x:v>PASS</x:v>
      </x:c>
      <x:c r="J1408" s="35" t="str">
        <x:v>PASS</x:v>
      </x:c>
      <x:c r="K1408" s="35" t="str">
        <x:v>PASS</x:v>
      </x:c>
      <x:c r="L1408" s="35" t="str">
        <x:v>FAIL</x:v>
      </x:c>
      <x:c r="M1408" s="35" t="str">
        <x:v>numeric coverage for applicable metric</x:v>
      </x:c>
      <x:c r="N1408" s="35" t="str">
        <x:v>Gemini-3.8-flash/Result/Jsoup_5/result.json</x:v>
      </x:c>
      <x:c r="O1408" s="39" t="n">
        <x:f>IF(AND(G1408="RECORDED",ISNUMBER(H1408)),H1408,"")</x:f>
        <x:v>92.39</x:v>
      </x:c>
      <x:c r="P1408" s="35" t="str">
        <x:v>INCONCLUSIVE</x:v>
      </x:c>
      <x:c r="Q1408" s="35" t="str">
        <x:v>Gemini-3.8-flash/Result/Jsoup_5/result.json</x:v>
      </x:c>
    </x:row>
    <x:row r="1409">
      <x:c r="A1409" s="35" t="str">
        <x:v>gemini</x:v>
      </x:c>
      <x:c r="B1409" s="35" t="str">
        <x:v>Jsoup</x:v>
      </x:c>
      <x:c r="C1409" s="35" t="str">
        <x:v>Round1</x:v>
      </x:c>
      <x:c r="D1409" s="35" t="str">
        <x:v>Jsoup_50</x:v>
      </x:c>
      <x:c r="E1409" s="35" t="str">
        <x:v>Condition</x:v>
      </x:c>
      <x:c r="F1409" s="35"/>
      <x:c r="G1409" s="35" t="str">
        <x:v>A</x:v>
      </x:c>
      <x:c r="H1409" s="39" t="str">
        <x:f>IF(ISNUMBER('Data'!N555),'Data'!N555*100,"")</x:f>
      </x:c>
      <x:c r="I1409" s="35"/>
      <x:c r="J1409" s="35" t="str">
        <x:v>PASS</x:v>
      </x:c>
      <x:c r="K1409" s="35" t="str">
        <x:v>FAIL</x:v>
      </x:c>
      <x:c r="L1409" s="35" t="str">
        <x:v>NOT_RUN</x:v>
      </x:c>
      <x:c r="M1409" s="35" t="str">
        <x:v>coverage unavailable or execution/compile failed</x:v>
      </x:c>
      <x:c r="N1409" s="35" t="str">
        <x:v>Gemini-3.8-flash/Result/Jsoup_50/result.json</x:v>
      </x:c>
      <x:c r="O1409" s="39" t="str">
        <x:f>IF(AND(G1409="RECORDED",ISNUMBER(H1409)),H1409,"")</x:f>
      </x:c>
      <x:c r="P1409" s="35" t="str">
        <x:v>NOT_AVAILABLE</x:v>
      </x:c>
      <x:c r="Q1409" s="35" t="str">
        <x:v>Gemini-3.8-flash/Result/Jsoup_50/result.json</x:v>
      </x:c>
    </x:row>
    <x:row r="1410">
      <x:c r="A1410" s="35" t="str">
        <x:v>gemini</x:v>
      </x:c>
      <x:c r="B1410" s="35" t="str">
        <x:v>Jsoup</x:v>
      </x:c>
      <x:c r="C1410" s="35" t="str">
        <x:v>Round1</x:v>
      </x:c>
      <x:c r="D1410" s="35" t="str">
        <x:v>Jsoup_51</x:v>
      </x:c>
      <x:c r="E1410" s="35" t="str">
        <x:v>Condition</x:v>
      </x:c>
      <x:c r="F1410" s="35" t="n">
        <x:v>186</x:v>
      </x:c>
      <x:c r="G1410" s="35" t="str">
        <x:v>RECORDED</x:v>
      </x:c>
      <x:c r="H1410" s="39" t="n">
        <x:f>IF(ISNUMBER('Data'!N556),'Data'!N556*100,"")</x:f>
        <x:v>91.94</x:v>
      </x:c>
      <x:c r="I1410" s="35" t="str">
        <x:v>PASS</x:v>
      </x:c>
      <x:c r="J1410" s="35" t="str">
        <x:v>PASS</x:v>
      </x:c>
      <x:c r="K1410" s="35" t="str">
        <x:v>PASS</x:v>
      </x:c>
      <x:c r="L1410" s="35" t="str">
        <x:v>FAIL</x:v>
      </x:c>
      <x:c r="M1410" s="35" t="str">
        <x:v>numeric coverage for applicable metric</x:v>
      </x:c>
      <x:c r="N1410" s="35" t="str">
        <x:v>Gemini-3.8-flash/Result/Jsoup_51/result.json</x:v>
      </x:c>
      <x:c r="O1410" s="39" t="n">
        <x:f>IF(AND(G1410="RECORDED",ISNUMBER(H1410)),H1410,"")</x:f>
        <x:v>91.94</x:v>
      </x:c>
      <x:c r="P1410" s="35" t="str">
        <x:v>INCONCLUSIVE</x:v>
      </x:c>
      <x:c r="Q1410" s="35" t="str">
        <x:v>Gemini-3.8-flash/Result/Jsoup_51/result.json</x:v>
      </x:c>
    </x:row>
    <x:row r="1411">
      <x:c r="A1411" s="35" t="str">
        <x:v>gemini</x:v>
      </x:c>
      <x:c r="B1411" s="35" t="str">
        <x:v>Jsoup</x:v>
      </x:c>
      <x:c r="C1411" s="35" t="str">
        <x:v>Round1</x:v>
      </x:c>
      <x:c r="D1411" s="35" t="str">
        <x:v>Jsoup_52</x:v>
      </x:c>
      <x:c r="E1411" s="35" t="str">
        <x:v>Condition</x:v>
      </x:c>
      <x:c r="F1411" s="35"/>
      <x:c r="G1411" s="35" t="str">
        <x:v>A</x:v>
      </x:c>
      <x:c r="H1411" s="39" t="str">
        <x:f>IF(ISNUMBER('Data'!N557),'Data'!N557*100,"")</x:f>
      </x:c>
      <x:c r="I1411" s="35"/>
      <x:c r="J1411" s="35" t="str">
        <x:v>PASS</x:v>
      </x:c>
      <x:c r="K1411" s="35" t="str">
        <x:v>FAIL</x:v>
      </x:c>
      <x:c r="L1411" s="35" t="str">
        <x:v>NOT_RUN</x:v>
      </x:c>
      <x:c r="M1411" s="35" t="str">
        <x:v>coverage unavailable or execution/compile failed</x:v>
      </x:c>
      <x:c r="N1411" s="35" t="str">
        <x:v>Gemini-3.8-flash/Result/Jsoup_52/result.json</x:v>
      </x:c>
      <x:c r="O1411" s="39" t="str">
        <x:f>IF(AND(G1411="RECORDED",ISNUMBER(H1411)),H1411,"")</x:f>
      </x:c>
      <x:c r="P1411" s="35" t="str">
        <x:v>NOT_AVAILABLE</x:v>
      </x:c>
      <x:c r="Q1411" s="35" t="str">
        <x:v>Gemini-3.8-flash/Result/Jsoup_52/result.json</x:v>
      </x:c>
    </x:row>
    <x:row r="1412">
      <x:c r="A1412" s="35" t="str">
        <x:v>gemini</x:v>
      </x:c>
      <x:c r="B1412" s="35" t="str">
        <x:v>Jsoup</x:v>
      </x:c>
      <x:c r="C1412" s="35" t="str">
        <x:v>Round1</x:v>
      </x:c>
      <x:c r="D1412" s="35" t="str">
        <x:v>Jsoup_53</x:v>
      </x:c>
      <x:c r="E1412" s="35" t="str">
        <x:v>Condition</x:v>
      </x:c>
      <x:c r="F1412" s="35" t="n">
        <x:v>108</x:v>
      </x:c>
      <x:c r="G1412" s="35" t="str">
        <x:v>RECORDED</x:v>
      </x:c>
      <x:c r="H1412" s="39" t="n">
        <x:f>IF(ISNUMBER('Data'!N558),'Data'!N558*100,"")</x:f>
        <x:v>94.44</x:v>
      </x:c>
      <x:c r="I1412" s="35" t="str">
        <x:v>PASS</x:v>
      </x:c>
      <x:c r="J1412" s="35" t="str">
        <x:v>PASS</x:v>
      </x:c>
      <x:c r="K1412" s="35" t="str">
        <x:v>PASS</x:v>
      </x:c>
      <x:c r="L1412" s="35" t="str">
        <x:v>FAIL</x:v>
      </x:c>
      <x:c r="M1412" s="35" t="str">
        <x:v>numeric coverage for applicable metric</x:v>
      </x:c>
      <x:c r="N1412" s="35" t="str">
        <x:v>Gemini-3.8-flash/Result/Jsoup_53/result.json</x:v>
      </x:c>
      <x:c r="O1412" s="39" t="n">
        <x:f>IF(AND(G1412="RECORDED",ISNUMBER(H1412)),H1412,"")</x:f>
        <x:v>94.44</x:v>
      </x:c>
      <x:c r="P1412" s="35" t="str">
        <x:v>INCONCLUSIVE</x:v>
      </x:c>
      <x:c r="Q1412" s="35" t="str">
        <x:v>Gemini-3.8-flash/Result/Jsoup_53/result.json</x:v>
      </x:c>
    </x:row>
    <x:row r="1413">
      <x:c r="A1413" s="35" t="str">
        <x:v>gemini</x:v>
      </x:c>
      <x:c r="B1413" s="35" t="str">
        <x:v>Jsoup</x:v>
      </x:c>
      <x:c r="C1413" s="35" t="str">
        <x:v>Round1</x:v>
      </x:c>
      <x:c r="D1413" s="35" t="str">
        <x:v>Jsoup_54</x:v>
      </x:c>
      <x:c r="E1413" s="35" t="str">
        <x:v>Condition</x:v>
      </x:c>
      <x:c r="F1413" s="35" t="n">
        <x:v>26</x:v>
      </x:c>
      <x:c r="G1413" s="35" t="str">
        <x:v>RECORDED</x:v>
      </x:c>
      <x:c r="H1413" s="39" t="n">
        <x:f>IF(ISNUMBER('Data'!N559),'Data'!N559*100,"")</x:f>
        <x:v>100</x:v>
      </x:c>
      <x:c r="I1413" s="35" t="str">
        <x:v>PASS</x:v>
      </x:c>
      <x:c r="J1413" s="35" t="str">
        <x:v>PASS</x:v>
      </x:c>
      <x:c r="K1413" s="35" t="str">
        <x:v>PASS</x:v>
      </x:c>
      <x:c r="L1413" s="35" t="str">
        <x:v>FAIL</x:v>
      </x:c>
      <x:c r="M1413" s="35" t="str">
        <x:v>numeric coverage for applicable metric</x:v>
      </x:c>
      <x:c r="N1413" s="35" t="str">
        <x:v>Gemini-3.8-flash/Result/Jsoup_54/result.json</x:v>
      </x:c>
      <x:c r="O1413" s="39" t="n">
        <x:f>IF(AND(G1413="RECORDED",ISNUMBER(H1413)),H1413,"")</x:f>
        <x:v>100</x:v>
      </x:c>
      <x:c r="P1413" s="35" t="str">
        <x:v>INCONCLUSIVE</x:v>
      </x:c>
      <x:c r="Q1413" s="35" t="str">
        <x:v>Gemini-3.8-flash/Result/Jsoup_54/result.json</x:v>
      </x:c>
    </x:row>
    <x:row r="1414">
      <x:c r="A1414" s="35" t="str">
        <x:v>gemini</x:v>
      </x:c>
      <x:c r="B1414" s="35" t="str">
        <x:v>Jsoup</x:v>
      </x:c>
      <x:c r="C1414" s="35" t="str">
        <x:v>Round1</x:v>
      </x:c>
      <x:c r="D1414" s="35" t="str">
        <x:v>Jsoup_55</x:v>
      </x:c>
      <x:c r="E1414" s="35" t="str">
        <x:v>Condition</x:v>
      </x:c>
      <x:c r="F1414" s="35"/>
      <x:c r="G1414" s="35" t="str">
        <x:v>A</x:v>
      </x:c>
      <x:c r="H1414" s="39" t="str">
        <x:f>IF(ISNUMBER('Data'!N560),'Data'!N560*100,"")</x:f>
      </x:c>
      <x:c r="I1414" s="35"/>
      <x:c r="J1414" s="35" t="str">
        <x:v>PASS</x:v>
      </x:c>
      <x:c r="K1414" s="35" t="str">
        <x:v>FAIL</x:v>
      </x:c>
      <x:c r="L1414" s="35" t="str">
        <x:v>NOT_RUN</x:v>
      </x:c>
      <x:c r="M1414" s="35" t="str">
        <x:v>coverage unavailable or execution/compile failed</x:v>
      </x:c>
      <x:c r="N1414" s="35" t="str">
        <x:v>Gemini-3.8-flash/Result/Jsoup_55/result.json</x:v>
      </x:c>
      <x:c r="O1414" s="39" t="str">
        <x:f>IF(AND(G1414="RECORDED",ISNUMBER(H1414)),H1414,"")</x:f>
      </x:c>
      <x:c r="P1414" s="35" t="str">
        <x:v>NOT_AVAILABLE</x:v>
      </x:c>
      <x:c r="Q1414" s="35" t="str">
        <x:v>Gemini-3.8-flash/Result/Jsoup_55/result.json</x:v>
      </x:c>
    </x:row>
    <x:row r="1415">
      <x:c r="A1415" s="35" t="str">
        <x:v>gemini</x:v>
      </x:c>
      <x:c r="B1415" s="35" t="str">
        <x:v>Jsoup</x:v>
      </x:c>
      <x:c r="C1415" s="35" t="str">
        <x:v>Round1</x:v>
      </x:c>
      <x:c r="D1415" s="35" t="str">
        <x:v>Jsoup_56</x:v>
      </x:c>
      <x:c r="E1415" s="35" t="str">
        <x:v>Condition</x:v>
      </x:c>
      <x:c r="F1415" s="35"/>
      <x:c r="G1415" s="35" t="str">
        <x:v>A</x:v>
      </x:c>
      <x:c r="H1415" s="39" t="str">
        <x:f>IF(ISNUMBER('Data'!N561),'Data'!N561*100,"")</x:f>
      </x:c>
      <x:c r="I1415" s="35"/>
      <x:c r="J1415" s="35" t="str">
        <x:v>PASS</x:v>
      </x:c>
      <x:c r="K1415" s="35" t="str">
        <x:v>FAIL</x:v>
      </x:c>
      <x:c r="L1415" s="35" t="str">
        <x:v>NOT_RUN</x:v>
      </x:c>
      <x:c r="M1415" s="35" t="str">
        <x:v>coverage unavailable or execution/compile failed</x:v>
      </x:c>
      <x:c r="N1415" s="35" t="str">
        <x:v>Gemini-3.8-flash/Result/Jsoup_56/result.json</x:v>
      </x:c>
      <x:c r="O1415" s="39" t="str">
        <x:f>IF(AND(G1415="RECORDED",ISNUMBER(H1415)),H1415,"")</x:f>
      </x:c>
      <x:c r="P1415" s="35" t="str">
        <x:v>NOT_AVAILABLE</x:v>
      </x:c>
      <x:c r="Q1415" s="35" t="str">
        <x:v>Gemini-3.8-flash/Result/Jsoup_56/result.json</x:v>
      </x:c>
    </x:row>
    <x:row r="1416">
      <x:c r="A1416" s="35" t="str">
        <x:v>gemini</x:v>
      </x:c>
      <x:c r="B1416" s="35" t="str">
        <x:v>Jsoup</x:v>
      </x:c>
      <x:c r="C1416" s="35" t="str">
        <x:v>Round1</x:v>
      </x:c>
      <x:c r="D1416" s="35" t="str">
        <x:v>Jsoup_57</x:v>
      </x:c>
      <x:c r="E1416" s="35" t="str">
        <x:v>Condition</x:v>
      </x:c>
      <x:c r="F1416" s="35" t="n">
        <x:v>76</x:v>
      </x:c>
      <x:c r="G1416" s="35" t="str">
        <x:v>RECORDED</x:v>
      </x:c>
      <x:c r="H1416" s="39" t="n">
        <x:f>IF(ISNUMBER('Data'!N562),'Data'!N562*100,"")</x:f>
        <x:v>98.68</x:v>
      </x:c>
      <x:c r="I1416" s="35" t="str">
        <x:v>PASS</x:v>
      </x:c>
      <x:c r="J1416" s="35" t="str">
        <x:v>PASS</x:v>
      </x:c>
      <x:c r="K1416" s="35" t="str">
        <x:v>PASS</x:v>
      </x:c>
      <x:c r="L1416" s="35" t="str">
        <x:v>PASS</x:v>
      </x:c>
      <x:c r="M1416" s="35" t="str">
        <x:v>numeric coverage for applicable metric</x:v>
      </x:c>
      <x:c r="N1416" s="35" t="str">
        <x:v>Gemini-3.8-flash/Result/Jsoup_57/result.json</x:v>
      </x:c>
      <x:c r="O1416" s="39" t="n">
        <x:f>IF(AND(G1416="RECORDED",ISNUMBER(H1416)),H1416,"")</x:f>
        <x:v>98.68</x:v>
      </x:c>
      <x:c r="P1416" s="35" t="str">
        <x:v>NOT_REVEALING</x:v>
      </x:c>
      <x:c r="Q1416" s="35" t="str">
        <x:v>Gemini-3.8-flash/Result/Jsoup_57/result.json</x:v>
      </x:c>
    </x:row>
    <x:row r="1417">
      <x:c r="A1417" s="35" t="str">
        <x:v>gemini</x:v>
      </x:c>
      <x:c r="B1417" s="35" t="str">
        <x:v>Jsoup</x:v>
      </x:c>
      <x:c r="C1417" s="35" t="str">
        <x:v>Round1</x:v>
      </x:c>
      <x:c r="D1417" s="35" t="str">
        <x:v>Jsoup_58</x:v>
      </x:c>
      <x:c r="E1417" s="35" t="str">
        <x:v>Condition</x:v>
      </x:c>
      <x:c r="F1417" s="35" t="n">
        <x:v>32</x:v>
      </x:c>
      <x:c r="G1417" s="35" t="str">
        <x:v>RECORDED</x:v>
      </x:c>
      <x:c r="H1417" s="39" t="n">
        <x:f>IF(ISNUMBER('Data'!N563),'Data'!N563*100,"")</x:f>
        <x:v>100</x:v>
      </x:c>
      <x:c r="I1417" s="35" t="str">
        <x:v>PASS</x:v>
      </x:c>
      <x:c r="J1417" s="35" t="str">
        <x:v>PASS</x:v>
      </x:c>
      <x:c r="K1417" s="35" t="str">
        <x:v>PASS</x:v>
      </x:c>
      <x:c r="L1417" s="35" t="str">
        <x:v>FAIL</x:v>
      </x:c>
      <x:c r="M1417" s="35" t="str">
        <x:v>numeric coverage for applicable metric</x:v>
      </x:c>
      <x:c r="N1417" s="35" t="str">
        <x:v>Gemini-3.8-flash/Result/Jsoup_58/result.json</x:v>
      </x:c>
      <x:c r="O1417" s="39" t="n">
        <x:f>IF(AND(G1417="RECORDED",ISNUMBER(H1417)),H1417,"")</x:f>
        <x:v>100</x:v>
      </x:c>
      <x:c r="P1417" s="35" t="str">
        <x:v>INCONCLUSIVE</x:v>
      </x:c>
      <x:c r="Q1417" s="35" t="str">
        <x:v>Gemini-3.8-flash/Result/Jsoup_58/result.json</x:v>
      </x:c>
    </x:row>
    <x:row r="1418">
      <x:c r="A1418" s="35" t="str">
        <x:v>gemini</x:v>
      </x:c>
      <x:c r="B1418" s="35" t="str">
        <x:v>Jsoup</x:v>
      </x:c>
      <x:c r="C1418" s="35" t="str">
        <x:v>Round1</x:v>
      </x:c>
      <x:c r="D1418" s="35" t="str">
        <x:v>Jsoup_59</x:v>
      </x:c>
      <x:c r="E1418" s="35" t="str">
        <x:v>Condition</x:v>
      </x:c>
      <x:c r="F1418" s="35" t="n">
        <x:v>44</x:v>
      </x:c>
      <x:c r="G1418" s="35" t="str">
        <x:v>RECORDED</x:v>
      </x:c>
      <x:c r="H1418" s="39" t="n">
        <x:f>IF(ISNUMBER('Data'!N564),'Data'!N564*100,"")</x:f>
        <x:v>100</x:v>
      </x:c>
      <x:c r="I1418" s="35" t="str">
        <x:v>PASS</x:v>
      </x:c>
      <x:c r="J1418" s="35" t="str">
        <x:v>PASS</x:v>
      </x:c>
      <x:c r="K1418" s="35" t="str">
        <x:v>PASS</x:v>
      </x:c>
      <x:c r="L1418" s="35" t="str">
        <x:v>FAIL</x:v>
      </x:c>
      <x:c r="M1418" s="35" t="str">
        <x:v>numeric coverage for applicable metric</x:v>
      </x:c>
      <x:c r="N1418" s="35" t="str">
        <x:v>Gemini-3.8-flash/Result/Jsoup_59/result.json</x:v>
      </x:c>
      <x:c r="O1418" s="39" t="n">
        <x:f>IF(AND(G1418="RECORDED",ISNUMBER(H1418)),H1418,"")</x:f>
        <x:v>100</x:v>
      </x:c>
      <x:c r="P1418" s="35" t="str">
        <x:v>INCONCLUSIVE</x:v>
      </x:c>
      <x:c r="Q1418" s="35" t="str">
        <x:v>Gemini-3.8-flash/Result/Jsoup_59/result.json</x:v>
      </x:c>
    </x:row>
    <x:row r="1419">
      <x:c r="A1419" s="35" t="str">
        <x:v>gemini</x:v>
      </x:c>
      <x:c r="B1419" s="35" t="str">
        <x:v>Jsoup</x:v>
      </x:c>
      <x:c r="C1419" s="35" t="str">
        <x:v>Round1</x:v>
      </x:c>
      <x:c r="D1419" s="35" t="str">
        <x:v>Jsoup_6</x:v>
      </x:c>
      <x:c r="E1419" s="35" t="str">
        <x:v>Condition</x:v>
      </x:c>
      <x:c r="F1419" s="35"/>
      <x:c r="G1419" s="35" t="str">
        <x:v>A</x:v>
      </x:c>
      <x:c r="H1419" s="39" t="str">
        <x:f>IF(ISNUMBER('Data'!N565),'Data'!N565*100,"")</x:f>
      </x:c>
      <x:c r="I1419" s="35"/>
      <x:c r="J1419" s="35" t="str">
        <x:v>PASS</x:v>
      </x:c>
      <x:c r="K1419" s="35" t="str">
        <x:v>FAIL</x:v>
      </x:c>
      <x:c r="L1419" s="35" t="str">
        <x:v>NOT_RUN</x:v>
      </x:c>
      <x:c r="M1419" s="35" t="str">
        <x:v>coverage unavailable or execution/compile failed</x:v>
      </x:c>
      <x:c r="N1419" s="35" t="str">
        <x:v>Gemini-3.8-flash/Result/Jsoup_6/result.json</x:v>
      </x:c>
      <x:c r="O1419" s="39" t="str">
        <x:f>IF(AND(G1419="RECORDED",ISNUMBER(H1419)),H1419,"")</x:f>
      </x:c>
      <x:c r="P1419" s="35" t="str">
        <x:v>NOT_AVAILABLE</x:v>
      </x:c>
      <x:c r="Q1419" s="35" t="str">
        <x:v>Gemini-3.8-flash/Result/Jsoup_6/result.json</x:v>
      </x:c>
    </x:row>
    <x:row r="1420">
      <x:c r="A1420" s="35" t="str">
        <x:v>gemini</x:v>
      </x:c>
      <x:c r="B1420" s="35" t="str">
        <x:v>Jsoup</x:v>
      </x:c>
      <x:c r="C1420" s="35" t="str">
        <x:v>Round1</x:v>
      </x:c>
      <x:c r="D1420" s="35" t="str">
        <x:v>Jsoup_60</x:v>
      </x:c>
      <x:c r="E1420" s="35" t="str">
        <x:v>Condition</x:v>
      </x:c>
      <x:c r="F1420" s="35" t="n">
        <x:v>258</x:v>
      </x:c>
      <x:c r="G1420" s="35" t="str">
        <x:v>RECORDED</x:v>
      </x:c>
      <x:c r="H1420" s="39" t="n">
        <x:f>IF(ISNUMBER('Data'!N566),'Data'!N566*100,"")</x:f>
        <x:v>97.29</x:v>
      </x:c>
      <x:c r="I1420" s="35" t="str">
        <x:v>PASS</x:v>
      </x:c>
      <x:c r="J1420" s="35" t="str">
        <x:v>PASS</x:v>
      </x:c>
      <x:c r="K1420" s="35" t="str">
        <x:v>PASS</x:v>
      </x:c>
      <x:c r="L1420" s="35" t="str">
        <x:v>FAIL</x:v>
      </x:c>
      <x:c r="M1420" s="35" t="str">
        <x:v>numeric coverage for applicable metric</x:v>
      </x:c>
      <x:c r="N1420" s="35" t="str">
        <x:v>Gemini-3.8-flash/Result/Jsoup_60/result.json</x:v>
      </x:c>
      <x:c r="O1420" s="39" t="n">
        <x:f>IF(AND(G1420="RECORDED",ISNUMBER(H1420)),H1420,"")</x:f>
        <x:v>97.29</x:v>
      </x:c>
      <x:c r="P1420" s="35" t="str">
        <x:v>INCONCLUSIVE</x:v>
      </x:c>
      <x:c r="Q1420" s="35" t="str">
        <x:v>Gemini-3.8-flash/Result/Jsoup_60/result.json</x:v>
      </x:c>
    </x:row>
    <x:row r="1421">
      <x:c r="A1421" s="35" t="str">
        <x:v>gemini</x:v>
      </x:c>
      <x:c r="B1421" s="35" t="str">
        <x:v>Jsoup</x:v>
      </x:c>
      <x:c r="C1421" s="35" t="str">
        <x:v>Round1</x:v>
      </x:c>
      <x:c r="D1421" s="35" t="str">
        <x:v>Jsoup_61</x:v>
      </x:c>
      <x:c r="E1421" s="35" t="str">
        <x:v>Condition</x:v>
      </x:c>
      <x:c r="F1421" s="35"/>
      <x:c r="G1421" s="35" t="str">
        <x:v>A</x:v>
      </x:c>
      <x:c r="H1421" s="39" t="str">
        <x:f>IF(ISNUMBER('Data'!N567),'Data'!N567*100,"")</x:f>
      </x:c>
      <x:c r="I1421" s="35"/>
      <x:c r="J1421" s="35" t="str">
        <x:v>PASS</x:v>
      </x:c>
      <x:c r="K1421" s="35" t="str">
        <x:v>FAIL</x:v>
      </x:c>
      <x:c r="L1421" s="35" t="str">
        <x:v>NOT_RUN</x:v>
      </x:c>
      <x:c r="M1421" s="35" t="str">
        <x:v>coverage unavailable or execution/compile failed</x:v>
      </x:c>
      <x:c r="N1421" s="35" t="str">
        <x:v>Gemini-3.8-flash/Result/Jsoup_61/result.json</x:v>
      </x:c>
      <x:c r="O1421" s="39" t="str">
        <x:f>IF(AND(G1421="RECORDED",ISNUMBER(H1421)),H1421,"")</x:f>
      </x:c>
      <x:c r="P1421" s="35" t="str">
        <x:v>NOT_AVAILABLE</x:v>
      </x:c>
      <x:c r="Q1421" s="35" t="str">
        <x:v>Gemini-3.8-flash/Result/Jsoup_61/result.json</x:v>
      </x:c>
    </x:row>
    <x:row r="1422">
      <x:c r="A1422" s="35" t="str">
        <x:v>gemini</x:v>
      </x:c>
      <x:c r="B1422" s="35" t="str">
        <x:v>Jsoup</x:v>
      </x:c>
      <x:c r="C1422" s="35" t="str">
        <x:v>Round1</x:v>
      </x:c>
      <x:c r="D1422" s="35" t="str">
        <x:v>Jsoup_62</x:v>
      </x:c>
      <x:c r="E1422" s="35" t="str">
        <x:v>Condition</x:v>
      </x:c>
      <x:c r="F1422" s="35"/>
      <x:c r="G1422" s="35" t="str">
        <x:v>A</x:v>
      </x:c>
      <x:c r="H1422" s="39" t="str">
        <x:f>IF(ISNUMBER('Data'!N568),'Data'!N568*100,"")</x:f>
      </x:c>
      <x:c r="I1422" s="35"/>
      <x:c r="J1422" s="35" t="str">
        <x:v>PASS</x:v>
      </x:c>
      <x:c r="K1422" s="35" t="str">
        <x:v>FAIL</x:v>
      </x:c>
      <x:c r="L1422" s="35" t="str">
        <x:v>NOT_RUN</x:v>
      </x:c>
      <x:c r="M1422" s="35" t="str">
        <x:v>coverage unavailable or execution/compile failed</x:v>
      </x:c>
      <x:c r="N1422" s="35" t="str">
        <x:v>Gemini-3.8-flash/Result/Jsoup_62/result.json</x:v>
      </x:c>
      <x:c r="O1422" s="39" t="str">
        <x:f>IF(AND(G1422="RECORDED",ISNUMBER(H1422)),H1422,"")</x:f>
      </x:c>
      <x:c r="P1422" s="35" t="str">
        <x:v>NOT_AVAILABLE</x:v>
      </x:c>
      <x:c r="Q1422" s="35" t="str">
        <x:v>Gemini-3.8-flash/Result/Jsoup_62/result.json</x:v>
      </x:c>
    </x:row>
    <x:row r="1423">
      <x:c r="A1423" s="35" t="str">
        <x:v>gemini</x:v>
      </x:c>
      <x:c r="B1423" s="35" t="str">
        <x:v>Jsoup</x:v>
      </x:c>
      <x:c r="C1423" s="35" t="str">
        <x:v>Round1</x:v>
      </x:c>
      <x:c r="D1423" s="35" t="str">
        <x:v>Jsoup_63</x:v>
      </x:c>
      <x:c r="E1423" s="35" t="str">
        <x:v>Condition</x:v>
      </x:c>
      <x:c r="F1423" s="35"/>
      <x:c r="G1423" s="35" t="str">
        <x:v>A</x:v>
      </x:c>
      <x:c r="H1423" s="39" t="str">
        <x:f>IF(ISNUMBER('Data'!N569),'Data'!N569*100,"")</x:f>
      </x:c>
      <x:c r="I1423" s="35"/>
      <x:c r="J1423" s="35" t="str">
        <x:v>PASS</x:v>
      </x:c>
      <x:c r="K1423" s="35" t="str">
        <x:v>FAIL</x:v>
      </x:c>
      <x:c r="L1423" s="35" t="str">
        <x:v>NOT_RUN</x:v>
      </x:c>
      <x:c r="M1423" s="35" t="str">
        <x:v>coverage unavailable or execution/compile failed</x:v>
      </x:c>
      <x:c r="N1423" s="35" t="str">
        <x:v>Gemini-3.8-flash/Result/Jsoup_63/result.json</x:v>
      </x:c>
      <x:c r="O1423" s="39" t="str">
        <x:f>IF(AND(G1423="RECORDED",ISNUMBER(H1423)),H1423,"")</x:f>
      </x:c>
      <x:c r="P1423" s="35" t="str">
        <x:v>NOT_AVAILABLE</x:v>
      </x:c>
      <x:c r="Q1423" s="35" t="str">
        <x:v>Gemini-3.8-flash/Result/Jsoup_63/result.json</x:v>
      </x:c>
    </x:row>
    <x:row r="1424">
      <x:c r="A1424" s="35" t="str">
        <x:v>gemini</x:v>
      </x:c>
      <x:c r="B1424" s="35" t="str">
        <x:v>Jsoup</x:v>
      </x:c>
      <x:c r="C1424" s="35" t="str">
        <x:v>Round1</x:v>
      </x:c>
      <x:c r="D1424" s="35" t="str">
        <x:v>Jsoup_64</x:v>
      </x:c>
      <x:c r="E1424" s="35" t="str">
        <x:v>Condition</x:v>
      </x:c>
      <x:c r="F1424" s="35"/>
      <x:c r="G1424" s="35" t="str">
        <x:v>A</x:v>
      </x:c>
      <x:c r="H1424" s="39" t="str">
        <x:f>IF(ISNUMBER('Data'!N570),'Data'!N570*100,"")</x:f>
      </x:c>
      <x:c r="I1424" s="35"/>
      <x:c r="J1424" s="35" t="str">
        <x:v>PASS</x:v>
      </x:c>
      <x:c r="K1424" s="35" t="str">
        <x:v>FAIL</x:v>
      </x:c>
      <x:c r="L1424" s="35" t="str">
        <x:v>NOT_RUN</x:v>
      </x:c>
      <x:c r="M1424" s="35" t="str">
        <x:v>coverage unavailable or execution/compile failed</x:v>
      </x:c>
      <x:c r="N1424" s="35" t="str">
        <x:v>Gemini-3.8-flash/Result/Jsoup_64/result.json</x:v>
      </x:c>
      <x:c r="O1424" s="39" t="str">
        <x:f>IF(AND(G1424="RECORDED",ISNUMBER(H1424)),H1424,"")</x:f>
      </x:c>
      <x:c r="P1424" s="35" t="str">
        <x:v>NOT_AVAILABLE</x:v>
      </x:c>
      <x:c r="Q1424" s="35" t="str">
        <x:v>Gemini-3.8-flash/Result/Jsoup_64/result.json</x:v>
      </x:c>
    </x:row>
    <x:row r="1425">
      <x:c r="A1425" s="35" t="str">
        <x:v>gemini</x:v>
      </x:c>
      <x:c r="B1425" s="35" t="str">
        <x:v>Jsoup</x:v>
      </x:c>
      <x:c r="C1425" s="35" t="str">
        <x:v>Round1</x:v>
      </x:c>
      <x:c r="D1425" s="35" t="str">
        <x:v>Jsoup_65</x:v>
      </x:c>
      <x:c r="E1425" s="35" t="str">
        <x:v>Condition</x:v>
      </x:c>
      <x:c r="F1425" s="35"/>
      <x:c r="G1425" s="35" t="str">
        <x:v>A</x:v>
      </x:c>
      <x:c r="H1425" s="39" t="str">
        <x:f>IF(ISNUMBER('Data'!N571),'Data'!N571*100,"")</x:f>
      </x:c>
      <x:c r="I1425" s="35"/>
      <x:c r="J1425" s="35" t="str">
        <x:v>PASS</x:v>
      </x:c>
      <x:c r="K1425" s="35" t="str">
        <x:v>FAIL</x:v>
      </x:c>
      <x:c r="L1425" s="35" t="str">
        <x:v>NOT_RUN</x:v>
      </x:c>
      <x:c r="M1425" s="35" t="str">
        <x:v>coverage unavailable or execution/compile failed</x:v>
      </x:c>
      <x:c r="N1425" s="35" t="str">
        <x:v>Gemini-3.8-flash/Result/Jsoup_65/result.json</x:v>
      </x:c>
      <x:c r="O1425" s="39" t="str">
        <x:f>IF(AND(G1425="RECORDED",ISNUMBER(H1425)),H1425,"")</x:f>
      </x:c>
      <x:c r="P1425" s="35" t="str">
        <x:v>NOT_AVAILABLE</x:v>
      </x:c>
      <x:c r="Q1425" s="35" t="str">
        <x:v>Gemini-3.8-flash/Result/Jsoup_65/result.json</x:v>
      </x:c>
    </x:row>
    <x:row r="1426">
      <x:c r="A1426" s="35" t="str">
        <x:v>gemini</x:v>
      </x:c>
      <x:c r="B1426" s="35" t="str">
        <x:v>Jsoup</x:v>
      </x:c>
      <x:c r="C1426" s="35" t="str">
        <x:v>Round1</x:v>
      </x:c>
      <x:c r="D1426" s="35" t="str">
        <x:v>Jsoup_66</x:v>
      </x:c>
      <x:c r="E1426" s="35" t="str">
        <x:v>Condition</x:v>
      </x:c>
      <x:c r="F1426" s="35" t="n">
        <x:v>204</x:v>
      </x:c>
      <x:c r="G1426" s="35" t="str">
        <x:v>RECORDED</x:v>
      </x:c>
      <x:c r="H1426" s="39" t="n">
        <x:f>IF(ISNUMBER('Data'!N572),'Data'!N572*100,"")</x:f>
        <x:v>81.37</x:v>
      </x:c>
      <x:c r="I1426" s="35" t="str">
        <x:v>PASS</x:v>
      </x:c>
      <x:c r="J1426" s="35" t="str">
        <x:v>PASS</x:v>
      </x:c>
      <x:c r="K1426" s="35" t="str">
        <x:v>PASS</x:v>
      </x:c>
      <x:c r="L1426" s="35" t="str">
        <x:v>FAIL</x:v>
      </x:c>
      <x:c r="M1426" s="35" t="str">
        <x:v>numeric coverage for applicable metric</x:v>
      </x:c>
      <x:c r="N1426" s="35" t="str">
        <x:v>Gemini-3.8-flash/Result/Jsoup_66/result.json</x:v>
      </x:c>
      <x:c r="O1426" s="39" t="n">
        <x:f>IF(AND(G1426="RECORDED",ISNUMBER(H1426)),H1426,"")</x:f>
        <x:v>81.37</x:v>
      </x:c>
      <x:c r="P1426" s="35" t="str">
        <x:v>INCONCLUSIVE</x:v>
      </x:c>
      <x:c r="Q1426" s="35" t="str">
        <x:v>Gemini-3.8-flash/Result/Jsoup_66/result.json</x:v>
      </x:c>
    </x:row>
    <x:row r="1427">
      <x:c r="A1427" s="35" t="str">
        <x:v>gemini</x:v>
      </x:c>
      <x:c r="B1427" s="35" t="str">
        <x:v>Jsoup</x:v>
      </x:c>
      <x:c r="C1427" s="35" t="str">
        <x:v>Round1</x:v>
      </x:c>
      <x:c r="D1427" s="35" t="str">
        <x:v>Jsoup_67</x:v>
      </x:c>
      <x:c r="E1427" s="35" t="str">
        <x:v>Condition</x:v>
      </x:c>
      <x:c r="F1427" s="35"/>
      <x:c r="G1427" s="35" t="str">
        <x:v>A</x:v>
      </x:c>
      <x:c r="H1427" s="39" t="str">
        <x:f>IF(ISNUMBER('Data'!N573),'Data'!N573*100,"")</x:f>
      </x:c>
      <x:c r="I1427" s="35"/>
      <x:c r="J1427" s="35" t="str">
        <x:v>PASS</x:v>
      </x:c>
      <x:c r="K1427" s="35" t="str">
        <x:v>FAIL</x:v>
      </x:c>
      <x:c r="L1427" s="35" t="str">
        <x:v>NOT_RUN</x:v>
      </x:c>
      <x:c r="M1427" s="35" t="str">
        <x:v>No saved Java source containing a JUnit test method</x:v>
      </x:c>
      <x:c r="N1427" s="35" t="str">
        <x:v>Gemini-3.8-flash/Result/Jsoup_67/result.json</x:v>
      </x:c>
      <x:c r="O1427" s="39" t="str">
        <x:f>IF(AND(G1427="RECORDED",ISNUMBER(H1427)),H1427,"")</x:f>
      </x:c>
      <x:c r="P1427" s="35" t="str">
        <x:v>FAIL</x:v>
      </x:c>
      <x:c r="Q1427" s="35" t="str">
        <x:v>Gemini-3.8-flash/Result/Jsoup_67/result.json</x:v>
      </x:c>
    </x:row>
    <x:row r="1428">
      <x:c r="A1428" s="35" t="str">
        <x:v>gemini</x:v>
      </x:c>
      <x:c r="B1428" s="35" t="str">
        <x:v>Jsoup</x:v>
      </x:c>
      <x:c r="C1428" s="35" t="str">
        <x:v>Round1</x:v>
      </x:c>
      <x:c r="D1428" s="35" t="str">
        <x:v>Jsoup_68</x:v>
      </x:c>
      <x:c r="E1428" s="35" t="str">
        <x:v>Condition</x:v>
      </x:c>
      <x:c r="F1428" s="35"/>
      <x:c r="G1428" s="35" t="str">
        <x:v>A</x:v>
      </x:c>
      <x:c r="H1428" s="39" t="str">
        <x:f>IF(ISNUMBER('Data'!N574),'Data'!N574*100,"")</x:f>
      </x:c>
      <x:c r="I1428" s="35"/>
      <x:c r="J1428" s="35" t="str">
        <x:v>PASS</x:v>
      </x:c>
      <x:c r="K1428" s="35" t="str">
        <x:v>FAIL</x:v>
      </x:c>
      <x:c r="L1428" s="35" t="str">
        <x:v>NOT_RUN</x:v>
      </x:c>
      <x:c r="M1428" s="35" t="str">
        <x:v>coverage unavailable or execution/compile failed</x:v>
      </x:c>
      <x:c r="N1428" s="35" t="str">
        <x:v>Gemini-3.8-flash/Result/Jsoup_68/result.json</x:v>
      </x:c>
      <x:c r="O1428" s="39" t="str">
        <x:f>IF(AND(G1428="RECORDED",ISNUMBER(H1428)),H1428,"")</x:f>
      </x:c>
      <x:c r="P1428" s="35" t="str">
        <x:v>NOT_AVAILABLE</x:v>
      </x:c>
      <x:c r="Q1428" s="35" t="str">
        <x:v>Gemini-3.8-flash/Result/Jsoup_68/result.json</x:v>
      </x:c>
    </x:row>
    <x:row r="1429">
      <x:c r="A1429" s="35" t="str">
        <x:v>gemini</x:v>
      </x:c>
      <x:c r="B1429" s="35" t="str">
        <x:v>Jsoup</x:v>
      </x:c>
      <x:c r="C1429" s="35" t="str">
        <x:v>Round1</x:v>
      </x:c>
      <x:c r="D1429" s="35" t="str">
        <x:v>Jsoup_69</x:v>
      </x:c>
      <x:c r="E1429" s="35" t="str">
        <x:v>Condition</x:v>
      </x:c>
      <x:c r="F1429" s="35" t="n">
        <x:v>28</x:v>
      </x:c>
      <x:c r="G1429" s="35" t="str">
        <x:v>RECORDED</x:v>
      </x:c>
      <x:c r="H1429" s="39" t="n">
        <x:f>IF(ISNUMBER('Data'!N575),'Data'!N575*100,"")</x:f>
        <x:v>100</x:v>
      </x:c>
      <x:c r="I1429" s="35" t="str">
        <x:v>PASS</x:v>
      </x:c>
      <x:c r="J1429" s="35" t="str">
        <x:v>PASS</x:v>
      </x:c>
      <x:c r="K1429" s="35" t="str">
        <x:v>PASS</x:v>
      </x:c>
      <x:c r="L1429" s="35" t="str">
        <x:v>PASS</x:v>
      </x:c>
      <x:c r="M1429" s="35" t="str">
        <x:v>numeric coverage for applicable metric</x:v>
      </x:c>
      <x:c r="N1429" s="35" t="str">
        <x:v>Gemini-3.8-flash/Result/Jsoup_69/result.json</x:v>
      </x:c>
      <x:c r="O1429" s="39" t="n">
        <x:f>IF(AND(G1429="RECORDED",ISNUMBER(H1429)),H1429,"")</x:f>
        <x:v>100</x:v>
      </x:c>
      <x:c r="P1429" s="35" t="str">
        <x:v>NOT_REVEALING</x:v>
      </x:c>
      <x:c r="Q1429" s="35" t="str">
        <x:v>Gemini-3.8-flash/Result/Jsoup_69/result.json</x:v>
      </x:c>
    </x:row>
    <x:row r="1430">
      <x:c r="A1430" s="35" t="str">
        <x:v>gemini</x:v>
      </x:c>
      <x:c r="B1430" s="35" t="str">
        <x:v>Jsoup</x:v>
      </x:c>
      <x:c r="C1430" s="35" t="str">
        <x:v>Round1</x:v>
      </x:c>
      <x:c r="D1430" s="35" t="str">
        <x:v>Jsoup_7</x:v>
      </x:c>
      <x:c r="E1430" s="35" t="str">
        <x:v>Condition</x:v>
      </x:c>
      <x:c r="F1430" s="35"/>
      <x:c r="G1430" s="35" t="str">
        <x:v>A</x:v>
      </x:c>
      <x:c r="H1430" s="39" t="str">
        <x:f>IF(ISNUMBER('Data'!N576),'Data'!N576*100,"")</x:f>
      </x:c>
      <x:c r="I1430" s="35"/>
      <x:c r="J1430" s="35" t="str">
        <x:v>PASS</x:v>
      </x:c>
      <x:c r="K1430" s="35" t="str">
        <x:v>FAIL</x:v>
      </x:c>
      <x:c r="L1430" s="35" t="str">
        <x:v>NOT_RUN</x:v>
      </x:c>
      <x:c r="M1430" s="35" t="str">
        <x:v>coverage unavailable or execution/compile failed</x:v>
      </x:c>
      <x:c r="N1430" s="35" t="str">
        <x:v>Gemini-3.8-flash/Result/Jsoup_7/result.json</x:v>
      </x:c>
      <x:c r="O1430" s="39" t="str">
        <x:f>IF(AND(G1430="RECORDED",ISNUMBER(H1430)),H1430,"")</x:f>
      </x:c>
      <x:c r="P1430" s="35" t="str">
        <x:v>NOT_AVAILABLE</x:v>
      </x:c>
      <x:c r="Q1430" s="35" t="str">
        <x:v>Gemini-3.8-flash/Result/Jsoup_7/result.json</x:v>
      </x:c>
    </x:row>
    <x:row r="1431">
      <x:c r="A1431" s="35" t="str">
        <x:v>gemini</x:v>
      </x:c>
      <x:c r="B1431" s="35" t="str">
        <x:v>Jsoup</x:v>
      </x:c>
      <x:c r="C1431" s="35" t="str">
        <x:v>Round1</x:v>
      </x:c>
      <x:c r="D1431" s="35" t="str">
        <x:v>Jsoup_70</x:v>
      </x:c>
      <x:c r="E1431" s="35" t="str">
        <x:v>Condition</x:v>
      </x:c>
      <x:c r="F1431" s="35" t="n">
        <x:v>206</x:v>
      </x:c>
      <x:c r="G1431" s="35" t="str">
        <x:v>RECORDED</x:v>
      </x:c>
      <x:c r="H1431" s="39" t="n">
        <x:f>IF(ISNUMBER('Data'!N577),'Data'!N577*100,"")</x:f>
        <x:v>81.07</x:v>
      </x:c>
      <x:c r="I1431" s="35" t="str">
        <x:v>PASS</x:v>
      </x:c>
      <x:c r="J1431" s="35" t="str">
        <x:v>PASS</x:v>
      </x:c>
      <x:c r="K1431" s="35" t="str">
        <x:v>PASS</x:v>
      </x:c>
      <x:c r="L1431" s="35" t="str">
        <x:v>FAIL</x:v>
      </x:c>
      <x:c r="M1431" s="35" t="str">
        <x:v>numeric coverage for applicable metric</x:v>
      </x:c>
      <x:c r="N1431" s="35" t="str">
        <x:v>Gemini-3.8-flash/Result/Jsoup_70/result.json</x:v>
      </x:c>
      <x:c r="O1431" s="39" t="n">
        <x:f>IF(AND(G1431="RECORDED",ISNUMBER(H1431)),H1431,"")</x:f>
        <x:v>81.07</x:v>
      </x:c>
      <x:c r="P1431" s="35" t="str">
        <x:v>INCONCLUSIVE</x:v>
      </x:c>
      <x:c r="Q1431" s="35" t="str">
        <x:v>Gemini-3.8-flash/Result/Jsoup_70/result.json</x:v>
      </x:c>
    </x:row>
    <x:row r="1432">
      <x:c r="A1432" s="35" t="str">
        <x:v>gemini</x:v>
      </x:c>
      <x:c r="B1432" s="35" t="str">
        <x:v>Jsoup</x:v>
      </x:c>
      <x:c r="C1432" s="35" t="str">
        <x:v>Round1</x:v>
      </x:c>
      <x:c r="D1432" s="35" t="str">
        <x:v>Jsoup_71</x:v>
      </x:c>
      <x:c r="E1432" s="35" t="str">
        <x:v>Condition</x:v>
      </x:c>
      <x:c r="F1432" s="35"/>
      <x:c r="G1432" s="35" t="str">
        <x:v>A</x:v>
      </x:c>
      <x:c r="H1432" s="39" t="str">
        <x:f>IF(ISNUMBER('Data'!N578),'Data'!N578*100,"")</x:f>
      </x:c>
      <x:c r="I1432" s="35"/>
      <x:c r="J1432" s="35" t="str">
        <x:v>PASS</x:v>
      </x:c>
      <x:c r="K1432" s="35" t="str">
        <x:v>FAIL</x:v>
      </x:c>
      <x:c r="L1432" s="35" t="str">
        <x:v>NOT_RUN</x:v>
      </x:c>
      <x:c r="M1432" s="35" t="str">
        <x:v>coverage unavailable or execution/compile failed</x:v>
      </x:c>
      <x:c r="N1432" s="35" t="str">
        <x:v>Gemini-3.8-flash/Result/Jsoup_71/result.json</x:v>
      </x:c>
      <x:c r="O1432" s="39" t="str">
        <x:f>IF(AND(G1432="RECORDED",ISNUMBER(H1432)),H1432,"")</x:f>
      </x:c>
      <x:c r="P1432" s="35" t="str">
        <x:v>NOT_AVAILABLE</x:v>
      </x:c>
      <x:c r="Q1432" s="35" t="str">
        <x:v>Gemini-3.8-flash/Result/Jsoup_71/result.json</x:v>
      </x:c>
    </x:row>
    <x:row r="1433">
      <x:c r="A1433" s="35" t="str">
        <x:v>gemini</x:v>
      </x:c>
      <x:c r="B1433" s="35" t="str">
        <x:v>Jsoup</x:v>
      </x:c>
      <x:c r="C1433" s="35" t="str">
        <x:v>Round1</x:v>
      </x:c>
      <x:c r="D1433" s="35" t="str">
        <x:v>Jsoup_72</x:v>
      </x:c>
      <x:c r="E1433" s="35" t="str">
        <x:v>Condition</x:v>
      </x:c>
      <x:c r="F1433" s="35" t="n">
        <x:v>198</x:v>
      </x:c>
      <x:c r="G1433" s="35" t="str">
        <x:v>RECORDED</x:v>
      </x:c>
      <x:c r="H1433" s="39" t="n">
        <x:f>IF(ISNUMBER('Data'!N579),'Data'!N579*100,"")</x:f>
        <x:v>89.9</x:v>
      </x:c>
      <x:c r="I1433" s="35" t="str">
        <x:v>PASS</x:v>
      </x:c>
      <x:c r="J1433" s="35" t="str">
        <x:v>PASS</x:v>
      </x:c>
      <x:c r="K1433" s="35" t="str">
        <x:v>PASS</x:v>
      </x:c>
      <x:c r="L1433" s="35" t="str">
        <x:v>FAIL</x:v>
      </x:c>
      <x:c r="M1433" s="35" t="str">
        <x:v>numeric coverage for applicable metric</x:v>
      </x:c>
      <x:c r="N1433" s="35" t="str">
        <x:v>Gemini-3.8-flash/Result/Jsoup_72/result.json</x:v>
      </x:c>
      <x:c r="O1433" s="39" t="n">
        <x:f>IF(AND(G1433="RECORDED",ISNUMBER(H1433)),H1433,"")</x:f>
        <x:v>89.9</x:v>
      </x:c>
      <x:c r="P1433" s="35" t="str">
        <x:v>INCONCLUSIVE</x:v>
      </x:c>
      <x:c r="Q1433" s="35" t="str">
        <x:v>Gemini-3.8-flash/Result/Jsoup_72/result.json</x:v>
      </x:c>
    </x:row>
    <x:row r="1434">
      <x:c r="A1434" s="35" t="str">
        <x:v>gemini</x:v>
      </x:c>
      <x:c r="B1434" s="35" t="str">
        <x:v>Jsoup</x:v>
      </x:c>
      <x:c r="C1434" s="35" t="str">
        <x:v>Round1</x:v>
      </x:c>
      <x:c r="D1434" s="35" t="str">
        <x:v>Jsoup_73</x:v>
      </x:c>
      <x:c r="E1434" s="35" t="str">
        <x:v>Condition</x:v>
      </x:c>
      <x:c r="F1434" s="35"/>
      <x:c r="G1434" s="35" t="str">
        <x:v>A</x:v>
      </x:c>
      <x:c r="H1434" s="39" t="str">
        <x:f>IF(ISNUMBER('Data'!N580),'Data'!N580*100,"")</x:f>
      </x:c>
      <x:c r="I1434" s="35"/>
      <x:c r="J1434" s="35" t="str">
        <x:v>PASS</x:v>
      </x:c>
      <x:c r="K1434" s="35" t="str">
        <x:v>FAIL</x:v>
      </x:c>
      <x:c r="L1434" s="35" t="str">
        <x:v>NOT_RUN</x:v>
      </x:c>
      <x:c r="M1434" s="35" t="str">
        <x:v>coverage unavailable or execution/compile failed</x:v>
      </x:c>
      <x:c r="N1434" s="35" t="str">
        <x:v>Gemini-3.8-flash/Result/Jsoup_73/result.json</x:v>
      </x:c>
      <x:c r="O1434" s="39" t="str">
        <x:f>IF(AND(G1434="RECORDED",ISNUMBER(H1434)),H1434,"")</x:f>
      </x:c>
      <x:c r="P1434" s="35" t="str">
        <x:v>NOT_AVAILABLE</x:v>
      </x:c>
      <x:c r="Q1434" s="35" t="str">
        <x:v>Gemini-3.8-flash/Result/Jsoup_73/result.json</x:v>
      </x:c>
    </x:row>
    <x:row r="1435">
      <x:c r="A1435" s="35" t="str">
        <x:v>gemini</x:v>
      </x:c>
      <x:c r="B1435" s="35" t="str">
        <x:v>Jsoup</x:v>
      </x:c>
      <x:c r="C1435" s="35" t="str">
        <x:v>Round1</x:v>
      </x:c>
      <x:c r="D1435" s="35" t="str">
        <x:v>Jsoup_74</x:v>
      </x:c>
      <x:c r="E1435" s="35" t="str">
        <x:v>Condition</x:v>
      </x:c>
      <x:c r="F1435" s="35" t="n">
        <x:v>74</x:v>
      </x:c>
      <x:c r="G1435" s="35" t="str">
        <x:v>RECORDED</x:v>
      </x:c>
      <x:c r="H1435" s="39" t="n">
        <x:f>IF(ISNUMBER('Data'!N581),'Data'!N581*100,"")</x:f>
        <x:v>98.65</x:v>
      </x:c>
      <x:c r="I1435" s="35" t="str">
        <x:v>PASS</x:v>
      </x:c>
      <x:c r="J1435" s="35" t="str">
        <x:v>PASS</x:v>
      </x:c>
      <x:c r="K1435" s="35" t="str">
        <x:v>PASS</x:v>
      </x:c>
      <x:c r="L1435" s="35" t="str">
        <x:v>FAIL</x:v>
      </x:c>
      <x:c r="M1435" s="35" t="str">
        <x:v>numeric coverage for applicable metric</x:v>
      </x:c>
      <x:c r="N1435" s="35" t="str">
        <x:v>Gemini-3.8-flash/Result/Jsoup_74/result.json</x:v>
      </x:c>
      <x:c r="O1435" s="39" t="n">
        <x:f>IF(AND(G1435="RECORDED",ISNUMBER(H1435)),H1435,"")</x:f>
        <x:v>98.65</x:v>
      </x:c>
      <x:c r="P1435" s="35" t="str">
        <x:v>INCONCLUSIVE</x:v>
      </x:c>
      <x:c r="Q1435" s="35" t="str">
        <x:v>Gemini-3.8-flash/Result/Jsoup_74/result.json</x:v>
      </x:c>
    </x:row>
    <x:row r="1436">
      <x:c r="A1436" s="35" t="str">
        <x:v>gemini</x:v>
      </x:c>
      <x:c r="B1436" s="35" t="str">
        <x:v>Jsoup</x:v>
      </x:c>
      <x:c r="C1436" s="35" t="str">
        <x:v>Round1</x:v>
      </x:c>
      <x:c r="D1436" s="35" t="str">
        <x:v>Jsoup_75</x:v>
      </x:c>
      <x:c r="E1436" s="35" t="str">
        <x:v>Condition</x:v>
      </x:c>
      <x:c r="F1436" s="35" t="n">
        <x:v>84</x:v>
      </x:c>
      <x:c r="G1436" s="35" t="str">
        <x:v>RECORDED</x:v>
      </x:c>
      <x:c r="H1436" s="39" t="n">
        <x:f>IF(ISNUMBER('Data'!N582),'Data'!N582*100,"")</x:f>
        <x:v>95.24</x:v>
      </x:c>
      <x:c r="I1436" s="35" t="str">
        <x:v>PASS</x:v>
      </x:c>
      <x:c r="J1436" s="35" t="str">
        <x:v>PASS</x:v>
      </x:c>
      <x:c r="K1436" s="35" t="str">
        <x:v>PASS</x:v>
      </x:c>
      <x:c r="L1436" s="35" t="str">
        <x:v>FAIL</x:v>
      </x:c>
      <x:c r="M1436" s="35" t="str">
        <x:v>numeric coverage for applicable metric</x:v>
      </x:c>
      <x:c r="N1436" s="35" t="str">
        <x:v>Gemini-3.8-flash/Result/Jsoup_75/result.json</x:v>
      </x:c>
      <x:c r="O1436" s="39" t="n">
        <x:f>IF(AND(G1436="RECORDED",ISNUMBER(H1436)),H1436,"")</x:f>
        <x:v>95.24</x:v>
      </x:c>
      <x:c r="P1436" s="35" t="str">
        <x:v>INCONCLUSIVE</x:v>
      </x:c>
      <x:c r="Q1436" s="35" t="str">
        <x:v>Gemini-3.8-flash/Result/Jsoup_75/result.json</x:v>
      </x:c>
    </x:row>
    <x:row r="1437">
      <x:c r="A1437" s="35" t="str">
        <x:v>gemini</x:v>
      </x:c>
      <x:c r="B1437" s="35" t="str">
        <x:v>Jsoup</x:v>
      </x:c>
      <x:c r="C1437" s="35" t="str">
        <x:v>Round1</x:v>
      </x:c>
      <x:c r="D1437" s="35" t="str">
        <x:v>Jsoup_76</x:v>
      </x:c>
      <x:c r="E1437" s="35" t="str">
        <x:v>Condition</x:v>
      </x:c>
      <x:c r="F1437" s="35"/>
      <x:c r="G1437" s="35" t="str">
        <x:v>A</x:v>
      </x:c>
      <x:c r="H1437" s="39" t="str">
        <x:f>IF(ISNUMBER('Data'!N583),'Data'!N583*100,"")</x:f>
      </x:c>
      <x:c r="I1437" s="35"/>
      <x:c r="J1437" s="35" t="str">
        <x:v>PASS</x:v>
      </x:c>
      <x:c r="K1437" s="35" t="str">
        <x:v>FAIL</x:v>
      </x:c>
      <x:c r="L1437" s="35" t="str">
        <x:v>NOT_RUN</x:v>
      </x:c>
      <x:c r="M1437" s="35" t="str">
        <x:v>coverage unavailable or execution/compile failed</x:v>
      </x:c>
      <x:c r="N1437" s="35" t="str">
        <x:v>Gemini-3.8-flash/Result/Jsoup_76/result.json</x:v>
      </x:c>
      <x:c r="O1437" s="39" t="str">
        <x:f>IF(AND(G1437="RECORDED",ISNUMBER(H1437)),H1437,"")</x:f>
      </x:c>
      <x:c r="P1437" s="35" t="str">
        <x:v>NOT_AVAILABLE</x:v>
      </x:c>
      <x:c r="Q1437" s="35" t="str">
        <x:v>Gemini-3.8-flash/Result/Jsoup_76/result.json</x:v>
      </x:c>
    </x:row>
    <x:row r="1438">
      <x:c r="A1438" s="35" t="str">
        <x:v>gemini</x:v>
      </x:c>
      <x:c r="B1438" s="35" t="str">
        <x:v>Jsoup</x:v>
      </x:c>
      <x:c r="C1438" s="35" t="str">
        <x:v>Round1</x:v>
      </x:c>
      <x:c r="D1438" s="35" t="str">
        <x:v>Jsoup_77</x:v>
      </x:c>
      <x:c r="E1438" s="35" t="str">
        <x:v>Condition</x:v>
      </x:c>
      <x:c r="F1438" s="35"/>
      <x:c r="G1438" s="35" t="str">
        <x:v>A</x:v>
      </x:c>
      <x:c r="H1438" s="39" t="str">
        <x:f>IF(ISNUMBER('Data'!N584),'Data'!N584*100,"")</x:f>
      </x:c>
      <x:c r="I1438" s="35"/>
      <x:c r="J1438" s="35" t="str">
        <x:v>PASS</x:v>
      </x:c>
      <x:c r="K1438" s="35" t="str">
        <x:v>FAIL</x:v>
      </x:c>
      <x:c r="L1438" s="35" t="str">
        <x:v>NOT_RUN</x:v>
      </x:c>
      <x:c r="M1438" s="35" t="str">
        <x:v>coverage unavailable or execution/compile failed</x:v>
      </x:c>
      <x:c r="N1438" s="35" t="str">
        <x:v>Gemini-3.8-flash/Result/Jsoup_77/result.json</x:v>
      </x:c>
      <x:c r="O1438" s="39" t="str">
        <x:f>IF(AND(G1438="RECORDED",ISNUMBER(H1438)),H1438,"")</x:f>
      </x:c>
      <x:c r="P1438" s="35" t="str">
        <x:v>NOT_AVAILABLE</x:v>
      </x:c>
      <x:c r="Q1438" s="35" t="str">
        <x:v>Gemini-3.8-flash/Result/Jsoup_77/result.json</x:v>
      </x:c>
    </x:row>
    <x:row r="1439">
      <x:c r="A1439" s="35" t="str">
        <x:v>gemini</x:v>
      </x:c>
      <x:c r="B1439" s="35" t="str">
        <x:v>Jsoup</x:v>
      </x:c>
      <x:c r="C1439" s="35" t="str">
        <x:v>Round1</x:v>
      </x:c>
      <x:c r="D1439" s="35" t="str">
        <x:v>Jsoup_78</x:v>
      </x:c>
      <x:c r="E1439" s="35" t="str">
        <x:v>Condition</x:v>
      </x:c>
      <x:c r="F1439" s="35" t="n">
        <x:v>88</x:v>
      </x:c>
      <x:c r="G1439" s="35" t="str">
        <x:v>RECORDED</x:v>
      </x:c>
      <x:c r="H1439" s="39" t="n">
        <x:f>IF(ISNUMBER('Data'!N585),'Data'!N585*100,"")</x:f>
        <x:v>85.23</x:v>
      </x:c>
      <x:c r="I1439" s="35" t="str">
        <x:v>PASS</x:v>
      </x:c>
      <x:c r="J1439" s="35" t="str">
        <x:v>PASS</x:v>
      </x:c>
      <x:c r="K1439" s="35" t="str">
        <x:v>PASS</x:v>
      </x:c>
      <x:c r="L1439" s="35" t="str">
        <x:v>PASS</x:v>
      </x:c>
      <x:c r="M1439" s="35" t="str">
        <x:v>numeric coverage for applicable metric</x:v>
      </x:c>
      <x:c r="N1439" s="35" t="str">
        <x:v>Gemini-3.8-flash/Result/Jsoup_78/result.json</x:v>
      </x:c>
      <x:c r="O1439" s="39" t="n">
        <x:f>IF(AND(G1439="RECORDED",ISNUMBER(H1439)),H1439,"")</x:f>
        <x:v>85.23</x:v>
      </x:c>
      <x:c r="P1439" s="35" t="str">
        <x:v>NOT_REVEALING</x:v>
      </x:c>
      <x:c r="Q1439" s="35" t="str">
        <x:v>Gemini-3.8-flash/Result/Jsoup_78/result.json</x:v>
      </x:c>
    </x:row>
    <x:row r="1440">
      <x:c r="A1440" s="35" t="str">
        <x:v>gemini</x:v>
      </x:c>
      <x:c r="B1440" s="35" t="str">
        <x:v>Jsoup</x:v>
      </x:c>
      <x:c r="C1440" s="35" t="str">
        <x:v>Round1</x:v>
      </x:c>
      <x:c r="D1440" s="35" t="str">
        <x:v>Jsoup_79</x:v>
      </x:c>
      <x:c r="E1440" s="35" t="str">
        <x:v>Condition</x:v>
      </x:c>
      <x:c r="F1440" s="35" t="n">
        <x:v>14</x:v>
      </x:c>
      <x:c r="G1440" s="35" t="str">
        <x:v>RECORDED</x:v>
      </x:c>
      <x:c r="H1440" s="39" t="n">
        <x:f>IF(ISNUMBER('Data'!N586),'Data'!N586*100,"")</x:f>
        <x:v>100</x:v>
      </x:c>
      <x:c r="I1440" s="35" t="str">
        <x:v>PASS</x:v>
      </x:c>
      <x:c r="J1440" s="35" t="str">
        <x:v>PASS</x:v>
      </x:c>
      <x:c r="K1440" s="35" t="str">
        <x:v>PASS</x:v>
      </x:c>
      <x:c r="L1440" s="35" t="str">
        <x:v>PASS</x:v>
      </x:c>
      <x:c r="M1440" s="35" t="str">
        <x:v>numeric coverage for applicable metric</x:v>
      </x:c>
      <x:c r="N1440" s="35" t="str">
        <x:v>Gemini-3.8-flash/Result/Jsoup_79/result.json</x:v>
      </x:c>
      <x:c r="O1440" s="39" t="n">
        <x:f>IF(AND(G1440="RECORDED",ISNUMBER(H1440)),H1440,"")</x:f>
        <x:v>100</x:v>
      </x:c>
      <x:c r="P1440" s="35" t="str">
        <x:v>INCONCLUSIVE</x:v>
      </x:c>
      <x:c r="Q1440" s="35" t="str">
        <x:v>Gemini-3.8-flash/Result/Jsoup_79/result.json</x:v>
      </x:c>
    </x:row>
    <x:row r="1441">
      <x:c r="A1441" s="35" t="str">
        <x:v>gemini</x:v>
      </x:c>
      <x:c r="B1441" s="35" t="str">
        <x:v>Jsoup</x:v>
      </x:c>
      <x:c r="C1441" s="35" t="str">
        <x:v>Round1</x:v>
      </x:c>
      <x:c r="D1441" s="35" t="str">
        <x:v>Jsoup_8</x:v>
      </x:c>
      <x:c r="E1441" s="35" t="str">
        <x:v>Condition</x:v>
      </x:c>
      <x:c r="F1441" s="35"/>
      <x:c r="G1441" s="35" t="str">
        <x:v>A</x:v>
      </x:c>
      <x:c r="H1441" s="39" t="str">
        <x:f>IF(ISNUMBER('Data'!N587),'Data'!N587*100,"")</x:f>
      </x:c>
      <x:c r="I1441" s="35"/>
      <x:c r="J1441" s="35" t="str">
        <x:v>PASS</x:v>
      </x:c>
      <x:c r="K1441" s="35" t="str">
        <x:v>FAIL</x:v>
      </x:c>
      <x:c r="L1441" s="35" t="str">
        <x:v>NOT_RUN</x:v>
      </x:c>
      <x:c r="M1441" s="35" t="str">
        <x:v>coverage unavailable or execution/compile failed</x:v>
      </x:c>
      <x:c r="N1441" s="35" t="str">
        <x:v>Gemini-3.8-flash/Result/Jsoup_8/result.json</x:v>
      </x:c>
      <x:c r="O1441" s="39" t="str">
        <x:f>IF(AND(G1441="RECORDED",ISNUMBER(H1441)),H1441,"")</x:f>
      </x:c>
      <x:c r="P1441" s="35" t="str">
        <x:v>NOT_AVAILABLE</x:v>
      </x:c>
      <x:c r="Q1441" s="35" t="str">
        <x:v>Gemini-3.8-flash/Result/Jsoup_8/result.json</x:v>
      </x:c>
    </x:row>
    <x:row r="1442">
      <x:c r="A1442" s="35" t="str">
        <x:v>gemini</x:v>
      </x:c>
      <x:c r="B1442" s="35" t="str">
        <x:v>Jsoup</x:v>
      </x:c>
      <x:c r="C1442" s="35" t="str">
        <x:v>Round1</x:v>
      </x:c>
      <x:c r="D1442" s="35" t="str">
        <x:v>Jsoup_80</x:v>
      </x:c>
      <x:c r="E1442" s="35" t="str">
        <x:v>Condition</x:v>
      </x:c>
      <x:c r="F1442" s="35"/>
      <x:c r="G1442" s="35" t="str">
        <x:v>A</x:v>
      </x:c>
      <x:c r="H1442" s="39" t="str">
        <x:f>IF(ISNUMBER('Data'!N588),'Data'!N588*100,"")</x:f>
      </x:c>
      <x:c r="I1442" s="35"/>
      <x:c r="J1442" s="35" t="str">
        <x:v>PASS</x:v>
      </x:c>
      <x:c r="K1442" s="35" t="str">
        <x:v>FAIL</x:v>
      </x:c>
      <x:c r="L1442" s="35" t="str">
        <x:v>NOT_RUN</x:v>
      </x:c>
      <x:c r="M1442" s="35" t="str">
        <x:v>coverage unavailable or execution/compile failed</x:v>
      </x:c>
      <x:c r="N1442" s="35" t="str">
        <x:v>Gemini-3.8-flash/Result/Jsoup_80/result.json</x:v>
      </x:c>
      <x:c r="O1442" s="39" t="str">
        <x:f>IF(AND(G1442="RECORDED",ISNUMBER(H1442)),H1442,"")</x:f>
      </x:c>
      <x:c r="P1442" s="35" t="str">
        <x:v>NOT_AVAILABLE</x:v>
      </x:c>
      <x:c r="Q1442" s="35" t="str">
        <x:v>Gemini-3.8-flash/Result/Jsoup_80/result.json</x:v>
      </x:c>
    </x:row>
    <x:row r="1443">
      <x:c r="A1443" s="35" t="str">
        <x:v>gemini</x:v>
      </x:c>
      <x:c r="B1443" s="35" t="str">
        <x:v>Jsoup</x:v>
      </x:c>
      <x:c r="C1443" s="35" t="str">
        <x:v>Round1</x:v>
      </x:c>
      <x:c r="D1443" s="35" t="str">
        <x:v>Jsoup_81</x:v>
      </x:c>
      <x:c r="E1443" s="35" t="str">
        <x:v>Condition</x:v>
      </x:c>
      <x:c r="F1443" s="35" t="n">
        <x:v>94</x:v>
      </x:c>
      <x:c r="G1443" s="35" t="str">
        <x:v>RECORDED</x:v>
      </x:c>
      <x:c r="H1443" s="39" t="n">
        <x:f>IF(ISNUMBER('Data'!N589),'Data'!N589*100,"")</x:f>
        <x:v>75.53</x:v>
      </x:c>
      <x:c r="I1443" s="35" t="str">
        <x:v>PASS</x:v>
      </x:c>
      <x:c r="J1443" s="35" t="str">
        <x:v>PASS</x:v>
      </x:c>
      <x:c r="K1443" s="35" t="str">
        <x:v>PASS</x:v>
      </x:c>
      <x:c r="L1443" s="35" t="str">
        <x:v>FAIL</x:v>
      </x:c>
      <x:c r="M1443" s="35" t="str">
        <x:v>numeric coverage for applicable metric</x:v>
      </x:c>
      <x:c r="N1443" s="35" t="str">
        <x:v>Gemini-3.8-flash/Result/Jsoup_81/result.json</x:v>
      </x:c>
      <x:c r="O1443" s="39" t="n">
        <x:f>IF(AND(G1443="RECORDED",ISNUMBER(H1443)),H1443,"")</x:f>
        <x:v>75.53</x:v>
      </x:c>
      <x:c r="P1443" s="35" t="str">
        <x:v>INCONCLUSIVE</x:v>
      </x:c>
      <x:c r="Q1443" s="35" t="str">
        <x:v>Gemini-3.8-flash/Result/Jsoup_81/result.json</x:v>
      </x:c>
    </x:row>
    <x:row r="1444">
      <x:c r="A1444" s="35" t="str">
        <x:v>gemini</x:v>
      </x:c>
      <x:c r="B1444" s="35" t="str">
        <x:v>Jsoup</x:v>
      </x:c>
      <x:c r="C1444" s="35" t="str">
        <x:v>Round1</x:v>
      </x:c>
      <x:c r="D1444" s="35" t="str">
        <x:v>Jsoup_82</x:v>
      </x:c>
      <x:c r="E1444" s="35" t="str">
        <x:v>Condition</x:v>
      </x:c>
      <x:c r="F1444" s="35" t="n">
        <x:v>96</x:v>
      </x:c>
      <x:c r="G1444" s="35" t="str">
        <x:v>RECORDED</x:v>
      </x:c>
      <x:c r="H1444" s="39" t="n">
        <x:f>IF(ISNUMBER('Data'!N590),'Data'!N590*100,"")</x:f>
        <x:v>81.25</x:v>
      </x:c>
      <x:c r="I1444" s="35" t="str">
        <x:v>PASS</x:v>
      </x:c>
      <x:c r="J1444" s="35" t="str">
        <x:v>PASS</x:v>
      </x:c>
      <x:c r="K1444" s="35" t="str">
        <x:v>PASS</x:v>
      </x:c>
      <x:c r="L1444" s="35" t="str">
        <x:v>FAIL</x:v>
      </x:c>
      <x:c r="M1444" s="35" t="str">
        <x:v>numeric coverage for applicable metric</x:v>
      </x:c>
      <x:c r="N1444" s="35" t="str">
        <x:v>Gemini-3.8-flash/Result/Jsoup_82/result.json</x:v>
      </x:c>
      <x:c r="O1444" s="39" t="n">
        <x:f>IF(AND(G1444="RECORDED",ISNUMBER(H1444)),H1444,"")</x:f>
        <x:v>81.25</x:v>
      </x:c>
      <x:c r="P1444" s="35" t="str">
        <x:v>INCONCLUSIVE</x:v>
      </x:c>
      <x:c r="Q1444" s="35" t="str">
        <x:v>Gemini-3.8-flash/Result/Jsoup_82/result.json</x:v>
      </x:c>
    </x:row>
    <x:row r="1445">
      <x:c r="A1445" s="35" t="str">
        <x:v>gemini</x:v>
      </x:c>
      <x:c r="B1445" s="35" t="str">
        <x:v>Jsoup</x:v>
      </x:c>
      <x:c r="C1445" s="35" t="str">
        <x:v>Round1</x:v>
      </x:c>
      <x:c r="D1445" s="35" t="str">
        <x:v>Jsoup_83</x:v>
      </x:c>
      <x:c r="E1445" s="35" t="str">
        <x:v>Condition</x:v>
      </x:c>
      <x:c r="F1445" s="35"/>
      <x:c r="G1445" s="35" t="str">
        <x:v>A</x:v>
      </x:c>
      <x:c r="H1445" s="39" t="str">
        <x:f>IF(ISNUMBER('Data'!N591),'Data'!N591*100,"")</x:f>
      </x:c>
      <x:c r="I1445" s="35"/>
      <x:c r="J1445" s="35" t="str">
        <x:v>PASS</x:v>
      </x:c>
      <x:c r="K1445" s="35" t="str">
        <x:v>FAIL</x:v>
      </x:c>
      <x:c r="L1445" s="35" t="str">
        <x:v>NOT_RUN</x:v>
      </x:c>
      <x:c r="M1445" s="35" t="str">
        <x:v>coverage unavailable or execution/compile failed</x:v>
      </x:c>
      <x:c r="N1445" s="35" t="str">
        <x:v>Gemini-3.8-flash/Result/Jsoup_83/result.json</x:v>
      </x:c>
      <x:c r="O1445" s="39" t="str">
        <x:f>IF(AND(G1445="RECORDED",ISNUMBER(H1445)),H1445,"")</x:f>
      </x:c>
      <x:c r="P1445" s="35" t="str">
        <x:v>NOT_AVAILABLE</x:v>
      </x:c>
      <x:c r="Q1445" s="35" t="str">
        <x:v>Gemini-3.8-flash/Result/Jsoup_83/result.json</x:v>
      </x:c>
    </x:row>
    <x:row r="1446">
      <x:c r="A1446" s="35" t="str">
        <x:v>gemini</x:v>
      </x:c>
      <x:c r="B1446" s="35" t="str">
        <x:v>Jsoup</x:v>
      </x:c>
      <x:c r="C1446" s="35" t="str">
        <x:v>Round1</x:v>
      </x:c>
      <x:c r="D1446" s="35" t="str">
        <x:v>Jsoup_84</x:v>
      </x:c>
      <x:c r="E1446" s="35" t="str">
        <x:v>Condition</x:v>
      </x:c>
      <x:c r="F1446" s="35" t="n">
        <x:v>28</x:v>
      </x:c>
      <x:c r="G1446" s="35" t="str">
        <x:v>RECORDED</x:v>
      </x:c>
      <x:c r="H1446" s="39" t="n">
        <x:f>IF(ISNUMBER('Data'!N592),'Data'!N592*100,"")</x:f>
        <x:v>100</x:v>
      </x:c>
      <x:c r="I1446" s="35" t="str">
        <x:v>PASS</x:v>
      </x:c>
      <x:c r="J1446" s="35" t="str">
        <x:v>PASS</x:v>
      </x:c>
      <x:c r="K1446" s="35" t="str">
        <x:v>PASS</x:v>
      </x:c>
      <x:c r="L1446" s="35" t="str">
        <x:v>FAIL</x:v>
      </x:c>
      <x:c r="M1446" s="35" t="str">
        <x:v>numeric coverage for applicable metric</x:v>
      </x:c>
      <x:c r="N1446" s="35" t="str">
        <x:v>Gemini-3.8-flash/Result/Jsoup_84/result.json</x:v>
      </x:c>
      <x:c r="O1446" s="39" t="n">
        <x:f>IF(AND(G1446="RECORDED",ISNUMBER(H1446)),H1446,"")</x:f>
        <x:v>100</x:v>
      </x:c>
      <x:c r="P1446" s="35" t="str">
        <x:v>INCONCLUSIVE</x:v>
      </x:c>
      <x:c r="Q1446" s="35" t="str">
        <x:v>Gemini-3.8-flash/Result/Jsoup_84/result.json</x:v>
      </x:c>
    </x:row>
    <x:row r="1447">
      <x:c r="A1447" s="35" t="str">
        <x:v>gemini</x:v>
      </x:c>
      <x:c r="B1447" s="35" t="str">
        <x:v>Jsoup</x:v>
      </x:c>
      <x:c r="C1447" s="35" t="str">
        <x:v>Round1</x:v>
      </x:c>
      <x:c r="D1447" s="35" t="str">
        <x:v>Jsoup_85</x:v>
      </x:c>
      <x:c r="E1447" s="35" t="str">
        <x:v>Condition</x:v>
      </x:c>
      <x:c r="F1447" s="35" t="n">
        <x:v>50</x:v>
      </x:c>
      <x:c r="G1447" s="35" t="str">
        <x:v>RECORDED</x:v>
      </x:c>
      <x:c r="H1447" s="39" t="n">
        <x:f>IF(ISNUMBER('Data'!N593),'Data'!N593*100,"")</x:f>
        <x:v>57.99999999999999</x:v>
      </x:c>
      <x:c r="I1447" s="35" t="str">
        <x:v>PASS</x:v>
      </x:c>
      <x:c r="J1447" s="35" t="str">
        <x:v>PASS</x:v>
      </x:c>
      <x:c r="K1447" s="35" t="str">
        <x:v>PASS</x:v>
      </x:c>
      <x:c r="L1447" s="35" t="str">
        <x:v>PASS</x:v>
      </x:c>
      <x:c r="M1447" s="35" t="str">
        <x:v>numeric coverage for applicable metric</x:v>
      </x:c>
      <x:c r="N1447" s="35" t="str">
        <x:v>Gemini-3.8-flash/Result/Jsoup_85/result.json</x:v>
      </x:c>
      <x:c r="O1447" s="39" t="n">
        <x:f>IF(AND(G1447="RECORDED",ISNUMBER(H1447)),H1447,"")</x:f>
        <x:v>57.99999999999999</x:v>
      </x:c>
      <x:c r="P1447" s="35" t="str">
        <x:v>NOT_REVEALING</x:v>
      </x:c>
      <x:c r="Q1447" s="35" t="str">
        <x:v>Gemini-3.8-flash/Result/Jsoup_85/result.json</x:v>
      </x:c>
    </x:row>
    <x:row r="1448">
      <x:c r="A1448" s="35" t="str">
        <x:v>gemini</x:v>
      </x:c>
      <x:c r="B1448" s="35" t="str">
        <x:v>Jsoup</x:v>
      </x:c>
      <x:c r="C1448" s="35" t="str">
        <x:v>Round1</x:v>
      </x:c>
      <x:c r="D1448" s="35" t="str">
        <x:v>Jsoup_86</x:v>
      </x:c>
      <x:c r="E1448" s="35" t="str">
        <x:v>Condition</x:v>
      </x:c>
      <x:c r="F1448" s="35"/>
      <x:c r="G1448" s="35" t="str">
        <x:v>A</x:v>
      </x:c>
      <x:c r="H1448" s="39" t="str">
        <x:f>IF(ISNUMBER('Data'!N594),'Data'!N594*100,"")</x:f>
      </x:c>
      <x:c r="I1448" s="35"/>
      <x:c r="J1448" s="35" t="str">
        <x:v>PASS</x:v>
      </x:c>
      <x:c r="K1448" s="35" t="str">
        <x:v>FAIL</x:v>
      </x:c>
      <x:c r="L1448" s="35" t="str">
        <x:v>NOT_RUN</x:v>
      </x:c>
      <x:c r="M1448" s="35" t="str">
        <x:v>coverage unavailable or execution/compile failed</x:v>
      </x:c>
      <x:c r="N1448" s="35" t="str">
        <x:v>Gemini-3.8-flash/Result/Jsoup_86/result.json</x:v>
      </x:c>
      <x:c r="O1448" s="39" t="str">
        <x:f>IF(AND(G1448="RECORDED",ISNUMBER(H1448)),H1448,"")</x:f>
      </x:c>
      <x:c r="P1448" s="35" t="str">
        <x:v>NOT_AVAILABLE</x:v>
      </x:c>
      <x:c r="Q1448" s="35" t="str">
        <x:v>Gemini-3.8-flash/Result/Jsoup_86/result.json</x:v>
      </x:c>
    </x:row>
    <x:row r="1449">
      <x:c r="A1449" s="35" t="str">
        <x:v>gemini</x:v>
      </x:c>
      <x:c r="B1449" s="35" t="str">
        <x:v>Jsoup</x:v>
      </x:c>
      <x:c r="C1449" s="35" t="str">
        <x:v>Round1</x:v>
      </x:c>
      <x:c r="D1449" s="35" t="str">
        <x:v>Jsoup_87</x:v>
      </x:c>
      <x:c r="E1449" s="35" t="str">
        <x:v>Condition</x:v>
      </x:c>
      <x:c r="F1449" s="35"/>
      <x:c r="G1449" s="35" t="str">
        <x:v>A</x:v>
      </x:c>
      <x:c r="H1449" s="39" t="str">
        <x:f>IF(ISNUMBER('Data'!N595),'Data'!N595*100,"")</x:f>
      </x:c>
      <x:c r="I1449" s="35"/>
      <x:c r="J1449" s="35" t="str">
        <x:v>PASS</x:v>
      </x:c>
      <x:c r="K1449" s="35" t="str">
        <x:v>FAIL</x:v>
      </x:c>
      <x:c r="L1449" s="35" t="str">
        <x:v>NOT_RUN</x:v>
      </x:c>
      <x:c r="M1449" s="35" t="str">
        <x:v>coverage unavailable or execution/compile failed</x:v>
      </x:c>
      <x:c r="N1449" s="35" t="str">
        <x:v>Gemini-3.8-flash/Result/Jsoup_87/result.json</x:v>
      </x:c>
      <x:c r="O1449" s="39" t="str">
        <x:f>IF(AND(G1449="RECORDED",ISNUMBER(H1449)),H1449,"")</x:f>
      </x:c>
      <x:c r="P1449" s="35" t="str">
        <x:v>NOT_AVAILABLE</x:v>
      </x:c>
      <x:c r="Q1449" s="35" t="str">
        <x:v>Gemini-3.8-flash/Result/Jsoup_87/result.json</x:v>
      </x:c>
    </x:row>
    <x:row r="1450">
      <x:c r="A1450" s="35" t="str">
        <x:v>gemini</x:v>
      </x:c>
      <x:c r="B1450" s="35" t="str">
        <x:v>Jsoup</x:v>
      </x:c>
      <x:c r="C1450" s="35" t="str">
        <x:v>Round1</x:v>
      </x:c>
      <x:c r="D1450" s="35" t="str">
        <x:v>Jsoup_88</x:v>
      </x:c>
      <x:c r="E1450" s="35" t="str">
        <x:v>Condition</x:v>
      </x:c>
      <x:c r="F1450" s="35" t="n">
        <x:v>50</x:v>
      </x:c>
      <x:c r="G1450" s="35" t="str">
        <x:v>RECORDED</x:v>
      </x:c>
      <x:c r="H1450" s="39" t="n">
        <x:f>IF(ISNUMBER('Data'!N596),'Data'!N596*100,"")</x:f>
        <x:v>57.99999999999999</x:v>
      </x:c>
      <x:c r="I1450" s="35" t="str">
        <x:v>PASS</x:v>
      </x:c>
      <x:c r="J1450" s="35" t="str">
        <x:v>PASS</x:v>
      </x:c>
      <x:c r="K1450" s="35" t="str">
        <x:v>PASS</x:v>
      </x:c>
      <x:c r="L1450" s="35" t="str">
        <x:v>PASS</x:v>
      </x:c>
      <x:c r="M1450" s="35" t="str">
        <x:v>numeric coverage for applicable metric</x:v>
      </x:c>
      <x:c r="N1450" s="35" t="str">
        <x:v>Gemini-3.8-flash/Result/Jsoup_88/result.json</x:v>
      </x:c>
      <x:c r="O1450" s="39" t="n">
        <x:f>IF(AND(G1450="RECORDED",ISNUMBER(H1450)),H1450,"")</x:f>
        <x:v>57.99999999999999</x:v>
      </x:c>
      <x:c r="P1450" s="35" t="str">
        <x:v>NOT_REVEALING</x:v>
      </x:c>
      <x:c r="Q1450" s="35" t="str">
        <x:v>Gemini-3.8-flash/Result/Jsoup_88/result.json</x:v>
      </x:c>
    </x:row>
    <x:row r="1451">
      <x:c r="A1451" s="35" t="str">
        <x:v>gemini</x:v>
      </x:c>
      <x:c r="B1451" s="35" t="str">
        <x:v>Jsoup</x:v>
      </x:c>
      <x:c r="C1451" s="35" t="str">
        <x:v>Round1</x:v>
      </x:c>
      <x:c r="D1451" s="35" t="str">
        <x:v>Jsoup_89</x:v>
      </x:c>
      <x:c r="E1451" s="35" t="str">
        <x:v>Condition</x:v>
      </x:c>
      <x:c r="F1451" s="35" t="n">
        <x:v>50</x:v>
      </x:c>
      <x:c r="G1451" s="35" t="str">
        <x:v>RECORDED</x:v>
      </x:c>
      <x:c r="H1451" s="39" t="n">
        <x:f>IF(ISNUMBER('Data'!N597),'Data'!N597*100,"")</x:f>
        <x:v>57.99999999999999</x:v>
      </x:c>
      <x:c r="I1451" s="35" t="str">
        <x:v>PASS</x:v>
      </x:c>
      <x:c r="J1451" s="35" t="str">
        <x:v>PASS</x:v>
      </x:c>
      <x:c r="K1451" s="35" t="str">
        <x:v>PASS</x:v>
      </x:c>
      <x:c r="L1451" s="35" t="str">
        <x:v>PASS</x:v>
      </x:c>
      <x:c r="M1451" s="35" t="str">
        <x:v>numeric coverage for applicable metric</x:v>
      </x:c>
      <x:c r="N1451" s="35" t="str">
        <x:v>Gemini-3.8-flash/Result/Jsoup_89/result.json</x:v>
      </x:c>
      <x:c r="O1451" s="39" t="n">
        <x:f>IF(AND(G1451="RECORDED",ISNUMBER(H1451)),H1451,"")</x:f>
        <x:v>57.99999999999999</x:v>
      </x:c>
      <x:c r="P1451" s="35" t="str">
        <x:v>NOT_REVEALING</x:v>
      </x:c>
      <x:c r="Q1451" s="35" t="str">
        <x:v>Gemini-3.8-flash/Result/Jsoup_89/result.json</x:v>
      </x:c>
    </x:row>
    <x:row r="1452">
      <x:c r="A1452" s="35" t="str">
        <x:v>gemini</x:v>
      </x:c>
      <x:c r="B1452" s="35" t="str">
        <x:v>Jsoup</x:v>
      </x:c>
      <x:c r="C1452" s="35" t="str">
        <x:v>Round1</x:v>
      </x:c>
      <x:c r="D1452" s="35" t="str">
        <x:v>Jsoup_9</x:v>
      </x:c>
      <x:c r="E1452" s="35" t="str">
        <x:v>Condition</x:v>
      </x:c>
      <x:c r="F1452" s="35"/>
      <x:c r="G1452" s="35" t="str">
        <x:v>A</x:v>
      </x:c>
      <x:c r="H1452" s="39" t="str">
        <x:f>IF(ISNUMBER('Data'!N598),'Data'!N598*100,"")</x:f>
      </x:c>
      <x:c r="I1452" s="35"/>
      <x:c r="J1452" s="35" t="str">
        <x:v>PASS</x:v>
      </x:c>
      <x:c r="K1452" s="35" t="str">
        <x:v>FAIL</x:v>
      </x:c>
      <x:c r="L1452" s="35" t="str">
        <x:v>NOT_RUN</x:v>
      </x:c>
      <x:c r="M1452" s="35" t="str">
        <x:v>coverage unavailable or execution/compile failed</x:v>
      </x:c>
      <x:c r="N1452" s="35" t="str">
        <x:v>Gemini-3.8-flash/Result/Jsoup_9/result.json</x:v>
      </x:c>
      <x:c r="O1452" s="39" t="str">
        <x:f>IF(AND(G1452="RECORDED",ISNUMBER(H1452)),H1452,"")</x:f>
      </x:c>
      <x:c r="P1452" s="35" t="str">
        <x:v>NOT_AVAILABLE</x:v>
      </x:c>
      <x:c r="Q1452" s="35" t="str">
        <x:v>Gemini-3.8-flash/Result/Jsoup_9/result.json</x:v>
      </x:c>
    </x:row>
    <x:row r="1453">
      <x:c r="A1453" s="35" t="str">
        <x:v>gemini</x:v>
      </x:c>
      <x:c r="B1453" s="35" t="str">
        <x:v>Jsoup</x:v>
      </x:c>
      <x:c r="C1453" s="35" t="str">
        <x:v>Round1</x:v>
      </x:c>
      <x:c r="D1453" s="35" t="str">
        <x:v>Jsoup_90</x:v>
      </x:c>
      <x:c r="E1453" s="35" t="str">
        <x:v>Condition</x:v>
      </x:c>
      <x:c r="F1453" s="35" t="n">
        <x:v>234</x:v>
      </x:c>
      <x:c r="G1453" s="35" t="str">
        <x:v>RECORDED</x:v>
      </x:c>
      <x:c r="H1453" s="39" t="n">
        <x:f>IF(ISNUMBER('Data'!N599),'Data'!N599*100,"")</x:f>
        <x:v>33.76</x:v>
      </x:c>
      <x:c r="I1453" s="35" t="str">
        <x:v>PASS</x:v>
      </x:c>
      <x:c r="J1453" s="35" t="str">
        <x:v>PASS</x:v>
      </x:c>
      <x:c r="K1453" s="35" t="str">
        <x:v>PASS</x:v>
      </x:c>
      <x:c r="L1453" s="35" t="str">
        <x:v>PASS</x:v>
      </x:c>
      <x:c r="M1453" s="35" t="str">
        <x:v>numeric coverage for applicable metric</x:v>
      </x:c>
      <x:c r="N1453" s="35" t="str">
        <x:v>Gemini-3.8-flash/Result/Jsoup_90/result.json</x:v>
      </x:c>
      <x:c r="O1453" s="39" t="n">
        <x:f>IF(AND(G1453="RECORDED",ISNUMBER(H1453)),H1453,"")</x:f>
        <x:v>33.76</x:v>
      </x:c>
      <x:c r="P1453" s="35" t="str">
        <x:v>NOT_REVEALING</x:v>
      </x:c>
      <x:c r="Q1453" s="35" t="str">
        <x:v>Gemini-3.8-flash/Result/Jsoup_90/result.json</x:v>
      </x:c>
    </x:row>
    <x:row r="1454">
      <x:c r="A1454" s="35" t="str">
        <x:v>gemini</x:v>
      </x:c>
      <x:c r="B1454" s="35" t="str">
        <x:v>Jsoup</x:v>
      </x:c>
      <x:c r="C1454" s="35" t="str">
        <x:v>Round1</x:v>
      </x:c>
      <x:c r="D1454" s="35" t="str">
        <x:v>Jsoup_91</x:v>
      </x:c>
      <x:c r="E1454" s="35" t="str">
        <x:v>Condition</x:v>
      </x:c>
      <x:c r="F1454" s="35" t="n">
        <x:v>190</x:v>
      </x:c>
      <x:c r="G1454" s="35" t="str">
        <x:v>RECORDED</x:v>
      </x:c>
      <x:c r="H1454" s="39" t="n">
        <x:f>IF(ISNUMBER('Data'!N600),'Data'!N600*100,"")</x:f>
        <x:v>93.16</x:v>
      </x:c>
      <x:c r="I1454" s="35" t="str">
        <x:v>PASS</x:v>
      </x:c>
      <x:c r="J1454" s="35" t="str">
        <x:v>PASS</x:v>
      </x:c>
      <x:c r="K1454" s="35" t="str">
        <x:v>PASS</x:v>
      </x:c>
      <x:c r="L1454" s="35" t="str">
        <x:v>PASS</x:v>
      </x:c>
      <x:c r="M1454" s="35" t="str">
        <x:v>numeric coverage for applicable metric</x:v>
      </x:c>
      <x:c r="N1454" s="35" t="str">
        <x:v>Gemini-3.8-flash/Result/Jsoup_91/result.json</x:v>
      </x:c>
      <x:c r="O1454" s="39" t="n">
        <x:f>IF(AND(G1454="RECORDED",ISNUMBER(H1454)),H1454,"")</x:f>
        <x:v>93.16</x:v>
      </x:c>
      <x:c r="P1454" s="35" t="str">
        <x:v>NOT_REVEALING</x:v>
      </x:c>
      <x:c r="Q1454" s="35" t="str">
        <x:v>Gemini-3.8-flash/Result/Jsoup_91/result.json</x:v>
      </x:c>
    </x:row>
    <x:row r="1455">
      <x:c r="A1455" s="35" t="str">
        <x:v>gemini</x:v>
      </x:c>
      <x:c r="B1455" s="35" t="str">
        <x:v>Jsoup</x:v>
      </x:c>
      <x:c r="C1455" s="35" t="str">
        <x:v>Round1</x:v>
      </x:c>
      <x:c r="D1455" s="35" t="str">
        <x:v>Jsoup_92</x:v>
      </x:c>
      <x:c r="E1455" s="35" t="str">
        <x:v>Condition</x:v>
      </x:c>
      <x:c r="F1455" s="35"/>
      <x:c r="G1455" s="35" t="str">
        <x:v>A</x:v>
      </x:c>
      <x:c r="H1455" s="39" t="str">
        <x:f>IF(ISNUMBER('Data'!N601),'Data'!N601*100,"")</x:f>
      </x:c>
      <x:c r="I1455" s="35"/>
      <x:c r="J1455" s="35" t="str">
        <x:v>PASS</x:v>
      </x:c>
      <x:c r="K1455" s="35" t="str">
        <x:v>FAIL</x:v>
      </x:c>
      <x:c r="L1455" s="35" t="str">
        <x:v>NOT_RUN</x:v>
      </x:c>
      <x:c r="M1455" s="35" t="str">
        <x:v>coverage unavailable or execution/compile failed</x:v>
      </x:c>
      <x:c r="N1455" s="35" t="str">
        <x:v>Gemini-3.8-flash/Result/Jsoup_92/result.json</x:v>
      </x:c>
      <x:c r="O1455" s="39" t="str">
        <x:f>IF(AND(G1455="RECORDED",ISNUMBER(H1455)),H1455,"")</x:f>
      </x:c>
      <x:c r="P1455" s="35" t="str">
        <x:v>NOT_AVAILABLE</x:v>
      </x:c>
      <x:c r="Q1455" s="35" t="str">
        <x:v>Gemini-3.8-flash/Result/Jsoup_92/result.json</x:v>
      </x:c>
    </x:row>
    <x:row r="1456">
      <x:c r="A1456" s="35" t="str">
        <x:v>gemini</x:v>
      </x:c>
      <x:c r="B1456" s="35" t="str">
        <x:v>Jsoup</x:v>
      </x:c>
      <x:c r="C1456" s="35" t="str">
        <x:v>Round1</x:v>
      </x:c>
      <x:c r="D1456" s="35" t="str">
        <x:v>Jsoup_93</x:v>
      </x:c>
      <x:c r="E1456" s="35" t="str">
        <x:v>Condition</x:v>
      </x:c>
      <x:c r="F1456" s="35" t="n">
        <x:v>28</x:v>
      </x:c>
      <x:c r="G1456" s="35" t="str">
        <x:v>RECORDED</x:v>
      </x:c>
      <x:c r="H1456" s="39" t="n">
        <x:f>IF(ISNUMBER('Data'!N602),'Data'!N602*100,"")</x:f>
        <x:v>100</x:v>
      </x:c>
      <x:c r="I1456" s="35" t="str">
        <x:v>PASS</x:v>
      </x:c>
      <x:c r="J1456" s="35" t="str">
        <x:v>PASS</x:v>
      </x:c>
      <x:c r="K1456" s="35" t="str">
        <x:v>PASS</x:v>
      </x:c>
      <x:c r="L1456" s="35" t="str">
        <x:v>PASS</x:v>
      </x:c>
      <x:c r="M1456" s="35" t="str">
        <x:v>numeric coverage for applicable metric</x:v>
      </x:c>
      <x:c r="N1456" s="35" t="str">
        <x:v>Gemini-3.8-flash/Result/Jsoup_93/result.json</x:v>
      </x:c>
      <x:c r="O1456" s="39" t="n">
        <x:f>IF(AND(G1456="RECORDED",ISNUMBER(H1456)),H1456,"")</x:f>
        <x:v>100</x:v>
      </x:c>
      <x:c r="P1456" s="35" t="str">
        <x:v>NOT_REVEALING</x:v>
      </x:c>
      <x:c r="Q1456" s="35" t="str">
        <x:v>Gemini-3.8-flash/Result/Jsoup_93/result.json</x:v>
      </x:c>
    </x:row>
    <x:row r="1457">
      <x:c r="A1457" s="35" t="str">
        <x:v>gemini</x:v>
      </x:c>
      <x:c r="B1457" s="35" t="str">
        <x:v>JxPath</x:v>
      </x:c>
      <x:c r="C1457" s="35" t="str">
        <x:v>Round1</x:v>
      </x:c>
      <x:c r="D1457" s="35" t="str">
        <x:v>JxPath_1</x:v>
      </x:c>
      <x:c r="E1457" s="35" t="str">
        <x:v>Condition</x:v>
      </x:c>
      <x:c r="F1457" s="35" t="n">
        <x:v>556</x:v>
      </x:c>
      <x:c r="G1457" s="35" t="str">
        <x:v>RECORDED</x:v>
      </x:c>
      <x:c r="H1457" s="39" t="n">
        <x:f>IF(ISNUMBER('Data'!N603),'Data'!N603*100,"")</x:f>
        <x:v>20.5</x:v>
      </x:c>
      <x:c r="I1457" s="35" t="str">
        <x:v>PASS</x:v>
      </x:c>
      <x:c r="J1457" s="35" t="str">
        <x:v>PASS</x:v>
      </x:c>
      <x:c r="K1457" s="35" t="str">
        <x:v>PASS</x:v>
      </x:c>
      <x:c r="L1457" s="35" t="str">
        <x:v>FAIL</x:v>
      </x:c>
      <x:c r="M1457" s="35" t="str">
        <x:v>numeric coverage for applicable metric</x:v>
      </x:c>
      <x:c r="N1457" s="35" t="str">
        <x:v>Gemini-3.8-flash/Result/JxPath_1/result.json</x:v>
      </x:c>
      <x:c r="O1457" s="39" t="n">
        <x:f>IF(AND(G1457="RECORDED",ISNUMBER(H1457)),H1457,"")</x:f>
        <x:v>20.5</x:v>
      </x:c>
      <x:c r="P1457" s="35" t="str">
        <x:v>INCONCLUSIVE</x:v>
      </x:c>
      <x:c r="Q1457" s="35" t="str">
        <x:v>Gemini-3.8-flash/Result/JxPath_1/result.json</x:v>
      </x:c>
    </x:row>
    <x:row r="1458">
      <x:c r="A1458" s="35" t="str">
        <x:v>gemini</x:v>
      </x:c>
      <x:c r="B1458" s="35" t="str">
        <x:v>JxPath</x:v>
      </x:c>
      <x:c r="C1458" s="35" t="str">
        <x:v>Round1</x:v>
      </x:c>
      <x:c r="D1458" s="35" t="str">
        <x:v>JxPath_10</x:v>
      </x:c>
      <x:c r="E1458" s="35" t="str">
        <x:v>Condition</x:v>
      </x:c>
      <x:c r="F1458" s="35"/>
      <x:c r="G1458" s="35" t="str">
        <x:v>A</x:v>
      </x:c>
      <x:c r="H1458" s="39" t="str">
        <x:f>IF(ISNUMBER('Data'!N604),'Data'!N604*100,"")</x:f>
      </x:c>
      <x:c r="I1458" s="35"/>
      <x:c r="J1458" s="35" t="str">
        <x:v>PASS</x:v>
      </x:c>
      <x:c r="K1458" s="35" t="str">
        <x:v>FAIL</x:v>
      </x:c>
      <x:c r="L1458" s="35" t="str">
        <x:v>NOT_RUN</x:v>
      </x:c>
      <x:c r="M1458" s="35" t="str">
        <x:v>coverage unavailable or execution/compile failed</x:v>
      </x:c>
      <x:c r="N1458" s="35" t="str">
        <x:v>Gemini-3.8-flash/Result/JxPath_10/result.json</x:v>
      </x:c>
      <x:c r="O1458" s="39" t="str">
        <x:f>IF(AND(G1458="RECORDED",ISNUMBER(H1458)),H1458,"")</x:f>
      </x:c>
      <x:c r="P1458" s="35" t="str">
        <x:v>NOT_AVAILABLE</x:v>
      </x:c>
      <x:c r="Q1458" s="35" t="str">
        <x:v>Gemini-3.8-flash/Result/JxPath_10/result.json</x:v>
      </x:c>
    </x:row>
    <x:row r="1459">
      <x:c r="A1459" s="35" t="str">
        <x:v>gemini</x:v>
      </x:c>
      <x:c r="B1459" s="35" t="str">
        <x:v>JxPath</x:v>
      </x:c>
      <x:c r="C1459" s="35" t="str">
        <x:v>Round1</x:v>
      </x:c>
      <x:c r="D1459" s="35" t="str">
        <x:v>JxPath_11</x:v>
      </x:c>
      <x:c r="E1459" s="35" t="str">
        <x:v>Condition</x:v>
      </x:c>
      <x:c r="F1459" s="35" t="n">
        <x:v>84</x:v>
      </x:c>
      <x:c r="G1459" s="35" t="str">
        <x:v>RECORDED</x:v>
      </x:c>
      <x:c r="H1459" s="39" t="n">
        <x:f>IF(ISNUMBER('Data'!N605),'Data'!N605*100,"")</x:f>
        <x:v>34.52</x:v>
      </x:c>
      <x:c r="I1459" s="35" t="str">
        <x:v>PASS</x:v>
      </x:c>
      <x:c r="J1459" s="35" t="str">
        <x:v>PASS</x:v>
      </x:c>
      <x:c r="K1459" s="35" t="str">
        <x:v>PASS</x:v>
      </x:c>
      <x:c r="L1459" s="35" t="str">
        <x:v>FAIL</x:v>
      </x:c>
      <x:c r="M1459" s="35" t="str">
        <x:v>numeric coverage for applicable metric</x:v>
      </x:c>
      <x:c r="N1459" s="35" t="str">
        <x:v>Gemini-3.8-flash/Result/JxPath_11/result.json</x:v>
      </x:c>
      <x:c r="O1459" s="39" t="n">
        <x:f>IF(AND(G1459="RECORDED",ISNUMBER(H1459)),H1459,"")</x:f>
        <x:v>34.52</x:v>
      </x:c>
      <x:c r="P1459" s="35" t="str">
        <x:v>INCONCLUSIVE</x:v>
      </x:c>
      <x:c r="Q1459" s="35" t="str">
        <x:v>Gemini-3.8-flash/Result/JxPath_11/result.json</x:v>
      </x:c>
    </x:row>
    <x:row r="1460">
      <x:c r="A1460" s="35" t="str">
        <x:v>gemini</x:v>
      </x:c>
      <x:c r="B1460" s="35" t="str">
        <x:v>JxPath</x:v>
      </x:c>
      <x:c r="C1460" s="35" t="str">
        <x:v>Round1</x:v>
      </x:c>
      <x:c r="D1460" s="35" t="str">
        <x:v>JxPath_12</x:v>
      </x:c>
      <x:c r="E1460" s="35" t="str">
        <x:v>Condition</x:v>
      </x:c>
      <x:c r="F1460" s="35"/>
      <x:c r="G1460" s="35" t="str">
        <x:v>A</x:v>
      </x:c>
      <x:c r="H1460" s="39" t="str">
        <x:f>IF(ISNUMBER('Data'!N606),'Data'!N606*100,"")</x:f>
      </x:c>
      <x:c r="I1460" s="35"/>
      <x:c r="J1460" s="35" t="str">
        <x:v>PASS</x:v>
      </x:c>
      <x:c r="K1460" s="35" t="str">
        <x:v>FAIL</x:v>
      </x:c>
      <x:c r="L1460" s="35" t="str">
        <x:v>NOT_RUN</x:v>
      </x:c>
      <x:c r="M1460" s="35" t="str">
        <x:v>coverage unavailable or execution/compile failed</x:v>
      </x:c>
      <x:c r="N1460" s="35" t="str">
        <x:v>Gemini-3.8-flash/Result/JxPath_12/result.json</x:v>
      </x:c>
      <x:c r="O1460" s="39" t="str">
        <x:f>IF(AND(G1460="RECORDED",ISNUMBER(H1460)),H1460,"")</x:f>
      </x:c>
      <x:c r="P1460" s="35" t="str">
        <x:v>NOT_AVAILABLE</x:v>
      </x:c>
      <x:c r="Q1460" s="35" t="str">
        <x:v>Gemini-3.8-flash/Result/JxPath_12/result.json</x:v>
      </x:c>
    </x:row>
    <x:row r="1461">
      <x:c r="A1461" s="35" t="str">
        <x:v>gemini</x:v>
      </x:c>
      <x:c r="B1461" s="35" t="str">
        <x:v>JxPath</x:v>
      </x:c>
      <x:c r="C1461" s="35" t="str">
        <x:v>Round1</x:v>
      </x:c>
      <x:c r="D1461" s="35" t="str">
        <x:v>JxPath_13</x:v>
      </x:c>
      <x:c r="E1461" s="35" t="str">
        <x:v>Condition</x:v>
      </x:c>
      <x:c r="F1461" s="35"/>
      <x:c r="G1461" s="35" t="str">
        <x:v>A</x:v>
      </x:c>
      <x:c r="H1461" s="39" t="str">
        <x:f>IF(ISNUMBER('Data'!N607),'Data'!N607*100,"")</x:f>
      </x:c>
      <x:c r="I1461" s="35"/>
      <x:c r="J1461" s="35" t="str">
        <x:v>PASS</x:v>
      </x:c>
      <x:c r="K1461" s="35" t="str">
        <x:v>FAIL</x:v>
      </x:c>
      <x:c r="L1461" s="35" t="str">
        <x:v>NOT_RUN</x:v>
      </x:c>
      <x:c r="M1461" s="35" t="str">
        <x:v>coverage unavailable or execution/compile failed</x:v>
      </x:c>
      <x:c r="N1461" s="35" t="str">
        <x:v>Gemini-3.8-flash/Result/JxPath_13/result.json</x:v>
      </x:c>
      <x:c r="O1461" s="39" t="str">
        <x:f>IF(AND(G1461="RECORDED",ISNUMBER(H1461)),H1461,"")</x:f>
      </x:c>
      <x:c r="P1461" s="35" t="str">
        <x:v>NOT_AVAILABLE</x:v>
      </x:c>
      <x:c r="Q1461" s="35" t="str">
        <x:v>Gemini-3.8-flash/Result/JxPath_13/result.json</x:v>
      </x:c>
    </x:row>
    <x:row r="1462">
      <x:c r="A1462" s="35" t="str">
        <x:v>gemini</x:v>
      </x:c>
      <x:c r="B1462" s="35" t="str">
        <x:v>JxPath</x:v>
      </x:c>
      <x:c r="C1462" s="35" t="str">
        <x:v>Round1</x:v>
      </x:c>
      <x:c r="D1462" s="35" t="str">
        <x:v>JxPath_14</x:v>
      </x:c>
      <x:c r="E1462" s="35" t="str">
        <x:v>Condition</x:v>
      </x:c>
      <x:c r="F1462" s="35"/>
      <x:c r="G1462" s="35" t="str">
        <x:v>A</x:v>
      </x:c>
      <x:c r="H1462" s="39" t="str">
        <x:f>IF(ISNUMBER('Data'!N608),'Data'!N608*100,"")</x:f>
      </x:c>
      <x:c r="I1462" s="35"/>
      <x:c r="J1462" s="35" t="str">
        <x:v>PASS</x:v>
      </x:c>
      <x:c r="K1462" s="35" t="str">
        <x:v>FAIL</x:v>
      </x:c>
      <x:c r="L1462" s="35" t="str">
        <x:v>NOT_RUN</x:v>
      </x:c>
      <x:c r="M1462" s="35" t="str">
        <x:v>coverage unavailable or execution/compile failed</x:v>
      </x:c>
      <x:c r="N1462" s="35" t="str">
        <x:v>Gemini-3.8-flash/Result/JxPath_14/result.json</x:v>
      </x:c>
      <x:c r="O1462" s="39" t="str">
        <x:f>IF(AND(G1462="RECORDED",ISNUMBER(H1462)),H1462,"")</x:f>
      </x:c>
      <x:c r="P1462" s="35" t="str">
        <x:v>NOT_AVAILABLE</x:v>
      </x:c>
      <x:c r="Q1462" s="35" t="str">
        <x:v>Gemini-3.8-flash/Result/JxPath_14/result.json</x:v>
      </x:c>
    </x:row>
    <x:row r="1463">
      <x:c r="A1463" s="35" t="str">
        <x:v>gemini</x:v>
      </x:c>
      <x:c r="B1463" s="35" t="str">
        <x:v>JxPath</x:v>
      </x:c>
      <x:c r="C1463" s="35" t="str">
        <x:v>Round1</x:v>
      </x:c>
      <x:c r="D1463" s="35" t="str">
        <x:v>JxPath_15</x:v>
      </x:c>
      <x:c r="E1463" s="35" t="str">
        <x:v>Condition</x:v>
      </x:c>
      <x:c r="F1463" s="35" t="n">
        <x:v>12</x:v>
      </x:c>
      <x:c r="G1463" s="35" t="str">
        <x:v>RECORDED</x:v>
      </x:c>
      <x:c r="H1463" s="39" t="n">
        <x:f>IF(ISNUMBER('Data'!N609),'Data'!N609*100,"")</x:f>
        <x:v>100</x:v>
      </x:c>
      <x:c r="I1463" s="35" t="str">
        <x:v>PASS</x:v>
      </x:c>
      <x:c r="J1463" s="35" t="str">
        <x:v>PASS</x:v>
      </x:c>
      <x:c r="K1463" s="35" t="str">
        <x:v>PASS</x:v>
      </x:c>
      <x:c r="L1463" s="35" t="str">
        <x:v>FAIL</x:v>
      </x:c>
      <x:c r="M1463" s="35" t="str">
        <x:v>numeric coverage for applicable metric</x:v>
      </x:c>
      <x:c r="N1463" s="35" t="str">
        <x:v>Gemini-3.8-flash/Result/JxPath_15/result.json</x:v>
      </x:c>
      <x:c r="O1463" s="39" t="n">
        <x:f>IF(AND(G1463="RECORDED",ISNUMBER(H1463)),H1463,"")</x:f>
        <x:v>100</x:v>
      </x:c>
      <x:c r="P1463" s="35" t="str">
        <x:v>INCONCLUSIVE</x:v>
      </x:c>
      <x:c r="Q1463" s="35" t="str">
        <x:v>Gemini-3.8-flash/Result/JxPath_15/result.json</x:v>
      </x:c>
    </x:row>
    <x:row r="1464">
      <x:c r="A1464" s="35" t="str">
        <x:v>gemini</x:v>
      </x:c>
      <x:c r="B1464" s="35" t="str">
        <x:v>JxPath</x:v>
      </x:c>
      <x:c r="C1464" s="35" t="str">
        <x:v>Round1</x:v>
      </x:c>
      <x:c r="D1464" s="35" t="str">
        <x:v>JxPath_16</x:v>
      </x:c>
      <x:c r="E1464" s="35" t="str">
        <x:v>Condition</x:v>
      </x:c>
      <x:c r="F1464" s="35"/>
      <x:c r="G1464" s="35" t="str">
        <x:v>A</x:v>
      </x:c>
      <x:c r="H1464" s="39" t="str">
        <x:f>IF(ISNUMBER('Data'!N610),'Data'!N610*100,"")</x:f>
      </x:c>
      <x:c r="I1464" s="35"/>
      <x:c r="J1464" s="35" t="str">
        <x:v>PASS</x:v>
      </x:c>
      <x:c r="K1464" s="35" t="str">
        <x:v>FAIL</x:v>
      </x:c>
      <x:c r="L1464" s="35" t="str">
        <x:v>NOT_RUN</x:v>
      </x:c>
      <x:c r="M1464" s="35" t="str">
        <x:v>coverage unavailable or execution/compile failed</x:v>
      </x:c>
      <x:c r="N1464" s="35" t="str">
        <x:v>Gemini-3.8-flash/Result/JxPath_16/result.json</x:v>
      </x:c>
      <x:c r="O1464" s="39" t="str">
        <x:f>IF(AND(G1464="RECORDED",ISNUMBER(H1464)),H1464,"")</x:f>
      </x:c>
      <x:c r="P1464" s="35" t="str">
        <x:v>NOT_AVAILABLE</x:v>
      </x:c>
      <x:c r="Q1464" s="35" t="str">
        <x:v>Gemini-3.8-flash/Result/JxPath_16/result.json</x:v>
      </x:c>
    </x:row>
    <x:row r="1465">
      <x:c r="A1465" s="35" t="str">
        <x:v>gemini</x:v>
      </x:c>
      <x:c r="B1465" s="35" t="str">
        <x:v>JxPath</x:v>
      </x:c>
      <x:c r="C1465" s="35" t="str">
        <x:v>Round1</x:v>
      </x:c>
      <x:c r="D1465" s="35" t="str">
        <x:v>JxPath_17</x:v>
      </x:c>
      <x:c r="E1465" s="35" t="str">
        <x:v>Condition</x:v>
      </x:c>
      <x:c r="F1465" s="35" t="n">
        <x:v>86</x:v>
      </x:c>
      <x:c r="G1465" s="35" t="str">
        <x:v>RECORDED</x:v>
      </x:c>
      <x:c r="H1465" s="39" t="n">
        <x:f>IF(ISNUMBER('Data'!N611),'Data'!N611*100,"")</x:f>
        <x:v>36.05</x:v>
      </x:c>
      <x:c r="I1465" s="35" t="str">
        <x:v>PASS</x:v>
      </x:c>
      <x:c r="J1465" s="35" t="str">
        <x:v>PASS</x:v>
      </x:c>
      <x:c r="K1465" s="35" t="str">
        <x:v>PASS</x:v>
      </x:c>
      <x:c r="L1465" s="35" t="str">
        <x:v>FAIL</x:v>
      </x:c>
      <x:c r="M1465" s="35" t="str">
        <x:v>numeric coverage for applicable metric</x:v>
      </x:c>
      <x:c r="N1465" s="35" t="str">
        <x:v>Gemini-3.8-flash/Result/JxPath_17/result.json</x:v>
      </x:c>
      <x:c r="O1465" s="39" t="n">
        <x:f>IF(AND(G1465="RECORDED",ISNUMBER(H1465)),H1465,"")</x:f>
        <x:v>36.05</x:v>
      </x:c>
      <x:c r="P1465" s="35" t="str">
        <x:v>INCONCLUSIVE</x:v>
      </x:c>
      <x:c r="Q1465" s="35" t="str">
        <x:v>Gemini-3.8-flash/Result/JxPath_17/result.json</x:v>
      </x:c>
    </x:row>
    <x:row r="1466">
      <x:c r="A1466" s="35" t="str">
        <x:v>gemini</x:v>
      </x:c>
      <x:c r="B1466" s="35" t="str">
        <x:v>JxPath</x:v>
      </x:c>
      <x:c r="C1466" s="35" t="str">
        <x:v>Round1</x:v>
      </x:c>
      <x:c r="D1466" s="35" t="str">
        <x:v>JxPath_18</x:v>
      </x:c>
      <x:c r="E1466" s="35" t="str">
        <x:v>Condition</x:v>
      </x:c>
      <x:c r="F1466" s="35" t="n">
        <x:v>14</x:v>
      </x:c>
      <x:c r="G1466" s="35" t="str">
        <x:v>RECORDED</x:v>
      </x:c>
      <x:c r="H1466" s="39" t="n">
        <x:f>IF(ISNUMBER('Data'!N612),'Data'!N612*100,"")</x:f>
        <x:v>100</x:v>
      </x:c>
      <x:c r="I1466" s="35" t="str">
        <x:v>PASS</x:v>
      </x:c>
      <x:c r="J1466" s="35" t="str">
        <x:v>PASS</x:v>
      </x:c>
      <x:c r="K1466" s="35" t="str">
        <x:v>PASS</x:v>
      </x:c>
      <x:c r="L1466" s="35" t="str">
        <x:v>FAIL</x:v>
      </x:c>
      <x:c r="M1466" s="35" t="str">
        <x:v>numeric coverage for applicable metric</x:v>
      </x:c>
      <x:c r="N1466" s="35" t="str">
        <x:v>Gemini-3.8-flash/Result/JxPath_18/result.json</x:v>
      </x:c>
      <x:c r="O1466" s="39" t="n">
        <x:f>IF(AND(G1466="RECORDED",ISNUMBER(H1466)),H1466,"")</x:f>
        <x:v>100</x:v>
      </x:c>
      <x:c r="P1466" s="35" t="str">
        <x:v>INCONCLUSIVE</x:v>
      </x:c>
      <x:c r="Q1466" s="35" t="str">
        <x:v>Gemini-3.8-flash/Result/JxPath_18/result.json</x:v>
      </x:c>
    </x:row>
    <x:row r="1467">
      <x:c r="A1467" s="35" t="str">
        <x:v>gemini</x:v>
      </x:c>
      <x:c r="B1467" s="35" t="str">
        <x:v>JxPath</x:v>
      </x:c>
      <x:c r="C1467" s="35" t="str">
        <x:v>Round1</x:v>
      </x:c>
      <x:c r="D1467" s="35" t="str">
        <x:v>JxPath_19</x:v>
      </x:c>
      <x:c r="E1467" s="35" t="str">
        <x:v>Condition</x:v>
      </x:c>
      <x:c r="F1467" s="35"/>
      <x:c r="G1467" s="35" t="str">
        <x:v>A</x:v>
      </x:c>
      <x:c r="H1467" s="39" t="str">
        <x:f>IF(ISNUMBER('Data'!N613),'Data'!N613*100,"")</x:f>
      </x:c>
      <x:c r="I1467" s="35"/>
      <x:c r="J1467" s="35" t="str">
        <x:v>PASS</x:v>
      </x:c>
      <x:c r="K1467" s="35" t="str">
        <x:v>FAIL</x:v>
      </x:c>
      <x:c r="L1467" s="35" t="str">
        <x:v>NOT_RUN</x:v>
      </x:c>
      <x:c r="M1467" s="35" t="str">
        <x:v>coverage unavailable or execution/compile failed</x:v>
      </x:c>
      <x:c r="N1467" s="35" t="str">
        <x:v>Gemini-3.8-flash/Result/JxPath_19/result.json</x:v>
      </x:c>
      <x:c r="O1467" s="39" t="str">
        <x:f>IF(AND(G1467="RECORDED",ISNUMBER(H1467)),H1467,"")</x:f>
      </x:c>
      <x:c r="P1467" s="35" t="str">
        <x:v>NOT_AVAILABLE</x:v>
      </x:c>
      <x:c r="Q1467" s="35" t="str">
        <x:v>Gemini-3.8-flash/Result/JxPath_19/result.json</x:v>
      </x:c>
    </x:row>
    <x:row r="1468">
      <x:c r="A1468" s="35" t="str">
        <x:v>gemini</x:v>
      </x:c>
      <x:c r="B1468" s="35" t="str">
        <x:v>JxPath</x:v>
      </x:c>
      <x:c r="C1468" s="35" t="str">
        <x:v>Round1</x:v>
      </x:c>
      <x:c r="D1468" s="35" t="str">
        <x:v>JxPath_2</x:v>
      </x:c>
      <x:c r="E1468" s="35" t="str">
        <x:v>Condition</x:v>
      </x:c>
      <x:c r="F1468" s="35" t="n">
        <x:v>12</x:v>
      </x:c>
      <x:c r="G1468" s="35" t="str">
        <x:v>RECORDED</x:v>
      </x:c>
      <x:c r="H1468" s="39" t="n">
        <x:f>IF(ISNUMBER('Data'!N614),'Data'!N614*100,"")</x:f>
        <x:v>91.67</x:v>
      </x:c>
      <x:c r="I1468" s="35" t="str">
        <x:v>PASS</x:v>
      </x:c>
      <x:c r="J1468" s="35" t="str">
        <x:v>PASS</x:v>
      </x:c>
      <x:c r="K1468" s="35" t="str">
        <x:v>PASS</x:v>
      </x:c>
      <x:c r="L1468" s="35" t="str">
        <x:v>FAIL</x:v>
      </x:c>
      <x:c r="M1468" s="35" t="str">
        <x:v>numeric coverage for applicable metric</x:v>
      </x:c>
      <x:c r="N1468" s="35" t="str">
        <x:v>Gemini-3.8-flash/Result/JxPath_2/result.json</x:v>
      </x:c>
      <x:c r="O1468" s="39" t="n">
        <x:f>IF(AND(G1468="RECORDED",ISNUMBER(H1468)),H1468,"")</x:f>
        <x:v>91.67</x:v>
      </x:c>
      <x:c r="P1468" s="35" t="str">
        <x:v>INCONCLUSIVE</x:v>
      </x:c>
      <x:c r="Q1468" s="35" t="str">
        <x:v>Gemini-3.8-flash/Result/JxPath_2/result.json</x:v>
      </x:c>
    </x:row>
    <x:row r="1469">
      <x:c r="A1469" s="35" t="str">
        <x:v>gemini</x:v>
      </x:c>
      <x:c r="B1469" s="35" t="str">
        <x:v>JxPath</x:v>
      </x:c>
      <x:c r="C1469" s="35" t="str">
        <x:v>Round1</x:v>
      </x:c>
      <x:c r="D1469" s="35" t="str">
        <x:v>JxPath_20</x:v>
      </x:c>
      <x:c r="E1469" s="35" t="str">
        <x:v>Condition</x:v>
      </x:c>
      <x:c r="F1469" s="35"/>
      <x:c r="G1469" s="35" t="str">
        <x:v>A</x:v>
      </x:c>
      <x:c r="H1469" s="39" t="str">
        <x:f>IF(ISNUMBER('Data'!N615),'Data'!N615*100,"")</x:f>
      </x:c>
      <x:c r="I1469" s="35"/>
      <x:c r="J1469" s="35" t="str">
        <x:v>PASS</x:v>
      </x:c>
      <x:c r="K1469" s="35" t="str">
        <x:v>FAIL</x:v>
      </x:c>
      <x:c r="L1469" s="35" t="str">
        <x:v>NOT_RUN</x:v>
      </x:c>
      <x:c r="M1469" s="35" t="str">
        <x:v>coverage unavailable or execution/compile failed</x:v>
      </x:c>
      <x:c r="N1469" s="35" t="str">
        <x:v>Gemini-3.8-flash/Result/JxPath_20/result.json</x:v>
      </x:c>
      <x:c r="O1469" s="39" t="str">
        <x:f>IF(AND(G1469="RECORDED",ISNUMBER(H1469)),H1469,"")</x:f>
      </x:c>
      <x:c r="P1469" s="35" t="str">
        <x:v>NOT_AVAILABLE</x:v>
      </x:c>
      <x:c r="Q1469" s="35" t="str">
        <x:v>Gemini-3.8-flash/Result/JxPath_20/result.json</x:v>
      </x:c>
    </x:row>
    <x:row r="1470">
      <x:c r="A1470" s="35" t="str">
        <x:v>gemini</x:v>
      </x:c>
      <x:c r="B1470" s="35" t="str">
        <x:v>JxPath</x:v>
      </x:c>
      <x:c r="C1470" s="35" t="str">
        <x:v>Round1</x:v>
      </x:c>
      <x:c r="D1470" s="35" t="str">
        <x:v>JxPath_21</x:v>
      </x:c>
      <x:c r="E1470" s="35" t="str">
        <x:v>Condition</x:v>
      </x:c>
      <x:c r="F1470" s="35" t="n">
        <x:v>52</x:v>
      </x:c>
      <x:c r="G1470" s="35" t="str">
        <x:v>RECORDED</x:v>
      </x:c>
      <x:c r="H1470" s="39" t="n">
        <x:f>IF(ISNUMBER('Data'!N616),'Data'!N616*100,"")</x:f>
        <x:v>40.38</x:v>
      </x:c>
      <x:c r="I1470" s="35" t="str">
        <x:v>PASS</x:v>
      </x:c>
      <x:c r="J1470" s="35" t="str">
        <x:v>PASS</x:v>
      </x:c>
      <x:c r="K1470" s="35" t="str">
        <x:v>PASS</x:v>
      </x:c>
      <x:c r="L1470" s="35" t="str">
        <x:v>FAIL</x:v>
      </x:c>
      <x:c r="M1470" s="35" t="str">
        <x:v>numeric coverage for applicable metric</x:v>
      </x:c>
      <x:c r="N1470" s="35" t="str">
        <x:v>Gemini-3.8-flash/Result/JxPath_21/result.json</x:v>
      </x:c>
      <x:c r="O1470" s="39" t="n">
        <x:f>IF(AND(G1470="RECORDED",ISNUMBER(H1470)),H1470,"")</x:f>
        <x:v>40.38</x:v>
      </x:c>
      <x:c r="P1470" s="35" t="str">
        <x:v>INCONCLUSIVE</x:v>
      </x:c>
      <x:c r="Q1470" s="35" t="str">
        <x:v>Gemini-3.8-flash/Result/JxPath_21/result.json</x:v>
      </x:c>
    </x:row>
    <x:row r="1471">
      <x:c r="A1471" s="35" t="str">
        <x:v>gemini</x:v>
      </x:c>
      <x:c r="B1471" s="35" t="str">
        <x:v>JxPath</x:v>
      </x:c>
      <x:c r="C1471" s="35" t="str">
        <x:v>Round1</x:v>
      </x:c>
      <x:c r="D1471" s="35" t="str">
        <x:v>JxPath_22</x:v>
      </x:c>
      <x:c r="E1471" s="35" t="str">
        <x:v>Condition</x:v>
      </x:c>
      <x:c r="F1471" s="35" t="n">
        <x:v>274</x:v>
      </x:c>
      <x:c r="G1471" s="35" t="str">
        <x:v>RECORDED</x:v>
      </x:c>
      <x:c r="H1471" s="39" t="n">
        <x:f>IF(ISNUMBER('Data'!N617),'Data'!N617*100,"")</x:f>
        <x:v>0</x:v>
      </x:c>
      <x:c r="I1471" s="35" t="str">
        <x:v>PASS</x:v>
      </x:c>
      <x:c r="J1471" s="35" t="str">
        <x:v>PASS</x:v>
      </x:c>
      <x:c r="K1471" s="35" t="str">
        <x:v>PASS</x:v>
      </x:c>
      <x:c r="L1471" s="35" t="str">
        <x:v>FAIL</x:v>
      </x:c>
      <x:c r="M1471" s="35" t="str">
        <x:v>numeric coverage for applicable metric</x:v>
      </x:c>
      <x:c r="N1471" s="35" t="str">
        <x:v>Gemini-3.8-flash/Result/JxPath_22/result.json</x:v>
      </x:c>
      <x:c r="O1471" s="39" t="n">
        <x:f>IF(AND(G1471="RECORDED",ISNUMBER(H1471)),H1471,"")</x:f>
        <x:v>0</x:v>
      </x:c>
      <x:c r="P1471" s="35" t="str">
        <x:v>INCONCLUSIVE</x:v>
      </x:c>
      <x:c r="Q1471" s="35" t="str">
        <x:v>Gemini-3.8-flash/Result/JxPath_22/result.json</x:v>
      </x:c>
    </x:row>
    <x:row r="1472">
      <x:c r="A1472" s="35" t="str">
        <x:v>gemini</x:v>
      </x:c>
      <x:c r="B1472" s="35" t="str">
        <x:v>JxPath</x:v>
      </x:c>
      <x:c r="C1472" s="35" t="str">
        <x:v>Round1</x:v>
      </x:c>
      <x:c r="D1472" s="35" t="str">
        <x:v>JxPath_3</x:v>
      </x:c>
      <x:c r="E1472" s="35" t="str">
        <x:v>Condition</x:v>
      </x:c>
      <x:c r="F1472" s="35"/>
      <x:c r="G1472" s="35" t="str">
        <x:v>A</x:v>
      </x:c>
      <x:c r="H1472" s="39" t="str">
        <x:f>IF(ISNUMBER('Data'!N618),'Data'!N618*100,"")</x:f>
      </x:c>
      <x:c r="I1472" s="35"/>
      <x:c r="J1472" s="35" t="str">
        <x:v>PASS</x:v>
      </x:c>
      <x:c r="K1472" s="35" t="str">
        <x:v>FAIL</x:v>
      </x:c>
      <x:c r="L1472" s="35" t="str">
        <x:v>NOT_RUN</x:v>
      </x:c>
      <x:c r="M1472" s="35" t="str">
        <x:v>coverage unavailable or execution/compile failed</x:v>
      </x:c>
      <x:c r="N1472" s="35" t="str">
        <x:v>Gemini-3.8-flash/Result/JxPath_3/result.json</x:v>
      </x:c>
      <x:c r="O1472" s="39" t="str">
        <x:f>IF(AND(G1472="RECORDED",ISNUMBER(H1472)),H1472,"")</x:f>
      </x:c>
      <x:c r="P1472" s="35" t="str">
        <x:v>NOT_AVAILABLE</x:v>
      </x:c>
      <x:c r="Q1472" s="35" t="str">
        <x:v>Gemini-3.8-flash/Result/JxPath_3/result.json</x:v>
      </x:c>
    </x:row>
    <x:row r="1473">
      <x:c r="A1473" s="35" t="str">
        <x:v>gemini</x:v>
      </x:c>
      <x:c r="B1473" s="35" t="str">
        <x:v>JxPath</x:v>
      </x:c>
      <x:c r="C1473" s="35" t="str">
        <x:v>Round1</x:v>
      </x:c>
      <x:c r="D1473" s="35" t="str">
        <x:v>JxPath_4</x:v>
      </x:c>
      <x:c r="E1473" s="35" t="str">
        <x:v>Condition</x:v>
      </x:c>
      <x:c r="F1473" s="35"/>
      <x:c r="G1473" s="35" t="str">
        <x:v>A</x:v>
      </x:c>
      <x:c r="H1473" s="39" t="str">
        <x:f>IF(ISNUMBER('Data'!N619),'Data'!N619*100,"")</x:f>
      </x:c>
      <x:c r="I1473" s="35"/>
      <x:c r="J1473" s="35" t="str">
        <x:v>PASS</x:v>
      </x:c>
      <x:c r="K1473" s="35" t="str">
        <x:v>FAIL</x:v>
      </x:c>
      <x:c r="L1473" s="35" t="str">
        <x:v>NOT_RUN</x:v>
      </x:c>
      <x:c r="M1473" s="35" t="str">
        <x:v>coverage unavailable or execution/compile failed</x:v>
      </x:c>
      <x:c r="N1473" s="35" t="str">
        <x:v>Gemini-3.8-flash/Result/JxPath_4/result.json</x:v>
      </x:c>
      <x:c r="O1473" s="39" t="str">
        <x:f>IF(AND(G1473="RECORDED",ISNUMBER(H1473)),H1473,"")</x:f>
      </x:c>
      <x:c r="P1473" s="35" t="str">
        <x:v>NOT_AVAILABLE</x:v>
      </x:c>
      <x:c r="Q1473" s="35" t="str">
        <x:v>Gemini-3.8-flash/Result/JxPath_4/result.json</x:v>
      </x:c>
    </x:row>
    <x:row r="1474">
      <x:c r="A1474" s="35" t="str">
        <x:v>gemini</x:v>
      </x:c>
      <x:c r="B1474" s="35" t="str">
        <x:v>JxPath</x:v>
      </x:c>
      <x:c r="C1474" s="35" t="str">
        <x:v>Round1</x:v>
      </x:c>
      <x:c r="D1474" s="35" t="str">
        <x:v>JxPath_5</x:v>
      </x:c>
      <x:c r="E1474" s="35" t="str">
        <x:v>Condition</x:v>
      </x:c>
      <x:c r="F1474" s="35"/>
      <x:c r="G1474" s="35" t="str">
        <x:v>A</x:v>
      </x:c>
      <x:c r="H1474" s="39" t="str">
        <x:f>IF(ISNUMBER('Data'!N620),'Data'!N620*100,"")</x:f>
      </x:c>
      <x:c r="I1474" s="35"/>
      <x:c r="J1474" s="35" t="str">
        <x:v>PASS</x:v>
      </x:c>
      <x:c r="K1474" s="35" t="str">
        <x:v>FAIL</x:v>
      </x:c>
      <x:c r="L1474" s="35" t="str">
        <x:v>NOT_RUN</x:v>
      </x:c>
      <x:c r="M1474" s="35" t="str">
        <x:v>coverage unavailable or execution/compile failed</x:v>
      </x:c>
      <x:c r="N1474" s="35" t="str">
        <x:v>Gemini-3.8-flash/Result/JxPath_5/result.json</x:v>
      </x:c>
      <x:c r="O1474" s="39" t="str">
        <x:f>IF(AND(G1474="RECORDED",ISNUMBER(H1474)),H1474,"")</x:f>
      </x:c>
      <x:c r="P1474" s="35" t="str">
        <x:v>NOT_AVAILABLE</x:v>
      </x:c>
      <x:c r="Q1474" s="35" t="str">
        <x:v>Gemini-3.8-flash/Result/JxPath_5/result.json</x:v>
      </x:c>
    </x:row>
    <x:row r="1475">
      <x:c r="A1475" s="35" t="str">
        <x:v>gemini</x:v>
      </x:c>
      <x:c r="B1475" s="35" t="str">
        <x:v>JxPath</x:v>
      </x:c>
      <x:c r="C1475" s="35" t="str">
        <x:v>Round1</x:v>
      </x:c>
      <x:c r="D1475" s="35" t="str">
        <x:v>JxPath_6</x:v>
      </x:c>
      <x:c r="E1475" s="35" t="str">
        <x:v>Condition</x:v>
      </x:c>
      <x:c r="F1475" s="35"/>
      <x:c r="G1475" s="35" t="str">
        <x:v>A</x:v>
      </x:c>
      <x:c r="H1475" s="39" t="str">
        <x:f>IF(ISNUMBER('Data'!N621),'Data'!N621*100,"")</x:f>
      </x:c>
      <x:c r="I1475" s="35"/>
      <x:c r="J1475" s="35" t="str">
        <x:v>PASS</x:v>
      </x:c>
      <x:c r="K1475" s="35" t="str">
        <x:v>FAIL</x:v>
      </x:c>
      <x:c r="L1475" s="35" t="str">
        <x:v>NOT_RUN</x:v>
      </x:c>
      <x:c r="M1475" s="35" t="str">
        <x:v>coverage unavailable or execution/compile failed</x:v>
      </x:c>
      <x:c r="N1475" s="35" t="str">
        <x:v>Gemini-3.8-flash/Result/JxPath_6/result.json</x:v>
      </x:c>
      <x:c r="O1475" s="39" t="str">
        <x:f>IF(AND(G1475="RECORDED",ISNUMBER(H1475)),H1475,"")</x:f>
      </x:c>
      <x:c r="P1475" s="35" t="str">
        <x:v>NOT_AVAILABLE</x:v>
      </x:c>
      <x:c r="Q1475" s="35" t="str">
        <x:v>Gemini-3.8-flash/Result/JxPath_6/result.json</x:v>
      </x:c>
    </x:row>
    <x:row r="1476">
      <x:c r="A1476" s="35" t="str">
        <x:v>gemini</x:v>
      </x:c>
      <x:c r="B1476" s="35" t="str">
        <x:v>JxPath</x:v>
      </x:c>
      <x:c r="C1476" s="35" t="str">
        <x:v>Round1</x:v>
      </x:c>
      <x:c r="D1476" s="35" t="str">
        <x:v>JxPath_7</x:v>
      </x:c>
      <x:c r="E1476" s="35" t="str">
        <x:v>Condition</x:v>
      </x:c>
      <x:c r="F1476" s="35"/>
      <x:c r="G1476" s="35" t="str">
        <x:v>A</x:v>
      </x:c>
      <x:c r="H1476" s="39" t="str">
        <x:f>IF(ISNUMBER('Data'!N622),'Data'!N622*100,"")</x:f>
      </x:c>
      <x:c r="I1476" s="35"/>
      <x:c r="J1476" s="35" t="str">
        <x:v>PASS</x:v>
      </x:c>
      <x:c r="K1476" s="35" t="str">
        <x:v>FAIL</x:v>
      </x:c>
      <x:c r="L1476" s="35" t="str">
        <x:v>NOT_RUN</x:v>
      </x:c>
      <x:c r="M1476" s="35" t="str">
        <x:v>coverage unavailable or execution/compile failed</x:v>
      </x:c>
      <x:c r="N1476" s="35" t="str">
        <x:v>Gemini-3.8-flash/Result/JxPath_7/result.json</x:v>
      </x:c>
      <x:c r="O1476" s="39" t="str">
        <x:f>IF(AND(G1476="RECORDED",ISNUMBER(H1476)),H1476,"")</x:f>
      </x:c>
      <x:c r="P1476" s="35" t="str">
        <x:v>NOT_AVAILABLE</x:v>
      </x:c>
      <x:c r="Q1476" s="35" t="str">
        <x:v>Gemini-3.8-flash/Result/JxPath_7/result.json</x:v>
      </x:c>
    </x:row>
    <x:row r="1477">
      <x:c r="A1477" s="35" t="str">
        <x:v>gemini</x:v>
      </x:c>
      <x:c r="B1477" s="35" t="str">
        <x:v>JxPath</x:v>
      </x:c>
      <x:c r="C1477" s="35" t="str">
        <x:v>Round1</x:v>
      </x:c>
      <x:c r="D1477" s="35" t="str">
        <x:v>JxPath_8</x:v>
      </x:c>
      <x:c r="E1477" s="35" t="str">
        <x:v>Condition</x:v>
      </x:c>
      <x:c r="F1477" s="35"/>
      <x:c r="G1477" s="35" t="str">
        <x:v>A</x:v>
      </x:c>
      <x:c r="H1477" s="39" t="str">
        <x:f>IF(ISNUMBER('Data'!N623),'Data'!N623*100,"")</x:f>
      </x:c>
      <x:c r="I1477" s="35"/>
      <x:c r="J1477" s="35" t="str">
        <x:v>PASS</x:v>
      </x:c>
      <x:c r="K1477" s="35" t="str">
        <x:v>FAIL</x:v>
      </x:c>
      <x:c r="L1477" s="35" t="str">
        <x:v>NOT_RUN</x:v>
      </x:c>
      <x:c r="M1477" s="35" t="str">
        <x:v>coverage unavailable or execution/compile failed</x:v>
      </x:c>
      <x:c r="N1477" s="35" t="str">
        <x:v>Gemini-3.8-flash/Result/JxPath_8/result.json</x:v>
      </x:c>
      <x:c r="O1477" s="39" t="str">
        <x:f>IF(AND(G1477="RECORDED",ISNUMBER(H1477)),H1477,"")</x:f>
      </x:c>
      <x:c r="P1477" s="35" t="str">
        <x:v>NOT_AVAILABLE</x:v>
      </x:c>
      <x:c r="Q1477" s="35" t="str">
        <x:v>Gemini-3.8-flash/Result/JxPath_8/result.json</x:v>
      </x:c>
    </x:row>
    <x:row r="1478">
      <x:c r="A1478" s="35" t="str">
        <x:v>gemini</x:v>
      </x:c>
      <x:c r="B1478" s="35" t="str">
        <x:v>JxPath</x:v>
      </x:c>
      <x:c r="C1478" s="35" t="str">
        <x:v>Round1</x:v>
      </x:c>
      <x:c r="D1478" s="35" t="str">
        <x:v>JxPath_9</x:v>
      </x:c>
      <x:c r="E1478" s="35" t="str">
        <x:v>Condition</x:v>
      </x:c>
      <x:c r="F1478" s="35"/>
      <x:c r="G1478" s="35" t="str">
        <x:v>A</x:v>
      </x:c>
      <x:c r="H1478" s="39" t="str">
        <x:f>IF(ISNUMBER('Data'!N624),'Data'!N624*100,"")</x:f>
      </x:c>
      <x:c r="I1478" s="35"/>
      <x:c r="J1478" s="35" t="str">
        <x:v>PASS</x:v>
      </x:c>
      <x:c r="K1478" s="35" t="str">
        <x:v>FAIL</x:v>
      </x:c>
      <x:c r="L1478" s="35" t="str">
        <x:v>NOT_RUN</x:v>
      </x:c>
      <x:c r="M1478" s="35" t="str">
        <x:v>coverage unavailable or execution/compile failed</x:v>
      </x:c>
      <x:c r="N1478" s="35" t="str">
        <x:v>Gemini-3.8-flash/Result/JxPath_9/result.json</x:v>
      </x:c>
      <x:c r="O1478" s="39" t="str">
        <x:f>IF(AND(G1478="RECORDED",ISNUMBER(H1478)),H1478,"")</x:f>
      </x:c>
      <x:c r="P1478" s="35" t="str">
        <x:v>NOT_AVAILABLE</x:v>
      </x:c>
      <x:c r="Q1478" s="35" t="str">
        <x:v>Gemini-3.8-flash/Result/JxPath_9/result.json</x:v>
      </x:c>
    </x:row>
    <x:row r="1479">
      <x:c r="A1479" s="35" t="str">
        <x:v>gemini</x:v>
      </x:c>
      <x:c r="B1479" s="35" t="str">
        <x:v>Lang</x:v>
      </x:c>
      <x:c r="C1479" s="35" t="str">
        <x:v>Round1</x:v>
      </x:c>
      <x:c r="D1479" s="35" t="str">
        <x:v>Lang_1</x:v>
      </x:c>
      <x:c r="E1479" s="35" t="str">
        <x:v>Condition</x:v>
      </x:c>
      <x:c r="F1479" s="35" t="n">
        <x:v>338</x:v>
      </x:c>
      <x:c r="G1479" s="35" t="str">
        <x:v>RECORDED</x:v>
      </x:c>
      <x:c r="H1479" s="39" t="n">
        <x:f>IF(ISNUMBER('Data'!N625),'Data'!N625*100,"")</x:f>
        <x:v>86.98</x:v>
      </x:c>
      <x:c r="I1479" s="35" t="str">
        <x:v>PASS</x:v>
      </x:c>
      <x:c r="J1479" s="35" t="str">
        <x:v>PASS</x:v>
      </x:c>
      <x:c r="K1479" s="35" t="str">
        <x:v>PASS</x:v>
      </x:c>
      <x:c r="L1479" s="35" t="str">
        <x:v>FAIL</x:v>
      </x:c>
      <x:c r="M1479" s="35" t="str">
        <x:v>numeric coverage for applicable metric</x:v>
      </x:c>
      <x:c r="N1479" s="35" t="str">
        <x:v>Gemini-3.8-flash/Result/Lang_1/result.json</x:v>
      </x:c>
      <x:c r="O1479" s="39" t="n">
        <x:f>IF(AND(G1479="RECORDED",ISNUMBER(H1479)),H1479,"")</x:f>
        <x:v>86.98</x:v>
      </x:c>
      <x:c r="P1479" s="35" t="str">
        <x:v>INCONCLUSIVE</x:v>
      </x:c>
      <x:c r="Q1479" s="35" t="str">
        <x:v>Gemini-3.8-flash/Result/Lang_1/result.json</x:v>
      </x:c>
    </x:row>
    <x:row r="1480">
      <x:c r="A1480" s="35" t="str">
        <x:v>gemini</x:v>
      </x:c>
      <x:c r="B1480" s="35" t="str">
        <x:v>Lang</x:v>
      </x:c>
      <x:c r="C1480" s="35" t="str">
        <x:v>Round1</x:v>
      </x:c>
      <x:c r="D1480" s="35" t="str">
        <x:v>Lang_10</x:v>
      </x:c>
      <x:c r="E1480" s="35" t="str">
        <x:v>Condition</x:v>
      </x:c>
      <x:c r="F1480" s="35"/>
      <x:c r="G1480" s="35" t="str">
        <x:v>A</x:v>
      </x:c>
      <x:c r="H1480" s="39" t="str">
        <x:f>IF(ISNUMBER('Data'!N626),'Data'!N626*100,"")</x:f>
      </x:c>
      <x:c r="I1480" s="35"/>
      <x:c r="J1480" s="35" t="str">
        <x:v>PASS</x:v>
      </x:c>
      <x:c r="K1480" s="35" t="str">
        <x:v>FAIL</x:v>
      </x:c>
      <x:c r="L1480" s="35" t="str">
        <x:v>NOT_RUN</x:v>
      </x:c>
      <x:c r="M1480" s="35" t="str">
        <x:v>coverage unavailable or execution/compile failed</x:v>
      </x:c>
      <x:c r="N1480" s="35" t="str">
        <x:v>Gemini-3.8-flash/Result/Lang_10/result.json</x:v>
      </x:c>
      <x:c r="O1480" s="39" t="str">
        <x:f>IF(AND(G1480="RECORDED",ISNUMBER(H1480)),H1480,"")</x:f>
      </x:c>
      <x:c r="P1480" s="35" t="str">
        <x:v>NOT_AVAILABLE</x:v>
      </x:c>
      <x:c r="Q1480" s="35" t="str">
        <x:v>Gemini-3.8-flash/Result/Lang_10/result.json</x:v>
      </x:c>
    </x:row>
    <x:row r="1481">
      <x:c r="A1481" s="35" t="str">
        <x:v>gemini</x:v>
      </x:c>
      <x:c r="B1481" s="35" t="str">
        <x:v>Lang</x:v>
      </x:c>
      <x:c r="C1481" s="35" t="str">
        <x:v>Round1</x:v>
      </x:c>
      <x:c r="D1481" s="35" t="str">
        <x:v>Lang_11</x:v>
      </x:c>
      <x:c r="E1481" s="35" t="str">
        <x:v>Condition</x:v>
      </x:c>
      <x:c r="F1481" s="35" t="n">
        <x:v>54</x:v>
      </x:c>
      <x:c r="G1481" s="35" t="str">
        <x:v>RECORDED</x:v>
      </x:c>
      <x:c r="H1481" s="39" t="n">
        <x:f>IF(ISNUMBER('Data'!N627),'Data'!N627*100,"")</x:f>
        <x:v>100</x:v>
      </x:c>
      <x:c r="I1481" s="35" t="str">
        <x:v>PASS</x:v>
      </x:c>
      <x:c r="J1481" s="35" t="str">
        <x:v>PASS</x:v>
      </x:c>
      <x:c r="K1481" s="35" t="str">
        <x:v>PASS</x:v>
      </x:c>
      <x:c r="L1481" s="35" t="str">
        <x:v>PASS</x:v>
      </x:c>
      <x:c r="M1481" s="35" t="str">
        <x:v>numeric coverage for applicable metric</x:v>
      </x:c>
      <x:c r="N1481" s="35" t="str">
        <x:v>Gemini-3.8-flash/Result/Lang_11/result.json</x:v>
      </x:c>
      <x:c r="O1481" s="39" t="n">
        <x:f>IF(AND(G1481="RECORDED",ISNUMBER(H1481)),H1481,"")</x:f>
        <x:v>100</x:v>
      </x:c>
      <x:c r="P1481" s="35" t="str">
        <x:v>NOT_REVEALING</x:v>
      </x:c>
      <x:c r="Q1481" s="35" t="str">
        <x:v>Gemini-3.8-flash/Result/Lang_11/result.json</x:v>
      </x:c>
    </x:row>
    <x:row r="1482">
      <x:c r="A1482" s="35" t="str">
        <x:v>gemini</x:v>
      </x:c>
      <x:c r="B1482" s="35" t="str">
        <x:v>Lang</x:v>
      </x:c>
      <x:c r="C1482" s="35" t="str">
        <x:v>Round1</x:v>
      </x:c>
      <x:c r="D1482" s="35" t="str">
        <x:v>Lang_12</x:v>
      </x:c>
      <x:c r="E1482" s="35" t="str">
        <x:v>Condition</x:v>
      </x:c>
      <x:c r="F1482" s="35" t="n">
        <x:v>48</x:v>
      </x:c>
      <x:c r="G1482" s="35" t="str">
        <x:v>RECORDED</x:v>
      </x:c>
      <x:c r="H1482" s="39" t="n">
        <x:f>IF(ISNUMBER('Data'!N628),'Data'!N628*100,"")</x:f>
        <x:v>100</x:v>
      </x:c>
      <x:c r="I1482" s="35" t="str">
        <x:v>PASS</x:v>
      </x:c>
      <x:c r="J1482" s="35" t="str">
        <x:v>PASS</x:v>
      </x:c>
      <x:c r="K1482" s="35" t="str">
        <x:v>PASS</x:v>
      </x:c>
      <x:c r="L1482" s="35" t="str">
        <x:v>FAIL</x:v>
      </x:c>
      <x:c r="M1482" s="35" t="str">
        <x:v>numeric coverage for applicable metric</x:v>
      </x:c>
      <x:c r="N1482" s="35" t="str">
        <x:v>Gemini-3.8-flash/Result/Lang_12/result.json</x:v>
      </x:c>
      <x:c r="O1482" s="39" t="n">
        <x:f>IF(AND(G1482="RECORDED",ISNUMBER(H1482)),H1482,"")</x:f>
        <x:v>100</x:v>
      </x:c>
      <x:c r="P1482" s="35" t="str">
        <x:v>INCONCLUSIVE</x:v>
      </x:c>
      <x:c r="Q1482" s="35" t="str">
        <x:v>Gemini-3.8-flash/Result/Lang_12/result.json</x:v>
      </x:c>
    </x:row>
    <x:row r="1483">
      <x:c r="A1483" s="35" t="str">
        <x:v>gemini</x:v>
      </x:c>
      <x:c r="B1483" s="35" t="str">
        <x:v>Lang</x:v>
      </x:c>
      <x:c r="C1483" s="35" t="str">
        <x:v>Round1</x:v>
      </x:c>
      <x:c r="D1483" s="35" t="str">
        <x:v>Lang_13</x:v>
      </x:c>
      <x:c r="E1483" s="35" t="str">
        <x:v>Condition</x:v>
      </x:c>
      <x:c r="F1483" s="35" t="n">
        <x:v>14</x:v>
      </x:c>
      <x:c r="G1483" s="35" t="str">
        <x:v>RECORDED</x:v>
      </x:c>
      <x:c r="H1483" s="39" t="n">
        <x:f>IF(ISNUMBER('Data'!N629),'Data'!N629*100,"")</x:f>
        <x:v>92.86</x:v>
      </x:c>
      <x:c r="I1483" s="35" t="str">
        <x:v>PASS</x:v>
      </x:c>
      <x:c r="J1483" s="35" t="str">
        <x:v>PASS</x:v>
      </x:c>
      <x:c r="K1483" s="35" t="str">
        <x:v>PASS</x:v>
      </x:c>
      <x:c r="L1483" s="35" t="str">
        <x:v>PASS</x:v>
      </x:c>
      <x:c r="M1483" s="35" t="str">
        <x:v>numeric coverage for applicable metric</x:v>
      </x:c>
      <x:c r="N1483" s="35" t="str">
        <x:v>Gemini-3.8-flash/Result/Lang_13/result.json</x:v>
      </x:c>
      <x:c r="O1483" s="39" t="n">
        <x:f>IF(AND(G1483="RECORDED",ISNUMBER(H1483)),H1483,"")</x:f>
        <x:v>92.86</x:v>
      </x:c>
      <x:c r="P1483" s="35" t="str">
        <x:v>NOT_REVEALING</x:v>
      </x:c>
      <x:c r="Q1483" s="35" t="str">
        <x:v>Gemini-3.8-flash/Result/Lang_13/result.json</x:v>
      </x:c>
    </x:row>
    <x:row r="1484">
      <x:c r="A1484" s="35" t="str">
        <x:v>gemini</x:v>
      </x:c>
      <x:c r="B1484" s="35" t="str">
        <x:v>Lang</x:v>
      </x:c>
      <x:c r="C1484" s="35" t="str">
        <x:v>Round1</x:v>
      </x:c>
      <x:c r="D1484" s="35" t="str">
        <x:v>Lang_14</x:v>
      </x:c>
      <x:c r="E1484" s="35" t="str">
        <x:v>Condition</x:v>
      </x:c>
      <x:c r="F1484" s="35" t="n">
        <x:v>1141</x:v>
      </x:c>
      <x:c r="G1484" s="35" t="str">
        <x:v>RECORDED</x:v>
      </x:c>
      <x:c r="H1484" s="39" t="n">
        <x:f>IF(ISNUMBER('Data'!N630),'Data'!N630*100,"")</x:f>
        <x:v>79.14</x:v>
      </x:c>
      <x:c r="I1484" s="35" t="str">
        <x:v>PASS</x:v>
      </x:c>
      <x:c r="J1484" s="35" t="str">
        <x:v>PASS</x:v>
      </x:c>
      <x:c r="K1484" s="35" t="str">
        <x:v>PASS</x:v>
      </x:c>
      <x:c r="L1484" s="35" t="str">
        <x:v>FAIL</x:v>
      </x:c>
      <x:c r="M1484" s="35" t="str">
        <x:v>numeric coverage for applicable metric</x:v>
      </x:c>
      <x:c r="N1484" s="35" t="str">
        <x:v>Gemini-3.8-flash/Result/Lang_14/result.json</x:v>
      </x:c>
      <x:c r="O1484" s="39" t="n">
        <x:f>IF(AND(G1484="RECORDED",ISNUMBER(H1484)),H1484,"")</x:f>
        <x:v>79.14</x:v>
      </x:c>
      <x:c r="P1484" s="35" t="str">
        <x:v>INCONCLUSIVE</x:v>
      </x:c>
      <x:c r="Q1484" s="35" t="str">
        <x:v>Gemini-3.8-flash/Result/Lang_14/result.json</x:v>
      </x:c>
    </x:row>
    <x:row r="1485">
      <x:c r="A1485" s="35" t="str">
        <x:v>gemini</x:v>
      </x:c>
      <x:c r="B1485" s="35" t="str">
        <x:v>Lang</x:v>
      </x:c>
      <x:c r="C1485" s="35" t="str">
        <x:v>Round1</x:v>
      </x:c>
      <x:c r="D1485" s="35" t="str">
        <x:v>Lang_15</x:v>
      </x:c>
      <x:c r="E1485" s="35" t="str">
        <x:v>Condition</x:v>
      </x:c>
      <x:c r="F1485" s="35" t="n">
        <x:v>284</x:v>
      </x:c>
      <x:c r="G1485" s="35" t="str">
        <x:v>RECORDED</x:v>
      </x:c>
      <x:c r="H1485" s="39" t="n">
        <x:f>IF(ISNUMBER('Data'!N631),'Data'!N631*100,"")</x:f>
        <x:v>84.15</x:v>
      </x:c>
      <x:c r="I1485" s="35" t="str">
        <x:v>PASS</x:v>
      </x:c>
      <x:c r="J1485" s="35" t="str">
        <x:v>PASS</x:v>
      </x:c>
      <x:c r="K1485" s="35" t="str">
        <x:v>PASS</x:v>
      </x:c>
      <x:c r="L1485" s="35" t="str">
        <x:v>FAIL</x:v>
      </x:c>
      <x:c r="M1485" s="35" t="str">
        <x:v>numeric coverage for applicable metric</x:v>
      </x:c>
      <x:c r="N1485" s="35" t="str">
        <x:v>Gemini-3.8-flash/Result/Lang_15/result.json</x:v>
      </x:c>
      <x:c r="O1485" s="39" t="n">
        <x:f>IF(AND(G1485="RECORDED",ISNUMBER(H1485)),H1485,"")</x:f>
        <x:v>84.15</x:v>
      </x:c>
      <x:c r="P1485" s="35" t="str">
        <x:v>INCONCLUSIVE</x:v>
      </x:c>
      <x:c r="Q1485" s="35" t="str">
        <x:v>Gemini-3.8-flash/Result/Lang_15/result.json</x:v>
      </x:c>
    </x:row>
    <x:row r="1486">
      <x:c r="A1486" s="35" t="str">
        <x:v>gemini</x:v>
      </x:c>
      <x:c r="B1486" s="35" t="str">
        <x:v>Lang</x:v>
      </x:c>
      <x:c r="C1486" s="35" t="str">
        <x:v>Round1</x:v>
      </x:c>
      <x:c r="D1486" s="35" t="str">
        <x:v>Lang_16</x:v>
      </x:c>
      <x:c r="E1486" s="35" t="str">
        <x:v>Condition</x:v>
      </x:c>
      <x:c r="F1486" s="35"/>
      <x:c r="G1486" s="35" t="str">
        <x:v>A</x:v>
      </x:c>
      <x:c r="H1486" s="39" t="str">
        <x:f>IF(ISNUMBER('Data'!N632),'Data'!N632*100,"")</x:f>
      </x:c>
      <x:c r="I1486" s="35"/>
      <x:c r="J1486" s="35" t="str">
        <x:v>PASS</x:v>
      </x:c>
      <x:c r="K1486" s="35" t="str">
        <x:v>FAIL</x:v>
      </x:c>
      <x:c r="L1486" s="35" t="str">
        <x:v>NOT_RUN</x:v>
      </x:c>
      <x:c r="M1486" s="35" t="str">
        <x:v>coverage unavailable or execution/compile failed</x:v>
      </x:c>
      <x:c r="N1486" s="35" t="str">
        <x:v>Gemini-3.8-flash/Result/Lang_16/result.json</x:v>
      </x:c>
      <x:c r="O1486" s="39" t="str">
        <x:f>IF(AND(G1486="RECORDED",ISNUMBER(H1486)),H1486,"")</x:f>
      </x:c>
      <x:c r="P1486" s="35" t="str">
        <x:v>NOT_AVAILABLE</x:v>
      </x:c>
      <x:c r="Q1486" s="35" t="str">
        <x:v>Gemini-3.8-flash/Result/Lang_16/result.json</x:v>
      </x:c>
    </x:row>
    <x:row r="1487">
      <x:c r="A1487" s="35" t="str">
        <x:v>gemini</x:v>
      </x:c>
      <x:c r="B1487" s="35" t="str">
        <x:v>Lang</x:v>
      </x:c>
      <x:c r="C1487" s="35" t="str">
        <x:v>Round1</x:v>
      </x:c>
      <x:c r="D1487" s="35" t="str">
        <x:v>Lang_17</x:v>
      </x:c>
      <x:c r="E1487" s="35" t="str">
        <x:v>Condition</x:v>
      </x:c>
      <x:c r="F1487" s="35" t="n">
        <x:v>14</x:v>
      </x:c>
      <x:c r="G1487" s="35" t="str">
        <x:v>RECORDED</x:v>
      </x:c>
      <x:c r="H1487" s="39" t="n">
        <x:f>IF(ISNUMBER('Data'!N633),'Data'!N633*100,"")</x:f>
        <x:v>100</x:v>
      </x:c>
      <x:c r="I1487" s="35" t="str">
        <x:v>PASS</x:v>
      </x:c>
      <x:c r="J1487" s="35" t="str">
        <x:v>PASS</x:v>
      </x:c>
      <x:c r="K1487" s="35" t="str">
        <x:v>PASS</x:v>
      </x:c>
      <x:c r="L1487" s="35" t="str">
        <x:v>FAIL</x:v>
      </x:c>
      <x:c r="M1487" s="35" t="str">
        <x:v>numeric coverage for applicable metric</x:v>
      </x:c>
      <x:c r="N1487" s="35" t="str">
        <x:v>Gemini-3.8-flash/Result/Lang_17/result.json</x:v>
      </x:c>
      <x:c r="O1487" s="39" t="n">
        <x:f>IF(AND(G1487="RECORDED",ISNUMBER(H1487)),H1487,"")</x:f>
        <x:v>100</x:v>
      </x:c>
      <x:c r="P1487" s="35" t="str">
        <x:v>INCONCLUSIVE</x:v>
      </x:c>
      <x:c r="Q1487" s="35" t="str">
        <x:v>Gemini-3.8-flash/Result/Lang_17/result.json</x:v>
      </x:c>
    </x:row>
    <x:row r="1488">
      <x:c r="A1488" s="35" t="str">
        <x:v>gemini</x:v>
      </x:c>
      <x:c r="B1488" s="35" t="str">
        <x:v>Lang</x:v>
      </x:c>
      <x:c r="C1488" s="35" t="str">
        <x:v>Round1</x:v>
      </x:c>
      <x:c r="D1488" s="35" t="str">
        <x:v>Lang_19</x:v>
      </x:c>
      <x:c r="E1488" s="35" t="str">
        <x:v>Condition</x:v>
      </x:c>
      <x:c r="F1488" s="35" t="n">
        <x:v>18</x:v>
      </x:c>
      <x:c r="G1488" s="35" t="str">
        <x:v>RECORDED</x:v>
      </x:c>
      <x:c r="H1488" s="39" t="n">
        <x:f>IF(ISNUMBER('Data'!N634),'Data'!N634*100,"")</x:f>
        <x:v>100</x:v>
      </x:c>
      <x:c r="I1488" s="35" t="str">
        <x:v>PASS</x:v>
      </x:c>
      <x:c r="J1488" s="35" t="str">
        <x:v>PASS</x:v>
      </x:c>
      <x:c r="K1488" s="35" t="str">
        <x:v>PASS</x:v>
      </x:c>
      <x:c r="L1488" s="35" t="str">
        <x:v>PASS</x:v>
      </x:c>
      <x:c r="M1488" s="35" t="str">
        <x:v>numeric coverage for applicable metric</x:v>
      </x:c>
      <x:c r="N1488" s="35" t="str">
        <x:v>Gemini-3.8-flash/Result/Lang_19/result.json</x:v>
      </x:c>
      <x:c r="O1488" s="39" t="n">
        <x:f>IF(AND(G1488="RECORDED",ISNUMBER(H1488)),H1488,"")</x:f>
        <x:v>100</x:v>
      </x:c>
      <x:c r="P1488" s="35" t="str">
        <x:v>INCONCLUSIVE</x:v>
      </x:c>
      <x:c r="Q1488" s="35" t="str">
        <x:v>Gemini-3.8-flash/Result/Lang_19/result.json</x:v>
      </x:c>
    </x:row>
    <x:row r="1489">
      <x:c r="A1489" s="35" t="str">
        <x:v>gemini</x:v>
      </x:c>
      <x:c r="B1489" s="35" t="str">
        <x:v>Lang</x:v>
      </x:c>
      <x:c r="C1489" s="35" t="str">
        <x:v>Round1</x:v>
      </x:c>
      <x:c r="D1489" s="35" t="str">
        <x:v>Lang_20</x:v>
      </x:c>
      <x:c r="E1489" s="35" t="str">
        <x:v>Condition</x:v>
      </x:c>
      <x:c r="F1489" s="35" t="n">
        <x:v>1149</x:v>
      </x:c>
      <x:c r="G1489" s="35" t="str">
        <x:v>RECORDED</x:v>
      </x:c>
      <x:c r="H1489" s="39" t="n">
        <x:f>IF(ISNUMBER('Data'!N635),'Data'!N635*100,"")</x:f>
        <x:v>86.86</x:v>
      </x:c>
      <x:c r="I1489" s="35" t="str">
        <x:v>PASS</x:v>
      </x:c>
      <x:c r="J1489" s="35" t="str">
        <x:v>PASS</x:v>
      </x:c>
      <x:c r="K1489" s="35" t="str">
        <x:v>PASS</x:v>
      </x:c>
      <x:c r="L1489" s="35" t="str">
        <x:v>FAIL</x:v>
      </x:c>
      <x:c r="M1489" s="35" t="str">
        <x:v>numeric coverage for applicable metric</x:v>
      </x:c>
      <x:c r="N1489" s="35" t="str">
        <x:v>Gemini-3.8-flash/Result/Lang_20/result.json</x:v>
      </x:c>
      <x:c r="O1489" s="39" t="n">
        <x:f>IF(AND(G1489="RECORDED",ISNUMBER(H1489)),H1489,"")</x:f>
        <x:v>86.86</x:v>
      </x:c>
      <x:c r="P1489" s="35" t="str">
        <x:v>INCONCLUSIVE</x:v>
      </x:c>
      <x:c r="Q1489" s="35" t="str">
        <x:v>Gemini-3.8-flash/Result/Lang_20/result.json</x:v>
      </x:c>
    </x:row>
    <x:row r="1490">
      <x:c r="A1490" s="35" t="str">
        <x:v>gemini</x:v>
      </x:c>
      <x:c r="B1490" s="35" t="str">
        <x:v>Lang</x:v>
      </x:c>
      <x:c r="C1490" s="35" t="str">
        <x:v>Round1</x:v>
      </x:c>
      <x:c r="D1490" s="35" t="str">
        <x:v>Lang_21</x:v>
      </x:c>
      <x:c r="E1490" s="35" t="str">
        <x:v>Condition</x:v>
      </x:c>
      <x:c r="F1490" s="35" t="n">
        <x:v>218</x:v>
      </x:c>
      <x:c r="G1490" s="35" t="str">
        <x:v>RECORDED</x:v>
      </x:c>
      <x:c r="H1490" s="39" t="n">
        <x:f>IF(ISNUMBER('Data'!N636),'Data'!N636*100,"")</x:f>
        <x:v>95.41</x:v>
      </x:c>
      <x:c r="I1490" s="35" t="str">
        <x:v>PASS</x:v>
      </x:c>
      <x:c r="J1490" s="35" t="str">
        <x:v>PASS</x:v>
      </x:c>
      <x:c r="K1490" s="35" t="str">
        <x:v>PASS</x:v>
      </x:c>
      <x:c r="L1490" s="35" t="str">
        <x:v>PASS</x:v>
      </x:c>
      <x:c r="M1490" s="35" t="str">
        <x:v>numeric coverage for applicable metric</x:v>
      </x:c>
      <x:c r="N1490" s="35" t="str">
        <x:v>Gemini-3.8-flash/Result/Lang_21/result.json</x:v>
      </x:c>
      <x:c r="O1490" s="39" t="n">
        <x:f>IF(AND(G1490="RECORDED",ISNUMBER(H1490)),H1490,"")</x:f>
        <x:v>95.41</x:v>
      </x:c>
      <x:c r="P1490" s="35" t="str">
        <x:v>NOT_REVEALING</x:v>
      </x:c>
      <x:c r="Q1490" s="35" t="str">
        <x:v>Gemini-3.8-flash/Result/Lang_21/result.json</x:v>
      </x:c>
    </x:row>
    <x:row r="1491">
      <x:c r="A1491" s="35" t="str">
        <x:v>gemini</x:v>
      </x:c>
      <x:c r="B1491" s="35" t="str">
        <x:v>Lang</x:v>
      </x:c>
      <x:c r="C1491" s="35" t="str">
        <x:v>Round1</x:v>
      </x:c>
      <x:c r="D1491" s="35" t="str">
        <x:v>Lang_22</x:v>
      </x:c>
      <x:c r="E1491" s="35" t="str">
        <x:v>Condition</x:v>
      </x:c>
      <x:c r="F1491" s="35" t="n">
        <x:v>188</x:v>
      </x:c>
      <x:c r="G1491" s="35" t="str">
        <x:v>RECORDED</x:v>
      </x:c>
      <x:c r="H1491" s="39" t="n">
        <x:f>IF(ISNUMBER('Data'!N637),'Data'!N637*100,"")</x:f>
        <x:v>90.96</x:v>
      </x:c>
      <x:c r="I1491" s="35" t="str">
        <x:v>PASS</x:v>
      </x:c>
      <x:c r="J1491" s="35" t="str">
        <x:v>PASS</x:v>
      </x:c>
      <x:c r="K1491" s="35" t="str">
        <x:v>PASS</x:v>
      </x:c>
      <x:c r="L1491" s="35" t="str">
        <x:v>FAIL</x:v>
      </x:c>
      <x:c r="M1491" s="35" t="str">
        <x:v>numeric coverage for applicable metric</x:v>
      </x:c>
      <x:c r="N1491" s="35" t="str">
        <x:v>Gemini-3.8-flash/Result/Lang_22/result.json</x:v>
      </x:c>
      <x:c r="O1491" s="39" t="n">
        <x:f>IF(AND(G1491="RECORDED",ISNUMBER(H1491)),H1491,"")</x:f>
        <x:v>90.96</x:v>
      </x:c>
      <x:c r="P1491" s="35" t="str">
        <x:v>INCONCLUSIVE</x:v>
      </x:c>
      <x:c r="Q1491" s="35" t="str">
        <x:v>Gemini-3.8-flash/Result/Lang_22/result.json</x:v>
      </x:c>
    </x:row>
    <x:row r="1492">
      <x:c r="A1492" s="35" t="str">
        <x:v>gemini</x:v>
      </x:c>
      <x:c r="B1492" s="35" t="str">
        <x:v>Lang</x:v>
      </x:c>
      <x:c r="C1492" s="35" t="str">
        <x:v>Round1</x:v>
      </x:c>
      <x:c r="D1492" s="35" t="str">
        <x:v>Lang_23</x:v>
      </x:c>
      <x:c r="E1492" s="35" t="str">
        <x:v>Condition</x:v>
      </x:c>
      <x:c r="F1492" s="35" t="n">
        <x:v>99</x:v>
      </x:c>
      <x:c r="G1492" s="35" t="str">
        <x:v>RECORDED</x:v>
      </x:c>
      <x:c r="H1492" s="39" t="n">
        <x:f>IF(ISNUMBER('Data'!N638),'Data'!N638*100,"")</x:f>
        <x:v>79.8</x:v>
      </x:c>
      <x:c r="I1492" s="35" t="str">
        <x:v>PASS</x:v>
      </x:c>
      <x:c r="J1492" s="35" t="str">
        <x:v>PASS</x:v>
      </x:c>
      <x:c r="K1492" s="35" t="str">
        <x:v>PASS</x:v>
      </x:c>
      <x:c r="L1492" s="35" t="str">
        <x:v>FAIL</x:v>
      </x:c>
      <x:c r="M1492" s="35" t="str">
        <x:v>numeric coverage for applicable metric</x:v>
      </x:c>
      <x:c r="N1492" s="35" t="str">
        <x:v>Gemini-3.8-flash/Result/Lang_23/result.json</x:v>
      </x:c>
      <x:c r="O1492" s="39" t="n">
        <x:f>IF(AND(G1492="RECORDED",ISNUMBER(H1492)),H1492,"")</x:f>
        <x:v>79.8</x:v>
      </x:c>
      <x:c r="P1492" s="35" t="str">
        <x:v>INCONCLUSIVE</x:v>
      </x:c>
      <x:c r="Q1492" s="35" t="str">
        <x:v>Gemini-3.8-flash/Result/Lang_23/result.json</x:v>
      </x:c>
    </x:row>
    <x:row r="1493">
      <x:c r="A1493" s="35" t="str">
        <x:v>gemini</x:v>
      </x:c>
      <x:c r="B1493" s="35" t="str">
        <x:v>Lang</x:v>
      </x:c>
      <x:c r="C1493" s="35" t="str">
        <x:v>Round1</x:v>
      </x:c>
      <x:c r="D1493" s="35" t="str">
        <x:v>Lang_24</x:v>
      </x:c>
      <x:c r="E1493" s="35" t="str">
        <x:v>Condition</x:v>
      </x:c>
      <x:c r="F1493" s="35" t="n">
        <x:v>356</x:v>
      </x:c>
      <x:c r="G1493" s="35" t="str">
        <x:v>RECORDED</x:v>
      </x:c>
      <x:c r="H1493" s="39" t="n">
        <x:f>IF(ISNUMBER('Data'!N639),'Data'!N639*100,"")</x:f>
        <x:v>92.98</x:v>
      </x:c>
      <x:c r="I1493" s="35" t="str">
        <x:v>PASS</x:v>
      </x:c>
      <x:c r="J1493" s="35" t="str">
        <x:v>PASS</x:v>
      </x:c>
      <x:c r="K1493" s="35" t="str">
        <x:v>PASS</x:v>
      </x:c>
      <x:c r="L1493" s="35" t="str">
        <x:v>FAIL</x:v>
      </x:c>
      <x:c r="M1493" s="35" t="str">
        <x:v>numeric coverage for applicable metric</x:v>
      </x:c>
      <x:c r="N1493" s="35" t="str">
        <x:v>Gemini-3.8-flash/Result/Lang_24/result.json</x:v>
      </x:c>
      <x:c r="O1493" s="39" t="n">
        <x:f>IF(AND(G1493="RECORDED",ISNUMBER(H1493)),H1493,"")</x:f>
        <x:v>92.98</x:v>
      </x:c>
      <x:c r="P1493" s="35" t="str">
        <x:v>INCONCLUSIVE</x:v>
      </x:c>
      <x:c r="Q1493" s="35" t="str">
        <x:v>Gemini-3.8-flash/Result/Lang_24/result.json</x:v>
      </x:c>
    </x:row>
    <x:row r="1494">
      <x:c r="A1494" s="35" t="str">
        <x:v>gemini</x:v>
      </x:c>
      <x:c r="B1494" s="35" t="str">
        <x:v>Lang</x:v>
      </x:c>
      <x:c r="C1494" s="35" t="str">
        <x:v>Round1</x:v>
      </x:c>
      <x:c r="D1494" s="35" t="str">
        <x:v>Lang_26</x:v>
      </x:c>
      <x:c r="E1494" s="35" t="str">
        <x:v>Condition</x:v>
      </x:c>
      <x:c r="F1494" s="35"/>
      <x:c r="G1494" s="35" t="str">
        <x:v>A</x:v>
      </x:c>
      <x:c r="H1494" s="39" t="str">
        <x:f>IF(ISNUMBER('Data'!N640),'Data'!N640*100,"")</x:f>
      </x:c>
      <x:c r="I1494" s="35"/>
      <x:c r="J1494" s="35" t="str">
        <x:v>PASS</x:v>
      </x:c>
      <x:c r="K1494" s="35" t="str">
        <x:v>FAIL</x:v>
      </x:c>
      <x:c r="L1494" s="35" t="str">
        <x:v>NOT_RUN</x:v>
      </x:c>
      <x:c r="M1494" s="35" t="str">
        <x:v>coverage unavailable or execution/compile failed</x:v>
      </x:c>
      <x:c r="N1494" s="35" t="str">
        <x:v>Gemini-3.8-flash/Result/Lang_26/result.json</x:v>
      </x:c>
      <x:c r="O1494" s="39" t="str">
        <x:f>IF(AND(G1494="RECORDED",ISNUMBER(H1494)),H1494,"")</x:f>
      </x:c>
      <x:c r="P1494" s="35" t="str">
        <x:v>NOT_AVAILABLE</x:v>
      </x:c>
      <x:c r="Q1494" s="35" t="str">
        <x:v>Gemini-3.8-flash/Result/Lang_26/result.json</x:v>
      </x:c>
    </x:row>
    <x:row r="1495">
      <x:c r="A1495" s="35" t="str">
        <x:v>gemini</x:v>
      </x:c>
      <x:c r="B1495" s="35" t="str">
        <x:v>Lang</x:v>
      </x:c>
      <x:c r="C1495" s="35" t="str">
        <x:v>Round1</x:v>
      </x:c>
      <x:c r="D1495" s="35" t="str">
        <x:v>Lang_27</x:v>
      </x:c>
      <x:c r="E1495" s="35" t="str">
        <x:v>Condition</x:v>
      </x:c>
      <x:c r="F1495" s="35" t="n">
        <x:v>352</x:v>
      </x:c>
      <x:c r="G1495" s="35" t="str">
        <x:v>RECORDED</x:v>
      </x:c>
      <x:c r="H1495" s="39" t="n">
        <x:f>IF(ISNUMBER('Data'!N641),'Data'!N641*100,"")</x:f>
        <x:v>90.62</x:v>
      </x:c>
      <x:c r="I1495" s="35" t="str">
        <x:v>PASS</x:v>
      </x:c>
      <x:c r="J1495" s="35" t="str">
        <x:v>PASS</x:v>
      </x:c>
      <x:c r="K1495" s="35" t="str">
        <x:v>PASS</x:v>
      </x:c>
      <x:c r="L1495" s="35" t="str">
        <x:v>FAIL</x:v>
      </x:c>
      <x:c r="M1495" s="35" t="str">
        <x:v>numeric coverage for applicable metric</x:v>
      </x:c>
      <x:c r="N1495" s="35" t="str">
        <x:v>Gemini-3.8-flash/Result/Lang_27/result.json</x:v>
      </x:c>
      <x:c r="O1495" s="39" t="n">
        <x:f>IF(AND(G1495="RECORDED",ISNUMBER(H1495)),H1495,"")</x:f>
        <x:v>90.62</x:v>
      </x:c>
      <x:c r="P1495" s="35" t="str">
        <x:v>INCONCLUSIVE</x:v>
      </x:c>
      <x:c r="Q1495" s="35" t="str">
        <x:v>Gemini-3.8-flash/Result/Lang_27/result.json</x:v>
      </x:c>
    </x:row>
    <x:row r="1496">
      <x:c r="A1496" s="35" t="str">
        <x:v>gemini</x:v>
      </x:c>
      <x:c r="B1496" s="35" t="str">
        <x:v>Lang</x:v>
      </x:c>
      <x:c r="C1496" s="35" t="str">
        <x:v>Round1</x:v>
      </x:c>
      <x:c r="D1496" s="35" t="str">
        <x:v>Lang_28</x:v>
      </x:c>
      <x:c r="E1496" s="35" t="str">
        <x:v>Condition</x:v>
      </x:c>
      <x:c r="F1496" s="35" t="n">
        <x:v>14</x:v>
      </x:c>
      <x:c r="G1496" s="35" t="str">
        <x:v>RECORDED</x:v>
      </x:c>
      <x:c r="H1496" s="39" t="n">
        <x:f>IF(ISNUMBER('Data'!N642),'Data'!N642*100,"")</x:f>
        <x:v>100</x:v>
      </x:c>
      <x:c r="I1496" s="35" t="str">
        <x:v>PASS</x:v>
      </x:c>
      <x:c r="J1496" s="35" t="str">
        <x:v>PASS</x:v>
      </x:c>
      <x:c r="K1496" s="35" t="str">
        <x:v>PASS</x:v>
      </x:c>
      <x:c r="L1496" s="35" t="str">
        <x:v>PASS</x:v>
      </x:c>
      <x:c r="M1496" s="35" t="str">
        <x:v>numeric coverage for applicable metric</x:v>
      </x:c>
      <x:c r="N1496" s="35" t="str">
        <x:v>Gemini-3.8-flash/Result/Lang_28/result.json</x:v>
      </x:c>
      <x:c r="O1496" s="39" t="n">
        <x:f>IF(AND(G1496="RECORDED",ISNUMBER(H1496)),H1496,"")</x:f>
        <x:v>100</x:v>
      </x:c>
      <x:c r="P1496" s="35" t="str">
        <x:v>NOT_REVEALING</x:v>
      </x:c>
      <x:c r="Q1496" s="35" t="str">
        <x:v>Gemini-3.8-flash/Result/Lang_28/result.json</x:v>
      </x:c>
    </x:row>
    <x:row r="1497">
      <x:c r="A1497" s="35" t="str">
        <x:v>gemini</x:v>
      </x:c>
      <x:c r="B1497" s="35" t="str">
        <x:v>Lang</x:v>
      </x:c>
      <x:c r="C1497" s="35" t="str">
        <x:v>Round1</x:v>
      </x:c>
      <x:c r="D1497" s="35" t="str">
        <x:v>Lang_29</x:v>
      </x:c>
      <x:c r="E1497" s="35" t="str">
        <x:v>Condition</x:v>
      </x:c>
      <x:c r="F1497" s="35"/>
      <x:c r="G1497" s="35" t="str">
        <x:v>A</x:v>
      </x:c>
      <x:c r="H1497" s="39" t="str">
        <x:f>IF(ISNUMBER('Data'!N643),'Data'!N643*100,"")</x:f>
      </x:c>
      <x:c r="I1497" s="35"/>
      <x:c r="J1497" s="35" t="str">
        <x:v>PASS</x:v>
      </x:c>
      <x:c r="K1497" s="35" t="str">
        <x:v>FAIL</x:v>
      </x:c>
      <x:c r="L1497" s="35" t="str">
        <x:v>NOT_RUN</x:v>
      </x:c>
      <x:c r="M1497" s="35" t="str">
        <x:v>coverage unavailable or execution/compile failed</x:v>
      </x:c>
      <x:c r="N1497" s="35" t="str">
        <x:v>Gemini-3.8-flash/Result/Lang_29/result.json</x:v>
      </x:c>
      <x:c r="O1497" s="39" t="str">
        <x:f>IF(AND(G1497="RECORDED",ISNUMBER(H1497)),H1497,"")</x:f>
      </x:c>
      <x:c r="P1497" s="35" t="str">
        <x:v>NOT_AVAILABLE</x:v>
      </x:c>
      <x:c r="Q1497" s="35" t="str">
        <x:v>Gemini-3.8-flash/Result/Lang_29/result.json</x:v>
      </x:c>
    </x:row>
    <x:row r="1498">
      <x:c r="A1498" s="35" t="str">
        <x:v>gemini</x:v>
      </x:c>
      <x:c r="B1498" s="35" t="str">
        <x:v>Lang</x:v>
      </x:c>
      <x:c r="C1498" s="35" t="str">
        <x:v>Round1</x:v>
      </x:c>
      <x:c r="D1498" s="35" t="str">
        <x:v>Lang_3</x:v>
      </x:c>
      <x:c r="E1498" s="35" t="str">
        <x:v>Condition</x:v>
      </x:c>
      <x:c r="F1498" s="35" t="n">
        <x:v>334</x:v>
      </x:c>
      <x:c r="G1498" s="35" t="str">
        <x:v>RECORDED</x:v>
      </x:c>
      <x:c r="H1498" s="39" t="n">
        <x:f>IF(ISNUMBER('Data'!N644),'Data'!N644*100,"")</x:f>
        <x:v>85.03</x:v>
      </x:c>
      <x:c r="I1498" s="35" t="str">
        <x:v>PASS</x:v>
      </x:c>
      <x:c r="J1498" s="35" t="str">
        <x:v>PASS</x:v>
      </x:c>
      <x:c r="K1498" s="35" t="str">
        <x:v>PASS</x:v>
      </x:c>
      <x:c r="L1498" s="35" t="str">
        <x:v>FAIL</x:v>
      </x:c>
      <x:c r="M1498" s="35" t="str">
        <x:v>numeric coverage for applicable metric</x:v>
      </x:c>
      <x:c r="N1498" s="35" t="str">
        <x:v>Gemini-3.8-flash/Result/Lang_3/result.json</x:v>
      </x:c>
      <x:c r="O1498" s="39" t="n">
        <x:f>IF(AND(G1498="RECORDED",ISNUMBER(H1498)),H1498,"")</x:f>
        <x:v>85.03</x:v>
      </x:c>
      <x:c r="P1498" s="35" t="str">
        <x:v>INCONCLUSIVE</x:v>
      </x:c>
      <x:c r="Q1498" s="35" t="str">
        <x:v>Gemini-3.8-flash/Result/Lang_3/result.json</x:v>
      </x:c>
    </x:row>
    <x:row r="1499">
      <x:c r="A1499" s="35" t="str">
        <x:v>gemini</x:v>
      </x:c>
      <x:c r="B1499" s="35" t="str">
        <x:v>Lang</x:v>
      </x:c>
      <x:c r="C1499" s="35" t="str">
        <x:v>Round1</x:v>
      </x:c>
      <x:c r="D1499" s="35" t="str">
        <x:v>Lang_30</x:v>
      </x:c>
      <x:c r="E1499" s="35" t="str">
        <x:v>Condition</x:v>
      </x:c>
      <x:c r="F1499" s="35"/>
      <x:c r="G1499" s="35" t="str">
        <x:v>A</x:v>
      </x:c>
      <x:c r="H1499" s="39" t="str">
        <x:f>IF(ISNUMBER('Data'!N645),'Data'!N645*100,"")</x:f>
      </x:c>
      <x:c r="I1499" s="35"/>
      <x:c r="J1499" s="35" t="str">
        <x:v>PASS</x:v>
      </x:c>
      <x:c r="K1499" s="35" t="str">
        <x:v>FAIL</x:v>
      </x:c>
      <x:c r="L1499" s="35" t="str">
        <x:v>NOT_RUN</x:v>
      </x:c>
      <x:c r="M1499" s="35" t="str">
        <x:v>coverage unavailable or execution/compile failed</x:v>
      </x:c>
      <x:c r="N1499" s="35" t="str">
        <x:v>Gemini-3.8-flash/Result/Lang_30/result.json</x:v>
      </x:c>
      <x:c r="O1499" s="39" t="str">
        <x:f>IF(AND(G1499="RECORDED",ISNUMBER(H1499)),H1499,"")</x:f>
      </x:c>
      <x:c r="P1499" s="35" t="str">
        <x:v>NOT_AVAILABLE</x:v>
      </x:c>
      <x:c r="Q1499" s="35" t="str">
        <x:v>Gemini-3.8-flash/Result/Lang_30/result.json</x:v>
      </x:c>
    </x:row>
    <x:row r="1500">
      <x:c r="A1500" s="35" t="str">
        <x:v>gemini</x:v>
      </x:c>
      <x:c r="B1500" s="35" t="str">
        <x:v>Lang</x:v>
      </x:c>
      <x:c r="C1500" s="35" t="str">
        <x:v>Round1</x:v>
      </x:c>
      <x:c r="D1500" s="35" t="str">
        <x:v>Lang_31</x:v>
      </x:c>
      <x:c r="E1500" s="35" t="str">
        <x:v>Condition</x:v>
      </x:c>
      <x:c r="F1500" s="35"/>
      <x:c r="G1500" s="35" t="str">
        <x:v>A</x:v>
      </x:c>
      <x:c r="H1500" s="39" t="str">
        <x:f>IF(ISNUMBER('Data'!N646),'Data'!N646*100,"")</x:f>
      </x:c>
      <x:c r="I1500" s="35"/>
      <x:c r="J1500" s="35" t="str">
        <x:v>PASS</x:v>
      </x:c>
      <x:c r="K1500" s="35" t="str">
        <x:v>FAIL</x:v>
      </x:c>
      <x:c r="L1500" s="35" t="str">
        <x:v>NOT_RUN</x:v>
      </x:c>
      <x:c r="M1500" s="35" t="str">
        <x:v>coverage unavailable or execution/compile failed</x:v>
      </x:c>
      <x:c r="N1500" s="35" t="str">
        <x:v>Gemini-3.8-flash/Result/Lang_31/result.json</x:v>
      </x:c>
      <x:c r="O1500" s="39" t="str">
        <x:f>IF(AND(G1500="RECORDED",ISNUMBER(H1500)),H1500,"")</x:f>
      </x:c>
      <x:c r="P1500" s="35" t="str">
        <x:v>NOT_AVAILABLE</x:v>
      </x:c>
      <x:c r="Q1500" s="35" t="str">
        <x:v>Gemini-3.8-flash/Result/Lang_31/result.json</x:v>
      </x:c>
    </x:row>
    <x:row r="1501">
      <x:c r="A1501" s="35" t="str">
        <x:v>gemini</x:v>
      </x:c>
      <x:c r="B1501" s="35" t="str">
        <x:v>Lang</x:v>
      </x:c>
      <x:c r="C1501" s="35" t="str">
        <x:v>Round1</x:v>
      </x:c>
      <x:c r="D1501" s="35" t="str">
        <x:v>Lang_32</x:v>
      </x:c>
      <x:c r="E1501" s="35" t="str">
        <x:v>Condition</x:v>
      </x:c>
      <x:c r="F1501" s="35" t="n">
        <x:v>86</x:v>
      </x:c>
      <x:c r="G1501" s="35" t="str">
        <x:v>RECORDED</x:v>
      </x:c>
      <x:c r="H1501" s="39" t="n">
        <x:f>IF(ISNUMBER('Data'!N647),'Data'!N647*100,"")</x:f>
        <x:v>24.42</x:v>
      </x:c>
      <x:c r="I1501" s="35" t="str">
        <x:v>PASS</x:v>
      </x:c>
      <x:c r="J1501" s="35" t="str">
        <x:v>PASS</x:v>
      </x:c>
      <x:c r="K1501" s="35" t="str">
        <x:v>PASS</x:v>
      </x:c>
      <x:c r="L1501" s="35" t="str">
        <x:v>PASS</x:v>
      </x:c>
      <x:c r="M1501" s="35" t="str">
        <x:v>numeric coverage for applicable metric</x:v>
      </x:c>
      <x:c r="N1501" s="35" t="str">
        <x:v>Gemini-3.8-flash/Result/Lang_32/result.json</x:v>
      </x:c>
      <x:c r="O1501" s="39" t="n">
        <x:f>IF(AND(G1501="RECORDED",ISNUMBER(H1501)),H1501,"")</x:f>
        <x:v>24.42</x:v>
      </x:c>
      <x:c r="P1501" s="35" t="str">
        <x:v>NOT_REVEALING</x:v>
      </x:c>
      <x:c r="Q1501" s="35" t="str">
        <x:v>Gemini-3.8-flash/Result/Lang_32/result.json</x:v>
      </x:c>
    </x:row>
    <x:row r="1502">
      <x:c r="A1502" s="35" t="str">
        <x:v>gemini</x:v>
      </x:c>
      <x:c r="B1502" s="35" t="str">
        <x:v>Lang</x:v>
      </x:c>
      <x:c r="C1502" s="35" t="str">
        <x:v>Round1</x:v>
      </x:c>
      <x:c r="D1502" s="35" t="str">
        <x:v>Lang_33</x:v>
      </x:c>
      <x:c r="E1502" s="35" t="str">
        <x:v>Condition</x:v>
      </x:c>
      <x:c r="F1502" s="35" t="n">
        <x:v>216</x:v>
      </x:c>
      <x:c r="G1502" s="35" t="str">
        <x:v>RECORDED</x:v>
      </x:c>
      <x:c r="H1502" s="39" t="n">
        <x:f>IF(ISNUMBER('Data'!N648),'Data'!N648*100,"")</x:f>
        <x:v>12.960000000000003</x:v>
      </x:c>
      <x:c r="I1502" s="35" t="str">
        <x:v>PASS</x:v>
      </x:c>
      <x:c r="J1502" s="35" t="str">
        <x:v>PASS</x:v>
      </x:c>
      <x:c r="K1502" s="35" t="str">
        <x:v>PASS</x:v>
      </x:c>
      <x:c r="L1502" s="35" t="str">
        <x:v>FAIL</x:v>
      </x:c>
      <x:c r="M1502" s="35" t="str">
        <x:v>numeric coverage for applicable metric</x:v>
      </x:c>
      <x:c r="N1502" s="35" t="str">
        <x:v>Gemini-3.8-flash/Result/Lang_33/result.json</x:v>
      </x:c>
      <x:c r="O1502" s="39" t="n">
        <x:f>IF(AND(G1502="RECORDED",ISNUMBER(H1502)),H1502,"")</x:f>
        <x:v>12.960000000000003</x:v>
      </x:c>
      <x:c r="P1502" s="35" t="str">
        <x:v>INCONCLUSIVE</x:v>
      </x:c>
      <x:c r="Q1502" s="35" t="str">
        <x:v>Gemini-3.8-flash/Result/Lang_33/result.json</x:v>
      </x:c>
    </x:row>
    <x:row r="1503">
      <x:c r="A1503" s="35" t="str">
        <x:v>gemini</x:v>
      </x:c>
      <x:c r="B1503" s="35" t="str">
        <x:v>Lang</x:v>
      </x:c>
      <x:c r="C1503" s="35" t="str">
        <x:v>Round1</x:v>
      </x:c>
      <x:c r="D1503" s="35" t="str">
        <x:v>Lang_34</x:v>
      </x:c>
      <x:c r="E1503" s="35" t="str">
        <x:v>Condition</x:v>
      </x:c>
      <x:c r="F1503" s="35" t="n">
        <x:v>216</x:v>
      </x:c>
      <x:c r="G1503" s="35" t="str">
        <x:v>RECORDED</x:v>
      </x:c>
      <x:c r="H1503" s="39" t="n">
        <x:f>IF(ISNUMBER('Data'!N649),'Data'!N649*100,"")</x:f>
        <x:v>22.69</x:v>
      </x:c>
      <x:c r="I1503" s="35" t="str">
        <x:v>PASS</x:v>
      </x:c>
      <x:c r="J1503" s="35" t="str">
        <x:v>PASS</x:v>
      </x:c>
      <x:c r="K1503" s="35" t="str">
        <x:v>PASS</x:v>
      </x:c>
      <x:c r="L1503" s="35" t="str">
        <x:v>PASS</x:v>
      </x:c>
      <x:c r="M1503" s="35" t="str">
        <x:v>numeric coverage for applicable metric</x:v>
      </x:c>
      <x:c r="N1503" s="35" t="str">
        <x:v>Gemini-3.8-flash/Result/Lang_34/result.json</x:v>
      </x:c>
      <x:c r="O1503" s="39" t="n">
        <x:f>IF(AND(G1503="RECORDED",ISNUMBER(H1503)),H1503,"")</x:f>
        <x:v>22.69</x:v>
      </x:c>
      <x:c r="P1503" s="35" t="str">
        <x:v>NOT_REVEALING</x:v>
      </x:c>
      <x:c r="Q1503" s="35" t="str">
        <x:v>Gemini-3.8-flash/Result/Lang_34/result.json</x:v>
      </x:c>
    </x:row>
    <x:row r="1504">
      <x:c r="A1504" s="35" t="str">
        <x:v>gemini</x:v>
      </x:c>
      <x:c r="B1504" s="35" t="str">
        <x:v>Lang</x:v>
      </x:c>
      <x:c r="C1504" s="35" t="str">
        <x:v>Round1</x:v>
      </x:c>
      <x:c r="D1504" s="35" t="str">
        <x:v>Lang_35</x:v>
      </x:c>
      <x:c r="E1504" s="35" t="str">
        <x:v>Condition</x:v>
      </x:c>
      <x:c r="F1504" s="35" t="n">
        <x:v>806</x:v>
      </x:c>
      <x:c r="G1504" s="35" t="str">
        <x:v>RECORDED</x:v>
      </x:c>
      <x:c r="H1504" s="39" t="n">
        <x:f>IF(ISNUMBER('Data'!N650),'Data'!N650*100,"")</x:f>
        <x:v>3.85</x:v>
      </x:c>
      <x:c r="I1504" s="35" t="str">
        <x:v>PASS</x:v>
      </x:c>
      <x:c r="J1504" s="35" t="str">
        <x:v>PASS</x:v>
      </x:c>
      <x:c r="K1504" s="35" t="str">
        <x:v>PASS</x:v>
      </x:c>
      <x:c r="L1504" s="35" t="str">
        <x:v>PASS</x:v>
      </x:c>
      <x:c r="M1504" s="35" t="str">
        <x:v>numeric coverage for applicable metric</x:v>
      </x:c>
      <x:c r="N1504" s="35" t="str">
        <x:v>Gemini-3.8-flash/Result/Lang_35/result.json</x:v>
      </x:c>
      <x:c r="O1504" s="39" t="n">
        <x:f>IF(AND(G1504="RECORDED",ISNUMBER(H1504)),H1504,"")</x:f>
        <x:v>3.85</x:v>
      </x:c>
      <x:c r="P1504" s="35" t="str">
        <x:v>NOT_REVEALING</x:v>
      </x:c>
      <x:c r="Q1504" s="35" t="str">
        <x:v>Gemini-3.8-flash/Result/Lang_35/result.json</x:v>
      </x:c>
    </x:row>
    <x:row r="1505">
      <x:c r="A1505" s="35" t="str">
        <x:v>gemini</x:v>
      </x:c>
      <x:c r="B1505" s="35" t="str">
        <x:v>Lang</x:v>
      </x:c>
      <x:c r="C1505" s="35" t="str">
        <x:v>Round1</x:v>
      </x:c>
      <x:c r="D1505" s="35" t="str">
        <x:v>Lang_36</x:v>
      </x:c>
      <x:c r="E1505" s="35" t="str">
        <x:v>Condition</x:v>
      </x:c>
      <x:c r="F1505" s="35" t="n">
        <x:v>344</x:v>
      </x:c>
      <x:c r="G1505" s="35" t="str">
        <x:v>RECORDED</x:v>
      </x:c>
      <x:c r="H1505" s="39" t="n">
        <x:f>IF(ISNUMBER('Data'!N651),'Data'!N651*100,"")</x:f>
        <x:v>34.88</x:v>
      </x:c>
      <x:c r="I1505" s="35" t="str">
        <x:v>PASS</x:v>
      </x:c>
      <x:c r="J1505" s="35" t="str">
        <x:v>PASS</x:v>
      </x:c>
      <x:c r="K1505" s="35" t="str">
        <x:v>PASS</x:v>
      </x:c>
      <x:c r="L1505" s="35" t="str">
        <x:v>FAIL</x:v>
      </x:c>
      <x:c r="M1505" s="35" t="str">
        <x:v>numeric coverage for applicable metric</x:v>
      </x:c>
      <x:c r="N1505" s="35" t="str">
        <x:v>Gemini-3.8-flash/Result/Lang_36/result.json</x:v>
      </x:c>
      <x:c r="O1505" s="39" t="n">
        <x:f>IF(AND(G1505="RECORDED",ISNUMBER(H1505)),H1505,"")</x:f>
        <x:v>34.88</x:v>
      </x:c>
      <x:c r="P1505" s="35" t="str">
        <x:v>INCONCLUSIVE</x:v>
      </x:c>
      <x:c r="Q1505" s="35" t="str">
        <x:v>Gemini-3.8-flash/Result/Lang_36/result.json</x:v>
      </x:c>
    </x:row>
    <x:row r="1506">
      <x:c r="A1506" s="35" t="str">
        <x:v>gemini</x:v>
      </x:c>
      <x:c r="B1506" s="35" t="str">
        <x:v>Lang</x:v>
      </x:c>
      <x:c r="C1506" s="35" t="str">
        <x:v>Round1</x:v>
      </x:c>
      <x:c r="D1506" s="35" t="str">
        <x:v>Lang_37</x:v>
      </x:c>
      <x:c r="E1506" s="35" t="str">
        <x:v>Condition</x:v>
      </x:c>
      <x:c r="F1506" s="35" t="n">
        <x:v>804</x:v>
      </x:c>
      <x:c r="G1506" s="35" t="str">
        <x:v>RECORDED</x:v>
      </x:c>
      <x:c r="H1506" s="39" t="n">
        <x:f>IF(ISNUMBER('Data'!N652),'Data'!N652*100,"")</x:f>
        <x:v>3.8599999999999994</x:v>
      </x:c>
      <x:c r="I1506" s="35" t="str">
        <x:v>PASS</x:v>
      </x:c>
      <x:c r="J1506" s="35" t="str">
        <x:v>PASS</x:v>
      </x:c>
      <x:c r="K1506" s="35" t="str">
        <x:v>PASS</x:v>
      </x:c>
      <x:c r="L1506" s="35" t="str">
        <x:v>PASS</x:v>
      </x:c>
      <x:c r="M1506" s="35" t="str">
        <x:v>numeric coverage for applicable metric</x:v>
      </x:c>
      <x:c r="N1506" s="35" t="str">
        <x:v>Gemini-3.8-flash/Result/Lang_37/result.json</x:v>
      </x:c>
      <x:c r="O1506" s="39" t="n">
        <x:f>IF(AND(G1506="RECORDED",ISNUMBER(H1506)),H1506,"")</x:f>
        <x:v>3.8599999999999994</x:v>
      </x:c>
      <x:c r="P1506" s="35" t="str">
        <x:v>NOT_REVEALING</x:v>
      </x:c>
      <x:c r="Q1506" s="35" t="str">
        <x:v>Gemini-3.8-flash/Result/Lang_37/result.json</x:v>
      </x:c>
    </x:row>
    <x:row r="1507">
      <x:c r="A1507" s="35" t="str">
        <x:v>gemini</x:v>
      </x:c>
      <x:c r="B1507" s="35" t="str">
        <x:v>Lang</x:v>
      </x:c>
      <x:c r="C1507" s="35" t="str">
        <x:v>Round1</x:v>
      </x:c>
      <x:c r="D1507" s="35" t="str">
        <x:v>Lang_38</x:v>
      </x:c>
      <x:c r="E1507" s="35" t="str">
        <x:v>Condition</x:v>
      </x:c>
      <x:c r="F1507" s="35"/>
      <x:c r="G1507" s="35" t="str">
        <x:v>A</x:v>
      </x:c>
      <x:c r="H1507" s="39" t="str">
        <x:f>IF(ISNUMBER('Data'!N653),'Data'!N653*100,"")</x:f>
      </x:c>
      <x:c r="I1507" s="35"/>
      <x:c r="J1507" s="35" t="str">
        <x:v>PASS</x:v>
      </x:c>
      <x:c r="K1507" s="35" t="str">
        <x:v>FAIL</x:v>
      </x:c>
      <x:c r="L1507" s="35" t="str">
        <x:v>NOT_RUN</x:v>
      </x:c>
      <x:c r="M1507" s="35" t="str">
        <x:v>coverage unavailable or execution/compile failed</x:v>
      </x:c>
      <x:c r="N1507" s="35" t="str">
        <x:v>Gemini-3.8-flash/Result/Lang_38/result.json</x:v>
      </x:c>
      <x:c r="O1507" s="39" t="str">
        <x:f>IF(AND(G1507="RECORDED",ISNUMBER(H1507)),H1507,"")</x:f>
      </x:c>
      <x:c r="P1507" s="35" t="str">
        <x:v>NOT_AVAILABLE</x:v>
      </x:c>
      <x:c r="Q1507" s="35" t="str">
        <x:v>Gemini-3.8-flash/Result/Lang_38/result.json</x:v>
      </x:c>
    </x:row>
    <x:row r="1508">
      <x:c r="A1508" s="35" t="str">
        <x:v>gemini</x:v>
      </x:c>
      <x:c r="B1508" s="35" t="str">
        <x:v>Lang</x:v>
      </x:c>
      <x:c r="C1508" s="35" t="str">
        <x:v>Round1</x:v>
      </x:c>
      <x:c r="D1508" s="35" t="str">
        <x:v>Lang_39</x:v>
      </x:c>
      <x:c r="E1508" s="35" t="str">
        <x:v>Condition</x:v>
      </x:c>
      <x:c r="F1508" s="35"/>
      <x:c r="G1508" s="35" t="str">
        <x:v>A</x:v>
      </x:c>
      <x:c r="H1508" s="39" t="str">
        <x:f>IF(ISNUMBER('Data'!N654),'Data'!N654*100,"")</x:f>
      </x:c>
      <x:c r="I1508" s="35"/>
      <x:c r="J1508" s="35" t="str">
        <x:v>PASS</x:v>
      </x:c>
      <x:c r="K1508" s="35" t="str">
        <x:v>FAIL</x:v>
      </x:c>
      <x:c r="L1508" s="35" t="str">
        <x:v>NOT_RUN</x:v>
      </x:c>
      <x:c r="M1508" s="35" t="str">
        <x:v>coverage unavailable or execution/compile failed</x:v>
      </x:c>
      <x:c r="N1508" s="35" t="str">
        <x:v>Gemini-3.8-flash/Result/Lang_39/result.json</x:v>
      </x:c>
      <x:c r="O1508" s="39" t="str">
        <x:f>IF(AND(G1508="RECORDED",ISNUMBER(H1508)),H1508,"")</x:f>
      </x:c>
      <x:c r="P1508" s="35" t="str">
        <x:v>NOT_AVAILABLE</x:v>
      </x:c>
      <x:c r="Q1508" s="35" t="str">
        <x:v>Gemini-3.8-flash/Result/Lang_39/result.json</x:v>
      </x:c>
    </x:row>
    <x:row r="1509">
      <x:c r="A1509" s="35" t="str">
        <x:v>gemini</x:v>
      </x:c>
      <x:c r="B1509" s="35" t="str">
        <x:v>Lang</x:v>
      </x:c>
      <x:c r="C1509" s="35" t="str">
        <x:v>Round1</x:v>
      </x:c>
      <x:c r="D1509" s="35" t="str">
        <x:v>Lang_4</x:v>
      </x:c>
      <x:c r="E1509" s="35" t="str">
        <x:v>Condition</x:v>
      </x:c>
      <x:c r="F1509" s="35" t="n">
        <x:v>14</x:v>
      </x:c>
      <x:c r="G1509" s="35" t="str">
        <x:v>RECORDED</x:v>
      </x:c>
      <x:c r="H1509" s="39" t="n">
        <x:f>IF(ISNUMBER('Data'!N655),'Data'!N655*100,"")</x:f>
        <x:v>100</x:v>
      </x:c>
      <x:c r="I1509" s="35" t="str">
        <x:v>PASS</x:v>
      </x:c>
      <x:c r="J1509" s="35" t="str">
        <x:v>PASS</x:v>
      </x:c>
      <x:c r="K1509" s="35" t="str">
        <x:v>PASS</x:v>
      </x:c>
      <x:c r="L1509" s="35" t="str">
        <x:v>PASS</x:v>
      </x:c>
      <x:c r="M1509" s="35" t="str">
        <x:v>numeric coverage for applicable metric</x:v>
      </x:c>
      <x:c r="N1509" s="35" t="str">
        <x:v>Gemini-3.8-flash/Result/Lang_4/result.json</x:v>
      </x:c>
      <x:c r="O1509" s="39" t="n">
        <x:f>IF(AND(G1509="RECORDED",ISNUMBER(H1509)),H1509,"")</x:f>
        <x:v>100</x:v>
      </x:c>
      <x:c r="P1509" s="35" t="str">
        <x:v>NOT_REVEALING</x:v>
      </x:c>
      <x:c r="Q1509" s="35" t="str">
        <x:v>Gemini-3.8-flash/Result/Lang_4/result.json</x:v>
      </x:c>
    </x:row>
    <x:row r="1510">
      <x:c r="A1510" s="35" t="str">
        <x:v>gemini</x:v>
      </x:c>
      <x:c r="B1510" s="35" t="str">
        <x:v>Lang</x:v>
      </x:c>
      <x:c r="C1510" s="35" t="str">
        <x:v>Round1</x:v>
      </x:c>
      <x:c r="D1510" s="35" t="str">
        <x:v>Lang_40</x:v>
      </x:c>
      <x:c r="E1510" s="35" t="str">
        <x:v>Condition</x:v>
      </x:c>
      <x:c r="F1510" s="35" t="n">
        <x:v>997</x:v>
      </x:c>
      <x:c r="G1510" s="35" t="str">
        <x:v>RECORDED</x:v>
      </x:c>
      <x:c r="H1510" s="39" t="n">
        <x:f>IF(ISNUMBER('Data'!N656),'Data'!N656*100,"")</x:f>
        <x:v>5.12</x:v>
      </x:c>
      <x:c r="I1510" s="35" t="str">
        <x:v>PASS</x:v>
      </x:c>
      <x:c r="J1510" s="35" t="str">
        <x:v>PASS</x:v>
      </x:c>
      <x:c r="K1510" s="35" t="str">
        <x:v>PASS</x:v>
      </x:c>
      <x:c r="L1510" s="35" t="str">
        <x:v>PASS</x:v>
      </x:c>
      <x:c r="M1510" s="35" t="str">
        <x:v>numeric coverage for applicable metric</x:v>
      </x:c>
      <x:c r="N1510" s="35" t="str">
        <x:v>Gemini-3.8-flash/Result/Lang_40/result.json</x:v>
      </x:c>
      <x:c r="O1510" s="39" t="n">
        <x:f>IF(AND(G1510="RECORDED",ISNUMBER(H1510)),H1510,"")</x:f>
        <x:v>5.12</x:v>
      </x:c>
      <x:c r="P1510" s="35" t="str">
        <x:v>NOT_REVEALING</x:v>
      </x:c>
      <x:c r="Q1510" s="35" t="str">
        <x:v>Gemini-3.8-flash/Result/Lang_40/result.json</x:v>
      </x:c>
    </x:row>
    <x:row r="1511">
      <x:c r="A1511" s="35" t="str">
        <x:v>gemini</x:v>
      </x:c>
      <x:c r="B1511" s="35" t="str">
        <x:v>Lang</x:v>
      </x:c>
      <x:c r="C1511" s="35" t="str">
        <x:v>Round1</x:v>
      </x:c>
      <x:c r="D1511" s="35" t="str">
        <x:v>Lang_41</x:v>
      </x:c>
      <x:c r="E1511" s="35" t="str">
        <x:v>Condition</x:v>
      </x:c>
      <x:c r="F1511" s="35" t="n">
        <x:v>198</x:v>
      </x:c>
      <x:c r="G1511" s="35" t="str">
        <x:v>RECORDED</x:v>
      </x:c>
      <x:c r="H1511" s="39" t="n">
        <x:f>IF(ISNUMBER('Data'!N657),'Data'!N657*100,"")</x:f>
        <x:v>8.59</x:v>
      </x:c>
      <x:c r="I1511" s="35" t="str">
        <x:v>PASS</x:v>
      </x:c>
      <x:c r="J1511" s="35" t="str">
        <x:v>PASS</x:v>
      </x:c>
      <x:c r="K1511" s="35" t="str">
        <x:v>PASS</x:v>
      </x:c>
      <x:c r="L1511" s="35" t="str">
        <x:v>FAIL</x:v>
      </x:c>
      <x:c r="M1511" s="35" t="str">
        <x:v>numeric coverage for applicable metric</x:v>
      </x:c>
      <x:c r="N1511" s="35" t="str">
        <x:v>Gemini-3.8-flash/Result/Lang_41/result.json</x:v>
      </x:c>
      <x:c r="O1511" s="39" t="n">
        <x:f>IF(AND(G1511="RECORDED",ISNUMBER(H1511)),H1511,"")</x:f>
        <x:v>8.59</x:v>
      </x:c>
      <x:c r="P1511" s="35" t="str">
        <x:v>INCONCLUSIVE</x:v>
      </x:c>
      <x:c r="Q1511" s="35" t="str">
        <x:v>Gemini-3.8-flash/Result/Lang_41/result.json</x:v>
      </x:c>
    </x:row>
    <x:row r="1512">
      <x:c r="A1512" s="35" t="str">
        <x:v>gemini</x:v>
      </x:c>
      <x:c r="B1512" s="35" t="str">
        <x:v>Lang</x:v>
      </x:c>
      <x:c r="C1512" s="35" t="str">
        <x:v>Round1</x:v>
      </x:c>
      <x:c r="D1512" s="35" t="str">
        <x:v>Lang_42</x:v>
      </x:c>
      <x:c r="E1512" s="35" t="str">
        <x:v>Condition</x:v>
      </x:c>
      <x:c r="F1512" s="35" t="n">
        <x:v>64</x:v>
      </x:c>
      <x:c r="G1512" s="35" t="str">
        <x:v>RECORDED</x:v>
      </x:c>
      <x:c r="H1512" s="39" t="n">
        <x:f>IF(ISNUMBER('Data'!N658),'Data'!N658*100,"")</x:f>
        <x:v>39.06</x:v>
      </x:c>
      <x:c r="I1512" s="35" t="str">
        <x:v>PASS</x:v>
      </x:c>
      <x:c r="J1512" s="35" t="str">
        <x:v>PASS</x:v>
      </x:c>
      <x:c r="K1512" s="35" t="str">
        <x:v>PASS</x:v>
      </x:c>
      <x:c r="L1512" s="35" t="str">
        <x:v>PASS</x:v>
      </x:c>
      <x:c r="M1512" s="35" t="str">
        <x:v>numeric coverage for applicable metric</x:v>
      </x:c>
      <x:c r="N1512" s="35" t="str">
        <x:v>Gemini-3.8-flash/Result/Lang_42/result.json</x:v>
      </x:c>
      <x:c r="O1512" s="39" t="n">
        <x:f>IF(AND(G1512="RECORDED",ISNUMBER(H1512)),H1512,"")</x:f>
        <x:v>39.06</x:v>
      </x:c>
      <x:c r="P1512" s="35" t="str">
        <x:v>NOT_REVEALING</x:v>
      </x:c>
      <x:c r="Q1512" s="35" t="str">
        <x:v>Gemini-3.8-flash/Result/Lang_42/result.json</x:v>
      </x:c>
    </x:row>
    <x:row r="1513">
      <x:c r="A1513" s="35" t="str">
        <x:v>gemini</x:v>
      </x:c>
      <x:c r="B1513" s="35" t="str">
        <x:v>Lang</x:v>
      </x:c>
      <x:c r="C1513" s="35" t="str">
        <x:v>Round1</x:v>
      </x:c>
      <x:c r="D1513" s="35" t="str">
        <x:v>Lang_43</x:v>
      </x:c>
      <x:c r="E1513" s="35" t="str">
        <x:v>Condition</x:v>
      </x:c>
      <x:c r="F1513" s="35" t="n">
        <x:v>99</x:v>
      </x:c>
      <x:c r="G1513" s="35" t="str">
        <x:v>RECORDED</x:v>
      </x:c>
      <x:c r="H1513" s="39" t="n">
        <x:f>IF(ISNUMBER('Data'!N659),'Data'!N659*100,"")</x:f>
        <x:v>27.27</x:v>
      </x:c>
      <x:c r="I1513" s="35" t="str">
        <x:v>PASS</x:v>
      </x:c>
      <x:c r="J1513" s="35" t="str">
        <x:v>PASS</x:v>
      </x:c>
      <x:c r="K1513" s="35" t="str">
        <x:v>PASS</x:v>
      </x:c>
      <x:c r="L1513" s="35" t="str">
        <x:v>PASS</x:v>
      </x:c>
      <x:c r="M1513" s="35" t="str">
        <x:v>numeric coverage for applicable metric</x:v>
      </x:c>
      <x:c r="N1513" s="35" t="str">
        <x:v>Gemini-3.8-flash/Result/Lang_43/result.json</x:v>
      </x:c>
      <x:c r="O1513" s="39" t="n">
        <x:f>IF(AND(G1513="RECORDED",ISNUMBER(H1513)),H1513,"")</x:f>
        <x:v>27.27</x:v>
      </x:c>
      <x:c r="P1513" s="35" t="str">
        <x:v>NOT_REVEALING</x:v>
      </x:c>
      <x:c r="Q1513" s="35" t="str">
        <x:v>Gemini-3.8-flash/Result/Lang_43/result.json</x:v>
      </x:c>
    </x:row>
    <x:row r="1514">
      <x:c r="A1514" s="35" t="str">
        <x:v>gemini</x:v>
      </x:c>
      <x:c r="B1514" s="35" t="str">
        <x:v>Lang</x:v>
      </x:c>
      <x:c r="C1514" s="35" t="str">
        <x:v>Round1</x:v>
      </x:c>
      <x:c r="D1514" s="35" t="str">
        <x:v>Lang_44</x:v>
      </x:c>
      <x:c r="E1514" s="35" t="str">
        <x:v>Condition</x:v>
      </x:c>
      <x:c r="F1514" s="35" t="n">
        <x:v>216</x:v>
      </x:c>
      <x:c r="G1514" s="35" t="str">
        <x:v>RECORDED</x:v>
      </x:c>
      <x:c r="H1514" s="39" t="n">
        <x:f>IF(ISNUMBER('Data'!N660),'Data'!N660*100,"")</x:f>
        <x:v>28.7</x:v>
      </x:c>
      <x:c r="I1514" s="35" t="str">
        <x:v>PASS</x:v>
      </x:c>
      <x:c r="J1514" s="35" t="str">
        <x:v>PASS</x:v>
      </x:c>
      <x:c r="K1514" s="35" t="str">
        <x:v>PASS</x:v>
      </x:c>
      <x:c r="L1514" s="35" t="str">
        <x:v>PASS</x:v>
      </x:c>
      <x:c r="M1514" s="35" t="str">
        <x:v>numeric coverage for applicable metric</x:v>
      </x:c>
      <x:c r="N1514" s="35" t="str">
        <x:v>Gemini-3.8-flash/Result/Lang_44/result.json</x:v>
      </x:c>
      <x:c r="O1514" s="39" t="n">
        <x:f>IF(AND(G1514="RECORDED",ISNUMBER(H1514)),H1514,"")</x:f>
        <x:v>28.7</x:v>
      </x:c>
      <x:c r="P1514" s="35" t="str">
        <x:v>NOT_REVEALING</x:v>
      </x:c>
      <x:c r="Q1514" s="35" t="str">
        <x:v>Gemini-3.8-flash/Result/Lang_44/result.json</x:v>
      </x:c>
    </x:row>
    <x:row r="1515">
      <x:c r="A1515" s="35" t="str">
        <x:v>gemini</x:v>
      </x:c>
      <x:c r="B1515" s="35" t="str">
        <x:v>Lang</x:v>
      </x:c>
      <x:c r="C1515" s="35" t="str">
        <x:v>Round1</x:v>
      </x:c>
      <x:c r="D1515" s="35" t="str">
        <x:v>Lang_45</x:v>
      </x:c>
      <x:c r="E1515" s="35" t="str">
        <x:v>Condition</x:v>
      </x:c>
      <x:c r="F1515" s="35"/>
      <x:c r="G1515" s="35" t="str">
        <x:v>A</x:v>
      </x:c>
      <x:c r="H1515" s="39" t="str">
        <x:f>IF(ISNUMBER('Data'!N661),'Data'!N661*100,"")</x:f>
      </x:c>
      <x:c r="I1515" s="35"/>
      <x:c r="J1515" s="35" t="str">
        <x:v>PASS</x:v>
      </x:c>
      <x:c r="K1515" s="35" t="str">
        <x:v>FAIL</x:v>
      </x:c>
      <x:c r="L1515" s="35" t="str">
        <x:v>NOT_RUN</x:v>
      </x:c>
      <x:c r="M1515" s="35" t="str">
        <x:v>coverage unavailable or execution/compile failed</x:v>
      </x:c>
      <x:c r="N1515" s="35" t="str">
        <x:v>Gemini-3.8-flash/Result/Lang_45/result.json</x:v>
      </x:c>
      <x:c r="O1515" s="39" t="str">
        <x:f>IF(AND(G1515="RECORDED",ISNUMBER(H1515)),H1515,"")</x:f>
      </x:c>
      <x:c r="P1515" s="35" t="str">
        <x:v>NOT_AVAILABLE</x:v>
      </x:c>
      <x:c r="Q1515" s="35" t="str">
        <x:v>Gemini-3.8-flash/Result/Lang_45/result.json</x:v>
      </x:c>
    </x:row>
    <x:row r="1516">
      <x:c r="A1516" s="35" t="str">
        <x:v>gemini</x:v>
      </x:c>
      <x:c r="B1516" s="35" t="str">
        <x:v>Lang</x:v>
      </x:c>
      <x:c r="C1516" s="35" t="str">
        <x:v>Round1</x:v>
      </x:c>
      <x:c r="D1516" s="35" t="str">
        <x:v>Lang_46</x:v>
      </x:c>
      <x:c r="E1516" s="35" t="str">
        <x:v>Condition</x:v>
      </x:c>
      <x:c r="F1516" s="35"/>
      <x:c r="G1516" s="35" t="str">
        <x:v>A</x:v>
      </x:c>
      <x:c r="H1516" s="39" t="str">
        <x:f>IF(ISNUMBER('Data'!N662),'Data'!N662*100,"")</x:f>
      </x:c>
      <x:c r="I1516" s="35"/>
      <x:c r="J1516" s="35" t="str">
        <x:v>PASS</x:v>
      </x:c>
      <x:c r="K1516" s="35" t="str">
        <x:v>FAIL</x:v>
      </x:c>
      <x:c r="L1516" s="35" t="str">
        <x:v>NOT_RUN</x:v>
      </x:c>
      <x:c r="M1516" s="35" t="str">
        <x:v>coverage unavailable or execution/compile failed</x:v>
      </x:c>
      <x:c r="N1516" s="35" t="str">
        <x:v>Gemini-3.8-flash/Result/Lang_46/result.json</x:v>
      </x:c>
      <x:c r="O1516" s="39" t="str">
        <x:f>IF(AND(G1516="RECORDED",ISNUMBER(H1516)),H1516,"")</x:f>
      </x:c>
      <x:c r="P1516" s="35" t="str">
        <x:v>NOT_AVAILABLE</x:v>
      </x:c>
      <x:c r="Q1516" s="35" t="str">
        <x:v>Gemini-3.8-flash/Result/Lang_46/result.json</x:v>
      </x:c>
    </x:row>
    <x:row r="1517">
      <x:c r="A1517" s="35" t="str">
        <x:v>gemini</x:v>
      </x:c>
      <x:c r="B1517" s="35" t="str">
        <x:v>Lang</x:v>
      </x:c>
      <x:c r="C1517" s="35" t="str">
        <x:v>Round1</x:v>
      </x:c>
      <x:c r="D1517" s="35" t="str">
        <x:v>Lang_47</x:v>
      </x:c>
      <x:c r="E1517" s="35" t="str">
        <x:v>Condition</x:v>
      </x:c>
      <x:c r="F1517" s="35" t="n">
        <x:v>492</x:v>
      </x:c>
      <x:c r="G1517" s="35" t="str">
        <x:v>RECORDED</x:v>
      </x:c>
      <x:c r="H1517" s="39" t="n">
        <x:f>IF(ISNUMBER('Data'!N663),'Data'!N663*100,"")</x:f>
        <x:v>2.24</x:v>
      </x:c>
      <x:c r="I1517" s="35" t="str">
        <x:v>PASS</x:v>
      </x:c>
      <x:c r="J1517" s="35" t="str">
        <x:v>PASS</x:v>
      </x:c>
      <x:c r="K1517" s="35" t="str">
        <x:v>PASS</x:v>
      </x:c>
      <x:c r="L1517" s="35" t="str">
        <x:v>PASS</x:v>
      </x:c>
      <x:c r="M1517" s="35" t="str">
        <x:v>numeric coverage for applicable metric</x:v>
      </x:c>
      <x:c r="N1517" s="35" t="str">
        <x:v>Gemini-3.8-flash/Result/Lang_47/result.json</x:v>
      </x:c>
      <x:c r="O1517" s="39" t="n">
        <x:f>IF(AND(G1517="RECORDED",ISNUMBER(H1517)),H1517,"")</x:f>
        <x:v>2.24</x:v>
      </x:c>
      <x:c r="P1517" s="35" t="str">
        <x:v>NOT_REVEALING</x:v>
      </x:c>
      <x:c r="Q1517" s="35" t="str">
        <x:v>Gemini-3.8-flash/Result/Lang_47/result.json</x:v>
      </x:c>
    </x:row>
    <x:row r="1518">
      <x:c r="A1518" s="35" t="str">
        <x:v>gemini</x:v>
      </x:c>
      <x:c r="B1518" s="35" t="str">
        <x:v>Lang</x:v>
      </x:c>
      <x:c r="C1518" s="35" t="str">
        <x:v>Round1</x:v>
      </x:c>
      <x:c r="D1518" s="35" t="str">
        <x:v>Lang_49</x:v>
      </x:c>
      <x:c r="E1518" s="35" t="str">
        <x:v>Condition</x:v>
      </x:c>
      <x:c r="F1518" s="35" t="n">
        <x:v>184</x:v>
      </x:c>
      <x:c r="G1518" s="35" t="str">
        <x:v>RECORDED</x:v>
      </x:c>
      <x:c r="H1518" s="39" t="n">
        <x:f>IF(ISNUMBER('Data'!N664),'Data'!N664*100,"")</x:f>
        <x:v>27.72</x:v>
      </x:c>
      <x:c r="I1518" s="35" t="str">
        <x:v>PASS</x:v>
      </x:c>
      <x:c r="J1518" s="35" t="str">
        <x:v>PASS</x:v>
      </x:c>
      <x:c r="K1518" s="35" t="str">
        <x:v>PASS</x:v>
      </x:c>
      <x:c r="L1518" s="35" t="str">
        <x:v>PASS</x:v>
      </x:c>
      <x:c r="M1518" s="35" t="str">
        <x:v>numeric coverage for applicable metric</x:v>
      </x:c>
      <x:c r="N1518" s="35" t="str">
        <x:v>Gemini-3.8-flash/Result/Lang_49/result.json</x:v>
      </x:c>
      <x:c r="O1518" s="39" t="n">
        <x:f>IF(AND(G1518="RECORDED",ISNUMBER(H1518)),H1518,"")</x:f>
        <x:v>27.72</x:v>
      </x:c>
      <x:c r="P1518" s="35" t="str">
        <x:v>NOT_REVEALING</x:v>
      </x:c>
      <x:c r="Q1518" s="35" t="str">
        <x:v>Gemini-3.8-flash/Result/Lang_49/result.json</x:v>
      </x:c>
    </x:row>
    <x:row r="1519">
      <x:c r="A1519" s="35" t="str">
        <x:v>gemini</x:v>
      </x:c>
      <x:c r="B1519" s="35" t="str">
        <x:v>Lang</x:v>
      </x:c>
      <x:c r="C1519" s="35" t="str">
        <x:v>Round1</x:v>
      </x:c>
      <x:c r="D1519" s="35" t="str">
        <x:v>Lang_5</x:v>
      </x:c>
      <x:c r="E1519" s="35" t="str">
        <x:v>Condition</x:v>
      </x:c>
      <x:c r="F1519" s="35" t="n">
        <x:v>56</x:v>
      </x:c>
      <x:c r="G1519" s="35" t="str">
        <x:v>RECORDED</x:v>
      </x:c>
      <x:c r="H1519" s="39" t="n">
        <x:f>IF(ISNUMBER('Data'!N665),'Data'!N665*100,"")</x:f>
        <x:v>100</x:v>
      </x:c>
      <x:c r="I1519" s="35" t="str">
        <x:v>PASS</x:v>
      </x:c>
      <x:c r="J1519" s="35" t="str">
        <x:v>PASS</x:v>
      </x:c>
      <x:c r="K1519" s="35" t="str">
        <x:v>PASS</x:v>
      </x:c>
      <x:c r="L1519" s="35" t="str">
        <x:v>PASS</x:v>
      </x:c>
      <x:c r="M1519" s="35" t="str">
        <x:v>numeric coverage for applicable metric</x:v>
      </x:c>
      <x:c r="N1519" s="35" t="str">
        <x:v>Gemini-3.8-flash/Result/Lang_5/result.json</x:v>
      </x:c>
      <x:c r="O1519" s="39" t="n">
        <x:f>IF(AND(G1519="RECORDED",ISNUMBER(H1519)),H1519,"")</x:f>
        <x:v>100</x:v>
      </x:c>
      <x:c r="P1519" s="35" t="str">
        <x:v>NOT_REVEALING</x:v>
      </x:c>
      <x:c r="Q1519" s="35" t="str">
        <x:v>Gemini-3.8-flash/Result/Lang_5/result.json</x:v>
      </x:c>
    </x:row>
    <x:row r="1520">
      <x:c r="A1520" s="35" t="str">
        <x:v>gemini</x:v>
      </x:c>
      <x:c r="B1520" s="35" t="str">
        <x:v>Lang</x:v>
      </x:c>
      <x:c r="C1520" s="35" t="str">
        <x:v>Round1</x:v>
      </x:c>
      <x:c r="D1520" s="35" t="str">
        <x:v>Lang_50</x:v>
      </x:c>
      <x:c r="E1520" s="35" t="str">
        <x:v>Condition</x:v>
      </x:c>
      <x:c r="F1520" s="35"/>
      <x:c r="G1520" s="35" t="str">
        <x:v>A</x:v>
      </x:c>
      <x:c r="H1520" s="39" t="str">
        <x:f>IF(ISNUMBER('Data'!N666),'Data'!N666*100,"")</x:f>
      </x:c>
      <x:c r="I1520" s="35"/>
      <x:c r="J1520" s="35" t="str">
        <x:v>PASS</x:v>
      </x:c>
      <x:c r="K1520" s="35" t="str">
        <x:v>FAIL</x:v>
      </x:c>
      <x:c r="L1520" s="35" t="str">
        <x:v>NOT_RUN</x:v>
      </x:c>
      <x:c r="M1520" s="35" t="str">
        <x:v>coverage unavailable or execution/compile failed</x:v>
      </x:c>
      <x:c r="N1520" s="35" t="str">
        <x:v>Gemini-3.8-flash/Result/Lang_50/result.json</x:v>
      </x:c>
      <x:c r="O1520" s="39" t="str">
        <x:f>IF(AND(G1520="RECORDED",ISNUMBER(H1520)),H1520,"")</x:f>
      </x:c>
      <x:c r="P1520" s="35" t="str">
        <x:v>NOT_AVAILABLE</x:v>
      </x:c>
      <x:c r="Q1520" s="35" t="str">
        <x:v>Gemini-3.8-flash/Result/Lang_50/result.json</x:v>
      </x:c>
    </x:row>
    <x:row r="1521">
      <x:c r="A1521" s="35" t="str">
        <x:v>gemini</x:v>
      </x:c>
      <x:c r="B1521" s="35" t="str">
        <x:v>Lang</x:v>
      </x:c>
      <x:c r="C1521" s="35" t="str">
        <x:v>Round1</x:v>
      </x:c>
      <x:c r="D1521" s="35" t="str">
        <x:v>Lang_51</x:v>
      </x:c>
      <x:c r="E1521" s="35" t="str">
        <x:v>Condition</x:v>
      </x:c>
      <x:c r="F1521" s="35" t="n">
        <x:v>212</x:v>
      </x:c>
      <x:c r="G1521" s="35" t="str">
        <x:v>RECORDED</x:v>
      </x:c>
      <x:c r="H1521" s="39" t="n">
        <x:f>IF(ISNUMBER('Data'!N667),'Data'!N667*100,"")</x:f>
        <x:v>12.740000000000002</x:v>
      </x:c>
      <x:c r="I1521" s="35" t="str">
        <x:v>PASS</x:v>
      </x:c>
      <x:c r="J1521" s="35" t="str">
        <x:v>PASS</x:v>
      </x:c>
      <x:c r="K1521" s="35" t="str">
        <x:v>PASS</x:v>
      </x:c>
      <x:c r="L1521" s="35" t="str">
        <x:v>PASS</x:v>
      </x:c>
      <x:c r="M1521" s="35" t="str">
        <x:v>numeric coverage for applicable metric</x:v>
      </x:c>
      <x:c r="N1521" s="35" t="str">
        <x:v>Gemini-3.8-flash/Result/Lang_51/result.json</x:v>
      </x:c>
      <x:c r="O1521" s="39" t="n">
        <x:f>IF(AND(G1521="RECORDED",ISNUMBER(H1521)),H1521,"")</x:f>
        <x:v>12.740000000000002</x:v>
      </x:c>
      <x:c r="P1521" s="35" t="str">
        <x:v>NOT_REVEALING</x:v>
      </x:c>
      <x:c r="Q1521" s="35" t="str">
        <x:v>Gemini-3.8-flash/Result/Lang_51/result.json</x:v>
      </x:c>
    </x:row>
    <x:row r="1522">
      <x:c r="A1522" s="35" t="str">
        <x:v>gemini</x:v>
      </x:c>
      <x:c r="B1522" s="35" t="str">
        <x:v>Lang</x:v>
      </x:c>
      <x:c r="C1522" s="35" t="str">
        <x:v>Round1</x:v>
      </x:c>
      <x:c r="D1522" s="35" t="str">
        <x:v>Lang_52</x:v>
      </x:c>
      <x:c r="E1522" s="35" t="str">
        <x:v>Condition</x:v>
      </x:c>
      <x:c r="F1522" s="35"/>
      <x:c r="G1522" s="35" t="str">
        <x:v>A</x:v>
      </x:c>
      <x:c r="H1522" s="39" t="str">
        <x:f>IF(ISNUMBER('Data'!N668),'Data'!N668*100,"")</x:f>
      </x:c>
      <x:c r="I1522" s="35"/>
      <x:c r="J1522" s="35" t="str">
        <x:v>PASS</x:v>
      </x:c>
      <x:c r="K1522" s="35" t="str">
        <x:v>FAIL</x:v>
      </x:c>
      <x:c r="L1522" s="35" t="str">
        <x:v>NOT_RUN</x:v>
      </x:c>
      <x:c r="M1522" s="35" t="str">
        <x:v>coverage unavailable or execution/compile failed</x:v>
      </x:c>
      <x:c r="N1522" s="35" t="str">
        <x:v>Gemini-3.8-flash/Result/Lang_52/result.json</x:v>
      </x:c>
      <x:c r="O1522" s="39" t="str">
        <x:f>IF(AND(G1522="RECORDED",ISNUMBER(H1522)),H1522,"")</x:f>
      </x:c>
      <x:c r="P1522" s="35" t="str">
        <x:v>NOT_AVAILABLE</x:v>
      </x:c>
      <x:c r="Q1522" s="35" t="str">
        <x:v>Gemini-3.8-flash/Result/Lang_52/result.json</x:v>
      </x:c>
    </x:row>
    <x:row r="1523">
      <x:c r="A1523" s="35" t="str">
        <x:v>gemini</x:v>
      </x:c>
      <x:c r="B1523" s="35" t="str">
        <x:v>Lang</x:v>
      </x:c>
      <x:c r="C1523" s="35" t="str">
        <x:v>Round1</x:v>
      </x:c>
      <x:c r="D1523" s="35" t="str">
        <x:v>Lang_53</x:v>
      </x:c>
      <x:c r="E1523" s="35" t="str">
        <x:v>Condition</x:v>
      </x:c>
      <x:c r="F1523" s="35" t="n">
        <x:v>175</x:v>
      </x:c>
      <x:c r="G1523" s="35" t="str">
        <x:v>RECORDED</x:v>
      </x:c>
      <x:c r="H1523" s="39" t="n">
        <x:f>IF(ISNUMBER('Data'!N669),'Data'!N669*100,"")</x:f>
        <x:v>22.29</x:v>
      </x:c>
      <x:c r="I1523" s="35" t="str">
        <x:v>PASS</x:v>
      </x:c>
      <x:c r="J1523" s="35" t="str">
        <x:v>PASS</x:v>
      </x:c>
      <x:c r="K1523" s="35" t="str">
        <x:v>PASS</x:v>
      </x:c>
      <x:c r="L1523" s="35" t="str">
        <x:v>PASS</x:v>
      </x:c>
      <x:c r="M1523" s="35" t="str">
        <x:v>numeric coverage for applicable metric</x:v>
      </x:c>
      <x:c r="N1523" s="35" t="str">
        <x:v>Gemini-3.8-flash/Result/Lang_53/result.json</x:v>
      </x:c>
      <x:c r="O1523" s="39" t="n">
        <x:f>IF(AND(G1523="RECORDED",ISNUMBER(H1523)),H1523,"")</x:f>
        <x:v>22.29</x:v>
      </x:c>
      <x:c r="P1523" s="35" t="str">
        <x:v>NOT_REVEALING</x:v>
      </x:c>
      <x:c r="Q1523" s="35" t="str">
        <x:v>Gemini-3.8-flash/Result/Lang_53/result.json</x:v>
      </x:c>
    </x:row>
    <x:row r="1524">
      <x:c r="A1524" s="35" t="str">
        <x:v>gemini</x:v>
      </x:c>
      <x:c r="B1524" s="35" t="str">
        <x:v>Lang</x:v>
      </x:c>
      <x:c r="C1524" s="35" t="str">
        <x:v>Round1</x:v>
      </x:c>
      <x:c r="D1524" s="35" t="str">
        <x:v>Lang_54</x:v>
      </x:c>
      <x:c r="E1524" s="35" t="str">
        <x:v>Condition</x:v>
      </x:c>
      <x:c r="F1524" s="35" t="n">
        <x:v>64</x:v>
      </x:c>
      <x:c r="G1524" s="35" t="str">
        <x:v>RECORDED</x:v>
      </x:c>
      <x:c r="H1524" s="39" t="n">
        <x:f>IF(ISNUMBER('Data'!N670),'Data'!N670*100,"")</x:f>
        <x:v>39.06</x:v>
      </x:c>
      <x:c r="I1524" s="35" t="str">
        <x:v>PASS</x:v>
      </x:c>
      <x:c r="J1524" s="35" t="str">
        <x:v>PASS</x:v>
      </x:c>
      <x:c r="K1524" s="35" t="str">
        <x:v>PASS</x:v>
      </x:c>
      <x:c r="L1524" s="35" t="str">
        <x:v>PASS</x:v>
      </x:c>
      <x:c r="M1524" s="35" t="str">
        <x:v>numeric coverage for applicable metric</x:v>
      </x:c>
      <x:c r="N1524" s="35" t="str">
        <x:v>Gemini-3.8-flash/Result/Lang_54/result.json</x:v>
      </x:c>
      <x:c r="O1524" s="39" t="n">
        <x:f>IF(AND(G1524="RECORDED",ISNUMBER(H1524)),H1524,"")</x:f>
        <x:v>39.06</x:v>
      </x:c>
      <x:c r="P1524" s="35" t="str">
        <x:v>NOT_REVEALING</x:v>
      </x:c>
      <x:c r="Q1524" s="35" t="str">
        <x:v>Gemini-3.8-flash/Result/Lang_54/result.json</x:v>
      </x:c>
    </x:row>
    <x:row r="1525">
      <x:c r="A1525" s="35" t="str">
        <x:v>gemini</x:v>
      </x:c>
      <x:c r="B1525" s="35" t="str">
        <x:v>Lang</x:v>
      </x:c>
      <x:c r="C1525" s="35" t="str">
        <x:v>Round1</x:v>
      </x:c>
      <x:c r="D1525" s="35" t="str">
        <x:v>Lang_55</x:v>
      </x:c>
      <x:c r="E1525" s="35" t="str">
        <x:v>Condition</x:v>
      </x:c>
      <x:c r="F1525" s="35" t="n">
        <x:v>26</x:v>
      </x:c>
      <x:c r="G1525" s="35" t="str">
        <x:v>RECORDED</x:v>
      </x:c>
      <x:c r="H1525" s="39" t="n">
        <x:f>IF(ISNUMBER('Data'!N671),'Data'!N671*100,"")</x:f>
        <x:v>46.15</x:v>
      </x:c>
      <x:c r="I1525" s="35" t="str">
        <x:v>PASS</x:v>
      </x:c>
      <x:c r="J1525" s="35" t="str">
        <x:v>PASS</x:v>
      </x:c>
      <x:c r="K1525" s="35" t="str">
        <x:v>PASS</x:v>
      </x:c>
      <x:c r="L1525" s="35" t="str">
        <x:v>PASS</x:v>
      </x:c>
      <x:c r="M1525" s="35" t="str">
        <x:v>numeric coverage for applicable metric</x:v>
      </x:c>
      <x:c r="N1525" s="35" t="str">
        <x:v>Gemini-3.8-flash/Result/Lang_55/result.json</x:v>
      </x:c>
      <x:c r="O1525" s="39" t="n">
        <x:f>IF(AND(G1525="RECORDED",ISNUMBER(H1525)),H1525,"")</x:f>
        <x:v>46.15</x:v>
      </x:c>
      <x:c r="P1525" s="35" t="str">
        <x:v>NOT_REVEALING</x:v>
      </x:c>
      <x:c r="Q1525" s="35" t="str">
        <x:v>Gemini-3.8-flash/Result/Lang_55/result.json</x:v>
      </x:c>
    </x:row>
    <x:row r="1526">
      <x:c r="A1526" s="35" t="str">
        <x:v>gemini</x:v>
      </x:c>
      <x:c r="B1526" s="35" t="str">
        <x:v>Lang</x:v>
      </x:c>
      <x:c r="C1526" s="35" t="str">
        <x:v>Round1</x:v>
      </x:c>
      <x:c r="D1526" s="35" t="str">
        <x:v>Lang_56</x:v>
      </x:c>
      <x:c r="E1526" s="35" t="str">
        <x:v>Condition</x:v>
      </x:c>
      <x:c r="F1526" s="35"/>
      <x:c r="G1526" s="35" t="str">
        <x:v>A</x:v>
      </x:c>
      <x:c r="H1526" s="39" t="str">
        <x:f>IF(ISNUMBER('Data'!N672),'Data'!N672*100,"")</x:f>
      </x:c>
      <x:c r="I1526" s="35"/>
      <x:c r="J1526" s="35" t="str">
        <x:v>PASS</x:v>
      </x:c>
      <x:c r="K1526" s="35" t="str">
        <x:v>FAIL</x:v>
      </x:c>
      <x:c r="L1526" s="35" t="str">
        <x:v>NOT_RUN</x:v>
      </x:c>
      <x:c r="M1526" s="35" t="str">
        <x:v>coverage unavailable or execution/compile failed</x:v>
      </x:c>
      <x:c r="N1526" s="35" t="str">
        <x:v>Gemini-3.8-flash/Result/Lang_56/result.json</x:v>
      </x:c>
      <x:c r="O1526" s="39" t="str">
        <x:f>IF(AND(G1526="RECORDED",ISNUMBER(H1526)),H1526,"")</x:f>
      </x:c>
      <x:c r="P1526" s="35" t="str">
        <x:v>NOT_AVAILABLE</x:v>
      </x:c>
      <x:c r="Q1526" s="35" t="str">
        <x:v>Gemini-3.8-flash/Result/Lang_56/result.json</x:v>
      </x:c>
    </x:row>
    <x:row r="1527">
      <x:c r="A1527" s="35" t="str">
        <x:v>gemini</x:v>
      </x:c>
      <x:c r="B1527" s="35" t="str">
        <x:v>Lang</x:v>
      </x:c>
      <x:c r="C1527" s="35" t="str">
        <x:v>Round1</x:v>
      </x:c>
      <x:c r="D1527" s="35" t="str">
        <x:v>Lang_57</x:v>
      </x:c>
      <x:c r="E1527" s="35" t="str">
        <x:v>Condition</x:v>
      </x:c>
      <x:c r="F1527" s="35" t="n">
        <x:v>64</x:v>
      </x:c>
      <x:c r="G1527" s="35" t="str">
        <x:v>RECORDED</x:v>
      </x:c>
      <x:c r="H1527" s="39" t="n">
        <x:f>IF(ISNUMBER('Data'!N673),'Data'!N673*100,"")</x:f>
        <x:v>39.06</x:v>
      </x:c>
      <x:c r="I1527" s="35" t="str">
        <x:v>PASS</x:v>
      </x:c>
      <x:c r="J1527" s="35" t="str">
        <x:v>PASS</x:v>
      </x:c>
      <x:c r="K1527" s="35" t="str">
        <x:v>PASS</x:v>
      </x:c>
      <x:c r="L1527" s="35" t="str">
        <x:v>FAIL</x:v>
      </x:c>
      <x:c r="M1527" s="35" t="str">
        <x:v>numeric coverage for applicable metric</x:v>
      </x:c>
      <x:c r="N1527" s="35" t="str">
        <x:v>Gemini-3.8-flash/Result/Lang_57/result.json</x:v>
      </x:c>
      <x:c r="O1527" s="39" t="n">
        <x:f>IF(AND(G1527="RECORDED",ISNUMBER(H1527)),H1527,"")</x:f>
        <x:v>39.06</x:v>
      </x:c>
      <x:c r="P1527" s="35" t="str">
        <x:v>REVEALING</x:v>
      </x:c>
      <x:c r="Q1527" s="35" t="str">
        <x:v>Gemini-3.8-flash/Result/Lang_57/result.json</x:v>
      </x:c>
    </x:row>
    <x:row r="1528">
      <x:c r="A1528" s="35" t="str">
        <x:v>gemini</x:v>
      </x:c>
      <x:c r="B1528" s="35" t="str">
        <x:v>Lang</x:v>
      </x:c>
      <x:c r="C1528" s="35" t="str">
        <x:v>Round1</x:v>
      </x:c>
      <x:c r="D1528" s="35" t="str">
        <x:v>Lang_58</x:v>
      </x:c>
      <x:c r="E1528" s="35" t="str">
        <x:v>Condition</x:v>
      </x:c>
      <x:c r="F1528" s="35" t="n">
        <x:v>420</x:v>
      </x:c>
      <x:c r="G1528" s="35" t="str">
        <x:v>RECORDED</x:v>
      </x:c>
      <x:c r="H1528" s="39" t="n">
        <x:f>IF(ISNUMBER('Data'!N674),'Data'!N674*100,"")</x:f>
        <x:v>14.760000000000002</x:v>
      </x:c>
      <x:c r="I1528" s="35" t="str">
        <x:v>PASS</x:v>
      </x:c>
      <x:c r="J1528" s="35" t="str">
        <x:v>PASS</x:v>
      </x:c>
      <x:c r="K1528" s="35" t="str">
        <x:v>PASS</x:v>
      </x:c>
      <x:c r="L1528" s="35" t="str">
        <x:v>PASS</x:v>
      </x:c>
      <x:c r="M1528" s="35" t="str">
        <x:v>numeric coverage for applicable metric</x:v>
      </x:c>
      <x:c r="N1528" s="35" t="str">
        <x:v>Gemini-3.8-flash/Result/Lang_58/result.json</x:v>
      </x:c>
      <x:c r="O1528" s="39" t="n">
        <x:f>IF(AND(G1528="RECORDED",ISNUMBER(H1528)),H1528,"")</x:f>
        <x:v>14.760000000000002</x:v>
      </x:c>
      <x:c r="P1528" s="35" t="str">
        <x:v>NOT_REVEALING</x:v>
      </x:c>
      <x:c r="Q1528" s="35" t="str">
        <x:v>Gemini-3.8-flash/Result/Lang_58/result.json</x:v>
      </x:c>
    </x:row>
    <x:row r="1529">
      <x:c r="A1529" s="35" t="str">
        <x:v>gemini</x:v>
      </x:c>
      <x:c r="B1529" s="35" t="str">
        <x:v>Lang</x:v>
      </x:c>
      <x:c r="C1529" s="35" t="str">
        <x:v>Round1</x:v>
      </x:c>
      <x:c r="D1529" s="35" t="str">
        <x:v>Lang_59</x:v>
      </x:c>
      <x:c r="E1529" s="35" t="str">
        <x:v>Condition</x:v>
      </x:c>
      <x:c r="F1529" s="35" t="n">
        <x:v>464</x:v>
      </x:c>
      <x:c r="G1529" s="35" t="str">
        <x:v>RECORDED</x:v>
      </x:c>
      <x:c r="H1529" s="39" t="n">
        <x:f>IF(ISNUMBER('Data'!N675),'Data'!N675*100,"")</x:f>
        <x:v>2.37</x:v>
      </x:c>
      <x:c r="I1529" s="35" t="str">
        <x:v>PASS</x:v>
      </x:c>
      <x:c r="J1529" s="35" t="str">
        <x:v>PASS</x:v>
      </x:c>
      <x:c r="K1529" s="35" t="str">
        <x:v>PASS</x:v>
      </x:c>
      <x:c r="L1529" s="35" t="str">
        <x:v>PASS</x:v>
      </x:c>
      <x:c r="M1529" s="35" t="str">
        <x:v>numeric coverage for applicable metric</x:v>
      </x:c>
      <x:c r="N1529" s="35" t="str">
        <x:v>Gemini-3.8-flash/Result/Lang_59/result.json</x:v>
      </x:c>
      <x:c r="O1529" s="39" t="n">
        <x:f>IF(AND(G1529="RECORDED",ISNUMBER(H1529)),H1529,"")</x:f>
        <x:v>2.37</x:v>
      </x:c>
      <x:c r="P1529" s="35" t="str">
        <x:v>NOT_REVEALING</x:v>
      </x:c>
      <x:c r="Q1529" s="35" t="str">
        <x:v>Gemini-3.8-flash/Result/Lang_59/result.json</x:v>
      </x:c>
    </x:row>
    <x:row r="1530">
      <x:c r="A1530" s="35" t="str">
        <x:v>gemini</x:v>
      </x:c>
      <x:c r="B1530" s="35" t="str">
        <x:v>Lang</x:v>
      </x:c>
      <x:c r="C1530" s="35" t="str">
        <x:v>Round1</x:v>
      </x:c>
      <x:c r="D1530" s="35" t="str">
        <x:v>Lang_6</x:v>
      </x:c>
      <x:c r="E1530" s="35" t="str">
        <x:v>Condition</x:v>
      </x:c>
      <x:c r="F1530" s="35" t="n">
        <x:v>12</x:v>
      </x:c>
      <x:c r="G1530" s="35" t="str">
        <x:v>RECORDED</x:v>
      </x:c>
      <x:c r="H1530" s="39" t="n">
        <x:f>IF(ISNUMBER('Data'!N676),'Data'!N676*100,"")</x:f>
        <x:v>100</x:v>
      </x:c>
      <x:c r="I1530" s="35" t="str">
        <x:v>PASS</x:v>
      </x:c>
      <x:c r="J1530" s="35" t="str">
        <x:v>PASS</x:v>
      </x:c>
      <x:c r="K1530" s="35" t="str">
        <x:v>PASS</x:v>
      </x:c>
      <x:c r="L1530" s="35" t="str">
        <x:v>PASS</x:v>
      </x:c>
      <x:c r="M1530" s="35" t="str">
        <x:v>numeric coverage for applicable metric</x:v>
      </x:c>
      <x:c r="N1530" s="35" t="str">
        <x:v>Gemini-3.8-flash/Result/Lang_6/result.json</x:v>
      </x:c>
      <x:c r="O1530" s="39" t="n">
        <x:f>IF(AND(G1530="RECORDED",ISNUMBER(H1530)),H1530,"")</x:f>
        <x:v>100</x:v>
      </x:c>
      <x:c r="P1530" s="35" t="str">
        <x:v>INCONCLUSIVE</x:v>
      </x:c>
      <x:c r="Q1530" s="35" t="str">
        <x:v>Gemini-3.8-flash/Result/Lang_6/result.json</x:v>
      </x:c>
    </x:row>
    <x:row r="1531">
      <x:c r="A1531" s="35" t="str">
        <x:v>gemini</x:v>
      </x:c>
      <x:c r="B1531" s="35" t="str">
        <x:v>Lang</x:v>
      </x:c>
      <x:c r="C1531" s="35" t="str">
        <x:v>Round1</x:v>
      </x:c>
      <x:c r="D1531" s="35" t="str">
        <x:v>Lang_60</x:v>
      </x:c>
      <x:c r="E1531" s="35" t="str">
        <x:v>Condition</x:v>
      </x:c>
      <x:c r="F1531" s="35" t="n">
        <x:v>464</x:v>
      </x:c>
      <x:c r="G1531" s="35" t="str">
        <x:v>RECORDED</x:v>
      </x:c>
      <x:c r="H1531" s="39" t="n">
        <x:f>IF(ISNUMBER('Data'!N677),'Data'!N677*100,"")</x:f>
        <x:v>2.37</x:v>
      </x:c>
      <x:c r="I1531" s="35" t="str">
        <x:v>PASS</x:v>
      </x:c>
      <x:c r="J1531" s="35" t="str">
        <x:v>PASS</x:v>
      </x:c>
      <x:c r="K1531" s="35" t="str">
        <x:v>PASS</x:v>
      </x:c>
      <x:c r="L1531" s="35" t="str">
        <x:v>PASS</x:v>
      </x:c>
      <x:c r="M1531" s="35" t="str">
        <x:v>numeric coverage for applicable metric</x:v>
      </x:c>
      <x:c r="N1531" s="35" t="str">
        <x:v>Gemini-3.8-flash/Result/Lang_60/result.json</x:v>
      </x:c>
      <x:c r="O1531" s="39" t="n">
        <x:f>IF(AND(G1531="RECORDED",ISNUMBER(H1531)),H1531,"")</x:f>
        <x:v>2.37</x:v>
      </x:c>
      <x:c r="P1531" s="35" t="str">
        <x:v>NOT_REVEALING</x:v>
      </x:c>
      <x:c r="Q1531" s="35" t="str">
        <x:v>Gemini-3.8-flash/Result/Lang_60/result.json</x:v>
      </x:c>
    </x:row>
    <x:row r="1532">
      <x:c r="A1532" s="35" t="str">
        <x:v>gemini</x:v>
      </x:c>
      <x:c r="B1532" s="35" t="str">
        <x:v>Lang</x:v>
      </x:c>
      <x:c r="C1532" s="35" t="str">
        <x:v>Round1</x:v>
      </x:c>
      <x:c r="D1532" s="35" t="str">
        <x:v>Lang_61</x:v>
      </x:c>
      <x:c r="E1532" s="35" t="str">
        <x:v>Condition</x:v>
      </x:c>
      <x:c r="F1532" s="35" t="n">
        <x:v>464</x:v>
      </x:c>
      <x:c r="G1532" s="35" t="str">
        <x:v>RECORDED</x:v>
      </x:c>
      <x:c r="H1532" s="39" t="n">
        <x:f>IF(ISNUMBER('Data'!N678),'Data'!N678*100,"")</x:f>
        <x:v>2.37</x:v>
      </x:c>
      <x:c r="I1532" s="35" t="str">
        <x:v>PASS</x:v>
      </x:c>
      <x:c r="J1532" s="35" t="str">
        <x:v>PASS</x:v>
      </x:c>
      <x:c r="K1532" s="35" t="str">
        <x:v>PASS</x:v>
      </x:c>
      <x:c r="L1532" s="35" t="str">
        <x:v>PASS</x:v>
      </x:c>
      <x:c r="M1532" s="35" t="str">
        <x:v>numeric coverage for applicable metric</x:v>
      </x:c>
      <x:c r="N1532" s="35" t="str">
        <x:v>Gemini-3.8-flash/Result/Lang_61/result.json</x:v>
      </x:c>
      <x:c r="O1532" s="39" t="n">
        <x:f>IF(AND(G1532="RECORDED",ISNUMBER(H1532)),H1532,"")</x:f>
        <x:v>2.37</x:v>
      </x:c>
      <x:c r="P1532" s="35" t="str">
        <x:v>NOT_REVEALING</x:v>
      </x:c>
      <x:c r="Q1532" s="35" t="str">
        <x:v>Gemini-3.8-flash/Result/Lang_61/result.json</x:v>
      </x:c>
    </x:row>
    <x:row r="1533">
      <x:c r="A1533" s="35" t="str">
        <x:v>gemini</x:v>
      </x:c>
      <x:c r="B1533" s="35" t="str">
        <x:v>Lang</x:v>
      </x:c>
      <x:c r="C1533" s="35" t="str">
        <x:v>Round1</x:v>
      </x:c>
      <x:c r="D1533" s="35" t="str">
        <x:v>Lang_62</x:v>
      </x:c>
      <x:c r="E1533" s="35" t="str">
        <x:v>Condition</x:v>
      </x:c>
      <x:c r="F1533" s="35" t="n">
        <x:v>90</x:v>
      </x:c>
      <x:c r="G1533" s="35" t="str">
        <x:v>RECORDED</x:v>
      </x:c>
      <x:c r="H1533" s="39" t="n">
        <x:f>IF(ISNUMBER('Data'!N679),'Data'!N679*100,"")</x:f>
        <x:v>27.779999999999998</x:v>
      </x:c>
      <x:c r="I1533" s="35" t="str">
        <x:v>PASS</x:v>
      </x:c>
      <x:c r="J1533" s="35" t="str">
        <x:v>PASS</x:v>
      </x:c>
      <x:c r="K1533" s="35" t="str">
        <x:v>PASS</x:v>
      </x:c>
      <x:c r="L1533" s="35" t="str">
        <x:v>PASS</x:v>
      </x:c>
      <x:c r="M1533" s="35" t="str">
        <x:v>numeric coverage for applicable metric</x:v>
      </x:c>
      <x:c r="N1533" s="35" t="str">
        <x:v>Gemini-3.8-flash/Result/Lang_62/result.json</x:v>
      </x:c>
      <x:c r="O1533" s="39" t="n">
        <x:f>IF(AND(G1533="RECORDED",ISNUMBER(H1533)),H1533,"")</x:f>
        <x:v>27.779999999999998</x:v>
      </x:c>
      <x:c r="P1533" s="35" t="str">
        <x:v>NOT_REVEALING</x:v>
      </x:c>
      <x:c r="Q1533" s="35" t="str">
        <x:v>Gemini-3.8-flash/Result/Lang_62/result.json</x:v>
      </x:c>
    </x:row>
    <x:row r="1534">
      <x:c r="A1534" s="35" t="str">
        <x:v>gemini</x:v>
      </x:c>
      <x:c r="B1534" s="35" t="str">
        <x:v>Lang</x:v>
      </x:c>
      <x:c r="C1534" s="35" t="str">
        <x:v>Round1</x:v>
      </x:c>
      <x:c r="D1534" s="35" t="str">
        <x:v>Lang_63</x:v>
      </x:c>
      <x:c r="E1534" s="35" t="str">
        <x:v>Condition</x:v>
      </x:c>
      <x:c r="F1534" s="35" t="n">
        <x:v>135</x:v>
      </x:c>
      <x:c r="G1534" s="35" t="str">
        <x:v>RECORDED</x:v>
      </x:c>
      <x:c r="H1534" s="39" t="n">
        <x:f>IF(ISNUMBER('Data'!N680),'Data'!N680*100,"")</x:f>
        <x:v>45.19</x:v>
      </x:c>
      <x:c r="I1534" s="35" t="str">
        <x:v>PASS</x:v>
      </x:c>
      <x:c r="J1534" s="35" t="str">
        <x:v>PASS</x:v>
      </x:c>
      <x:c r="K1534" s="35" t="str">
        <x:v>PASS</x:v>
      </x:c>
      <x:c r="L1534" s="35" t="str">
        <x:v>PASS</x:v>
      </x:c>
      <x:c r="M1534" s="35" t="str">
        <x:v>numeric coverage for applicable metric</x:v>
      </x:c>
      <x:c r="N1534" s="35" t="str">
        <x:v>Gemini-3.8-flash/Result/Lang_63/result.json</x:v>
      </x:c>
      <x:c r="O1534" s="39" t="n">
        <x:f>IF(AND(G1534="RECORDED",ISNUMBER(H1534)),H1534,"")</x:f>
        <x:v>45.19</x:v>
      </x:c>
      <x:c r="P1534" s="35" t="str">
        <x:v>NOT_REVEALING</x:v>
      </x:c>
      <x:c r="Q1534" s="35" t="str">
        <x:v>Gemini-3.8-flash/Result/Lang_63/result.json</x:v>
      </x:c>
    </x:row>
    <x:row r="1535">
      <x:c r="A1535" s="35" t="str">
        <x:v>gemini</x:v>
      </x:c>
      <x:c r="B1535" s="35" t="str">
        <x:v>Lang</x:v>
      </x:c>
      <x:c r="C1535" s="35" t="str">
        <x:v>Round1</x:v>
      </x:c>
      <x:c r="D1535" s="35" t="str">
        <x:v>Lang_64</x:v>
      </x:c>
      <x:c r="E1535" s="35" t="str">
        <x:v>Condition</x:v>
      </x:c>
      <x:c r="F1535" s="35" t="n">
        <x:v>8</x:v>
      </x:c>
      <x:c r="G1535" s="35" t="str">
        <x:v>RECORDED</x:v>
      </x:c>
      <x:c r="H1535" s="39" t="n">
        <x:f>IF(ISNUMBER('Data'!N681),'Data'!N681*100,"")</x:f>
        <x:v>62.5</x:v>
      </x:c>
      <x:c r="I1535" s="35" t="str">
        <x:v>PASS</x:v>
      </x:c>
      <x:c r="J1535" s="35" t="str">
        <x:v>PASS</x:v>
      </x:c>
      <x:c r="K1535" s="35" t="str">
        <x:v>PASS</x:v>
      </x:c>
      <x:c r="L1535" s="35" t="str">
        <x:v>PASS</x:v>
      </x:c>
      <x:c r="M1535" s="35" t="str">
        <x:v>numeric coverage for applicable metric</x:v>
      </x:c>
      <x:c r="N1535" s="35" t="str">
        <x:v>Gemini-3.8-flash/Result/Lang_64/result.json</x:v>
      </x:c>
      <x:c r="O1535" s="39" t="n">
        <x:f>IF(AND(G1535="RECORDED",ISNUMBER(H1535)),H1535,"")</x:f>
        <x:v>62.5</x:v>
      </x:c>
      <x:c r="P1535" s="35" t="str">
        <x:v>NOT_REVEALING</x:v>
      </x:c>
      <x:c r="Q1535" s="35" t="str">
        <x:v>Gemini-3.8-flash/Result/Lang_64/result.json</x:v>
      </x:c>
    </x:row>
    <x:row r="1536">
      <x:c r="A1536" s="35" t="str">
        <x:v>gemini</x:v>
      </x:c>
      <x:c r="B1536" s="35" t="str">
        <x:v>Lang</x:v>
      </x:c>
      <x:c r="C1536" s="35" t="str">
        <x:v>Round1</x:v>
      </x:c>
      <x:c r="D1536" s="35" t="str">
        <x:v>Lang_65</x:v>
      </x:c>
      <x:c r="E1536" s="35" t="str">
        <x:v>Condition</x:v>
      </x:c>
      <x:c r="F1536" s="35" t="n">
        <x:v>149</x:v>
      </x:c>
      <x:c r="G1536" s="35" t="str">
        <x:v>RECORDED</x:v>
      </x:c>
      <x:c r="H1536" s="39" t="n">
        <x:f>IF(ISNUMBER('Data'!N682),'Data'!N682*100,"")</x:f>
        <x:v>19.46</x:v>
      </x:c>
      <x:c r="I1536" s="35" t="str">
        <x:v>PASS</x:v>
      </x:c>
      <x:c r="J1536" s="35" t="str">
        <x:v>PASS</x:v>
      </x:c>
      <x:c r="K1536" s="35" t="str">
        <x:v>PASS</x:v>
      </x:c>
      <x:c r="L1536" s="35" t="str">
        <x:v>PASS</x:v>
      </x:c>
      <x:c r="M1536" s="35" t="str">
        <x:v>numeric coverage for applicable metric</x:v>
      </x:c>
      <x:c r="N1536" s="35" t="str">
        <x:v>Gemini-3.8-flash/Result/Lang_65/result.json</x:v>
      </x:c>
      <x:c r="O1536" s="39" t="n">
        <x:f>IF(AND(G1536="RECORDED",ISNUMBER(H1536)),H1536,"")</x:f>
        <x:v>19.46</x:v>
      </x:c>
      <x:c r="P1536" s="35" t="str">
        <x:v>NOT_REVEALING</x:v>
      </x:c>
      <x:c r="Q1536" s="35" t="str">
        <x:v>Gemini-3.8-flash/Result/Lang_65/result.json</x:v>
      </x:c>
    </x:row>
    <x:row r="1537">
      <x:c r="A1537" s="35" t="str">
        <x:v>gemini</x:v>
      </x:c>
      <x:c r="B1537" s="35" t="str">
        <x:v>Lang</x:v>
      </x:c>
      <x:c r="C1537" s="35" t="str">
        <x:v>Round1</x:v>
      </x:c>
      <x:c r="D1537" s="35" t="str">
        <x:v>Lang_7</x:v>
      </x:c>
      <x:c r="E1537" s="35" t="str">
        <x:v>Condition</x:v>
      </x:c>
      <x:c r="F1537" s="35" t="n">
        <x:v>366</x:v>
      </x:c>
      <x:c r="G1537" s="35" t="str">
        <x:v>RECORDED</x:v>
      </x:c>
      <x:c r="H1537" s="39" t="n">
        <x:f>IF(ISNUMBER('Data'!N683),'Data'!N683*100,"")</x:f>
        <x:v>86.34</x:v>
      </x:c>
      <x:c r="I1537" s="35" t="str">
        <x:v>PASS</x:v>
      </x:c>
      <x:c r="J1537" s="35" t="str">
        <x:v>PASS</x:v>
      </x:c>
      <x:c r="K1537" s="35" t="str">
        <x:v>PASS</x:v>
      </x:c>
      <x:c r="L1537" s="35" t="str">
        <x:v>FAIL</x:v>
      </x:c>
      <x:c r="M1537" s="35" t="str">
        <x:v>numeric coverage for applicable metric</x:v>
      </x:c>
      <x:c r="N1537" s="35" t="str">
        <x:v>Gemini-3.8-flash/Result/Lang_7/result.json</x:v>
      </x:c>
      <x:c r="O1537" s="39" t="n">
        <x:f>IF(AND(G1537="RECORDED",ISNUMBER(H1537)),H1537,"")</x:f>
        <x:v>86.34</x:v>
      </x:c>
      <x:c r="P1537" s="35" t="str">
        <x:v>INCONCLUSIVE</x:v>
      </x:c>
      <x:c r="Q1537" s="35" t="str">
        <x:v>Gemini-3.8-flash/Result/Lang_7/result.json</x:v>
      </x:c>
    </x:row>
    <x:row r="1538">
      <x:c r="A1538" s="35" t="str">
        <x:v>gemini</x:v>
      </x:c>
      <x:c r="B1538" s="35" t="str">
        <x:v>Lang</x:v>
      </x:c>
      <x:c r="C1538" s="35" t="str">
        <x:v>Round1</x:v>
      </x:c>
      <x:c r="D1538" s="35" t="str">
        <x:v>Lang_8</x:v>
      </x:c>
      <x:c r="E1538" s="35" t="str">
        <x:v>Condition</x:v>
      </x:c>
      <x:c r="F1538" s="35" t="n">
        <x:v>150</x:v>
      </x:c>
      <x:c r="G1538" s="35" t="str">
        <x:v>RECORDED</x:v>
      </x:c>
      <x:c r="H1538" s="39" t="n">
        <x:f>IF(ISNUMBER('Data'!N684),'Data'!N684*100,"")</x:f>
        <x:v>92.67</x:v>
      </x:c>
      <x:c r="I1538" s="35" t="str">
        <x:v>PASS</x:v>
      </x:c>
      <x:c r="J1538" s="35" t="str">
        <x:v>PASS</x:v>
      </x:c>
      <x:c r="K1538" s="35" t="str">
        <x:v>PASS</x:v>
      </x:c>
      <x:c r="L1538" s="35" t="str">
        <x:v>FAIL</x:v>
      </x:c>
      <x:c r="M1538" s="35" t="str">
        <x:v>numeric coverage for applicable metric</x:v>
      </x:c>
      <x:c r="N1538" s="35" t="str">
        <x:v>Gemini-3.8-flash/Result/Lang_8/result.json</x:v>
      </x:c>
      <x:c r="O1538" s="39" t="n">
        <x:f>IF(AND(G1538="RECORDED",ISNUMBER(H1538)),H1538,"")</x:f>
        <x:v>92.67</x:v>
      </x:c>
      <x:c r="P1538" s="35" t="str">
        <x:v>INCONCLUSIVE</x:v>
      </x:c>
      <x:c r="Q1538" s="35" t="str">
        <x:v>Gemini-3.8-flash/Result/Lang_8/result.json</x:v>
      </x:c>
    </x:row>
    <x:row r="1539">
      <x:c r="A1539" s="35" t="str">
        <x:v>gemini</x:v>
      </x:c>
      <x:c r="B1539" s="35" t="str">
        <x:v>Lang</x:v>
      </x:c>
      <x:c r="C1539" s="35" t="str">
        <x:v>Round1</x:v>
      </x:c>
      <x:c r="D1539" s="35" t="str">
        <x:v>Lang_9</x:v>
      </x:c>
      <x:c r="E1539" s="35" t="str">
        <x:v>Condition</x:v>
      </x:c>
      <x:c r="F1539" s="35"/>
      <x:c r="G1539" s="35" t="str">
        <x:v>A</x:v>
      </x:c>
      <x:c r="H1539" s="39" t="str">
        <x:f>IF(ISNUMBER('Data'!N685),'Data'!N685*100,"")</x:f>
      </x:c>
      <x:c r="I1539" s="35"/>
      <x:c r="J1539" s="35" t="str">
        <x:v>PASS</x:v>
      </x:c>
      <x:c r="K1539" s="35" t="str">
        <x:v>FAIL</x:v>
      </x:c>
      <x:c r="L1539" s="35" t="str">
        <x:v>NOT_RUN</x:v>
      </x:c>
      <x:c r="M1539" s="35" t="str">
        <x:v>coverage unavailable or execution/compile failed</x:v>
      </x:c>
      <x:c r="N1539" s="35" t="str">
        <x:v>Gemini-3.8-flash/Result/Lang_9/result.json</x:v>
      </x:c>
      <x:c r="O1539" s="39" t="str">
        <x:f>IF(AND(G1539="RECORDED",ISNUMBER(H1539)),H1539,"")</x:f>
      </x:c>
      <x:c r="P1539" s="35" t="str">
        <x:v>NOT_AVAILABLE</x:v>
      </x:c>
      <x:c r="Q1539" s="35" t="str">
        <x:v>Gemini-3.8-flash/Result/Lang_9/result.json</x:v>
      </x:c>
    </x:row>
    <x:row r="1540">
      <x:c r="A1540" s="35" t="str">
        <x:v>gemini</x:v>
      </x:c>
      <x:c r="B1540" s="35" t="str">
        <x:v>Math</x:v>
      </x:c>
      <x:c r="C1540" s="35" t="str">
        <x:v>Round1</x:v>
      </x:c>
      <x:c r="D1540" s="35" t="str">
        <x:v>Math_1</x:v>
      </x:c>
      <x:c r="E1540" s="35" t="str">
        <x:v>Condition</x:v>
      </x:c>
      <x:c r="F1540" s="35" t="n">
        <x:v>192</x:v>
      </x:c>
      <x:c r="G1540" s="35" t="str">
        <x:v>RECORDED</x:v>
      </x:c>
      <x:c r="H1540" s="39" t="n">
        <x:f>IF(ISNUMBER('Data'!N686),'Data'!N686*100,"")</x:f>
        <x:v>31.25</x:v>
      </x:c>
      <x:c r="I1540" s="35" t="str">
        <x:v>PASS</x:v>
      </x:c>
      <x:c r="J1540" s="35" t="str">
        <x:v>PASS</x:v>
      </x:c>
      <x:c r="K1540" s="35" t="str">
        <x:v>PASS</x:v>
      </x:c>
      <x:c r="L1540" s="35" t="str">
        <x:v>PASS</x:v>
      </x:c>
      <x:c r="M1540" s="35" t="str">
        <x:v>numeric coverage for applicable metric</x:v>
      </x:c>
      <x:c r="N1540" s="35" t="str">
        <x:v>Gemini-3.8-flash/Result/Math_1/result.json</x:v>
      </x:c>
      <x:c r="O1540" s="39" t="n">
        <x:f>IF(AND(G1540="RECORDED",ISNUMBER(H1540)),H1540,"")</x:f>
        <x:v>31.25</x:v>
      </x:c>
      <x:c r="P1540" s="35" t="str">
        <x:v>NOT_REVEALING</x:v>
      </x:c>
      <x:c r="Q1540" s="35" t="str">
        <x:v>Gemini-3.8-flash/Result/Math_1/result.json</x:v>
      </x:c>
    </x:row>
    <x:row r="1541">
      <x:c r="A1541" s="35" t="str">
        <x:v>gemini</x:v>
      </x:c>
      <x:c r="B1541" s="35" t="str">
        <x:v>Math</x:v>
      </x:c>
      <x:c r="C1541" s="35" t="str">
        <x:v>Round1</x:v>
      </x:c>
      <x:c r="D1541" s="35" t="str">
        <x:v>Math_10</x:v>
      </x:c>
      <x:c r="E1541" s="35" t="str">
        <x:v>Condition</x:v>
      </x:c>
      <x:c r="F1541" s="35" t="n">
        <x:v>286</x:v>
      </x:c>
      <x:c r="G1541" s="35" t="str">
        <x:v>RECORDED</x:v>
      </x:c>
      <x:c r="H1541" s="39" t="n">
        <x:f>IF(ISNUMBER('Data'!N687),'Data'!N687*100,"")</x:f>
        <x:v>0</x:v>
      </x:c>
      <x:c r="I1541" s="35" t="str">
        <x:v>PASS</x:v>
      </x:c>
      <x:c r="J1541" s="35" t="str">
        <x:v>PASS</x:v>
      </x:c>
      <x:c r="K1541" s="35" t="str">
        <x:v>PASS</x:v>
      </x:c>
      <x:c r="L1541" s="35" t="str">
        <x:v>PASS</x:v>
      </x:c>
      <x:c r="M1541" s="35" t="str">
        <x:v>numeric coverage for applicable metric</x:v>
      </x:c>
      <x:c r="N1541" s="35" t="str">
        <x:v>Gemini-3.8-flash/Result/Math_10/result.json</x:v>
      </x:c>
      <x:c r="O1541" s="39" t="n">
        <x:f>IF(AND(G1541="RECORDED",ISNUMBER(H1541)),H1541,"")</x:f>
        <x:v>0</x:v>
      </x:c>
      <x:c r="P1541" s="35" t="str">
        <x:v>NOT_REVEALING</x:v>
      </x:c>
      <x:c r="Q1541" s="35" t="str">
        <x:v>Gemini-3.8-flash/Result/Math_10/result.json</x:v>
      </x:c>
    </x:row>
    <x:row r="1542">
      <x:c r="A1542" s="35" t="str">
        <x:v>gemini</x:v>
      </x:c>
      <x:c r="B1542" s="35" t="str">
        <x:v>Math</x:v>
      </x:c>
      <x:c r="C1542" s="35" t="str">
        <x:v>Round1</x:v>
      </x:c>
      <x:c r="D1542" s="35" t="str">
        <x:v>Math_100</x:v>
      </x:c>
      <x:c r="E1542" s="35" t="str">
        <x:v>Condition</x:v>
      </x:c>
      <x:c r="F1542" s="35" t="n">
        <x:v>22</x:v>
      </x:c>
      <x:c r="G1542" s="35" t="str">
        <x:v>RECORDED</x:v>
      </x:c>
      <x:c r="H1542" s="39" t="n">
        <x:f>IF(ISNUMBER('Data'!N688),'Data'!N688*100,"")</x:f>
        <x:v>0</x:v>
      </x:c>
      <x:c r="I1542" s="35" t="str">
        <x:v>PASS</x:v>
      </x:c>
      <x:c r="J1542" s="35" t="str">
        <x:v>PASS</x:v>
      </x:c>
      <x:c r="K1542" s="35" t="str">
        <x:v>PASS</x:v>
      </x:c>
      <x:c r="L1542" s="35" t="str">
        <x:v>PASS</x:v>
      </x:c>
      <x:c r="M1542" s="35" t="str">
        <x:v>numeric coverage for applicable metric</x:v>
      </x:c>
      <x:c r="N1542" s="35" t="str">
        <x:v>Gemini-3.8-flash/Result/Math_100/result.json</x:v>
      </x:c>
      <x:c r="O1542" s="39" t="n">
        <x:f>IF(AND(G1542="RECORDED",ISNUMBER(H1542)),H1542,"")</x:f>
        <x:v>0</x:v>
      </x:c>
      <x:c r="P1542" s="35" t="str">
        <x:v>NOT_REVEALING</x:v>
      </x:c>
      <x:c r="Q1542" s="35" t="str">
        <x:v>Gemini-3.8-flash/Result/Math_100/result.json</x:v>
      </x:c>
    </x:row>
    <x:row r="1543">
      <x:c r="A1543" s="35" t="str">
        <x:v>gemini</x:v>
      </x:c>
      <x:c r="B1543" s="35" t="str">
        <x:v>Math</x:v>
      </x:c>
      <x:c r="C1543" s="35" t="str">
        <x:v>Round1</x:v>
      </x:c>
      <x:c r="D1543" s="35" t="str">
        <x:v>Math_101</x:v>
      </x:c>
      <x:c r="E1543" s="35" t="str">
        <x:v>Condition</x:v>
      </x:c>
      <x:c r="F1543" s="35" t="n">
        <x:v>52</x:v>
      </x:c>
      <x:c r="G1543" s="35" t="str">
        <x:v>RECORDED</x:v>
      </x:c>
      <x:c r="H1543" s="39" t="n">
        <x:f>IF(ISNUMBER('Data'!N689),'Data'!N689*100,"")</x:f>
        <x:v>0</x:v>
      </x:c>
      <x:c r="I1543" s="35" t="str">
        <x:v>PASS</x:v>
      </x:c>
      <x:c r="J1543" s="35" t="str">
        <x:v>PASS</x:v>
      </x:c>
      <x:c r="K1543" s="35" t="str">
        <x:v>PASS</x:v>
      </x:c>
      <x:c r="L1543" s="35" t="str">
        <x:v>PASS</x:v>
      </x:c>
      <x:c r="M1543" s="35" t="str">
        <x:v>numeric coverage for applicable metric</x:v>
      </x:c>
      <x:c r="N1543" s="35" t="str">
        <x:v>Gemini-3.8-flash/Result/Math_101/result.json</x:v>
      </x:c>
      <x:c r="O1543" s="39" t="n">
        <x:f>IF(AND(G1543="RECORDED",ISNUMBER(H1543)),H1543,"")</x:f>
        <x:v>0</x:v>
      </x:c>
      <x:c r="P1543" s="35" t="str">
        <x:v>NOT_REVEALING</x:v>
      </x:c>
      <x:c r="Q1543" s="35" t="str">
        <x:v>Gemini-3.8-flash/Result/Math_101/result.json</x:v>
      </x:c>
    </x:row>
    <x:row r="1544">
      <x:c r="A1544" s="35" t="str">
        <x:v>gemini</x:v>
      </x:c>
      <x:c r="B1544" s="35" t="str">
        <x:v>Math</x:v>
      </x:c>
      <x:c r="C1544" s="35" t="str">
        <x:v>Round1</x:v>
      </x:c>
      <x:c r="D1544" s="35" t="str">
        <x:v>Math_102</x:v>
      </x:c>
      <x:c r="E1544" s="35" t="str">
        <x:v>Condition</x:v>
      </x:c>
      <x:c r="F1544" s="35" t="n">
        <x:v>86</x:v>
      </x:c>
      <x:c r="G1544" s="35" t="str">
        <x:v>RECORDED</x:v>
      </x:c>
      <x:c r="H1544" s="39" t="n">
        <x:f>IF(ISNUMBER('Data'!N690),'Data'!N690*100,"")</x:f>
        <x:v>0</x:v>
      </x:c>
      <x:c r="I1544" s="35" t="str">
        <x:v>PASS</x:v>
      </x:c>
      <x:c r="J1544" s="35" t="str">
        <x:v>PASS</x:v>
      </x:c>
      <x:c r="K1544" s="35" t="str">
        <x:v>PASS</x:v>
      </x:c>
      <x:c r="L1544" s="35" t="str">
        <x:v>PASS</x:v>
      </x:c>
      <x:c r="M1544" s="35" t="str">
        <x:v>numeric coverage for applicable metric</x:v>
      </x:c>
      <x:c r="N1544" s="35" t="str">
        <x:v>Gemini-3.8-flash/Result/Math_102/result.json</x:v>
      </x:c>
      <x:c r="O1544" s="39" t="n">
        <x:f>IF(AND(G1544="RECORDED",ISNUMBER(H1544)),H1544,"")</x:f>
        <x:v>0</x:v>
      </x:c>
      <x:c r="P1544" s="35" t="str">
        <x:v>NOT_REVEALING</x:v>
      </x:c>
      <x:c r="Q1544" s="35" t="str">
        <x:v>Gemini-3.8-flash/Result/Math_102/result.json</x:v>
      </x:c>
    </x:row>
    <x:row r="1545">
      <x:c r="A1545" s="35" t="str">
        <x:v>gemini</x:v>
      </x:c>
      <x:c r="B1545" s="35" t="str">
        <x:v>Math</x:v>
      </x:c>
      <x:c r="C1545" s="35" t="str">
        <x:v>Round1</x:v>
      </x:c>
      <x:c r="D1545" s="35" t="str">
        <x:v>Math_103</x:v>
      </x:c>
      <x:c r="E1545" s="35" t="str">
        <x:v>Condition</x:v>
      </x:c>
      <x:c r="F1545" s="35"/>
      <x:c r="G1545" s="35" t="str">
        <x:v>A</x:v>
      </x:c>
      <x:c r="H1545" s="39" t="str">
        <x:f>IF(ISNUMBER('Data'!N691),'Data'!N691*100,"")</x:f>
      </x:c>
      <x:c r="I1545" s="35"/>
      <x:c r="J1545" s="35" t="str">
        <x:v>PASS</x:v>
      </x:c>
      <x:c r="K1545" s="35" t="str">
        <x:v>FAIL</x:v>
      </x:c>
      <x:c r="L1545" s="35" t="str">
        <x:v>NOT_RUN</x:v>
      </x:c>
      <x:c r="M1545" s="35" t="str">
        <x:v>coverage unavailable or execution/compile failed</x:v>
      </x:c>
      <x:c r="N1545" s="35" t="str">
        <x:v>Gemini-3.8-flash/Result/Math_103/result.json</x:v>
      </x:c>
      <x:c r="O1545" s="39" t="str">
        <x:f>IF(AND(G1545="RECORDED",ISNUMBER(H1545)),H1545,"")</x:f>
      </x:c>
      <x:c r="P1545" s="35" t="str">
        <x:v>NOT_AVAILABLE</x:v>
      </x:c>
      <x:c r="Q1545" s="35" t="str">
        <x:v>Gemini-3.8-flash/Result/Math_103/result.json</x:v>
      </x:c>
    </x:row>
    <x:row r="1546">
      <x:c r="A1546" s="35" t="str">
        <x:v>gemini</x:v>
      </x:c>
      <x:c r="B1546" s="35" t="str">
        <x:v>Math</x:v>
      </x:c>
      <x:c r="C1546" s="35" t="str">
        <x:v>Round1</x:v>
      </x:c>
      <x:c r="D1546" s="35" t="str">
        <x:v>Math_104</x:v>
      </x:c>
      <x:c r="E1546" s="35" t="str">
        <x:v>Condition</x:v>
      </x:c>
      <x:c r="F1546" s="35" t="n">
        <x:v>40</x:v>
      </x:c>
      <x:c r="G1546" s="35" t="str">
        <x:v>RECORDED</x:v>
      </x:c>
      <x:c r="H1546" s="39" t="n">
        <x:f>IF(ISNUMBER('Data'!N692),'Data'!N692*100,"")</x:f>
        <x:v>67.5</x:v>
      </x:c>
      <x:c r="I1546" s="35" t="str">
        <x:v>PASS</x:v>
      </x:c>
      <x:c r="J1546" s="35" t="str">
        <x:v>PASS</x:v>
      </x:c>
      <x:c r="K1546" s="35" t="str">
        <x:v>PASS</x:v>
      </x:c>
      <x:c r="L1546" s="35" t="str">
        <x:v>PASS</x:v>
      </x:c>
      <x:c r="M1546" s="35" t="str">
        <x:v>numeric coverage for applicable metric</x:v>
      </x:c>
      <x:c r="N1546" s="35" t="str">
        <x:v>Gemini-3.8-flash/Result/Math_104/result.json</x:v>
      </x:c>
      <x:c r="O1546" s="39" t="n">
        <x:f>IF(AND(G1546="RECORDED",ISNUMBER(H1546)),H1546,"")</x:f>
        <x:v>67.5</x:v>
      </x:c>
      <x:c r="P1546" s="35" t="str">
        <x:v>NOT_REVEALING</x:v>
      </x:c>
      <x:c r="Q1546" s="35" t="str">
        <x:v>Gemini-3.8-flash/Result/Math_104/result.json</x:v>
      </x:c>
    </x:row>
    <x:row r="1547">
      <x:c r="A1547" s="35" t="str">
        <x:v>gemini</x:v>
      </x:c>
      <x:c r="B1547" s="35" t="str">
        <x:v>Math</x:v>
      </x:c>
      <x:c r="C1547" s="35" t="str">
        <x:v>Round1</x:v>
      </x:c>
      <x:c r="D1547" s="35" t="str">
        <x:v>Math_105</x:v>
      </x:c>
      <x:c r="E1547" s="35" t="str">
        <x:v>Condition</x:v>
      </x:c>
      <x:c r="F1547" s="35" t="n">
        <x:v>18</x:v>
      </x:c>
      <x:c r="G1547" s="35" t="str">
        <x:v>RECORDED</x:v>
      </x:c>
      <x:c r="H1547" s="39" t="n">
        <x:f>IF(ISNUMBER('Data'!N693),'Data'!N693*100,"")</x:f>
        <x:v>50</x:v>
      </x:c>
      <x:c r="I1547" s="35" t="str">
        <x:v>PASS</x:v>
      </x:c>
      <x:c r="J1547" s="35" t="str">
        <x:v>PASS</x:v>
      </x:c>
      <x:c r="K1547" s="35" t="str">
        <x:v>PASS</x:v>
      </x:c>
      <x:c r="L1547" s="35" t="str">
        <x:v>PASS</x:v>
      </x:c>
      <x:c r="M1547" s="35" t="str">
        <x:v>numeric coverage for applicable metric</x:v>
      </x:c>
      <x:c r="N1547" s="35" t="str">
        <x:v>Gemini-3.8-flash/Result/Math_105/result.json</x:v>
      </x:c>
      <x:c r="O1547" s="39" t="n">
        <x:f>IF(AND(G1547="RECORDED",ISNUMBER(H1547)),H1547,"")</x:f>
        <x:v>50</x:v>
      </x:c>
      <x:c r="P1547" s="35" t="str">
        <x:v>NOT_REVEALING</x:v>
      </x:c>
      <x:c r="Q1547" s="35" t="str">
        <x:v>Gemini-3.8-flash/Result/Math_105/result.json</x:v>
      </x:c>
    </x:row>
    <x:row r="1548">
      <x:c r="A1548" s="35" t="str">
        <x:v>gemini</x:v>
      </x:c>
      <x:c r="B1548" s="35" t="str">
        <x:v>Math</x:v>
      </x:c>
      <x:c r="C1548" s="35" t="str">
        <x:v>Round1</x:v>
      </x:c>
      <x:c r="D1548" s="35" t="str">
        <x:v>Math_106</x:v>
      </x:c>
      <x:c r="E1548" s="35" t="str">
        <x:v>Condition</x:v>
      </x:c>
      <x:c r="F1548" s="35" t="n">
        <x:v>15</x:v>
      </x:c>
      <x:c r="G1548" s="35" t="str">
        <x:v>RECORDED</x:v>
      </x:c>
      <x:c r="H1548" s="39" t="n">
        <x:f>IF(ISNUMBER('Data'!N694),'Data'!N694*100,"")</x:f>
        <x:v>60</x:v>
      </x:c>
      <x:c r="I1548" s="35" t="str">
        <x:v>PASS</x:v>
      </x:c>
      <x:c r="J1548" s="35" t="str">
        <x:v>PASS</x:v>
      </x:c>
      <x:c r="K1548" s="35" t="str">
        <x:v>PASS</x:v>
      </x:c>
      <x:c r="L1548" s="35" t="str">
        <x:v>PASS</x:v>
      </x:c>
      <x:c r="M1548" s="35" t="str">
        <x:v>numeric coverage for applicable metric</x:v>
      </x:c>
      <x:c r="N1548" s="35" t="str">
        <x:v>Gemini-3.8-flash/Result/Math_106/result.json</x:v>
      </x:c>
      <x:c r="O1548" s="39" t="n">
        <x:f>IF(AND(G1548="RECORDED",ISNUMBER(H1548)),H1548,"")</x:f>
        <x:v>60</x:v>
      </x:c>
      <x:c r="P1548" s="35" t="str">
        <x:v>NOT_REVEALING</x:v>
      </x:c>
      <x:c r="Q1548" s="35" t="str">
        <x:v>Gemini-3.8-flash/Result/Math_106/result.json</x:v>
      </x:c>
    </x:row>
    <x:row r="1549">
      <x:c r="A1549" s="35" t="str">
        <x:v>gemini</x:v>
      </x:c>
      <x:c r="B1549" s="35" t="str">
        <x:v>Math</x:v>
      </x:c>
      <x:c r="C1549" s="35" t="str">
        <x:v>Round1</x:v>
      </x:c>
      <x:c r="D1549" s="35" t="str">
        <x:v>Math_11</x:v>
      </x:c>
      <x:c r="E1549" s="35" t="str">
        <x:v>Condition</x:v>
      </x:c>
      <x:c r="F1549" s="35" t="n">
        <x:v>28</x:v>
      </x:c>
      <x:c r="G1549" s="35" t="str">
        <x:v>RECORDED</x:v>
      </x:c>
      <x:c r="H1549" s="39" t="n">
        <x:f>IF(ISNUMBER('Data'!N695),'Data'!N695*100,"")</x:f>
        <x:v>0</x:v>
      </x:c>
      <x:c r="I1549" s="35" t="str">
        <x:v>PASS</x:v>
      </x:c>
      <x:c r="J1549" s="35" t="str">
        <x:v>PASS</x:v>
      </x:c>
      <x:c r="K1549" s="35" t="str">
        <x:v>PASS</x:v>
      </x:c>
      <x:c r="L1549" s="35" t="str">
        <x:v>PASS</x:v>
      </x:c>
      <x:c r="M1549" s="35" t="str">
        <x:v>numeric coverage for applicable metric</x:v>
      </x:c>
      <x:c r="N1549" s="35" t="str">
        <x:v>Gemini-3.8-flash/Result/Math_11/result.json</x:v>
      </x:c>
      <x:c r="O1549" s="39" t="n">
        <x:f>IF(AND(G1549="RECORDED",ISNUMBER(H1549)),H1549,"")</x:f>
        <x:v>0</x:v>
      </x:c>
      <x:c r="P1549" s="35" t="str">
        <x:v>NOT_REVEALING</x:v>
      </x:c>
      <x:c r="Q1549" s="35" t="str">
        <x:v>Gemini-3.8-flash/Result/Math_11/result.json</x:v>
      </x:c>
    </x:row>
    <x:row r="1550">
      <x:c r="A1550" s="35" t="str">
        <x:v>gemini</x:v>
      </x:c>
      <x:c r="B1550" s="35" t="str">
        <x:v>Math</x:v>
      </x:c>
      <x:c r="C1550" s="35" t="str">
        <x:v>Round1</x:v>
      </x:c>
      <x:c r="D1550" s="35" t="str">
        <x:v>Math_12</x:v>
      </x:c>
      <x:c r="E1550" s="35" t="str">
        <x:v>Condition</x:v>
      </x:c>
      <x:c r="F1550" s="35" t="n">
        <x:v>14</x:v>
      </x:c>
      <x:c r="G1550" s="35" t="str">
        <x:v>RECORDED</x:v>
      </x:c>
      <x:c r="H1550" s="39" t="n">
        <x:f>IF(ISNUMBER('Data'!N696),'Data'!N696*100,"")</x:f>
        <x:v>100</x:v>
      </x:c>
      <x:c r="I1550" s="35" t="str">
        <x:v>PASS</x:v>
      </x:c>
      <x:c r="J1550" s="35" t="str">
        <x:v>PASS</x:v>
      </x:c>
      <x:c r="K1550" s="35" t="str">
        <x:v>PASS</x:v>
      </x:c>
      <x:c r="L1550" s="35" t="str">
        <x:v>PASS</x:v>
      </x:c>
      <x:c r="M1550" s="35" t="str">
        <x:v>numeric coverage for applicable metric</x:v>
      </x:c>
      <x:c r="N1550" s="35" t="str">
        <x:v>Gemini-3.8-flash/Result/Math_12/result.json</x:v>
      </x:c>
      <x:c r="O1550" s="39" t="n">
        <x:f>IF(AND(G1550="RECORDED",ISNUMBER(H1550)),H1550,"")</x:f>
        <x:v>100</x:v>
      </x:c>
      <x:c r="P1550" s="35" t="str">
        <x:v>NOT_REVEALING</x:v>
      </x:c>
      <x:c r="Q1550" s="35" t="str">
        <x:v>Gemini-3.8-flash/Result/Math_12/result.json</x:v>
      </x:c>
    </x:row>
    <x:row r="1551">
      <x:c r="A1551" s="35" t="str">
        <x:v>gemini</x:v>
      </x:c>
      <x:c r="B1551" s="35" t="str">
        <x:v>Math</x:v>
      </x:c>
      <x:c r="C1551" s="35" t="str">
        <x:v>Round1</x:v>
      </x:c>
      <x:c r="D1551" s="35" t="str">
        <x:v>Math_13</x:v>
      </x:c>
      <x:c r="E1551" s="35" t="str">
        <x:v>Condition</x:v>
      </x:c>
      <x:c r="F1551" s="35" t="n">
        <x:v>18</x:v>
      </x:c>
      <x:c r="G1551" s="35" t="str">
        <x:v>RECORDED</x:v>
      </x:c>
      <x:c r="H1551" s="39" t="n">
        <x:f>IF(ISNUMBER('Data'!N697),'Data'!N697*100,"")</x:f>
        <x:v>0</x:v>
      </x:c>
      <x:c r="I1551" s="35" t="str">
        <x:v>PASS</x:v>
      </x:c>
      <x:c r="J1551" s="35" t="str">
        <x:v>PASS</x:v>
      </x:c>
      <x:c r="K1551" s="35" t="str">
        <x:v>PASS</x:v>
      </x:c>
      <x:c r="L1551" s="35" t="str">
        <x:v>PASS</x:v>
      </x:c>
      <x:c r="M1551" s="35" t="str">
        <x:v>numeric coverage for applicable metric</x:v>
      </x:c>
      <x:c r="N1551" s="35" t="str">
        <x:v>Gemini-3.8-flash/Result/Math_13/result.json</x:v>
      </x:c>
      <x:c r="O1551" s="39" t="n">
        <x:f>IF(AND(G1551="RECORDED",ISNUMBER(H1551)),H1551,"")</x:f>
        <x:v>0</x:v>
      </x:c>
      <x:c r="P1551" s="35" t="str">
        <x:v>NOT_REVEALING</x:v>
      </x:c>
      <x:c r="Q1551" s="35" t="str">
        <x:v>Gemini-3.8-flash/Result/Math_13/result.json</x:v>
      </x:c>
    </x:row>
    <x:row r="1552">
      <x:c r="A1552" s="35" t="str">
        <x:v>gemini</x:v>
      </x:c>
      <x:c r="B1552" s="35" t="str">
        <x:v>Math</x:v>
      </x:c>
      <x:c r="C1552" s="35" t="str">
        <x:v>Round1</x:v>
      </x:c>
      <x:c r="D1552" s="35" t="str">
        <x:v>Math_14</x:v>
      </x:c>
      <x:c r="E1552" s="35" t="str">
        <x:v>Condition</x:v>
      </x:c>
      <x:c r="F1552" s="35" t="n">
        <x:v>14</x:v>
      </x:c>
      <x:c r="G1552" s="35" t="str">
        <x:v>RECORDED</x:v>
      </x:c>
      <x:c r="H1552" s="39" t="n">
        <x:f>IF(ISNUMBER('Data'!N698),'Data'!N698*100,"")</x:f>
        <x:v>28.57</x:v>
      </x:c>
      <x:c r="I1552" s="35" t="str">
        <x:v>PASS</x:v>
      </x:c>
      <x:c r="J1552" s="35" t="str">
        <x:v>PASS</x:v>
      </x:c>
      <x:c r="K1552" s="35" t="str">
        <x:v>PASS</x:v>
      </x:c>
      <x:c r="L1552" s="35" t="str">
        <x:v>PASS</x:v>
      </x:c>
      <x:c r="M1552" s="35" t="str">
        <x:v>numeric coverage for applicable metric</x:v>
      </x:c>
      <x:c r="N1552" s="35" t="str">
        <x:v>Gemini-3.8-flash/Result/Math_14/result.json</x:v>
      </x:c>
      <x:c r="O1552" s="39" t="n">
        <x:f>IF(AND(G1552="RECORDED",ISNUMBER(H1552)),H1552,"")</x:f>
        <x:v>28.57</x:v>
      </x:c>
      <x:c r="P1552" s="35" t="str">
        <x:v>NOT_REVEALING</x:v>
      </x:c>
      <x:c r="Q1552" s="35" t="str">
        <x:v>Gemini-3.8-flash/Result/Math_14/result.json</x:v>
      </x:c>
    </x:row>
    <x:row r="1553">
      <x:c r="A1553" s="35" t="str">
        <x:v>gemini</x:v>
      </x:c>
      <x:c r="B1553" s="35" t="str">
        <x:v>Math</x:v>
      </x:c>
      <x:c r="C1553" s="35" t="str">
        <x:v>Round1</x:v>
      </x:c>
      <x:c r="D1553" s="35" t="str">
        <x:v>Math_15</x:v>
      </x:c>
      <x:c r="E1553" s="35" t="str">
        <x:v>Condition</x:v>
      </x:c>
      <x:c r="F1553" s="35" t="n">
        <x:v>798</x:v>
      </x:c>
      <x:c r="G1553" s="35" t="str">
        <x:v>RECORDED</x:v>
      </x:c>
      <x:c r="H1553" s="39" t="n">
        <x:f>IF(ISNUMBER('Data'!N699),'Data'!N699*100,"")</x:f>
        <x:v>0</x:v>
      </x:c>
      <x:c r="I1553" s="35" t="str">
        <x:v>PASS</x:v>
      </x:c>
      <x:c r="J1553" s="35" t="str">
        <x:v>PASS</x:v>
      </x:c>
      <x:c r="K1553" s="35" t="str">
        <x:v>PASS</x:v>
      </x:c>
      <x:c r="L1553" s="35" t="str">
        <x:v>PASS</x:v>
      </x:c>
      <x:c r="M1553" s="35" t="str">
        <x:v>numeric coverage for applicable metric</x:v>
      </x:c>
      <x:c r="N1553" s="35" t="str">
        <x:v>Gemini-3.8-flash/Result/Math_15/result.json</x:v>
      </x:c>
      <x:c r="O1553" s="39" t="n">
        <x:f>IF(AND(G1553="RECORDED",ISNUMBER(H1553)),H1553,"")</x:f>
        <x:v>0</x:v>
      </x:c>
      <x:c r="P1553" s="35" t="str">
        <x:v>NOT_REVEALING</x:v>
      </x:c>
      <x:c r="Q1553" s="35" t="str">
        <x:v>Gemini-3.8-flash/Result/Math_15/result.json</x:v>
      </x:c>
    </x:row>
    <x:row r="1554">
      <x:c r="A1554" s="35" t="str">
        <x:v>gemini</x:v>
      </x:c>
      <x:c r="B1554" s="35" t="str">
        <x:v>Math</x:v>
      </x:c>
      <x:c r="C1554" s="35" t="str">
        <x:v>Round1</x:v>
      </x:c>
      <x:c r="D1554" s="35" t="str">
        <x:v>Math_16</x:v>
      </x:c>
      <x:c r="E1554" s="35" t="str">
        <x:v>Condition</x:v>
      </x:c>
      <x:c r="F1554" s="35" t="n">
        <x:v>790</x:v>
      </x:c>
      <x:c r="G1554" s="35" t="str">
        <x:v>RECORDED</x:v>
      </x:c>
      <x:c r="H1554" s="39" t="n">
        <x:f>IF(ISNUMBER('Data'!N700),'Data'!N700*100,"")</x:f>
        <x:v>0</x:v>
      </x:c>
      <x:c r="I1554" s="35" t="str">
        <x:v>PASS</x:v>
      </x:c>
      <x:c r="J1554" s="35" t="str">
        <x:v>PASS</x:v>
      </x:c>
      <x:c r="K1554" s="35" t="str">
        <x:v>PASS</x:v>
      </x:c>
      <x:c r="L1554" s="35" t="str">
        <x:v>PASS</x:v>
      </x:c>
      <x:c r="M1554" s="35" t="str">
        <x:v>numeric coverage for applicable metric</x:v>
      </x:c>
      <x:c r="N1554" s="35" t="str">
        <x:v>Gemini-3.8-flash/Result/Math_16/result.json</x:v>
      </x:c>
      <x:c r="O1554" s="39" t="n">
        <x:f>IF(AND(G1554="RECORDED",ISNUMBER(H1554)),H1554,"")</x:f>
        <x:v>0</x:v>
      </x:c>
      <x:c r="P1554" s="35" t="str">
        <x:v>NOT_REVEALING</x:v>
      </x:c>
      <x:c r="Q1554" s="35" t="str">
        <x:v>Gemini-3.8-flash/Result/Math_16/result.json</x:v>
      </x:c>
    </x:row>
    <x:row r="1555">
      <x:c r="A1555" s="35" t="str">
        <x:v>gemini</x:v>
      </x:c>
      <x:c r="B1555" s="35" t="str">
        <x:v>Math</x:v>
      </x:c>
      <x:c r="C1555" s="35" t="str">
        <x:v>Round1</x:v>
      </x:c>
      <x:c r="D1555" s="35" t="str">
        <x:v>Math_17</x:v>
      </x:c>
      <x:c r="E1555" s="35" t="str">
        <x:v>Condition</x:v>
      </x:c>
      <x:c r="F1555" s="35" t="n">
        <x:v>738</x:v>
      </x:c>
      <x:c r="G1555" s="35" t="str">
        <x:v>RECORDED</x:v>
      </x:c>
      <x:c r="H1555" s="39" t="n">
        <x:f>IF(ISNUMBER('Data'!N701),'Data'!N701*100,"")</x:f>
        <x:v>0</x:v>
      </x:c>
      <x:c r="I1555" s="35" t="str">
        <x:v>PASS</x:v>
      </x:c>
      <x:c r="J1555" s="35" t="str">
        <x:v>PASS</x:v>
      </x:c>
      <x:c r="K1555" s="35" t="str">
        <x:v>PASS</x:v>
      </x:c>
      <x:c r="L1555" s="35" t="str">
        <x:v>PASS</x:v>
      </x:c>
      <x:c r="M1555" s="35" t="str">
        <x:v>numeric coverage for applicable metric</x:v>
      </x:c>
      <x:c r="N1555" s="35" t="str">
        <x:v>Gemini-3.8-flash/Result/Math_17/result.json</x:v>
      </x:c>
      <x:c r="O1555" s="39" t="n">
        <x:f>IF(AND(G1555="RECORDED",ISNUMBER(H1555)),H1555,"")</x:f>
        <x:v>0</x:v>
      </x:c>
      <x:c r="P1555" s="35" t="str">
        <x:v>NOT_REVEALING</x:v>
      </x:c>
      <x:c r="Q1555" s="35" t="str">
        <x:v>Gemini-3.8-flash/Result/Math_17/result.json</x:v>
      </x:c>
    </x:row>
    <x:row r="1556">
      <x:c r="A1556" s="35" t="str">
        <x:v>gemini</x:v>
      </x:c>
      <x:c r="B1556" s="35" t="str">
        <x:v>Math</x:v>
      </x:c>
      <x:c r="C1556" s="35" t="str">
        <x:v>Round1</x:v>
      </x:c>
      <x:c r="D1556" s="35" t="str">
        <x:v>Math_18</x:v>
      </x:c>
      <x:c r="E1556" s="35" t="str">
        <x:v>Condition</x:v>
      </x:c>
      <x:c r="F1556" s="35" t="n">
        <x:v>276</x:v>
      </x:c>
      <x:c r="G1556" s="35" t="str">
        <x:v>RECORDED</x:v>
      </x:c>
      <x:c r="H1556" s="39" t="n">
        <x:f>IF(ISNUMBER('Data'!N702),'Data'!N702*100,"")</x:f>
        <x:v>0</x:v>
      </x:c>
      <x:c r="I1556" s="35" t="str">
        <x:v>PASS</x:v>
      </x:c>
      <x:c r="J1556" s="35" t="str">
        <x:v>PASS</x:v>
      </x:c>
      <x:c r="K1556" s="35" t="str">
        <x:v>PASS</x:v>
      </x:c>
      <x:c r="L1556" s="35" t="str">
        <x:v>FAIL</x:v>
      </x:c>
      <x:c r="M1556" s="35" t="str">
        <x:v>numeric coverage for applicable metric</x:v>
      </x:c>
      <x:c r="N1556" s="35" t="str">
        <x:v>Gemini-3.8-flash/Result/Math_18/result.json</x:v>
      </x:c>
      <x:c r="O1556" s="39" t="n">
        <x:f>IF(AND(G1556="RECORDED",ISNUMBER(H1556)),H1556,"")</x:f>
        <x:v>0</x:v>
      </x:c>
      <x:c r="P1556" s="35" t="str">
        <x:v>INCONCLUSIVE</x:v>
      </x:c>
      <x:c r="Q1556" s="35" t="str">
        <x:v>Gemini-3.8-flash/Result/Math_18/result.json</x:v>
      </x:c>
    </x:row>
    <x:row r="1557">
      <x:c r="A1557" s="35" t="str">
        <x:v>gemini</x:v>
      </x:c>
      <x:c r="B1557" s="35" t="str">
        <x:v>Math</x:v>
      </x:c>
      <x:c r="C1557" s="35" t="str">
        <x:v>Round1</x:v>
      </x:c>
      <x:c r="D1557" s="35" t="str">
        <x:v>Math_19</x:v>
      </x:c>
      <x:c r="E1557" s="35" t="str">
        <x:v>Condition</x:v>
      </x:c>
      <x:c r="F1557" s="35" t="n">
        <x:v>272</x:v>
      </x:c>
      <x:c r="G1557" s="35" t="str">
        <x:v>RECORDED</x:v>
      </x:c>
      <x:c r="H1557" s="39" t="n">
        <x:f>IF(ISNUMBER('Data'!N703),'Data'!N703*100,"")</x:f>
        <x:v>0</x:v>
      </x:c>
      <x:c r="I1557" s="35" t="str">
        <x:v>PASS</x:v>
      </x:c>
      <x:c r="J1557" s="35" t="str">
        <x:v>PASS</x:v>
      </x:c>
      <x:c r="K1557" s="35" t="str">
        <x:v>PASS</x:v>
      </x:c>
      <x:c r="L1557" s="35" t="str">
        <x:v>FAIL</x:v>
      </x:c>
      <x:c r="M1557" s="35" t="str">
        <x:v>numeric coverage for applicable metric</x:v>
      </x:c>
      <x:c r="N1557" s="35" t="str">
        <x:v>Gemini-3.8-flash/Result/Math_19/result.json</x:v>
      </x:c>
      <x:c r="O1557" s="39" t="n">
        <x:f>IF(AND(G1557="RECORDED",ISNUMBER(H1557)),H1557,"")</x:f>
        <x:v>0</x:v>
      </x:c>
      <x:c r="P1557" s="35" t="str">
        <x:v>INCONCLUSIVE</x:v>
      </x:c>
      <x:c r="Q1557" s="35" t="str">
        <x:v>Gemini-3.8-flash/Result/Math_19/result.json</x:v>
      </x:c>
    </x:row>
    <x:row r="1558">
      <x:c r="A1558" s="35" t="str">
        <x:v>gemini</x:v>
      </x:c>
      <x:c r="B1558" s="35" t="str">
        <x:v>Math</x:v>
      </x:c>
      <x:c r="C1558" s="35" t="str">
        <x:v>Round1</x:v>
      </x:c>
      <x:c r="D1558" s="35" t="str">
        <x:v>Math_2</x:v>
      </x:c>
      <x:c r="E1558" s="35" t="str">
        <x:v>Condition</x:v>
      </x:c>
      <x:c r="F1558" s="35" t="n">
        <x:v>26</x:v>
      </x:c>
      <x:c r="G1558" s="35" t="str">
        <x:v>RECORDED</x:v>
      </x:c>
      <x:c r="H1558" s="39" t="n">
        <x:f>IF(ISNUMBER('Data'!N704),'Data'!N704*100,"")</x:f>
        <x:v>57.69</x:v>
      </x:c>
      <x:c r="I1558" s="35" t="str">
        <x:v>PASS</x:v>
      </x:c>
      <x:c r="J1558" s="35" t="str">
        <x:v>PASS</x:v>
      </x:c>
      <x:c r="K1558" s="35" t="str">
        <x:v>PASS</x:v>
      </x:c>
      <x:c r="L1558" s="35" t="str">
        <x:v>PASS</x:v>
      </x:c>
      <x:c r="M1558" s="35" t="str">
        <x:v>numeric coverage for applicable metric</x:v>
      </x:c>
      <x:c r="N1558" s="35" t="str">
        <x:v>Gemini-3.8-flash/Result/Math_2/result.json</x:v>
      </x:c>
      <x:c r="O1558" s="39" t="n">
        <x:f>IF(AND(G1558="RECORDED",ISNUMBER(H1558)),H1558,"")</x:f>
        <x:v>57.69</x:v>
      </x:c>
      <x:c r="P1558" s="35" t="str">
        <x:v>NOT_REVEALING</x:v>
      </x:c>
      <x:c r="Q1558" s="35" t="str">
        <x:v>Gemini-3.8-flash/Result/Math_2/result.json</x:v>
      </x:c>
    </x:row>
    <x:row r="1559">
      <x:c r="A1559" s="35" t="str">
        <x:v>gemini</x:v>
      </x:c>
      <x:c r="B1559" s="35" t="str">
        <x:v>Math</x:v>
      </x:c>
      <x:c r="C1559" s="35" t="str">
        <x:v>Round1</x:v>
      </x:c>
      <x:c r="D1559" s="35" t="str">
        <x:v>Math_20</x:v>
      </x:c>
      <x:c r="E1559" s="35" t="str">
        <x:v>Condition</x:v>
      </x:c>
      <x:c r="F1559" s="35" t="n">
        <x:v>268</x:v>
      </x:c>
      <x:c r="G1559" s="35" t="str">
        <x:v>RECORDED</x:v>
      </x:c>
      <x:c r="H1559" s="39" t="n">
        <x:f>IF(ISNUMBER('Data'!N705),'Data'!N705*100,"")</x:f>
        <x:v>0</x:v>
      </x:c>
      <x:c r="I1559" s="35" t="str">
        <x:v>PASS</x:v>
      </x:c>
      <x:c r="J1559" s="35" t="str">
        <x:v>PASS</x:v>
      </x:c>
      <x:c r="K1559" s="35" t="str">
        <x:v>PASS</x:v>
      </x:c>
      <x:c r="L1559" s="35" t="str">
        <x:v>FAIL</x:v>
      </x:c>
      <x:c r="M1559" s="35" t="str">
        <x:v>numeric coverage for applicable metric</x:v>
      </x:c>
      <x:c r="N1559" s="35" t="str">
        <x:v>Gemini-3.8-flash/Result/Math_20/result.json</x:v>
      </x:c>
      <x:c r="O1559" s="39" t="n">
        <x:f>IF(AND(G1559="RECORDED",ISNUMBER(H1559)),H1559,"")</x:f>
        <x:v>0</x:v>
      </x:c>
      <x:c r="P1559" s="35" t="str">
        <x:v>INCONCLUSIVE</x:v>
      </x:c>
      <x:c r="Q1559" s="35" t="str">
        <x:v>Gemini-3.8-flash/Result/Math_20/result.json</x:v>
      </x:c>
    </x:row>
    <x:row r="1560">
      <x:c r="A1560" s="35" t="str">
        <x:v>gemini</x:v>
      </x:c>
      <x:c r="B1560" s="35" t="str">
        <x:v>Math</x:v>
      </x:c>
      <x:c r="C1560" s="35" t="str">
        <x:v>Round1</x:v>
      </x:c>
      <x:c r="D1560" s="35" t="str">
        <x:v>Math_21</x:v>
      </x:c>
      <x:c r="E1560" s="35" t="str">
        <x:v>Condition</x:v>
      </x:c>
      <x:c r="F1560" s="35" t="n">
        <x:v>28</x:v>
      </x:c>
      <x:c r="G1560" s="35" t="str">
        <x:v>RECORDED</x:v>
      </x:c>
      <x:c r="H1560" s="39" t="n">
        <x:f>IF(ISNUMBER('Data'!N706),'Data'!N706*100,"")</x:f>
        <x:v>100</x:v>
      </x:c>
      <x:c r="I1560" s="35" t="str">
        <x:v>PASS</x:v>
      </x:c>
      <x:c r="J1560" s="35" t="str">
        <x:v>PASS</x:v>
      </x:c>
      <x:c r="K1560" s="35" t="str">
        <x:v>PASS</x:v>
      </x:c>
      <x:c r="L1560" s="35" t="str">
        <x:v>PASS</x:v>
      </x:c>
      <x:c r="M1560" s="35" t="str">
        <x:v>numeric coverage for applicable metric</x:v>
      </x:c>
      <x:c r="N1560" s="35" t="str">
        <x:v>Gemini-3.8-flash/Result/Math_21/result.json</x:v>
      </x:c>
      <x:c r="O1560" s="39" t="n">
        <x:f>IF(AND(G1560="RECORDED",ISNUMBER(H1560)),H1560,"")</x:f>
        <x:v>100</x:v>
      </x:c>
      <x:c r="P1560" s="35" t="str">
        <x:v>NOT_REVEALING</x:v>
      </x:c>
      <x:c r="Q1560" s="35" t="str">
        <x:v>Gemini-3.8-flash/Result/Math_21/result.json</x:v>
      </x:c>
    </x:row>
    <x:row r="1561">
      <x:c r="A1561" s="35" t="str">
        <x:v>gemini</x:v>
      </x:c>
      <x:c r="B1561" s="35" t="str">
        <x:v>Math</x:v>
      </x:c>
      <x:c r="C1561" s="35" t="str">
        <x:v>Round1</x:v>
      </x:c>
      <x:c r="D1561" s="35" t="str">
        <x:v>Math_22</x:v>
      </x:c>
      <x:c r="E1561" s="35" t="str">
        <x:v>Condition</x:v>
      </x:c>
      <x:c r="F1561" s="35" t="n">
        <x:v>22</x:v>
      </x:c>
      <x:c r="G1561" s="35" t="str">
        <x:v>RECORDED</x:v>
      </x:c>
      <x:c r="H1561" s="39" t="n">
        <x:f>IF(ISNUMBER('Data'!N707),'Data'!N707*100,"")</x:f>
        <x:v>45.45</x:v>
      </x:c>
      <x:c r="I1561" s="35" t="str">
        <x:v>PASS</x:v>
      </x:c>
      <x:c r="J1561" s="35" t="str">
        <x:v>PASS</x:v>
      </x:c>
      <x:c r="K1561" s="35" t="str">
        <x:v>PASS</x:v>
      </x:c>
      <x:c r="L1561" s="35" t="str">
        <x:v>PASS</x:v>
      </x:c>
      <x:c r="M1561" s="35" t="str">
        <x:v>numeric coverage for applicable metric</x:v>
      </x:c>
      <x:c r="N1561" s="35" t="str">
        <x:v>Gemini-3.8-flash/Result/Math_22/result.json</x:v>
      </x:c>
      <x:c r="O1561" s="39" t="n">
        <x:f>IF(AND(G1561="RECORDED",ISNUMBER(H1561)),H1561,"")</x:f>
        <x:v>45.45</x:v>
      </x:c>
      <x:c r="P1561" s="35" t="str">
        <x:v>INCONCLUSIVE</x:v>
      </x:c>
      <x:c r="Q1561" s="35" t="str">
        <x:v>Gemini-3.8-flash/Result/Math_22/result.json</x:v>
      </x:c>
    </x:row>
    <x:row r="1562">
      <x:c r="A1562" s="35" t="str">
        <x:v>gemini</x:v>
      </x:c>
      <x:c r="B1562" s="35" t="str">
        <x:v>Math</x:v>
      </x:c>
      <x:c r="C1562" s="35" t="str">
        <x:v>Round1</x:v>
      </x:c>
      <x:c r="D1562" s="35" t="str">
        <x:v>Math_23</x:v>
      </x:c>
      <x:c r="E1562" s="35" t="str">
        <x:v>Condition</x:v>
      </x:c>
      <x:c r="F1562" s="35" t="n">
        <x:v>74</x:v>
      </x:c>
      <x:c r="G1562" s="35" t="str">
        <x:v>RECORDED</x:v>
      </x:c>
      <x:c r="H1562" s="39" t="n">
        <x:f>IF(ISNUMBER('Data'!N708),'Data'!N708*100,"")</x:f>
        <x:v>0</x:v>
      </x:c>
      <x:c r="I1562" s="35" t="str">
        <x:v>PASS</x:v>
      </x:c>
      <x:c r="J1562" s="35" t="str">
        <x:v>PASS</x:v>
      </x:c>
      <x:c r="K1562" s="35" t="str">
        <x:v>PASS</x:v>
      </x:c>
      <x:c r="L1562" s="35" t="str">
        <x:v>PASS</x:v>
      </x:c>
      <x:c r="M1562" s="35" t="str">
        <x:v>numeric coverage for applicable metric</x:v>
      </x:c>
      <x:c r="N1562" s="35" t="str">
        <x:v>Gemini-3.8-flash/Result/Math_23/result.json</x:v>
      </x:c>
      <x:c r="O1562" s="39" t="n">
        <x:f>IF(AND(G1562="RECORDED",ISNUMBER(H1562)),H1562,"")</x:f>
        <x:v>0</x:v>
      </x:c>
      <x:c r="P1562" s="35" t="str">
        <x:v>NOT_REVEALING</x:v>
      </x:c>
      <x:c r="Q1562" s="35" t="str">
        <x:v>Gemini-3.8-flash/Result/Math_23/result.json</x:v>
      </x:c>
    </x:row>
    <x:row r="1563">
      <x:c r="A1563" s="35" t="str">
        <x:v>gemini</x:v>
      </x:c>
      <x:c r="B1563" s="35" t="str">
        <x:v>Math</x:v>
      </x:c>
      <x:c r="C1563" s="35" t="str">
        <x:v>Round1</x:v>
      </x:c>
      <x:c r="D1563" s="35" t="str">
        <x:v>Math_24</x:v>
      </x:c>
      <x:c r="E1563" s="35" t="str">
        <x:v>Condition</x:v>
      </x:c>
      <x:c r="F1563" s="35" t="n">
        <x:v>74</x:v>
      </x:c>
      <x:c r="G1563" s="35" t="str">
        <x:v>RECORDED</x:v>
      </x:c>
      <x:c r="H1563" s="39" t="n">
        <x:f>IF(ISNUMBER('Data'!N709),'Data'!N709*100,"")</x:f>
        <x:v>0</x:v>
      </x:c>
      <x:c r="I1563" s="35" t="str">
        <x:v>PASS</x:v>
      </x:c>
      <x:c r="J1563" s="35" t="str">
        <x:v>PASS</x:v>
      </x:c>
      <x:c r="K1563" s="35" t="str">
        <x:v>PASS</x:v>
      </x:c>
      <x:c r="L1563" s="35" t="str">
        <x:v>PASS</x:v>
      </x:c>
      <x:c r="M1563" s="35" t="str">
        <x:v>numeric coverage for applicable metric</x:v>
      </x:c>
      <x:c r="N1563" s="35" t="str">
        <x:v>Gemini-3.8-flash/Result/Math_24/result.json</x:v>
      </x:c>
      <x:c r="O1563" s="39" t="n">
        <x:f>IF(AND(G1563="RECORDED",ISNUMBER(H1563)),H1563,"")</x:f>
        <x:v>0</x:v>
      </x:c>
      <x:c r="P1563" s="35" t="str">
        <x:v>NOT_REVEALING</x:v>
      </x:c>
      <x:c r="Q1563" s="35" t="str">
        <x:v>Gemini-3.8-flash/Result/Math_24/result.json</x:v>
      </x:c>
    </x:row>
    <x:row r="1564">
      <x:c r="A1564" s="35" t="str">
        <x:v>gemini</x:v>
      </x:c>
      <x:c r="B1564" s="35" t="str">
        <x:v>Math</x:v>
      </x:c>
      <x:c r="C1564" s="35" t="str">
        <x:v>Round1</x:v>
      </x:c>
      <x:c r="D1564" s="35" t="str">
        <x:v>Math_25</x:v>
      </x:c>
      <x:c r="E1564" s="35" t="str">
        <x:v>Condition</x:v>
      </x:c>
      <x:c r="F1564" s="35" t="n">
        <x:v>28</x:v>
      </x:c>
      <x:c r="G1564" s="35" t="str">
        <x:v>RECORDED</x:v>
      </x:c>
      <x:c r="H1564" s="39" t="n">
        <x:f>IF(ISNUMBER('Data'!N710),'Data'!N710*100,"")</x:f>
        <x:v>0</x:v>
      </x:c>
      <x:c r="I1564" s="35" t="str">
        <x:v>PASS</x:v>
      </x:c>
      <x:c r="J1564" s="35" t="str">
        <x:v>PASS</x:v>
      </x:c>
      <x:c r="K1564" s="35" t="str">
        <x:v>PASS</x:v>
      </x:c>
      <x:c r="L1564" s="35" t="str">
        <x:v>FAIL</x:v>
      </x:c>
      <x:c r="M1564" s="35" t="str">
        <x:v>numeric coverage for applicable metric</x:v>
      </x:c>
      <x:c r="N1564" s="35" t="str">
        <x:v>Gemini-3.8-flash/Result/Math_25/result.json</x:v>
      </x:c>
      <x:c r="O1564" s="39" t="n">
        <x:f>IF(AND(G1564="RECORDED",ISNUMBER(H1564)),H1564,"")</x:f>
        <x:v>0</x:v>
      </x:c>
      <x:c r="P1564" s="35" t="str">
        <x:v>INCONCLUSIVE</x:v>
      </x:c>
      <x:c r="Q1564" s="35" t="str">
        <x:v>Gemini-3.8-flash/Result/Math_25/result.json</x:v>
      </x:c>
    </x:row>
    <x:row r="1565">
      <x:c r="A1565" s="35" t="str">
        <x:v>gemini</x:v>
      </x:c>
      <x:c r="B1565" s="35" t="str">
        <x:v>Math</x:v>
      </x:c>
      <x:c r="C1565" s="35" t="str">
        <x:v>Round1</x:v>
      </x:c>
      <x:c r="D1565" s="35" t="str">
        <x:v>Math_26</x:v>
      </x:c>
      <x:c r="E1565" s="35" t="str">
        <x:v>Condition</x:v>
      </x:c>
      <x:c r="F1565" s="35"/>
      <x:c r="G1565" s="35" t="str">
        <x:v>A</x:v>
      </x:c>
      <x:c r="H1565" s="39" t="str">
        <x:f>IF(ISNUMBER('Data'!N711),'Data'!N711*100,"")</x:f>
      </x:c>
      <x:c r="I1565" s="35"/>
      <x:c r="J1565" s="35" t="str">
        <x:v>PASS</x:v>
      </x:c>
      <x:c r="K1565" s="35" t="str">
        <x:v>FAIL</x:v>
      </x:c>
      <x:c r="L1565" s="35" t="str">
        <x:v>NOT_RUN</x:v>
      </x:c>
      <x:c r="M1565" s="35" t="str">
        <x:v>coverage unavailable or execution/compile failed</x:v>
      </x:c>
      <x:c r="N1565" s="35" t="str">
        <x:v>Gemini-3.8-flash/Result/Math_26/result.json</x:v>
      </x:c>
      <x:c r="O1565" s="39" t="str">
        <x:f>IF(AND(G1565="RECORDED",ISNUMBER(H1565)),H1565,"")</x:f>
      </x:c>
      <x:c r="P1565" s="35" t="str">
        <x:v>NOT_AVAILABLE</x:v>
      </x:c>
      <x:c r="Q1565" s="35" t="str">
        <x:v>Gemini-3.8-flash/Result/Math_26/result.json</x:v>
      </x:c>
    </x:row>
    <x:row r="1566">
      <x:c r="A1566" s="35" t="str">
        <x:v>gemini</x:v>
      </x:c>
      <x:c r="B1566" s="35" t="str">
        <x:v>Math</x:v>
      </x:c>
      <x:c r="C1566" s="35" t="str">
        <x:v>Round1</x:v>
      </x:c>
      <x:c r="D1566" s="35" t="str">
        <x:v>Math_27</x:v>
      </x:c>
      <x:c r="E1566" s="35" t="str">
        <x:v>Condition</x:v>
      </x:c>
      <x:c r="F1566" s="35"/>
      <x:c r="G1566" s="35" t="str">
        <x:v>A</x:v>
      </x:c>
      <x:c r="H1566" s="39" t="str">
        <x:f>IF(ISNUMBER('Data'!N712),'Data'!N712*100,"")</x:f>
      </x:c>
      <x:c r="I1566" s="35"/>
      <x:c r="J1566" s="35" t="str">
        <x:v>PASS</x:v>
      </x:c>
      <x:c r="K1566" s="35" t="str">
        <x:v>FAIL</x:v>
      </x:c>
      <x:c r="L1566" s="35" t="str">
        <x:v>NOT_RUN</x:v>
      </x:c>
      <x:c r="M1566" s="35" t="str">
        <x:v>coverage unavailable or execution/compile failed</x:v>
      </x:c>
      <x:c r="N1566" s="35" t="str">
        <x:v>Gemini-3.8-flash/Result/Math_27/result.json</x:v>
      </x:c>
      <x:c r="O1566" s="39" t="str">
        <x:f>IF(AND(G1566="RECORDED",ISNUMBER(H1566)),H1566,"")</x:f>
      </x:c>
      <x:c r="P1566" s="35" t="str">
        <x:v>NOT_AVAILABLE</x:v>
      </x:c>
      <x:c r="Q1566" s="35" t="str">
        <x:v>Gemini-3.8-flash/Result/Math_27/result.json</x:v>
      </x:c>
    </x:row>
    <x:row r="1567">
      <x:c r="A1567" s="35" t="str">
        <x:v>gemini</x:v>
      </x:c>
      <x:c r="B1567" s="35" t="str">
        <x:v>Math</x:v>
      </x:c>
      <x:c r="C1567" s="35" t="str">
        <x:v>Round1</x:v>
      </x:c>
      <x:c r="D1567" s="35" t="str">
        <x:v>Math_28</x:v>
      </x:c>
      <x:c r="E1567" s="35" t="str">
        <x:v>Condition</x:v>
      </x:c>
      <x:c r="F1567" s="35" t="n">
        <x:v>48</x:v>
      </x:c>
      <x:c r="G1567" s="35" t="str">
        <x:v>RECORDED</x:v>
      </x:c>
      <x:c r="H1567" s="39" t="n">
        <x:f>IF(ISNUMBER('Data'!N713),'Data'!N713*100,"")</x:f>
        <x:v>0</x:v>
      </x:c>
      <x:c r="I1567" s="35" t="str">
        <x:v>PASS</x:v>
      </x:c>
      <x:c r="J1567" s="35" t="str">
        <x:v>PASS</x:v>
      </x:c>
      <x:c r="K1567" s="35" t="str">
        <x:v>PASS</x:v>
      </x:c>
      <x:c r="L1567" s="35" t="str">
        <x:v>PASS</x:v>
      </x:c>
      <x:c r="M1567" s="35" t="str">
        <x:v>numeric coverage for applicable metric</x:v>
      </x:c>
      <x:c r="N1567" s="35" t="str">
        <x:v>Gemini-3.8-flash/Result/Math_28/result.json</x:v>
      </x:c>
      <x:c r="O1567" s="39" t="n">
        <x:f>IF(AND(G1567="RECORDED",ISNUMBER(H1567)),H1567,"")</x:f>
        <x:v>0</x:v>
      </x:c>
      <x:c r="P1567" s="35" t="str">
        <x:v>NOT_REVEALING</x:v>
      </x:c>
      <x:c r="Q1567" s="35" t="str">
        <x:v>Gemini-3.8-flash/Result/Math_28/result.json</x:v>
      </x:c>
    </x:row>
    <x:row r="1568">
      <x:c r="A1568" s="35" t="str">
        <x:v>gemini</x:v>
      </x:c>
      <x:c r="B1568" s="35" t="str">
        <x:v>Math</x:v>
      </x:c>
      <x:c r="C1568" s="35" t="str">
        <x:v>Round1</x:v>
      </x:c>
      <x:c r="D1568" s="35" t="str">
        <x:v>Math_29</x:v>
      </x:c>
      <x:c r="E1568" s="35" t="str">
        <x:v>Condition</x:v>
      </x:c>
      <x:c r="F1568" s="35" t="n">
        <x:v>134</x:v>
      </x:c>
      <x:c r="G1568" s="35" t="str">
        <x:v>RECORDED</x:v>
      </x:c>
      <x:c r="H1568" s="39" t="n">
        <x:f>IF(ISNUMBER('Data'!N714),'Data'!N714*100,"")</x:f>
        <x:v>0</x:v>
      </x:c>
      <x:c r="I1568" s="35" t="str">
        <x:v>PASS</x:v>
      </x:c>
      <x:c r="J1568" s="35" t="str">
        <x:v>PASS</x:v>
      </x:c>
      <x:c r="K1568" s="35" t="str">
        <x:v>PASS</x:v>
      </x:c>
      <x:c r="L1568" s="35" t="str">
        <x:v>PASS</x:v>
      </x:c>
      <x:c r="M1568" s="35" t="str">
        <x:v>numeric coverage for applicable metric</x:v>
      </x:c>
      <x:c r="N1568" s="35" t="str">
        <x:v>Gemini-3.8-flash/Result/Math_29/result.json</x:v>
      </x:c>
      <x:c r="O1568" s="39" t="n">
        <x:f>IF(AND(G1568="RECORDED",ISNUMBER(H1568)),H1568,"")</x:f>
        <x:v>0</x:v>
      </x:c>
      <x:c r="P1568" s="35" t="str">
        <x:v>NOT_REVEALING</x:v>
      </x:c>
      <x:c r="Q1568" s="35" t="str">
        <x:v>Gemini-3.8-flash/Result/Math_29/result.json</x:v>
      </x:c>
    </x:row>
    <x:row r="1569">
      <x:c r="A1569" s="35" t="str">
        <x:v>gemini</x:v>
      </x:c>
      <x:c r="B1569" s="35" t="str">
        <x:v>Math</x:v>
      </x:c>
      <x:c r="C1569" s="35" t="str">
        <x:v>Round1</x:v>
      </x:c>
      <x:c r="D1569" s="35" t="str">
        <x:v>Math_3</x:v>
      </x:c>
      <x:c r="E1569" s="35" t="str">
        <x:v>Condition</x:v>
      </x:c>
      <x:c r="F1569" s="35"/>
      <x:c r="G1569" s="35" t="str">
        <x:v>A</x:v>
      </x:c>
      <x:c r="H1569" s="39" t="str">
        <x:f>IF(ISNUMBER('Data'!N715),'Data'!N715*100,"")</x:f>
      </x:c>
      <x:c r="I1569" s="35"/>
      <x:c r="J1569" s="35" t="str">
        <x:v>PASS</x:v>
      </x:c>
      <x:c r="K1569" s="35" t="str">
        <x:v>FAIL</x:v>
      </x:c>
      <x:c r="L1569" s="35" t="str">
        <x:v>NOT_RUN</x:v>
      </x:c>
      <x:c r="M1569" s="35" t="str">
        <x:v>coverage unavailable or execution/compile failed</x:v>
      </x:c>
      <x:c r="N1569" s="35" t="str">
        <x:v>Gemini-3.8-flash/Result/Math_3/result.json</x:v>
      </x:c>
      <x:c r="O1569" s="39" t="str">
        <x:f>IF(AND(G1569="RECORDED",ISNUMBER(H1569)),H1569,"")</x:f>
      </x:c>
      <x:c r="P1569" s="35" t="str">
        <x:v>NOT_AVAILABLE</x:v>
      </x:c>
      <x:c r="Q1569" s="35" t="str">
        <x:v>Gemini-3.8-flash/Result/Math_3/result.json</x:v>
      </x:c>
    </x:row>
    <x:row r="1570">
      <x:c r="A1570" s="35" t="str">
        <x:v>gemini</x:v>
      </x:c>
      <x:c r="B1570" s="35" t="str">
        <x:v>Math</x:v>
      </x:c>
      <x:c r="C1570" s="35" t="str">
        <x:v>Round1</x:v>
      </x:c>
      <x:c r="D1570" s="35" t="str">
        <x:v>Math_30</x:v>
      </x:c>
      <x:c r="E1570" s="35" t="str">
        <x:v>Condition</x:v>
      </x:c>
      <x:c r="F1570" s="35" t="n">
        <x:v>10</x:v>
      </x:c>
      <x:c r="G1570" s="35" t="str">
        <x:v>RECORDED</x:v>
      </x:c>
      <x:c r="H1570" s="39" t="n">
        <x:f>IF(ISNUMBER('Data'!N716),'Data'!N716*100,"")</x:f>
        <x:v>0</x:v>
      </x:c>
      <x:c r="I1570" s="35" t="str">
        <x:v>PASS</x:v>
      </x:c>
      <x:c r="J1570" s="35" t="str">
        <x:v>PASS</x:v>
      </x:c>
      <x:c r="K1570" s="35" t="str">
        <x:v>PASS</x:v>
      </x:c>
      <x:c r="L1570" s="35" t="str">
        <x:v>PASS</x:v>
      </x:c>
      <x:c r="M1570" s="35" t="str">
        <x:v>numeric coverage for applicable metric</x:v>
      </x:c>
      <x:c r="N1570" s="35" t="str">
        <x:v>Gemini-3.8-flash/Result/Math_30/result.json</x:v>
      </x:c>
      <x:c r="O1570" s="39" t="n">
        <x:f>IF(AND(G1570="RECORDED",ISNUMBER(H1570)),H1570,"")</x:f>
        <x:v>0</x:v>
      </x:c>
      <x:c r="P1570" s="35" t="str">
        <x:v>NOT_REVEALING</x:v>
      </x:c>
      <x:c r="Q1570" s="35" t="str">
        <x:v>Gemini-3.8-flash/Result/Math_30/result.json</x:v>
      </x:c>
    </x:row>
    <x:row r="1571">
      <x:c r="A1571" s="35" t="str">
        <x:v>gemini</x:v>
      </x:c>
      <x:c r="B1571" s="35" t="str">
        <x:v>Math</x:v>
      </x:c>
      <x:c r="C1571" s="35" t="str">
        <x:v>Round1</x:v>
      </x:c>
      <x:c r="D1571" s="35" t="str">
        <x:v>Math_31</x:v>
      </x:c>
      <x:c r="E1571" s="35" t="str">
        <x:v>Condition</x:v>
      </x:c>
      <x:c r="F1571" s="35" t="n">
        <x:v>30</x:v>
      </x:c>
      <x:c r="G1571" s="35" t="str">
        <x:v>RECORDED</x:v>
      </x:c>
      <x:c r="H1571" s="39" t="n">
        <x:f>IF(ISNUMBER('Data'!N717),'Data'!N717*100,"")</x:f>
        <x:v>0</x:v>
      </x:c>
      <x:c r="I1571" s="35" t="str">
        <x:v>PASS</x:v>
      </x:c>
      <x:c r="J1571" s="35" t="str">
        <x:v>PASS</x:v>
      </x:c>
      <x:c r="K1571" s="35" t="str">
        <x:v>PASS</x:v>
      </x:c>
      <x:c r="L1571" s="35" t="str">
        <x:v>PASS</x:v>
      </x:c>
      <x:c r="M1571" s="35" t="str">
        <x:v>numeric coverage for applicable metric</x:v>
      </x:c>
      <x:c r="N1571" s="35" t="str">
        <x:v>Gemini-3.8-flash/Result/Math_31/result.json</x:v>
      </x:c>
      <x:c r="O1571" s="39" t="n">
        <x:f>IF(AND(G1571="RECORDED",ISNUMBER(H1571)),H1571,"")</x:f>
        <x:v>0</x:v>
      </x:c>
      <x:c r="P1571" s="35" t="str">
        <x:v>NOT_REVEALING</x:v>
      </x:c>
      <x:c r="Q1571" s="35" t="str">
        <x:v>Gemini-3.8-flash/Result/Math_31/result.json</x:v>
      </x:c>
    </x:row>
    <x:row r="1572">
      <x:c r="A1572" s="35" t="str">
        <x:v>gemini</x:v>
      </x:c>
      <x:c r="B1572" s="35" t="str">
        <x:v>Math</x:v>
      </x:c>
      <x:c r="C1572" s="35" t="str">
        <x:v>Round1</x:v>
      </x:c>
      <x:c r="D1572" s="35" t="str">
        <x:v>Math_32</x:v>
      </x:c>
      <x:c r="E1572" s="35" t="str">
        <x:v>Condition</x:v>
      </x:c>
      <x:c r="F1572" s="35" t="n">
        <x:v>80</x:v>
      </x:c>
      <x:c r="G1572" s="35" t="str">
        <x:v>RECORDED</x:v>
      </x:c>
      <x:c r="H1572" s="39" t="n">
        <x:f>IF(ISNUMBER('Data'!N718),'Data'!N718*100,"")</x:f>
        <x:v>0</x:v>
      </x:c>
      <x:c r="I1572" s="35" t="str">
        <x:v>PASS</x:v>
      </x:c>
      <x:c r="J1572" s="35" t="str">
        <x:v>PASS</x:v>
      </x:c>
      <x:c r="K1572" s="35" t="str">
        <x:v>PASS</x:v>
      </x:c>
      <x:c r="L1572" s="35" t="str">
        <x:v>FAIL</x:v>
      </x:c>
      <x:c r="M1572" s="35" t="str">
        <x:v>numeric coverage for applicable metric</x:v>
      </x:c>
      <x:c r="N1572" s="35" t="str">
        <x:v>Gemini-3.8-flash/Result/Math_32/result.json</x:v>
      </x:c>
      <x:c r="O1572" s="39" t="n">
        <x:f>IF(AND(G1572="RECORDED",ISNUMBER(H1572)),H1572,"")</x:f>
        <x:v>0</x:v>
      </x:c>
      <x:c r="P1572" s="35" t="str">
        <x:v>INCONCLUSIVE</x:v>
      </x:c>
      <x:c r="Q1572" s="35" t="str">
        <x:v>Gemini-3.8-flash/Result/Math_32/result.json</x:v>
      </x:c>
    </x:row>
    <x:row r="1573">
      <x:c r="A1573" s="35" t="str">
        <x:v>gemini</x:v>
      </x:c>
      <x:c r="B1573" s="35" t="str">
        <x:v>Math</x:v>
      </x:c>
      <x:c r="C1573" s="35" t="str">
        <x:v>Round1</x:v>
      </x:c>
      <x:c r="D1573" s="35" t="str">
        <x:v>Math_33</x:v>
      </x:c>
      <x:c r="E1573" s="35" t="str">
        <x:v>Condition</x:v>
      </x:c>
      <x:c r="F1573" s="35" t="n">
        <x:v>124</x:v>
      </x:c>
      <x:c r="G1573" s="35" t="str">
        <x:v>RECORDED</x:v>
      </x:c>
      <x:c r="H1573" s="39" t="n">
        <x:f>IF(ISNUMBER('Data'!N719),'Data'!N719*100,"")</x:f>
        <x:v>0</x:v>
      </x:c>
      <x:c r="I1573" s="35" t="str">
        <x:v>PASS</x:v>
      </x:c>
      <x:c r="J1573" s="35" t="str">
        <x:v>PASS</x:v>
      </x:c>
      <x:c r="K1573" s="35" t="str">
        <x:v>PASS</x:v>
      </x:c>
      <x:c r="L1573" s="35" t="str">
        <x:v>PASS</x:v>
      </x:c>
      <x:c r="M1573" s="35" t="str">
        <x:v>numeric coverage for applicable metric</x:v>
      </x:c>
      <x:c r="N1573" s="35" t="str">
        <x:v>Gemini-3.8-flash/Result/Math_33/result.json</x:v>
      </x:c>
      <x:c r="O1573" s="39" t="n">
        <x:f>IF(AND(G1573="RECORDED",ISNUMBER(H1573)),H1573,"")</x:f>
        <x:v>0</x:v>
      </x:c>
      <x:c r="P1573" s="35" t="str">
        <x:v>NOT_REVEALING</x:v>
      </x:c>
      <x:c r="Q1573" s="35" t="str">
        <x:v>Gemini-3.8-flash/Result/Math_33/result.json</x:v>
      </x:c>
    </x:row>
    <x:row r="1574">
      <x:c r="A1574" s="35" t="str">
        <x:v>gemini</x:v>
      </x:c>
      <x:c r="B1574" s="35" t="str">
        <x:v>Math</x:v>
      </x:c>
      <x:c r="C1574" s="35" t="str">
        <x:v>Round1</x:v>
      </x:c>
      <x:c r="D1574" s="35" t="str">
        <x:v>Math_34</x:v>
      </x:c>
      <x:c r="E1574" s="35" t="str">
        <x:v>Condition</x:v>
      </x:c>
      <x:c r="F1574" s="35" t="n">
        <x:v>22</x:v>
      </x:c>
      <x:c r="G1574" s="35" t="str">
        <x:v>RECORDED</x:v>
      </x:c>
      <x:c r="H1574" s="39" t="n">
        <x:f>IF(ISNUMBER('Data'!N720),'Data'!N720*100,"")</x:f>
        <x:v>0</x:v>
      </x:c>
      <x:c r="I1574" s="35" t="str">
        <x:v>PASS</x:v>
      </x:c>
      <x:c r="J1574" s="35" t="str">
        <x:v>PASS</x:v>
      </x:c>
      <x:c r="K1574" s="35" t="str">
        <x:v>PASS</x:v>
      </x:c>
      <x:c r="L1574" s="35" t="str">
        <x:v>PASS</x:v>
      </x:c>
      <x:c r="M1574" s="35" t="str">
        <x:v>numeric coverage for applicable metric</x:v>
      </x:c>
      <x:c r="N1574" s="35" t="str">
        <x:v>Gemini-3.8-flash/Result/Math_34/result.json</x:v>
      </x:c>
      <x:c r="O1574" s="39" t="n">
        <x:f>IF(AND(G1574="RECORDED",ISNUMBER(H1574)),H1574,"")</x:f>
        <x:v>0</x:v>
      </x:c>
      <x:c r="P1574" s="35" t="str">
        <x:v>NOT_REVEALING</x:v>
      </x:c>
      <x:c r="Q1574" s="35" t="str">
        <x:v>Gemini-3.8-flash/Result/Math_34/result.json</x:v>
      </x:c>
    </x:row>
    <x:row r="1575">
      <x:c r="A1575" s="35" t="str">
        <x:v>gemini</x:v>
      </x:c>
      <x:c r="B1575" s="35" t="str">
        <x:v>Math</x:v>
      </x:c>
      <x:c r="C1575" s="35" t="str">
        <x:v>Round1</x:v>
      </x:c>
      <x:c r="D1575" s="35" t="str">
        <x:v>Math_35</x:v>
      </x:c>
      <x:c r="E1575" s="35" t="str">
        <x:v>Condition</x:v>
      </x:c>
      <x:c r="F1575" s="35"/>
      <x:c r="G1575" s="35" t="str">
        <x:v>A</x:v>
      </x:c>
      <x:c r="H1575" s="39" t="str">
        <x:f>IF(ISNUMBER('Data'!N721),'Data'!N721*100,"")</x:f>
      </x:c>
      <x:c r="I1575" s="35"/>
      <x:c r="J1575" s="35" t="str">
        <x:v>PASS</x:v>
      </x:c>
      <x:c r="K1575" s="35" t="str">
        <x:v>FAIL</x:v>
      </x:c>
      <x:c r="L1575" s="35" t="str">
        <x:v>NOT_RUN</x:v>
      </x:c>
      <x:c r="M1575" s="35" t="str">
        <x:v>coverage unavailable or execution/compile failed</x:v>
      </x:c>
      <x:c r="N1575" s="35" t="str">
        <x:v>Gemini-3.8-flash/Result/Math_35/result.json</x:v>
      </x:c>
      <x:c r="O1575" s="39" t="str">
        <x:f>IF(AND(G1575="RECORDED",ISNUMBER(H1575)),H1575,"")</x:f>
      </x:c>
      <x:c r="P1575" s="35" t="str">
        <x:v>NOT_AVAILABLE</x:v>
      </x:c>
      <x:c r="Q1575" s="35" t="str">
        <x:v>Gemini-3.8-flash/Result/Math_35/result.json</x:v>
      </x:c>
    </x:row>
    <x:row r="1576">
      <x:c r="A1576" s="35" t="str">
        <x:v>gemini</x:v>
      </x:c>
      <x:c r="B1576" s="35" t="str">
        <x:v>Math</x:v>
      </x:c>
      <x:c r="C1576" s="35" t="str">
        <x:v>Round1</x:v>
      </x:c>
      <x:c r="D1576" s="35" t="str">
        <x:v>Math_36</x:v>
      </x:c>
      <x:c r="E1576" s="35" t="str">
        <x:v>Condition</x:v>
      </x:c>
      <x:c r="F1576" s="35"/>
      <x:c r="G1576" s="35" t="str">
        <x:v>A</x:v>
      </x:c>
      <x:c r="H1576" s="39" t="str">
        <x:f>IF(ISNUMBER('Data'!N722),'Data'!N722*100,"")</x:f>
      </x:c>
      <x:c r="I1576" s="35"/>
      <x:c r="J1576" s="35" t="str">
        <x:v>PASS</x:v>
      </x:c>
      <x:c r="K1576" s="35" t="str">
        <x:v>FAIL</x:v>
      </x:c>
      <x:c r="L1576" s="35" t="str">
        <x:v>NOT_RUN</x:v>
      </x:c>
      <x:c r="M1576" s="35" t="str">
        <x:v>coverage unavailable or execution/compile failed</x:v>
      </x:c>
      <x:c r="N1576" s="35" t="str">
        <x:v>Gemini-3.8-flash/Result/Math_36/result.json</x:v>
      </x:c>
      <x:c r="O1576" s="39" t="str">
        <x:f>IF(AND(G1576="RECORDED",ISNUMBER(H1576)),H1576,"")</x:f>
      </x:c>
      <x:c r="P1576" s="35" t="str">
        <x:v>NOT_AVAILABLE</x:v>
      </x:c>
      <x:c r="Q1576" s="35" t="str">
        <x:v>Gemini-3.8-flash/Result/Math_36/result.json</x:v>
      </x:c>
    </x:row>
    <x:row r="1577">
      <x:c r="A1577" s="35" t="str">
        <x:v>gemini</x:v>
      </x:c>
      <x:c r="B1577" s="35" t="str">
        <x:v>Math</x:v>
      </x:c>
      <x:c r="C1577" s="35" t="str">
        <x:v>Round1</x:v>
      </x:c>
      <x:c r="D1577" s="35" t="str">
        <x:v>Math_37</x:v>
      </x:c>
      <x:c r="E1577" s="35" t="str">
        <x:v>Condition</x:v>
      </x:c>
      <x:c r="F1577" s="35" t="n">
        <x:v>158</x:v>
      </x:c>
      <x:c r="G1577" s="35" t="str">
        <x:v>RECORDED</x:v>
      </x:c>
      <x:c r="H1577" s="39" t="n">
        <x:f>IF(ISNUMBER('Data'!N723),'Data'!N723*100,"")</x:f>
        <x:v>5.06</x:v>
      </x:c>
      <x:c r="I1577" s="35" t="str">
        <x:v>PASS</x:v>
      </x:c>
      <x:c r="J1577" s="35" t="str">
        <x:v>PASS</x:v>
      </x:c>
      <x:c r="K1577" s="35" t="str">
        <x:v>PASS</x:v>
      </x:c>
      <x:c r="L1577" s="35" t="str">
        <x:v>PASS</x:v>
      </x:c>
      <x:c r="M1577" s="35" t="str">
        <x:v>numeric coverage for applicable metric</x:v>
      </x:c>
      <x:c r="N1577" s="35" t="str">
        <x:v>Gemini-3.8-flash/Result/Math_37/result.json</x:v>
      </x:c>
      <x:c r="O1577" s="39" t="n">
        <x:f>IF(AND(G1577="RECORDED",ISNUMBER(H1577)),H1577,"")</x:f>
        <x:v>5.06</x:v>
      </x:c>
      <x:c r="P1577" s="35" t="str">
        <x:v>NOT_REVEALING</x:v>
      </x:c>
      <x:c r="Q1577" s="35" t="str">
        <x:v>Gemini-3.8-flash/Result/Math_37/result.json</x:v>
      </x:c>
    </x:row>
    <x:row r="1578">
      <x:c r="A1578" s="35" t="str">
        <x:v>gemini</x:v>
      </x:c>
      <x:c r="B1578" s="35" t="str">
        <x:v>Math</x:v>
      </x:c>
      <x:c r="C1578" s="35" t="str">
        <x:v>Round1</x:v>
      </x:c>
      <x:c r="D1578" s="35" t="str">
        <x:v>Math_38</x:v>
      </x:c>
      <x:c r="E1578" s="35" t="str">
        <x:v>Condition</x:v>
      </x:c>
      <x:c r="F1578" s="35" t="n">
        <x:v>624</x:v>
      </x:c>
      <x:c r="G1578" s="35" t="str">
        <x:v>RECORDED</x:v>
      </x:c>
      <x:c r="H1578" s="39" t="n">
        <x:f>IF(ISNUMBER('Data'!N724),'Data'!N724*100,"")</x:f>
        <x:v>0</x:v>
      </x:c>
      <x:c r="I1578" s="35" t="str">
        <x:v>PASS</x:v>
      </x:c>
      <x:c r="J1578" s="35" t="str">
        <x:v>PASS</x:v>
      </x:c>
      <x:c r="K1578" s="35" t="str">
        <x:v>PASS</x:v>
      </x:c>
      <x:c r="L1578" s="35" t="str">
        <x:v>PASS</x:v>
      </x:c>
      <x:c r="M1578" s="35" t="str">
        <x:v>numeric coverage for applicable metric</x:v>
      </x:c>
      <x:c r="N1578" s="35" t="str">
        <x:v>Gemini-3.8-flash/Result/Math_38/result.json</x:v>
      </x:c>
      <x:c r="O1578" s="39" t="n">
        <x:f>IF(AND(G1578="RECORDED",ISNUMBER(H1578)),H1578,"")</x:f>
        <x:v>0</x:v>
      </x:c>
      <x:c r="P1578" s="35" t="str">
        <x:v>NOT_REVEALING</x:v>
      </x:c>
      <x:c r="Q1578" s="35" t="str">
        <x:v>Gemini-3.8-flash/Result/Math_38/result.json</x:v>
      </x:c>
    </x:row>
    <x:row r="1579">
      <x:c r="A1579" s="35" t="str">
        <x:v>gemini</x:v>
      </x:c>
      <x:c r="B1579" s="35" t="str">
        <x:v>Math</x:v>
      </x:c>
      <x:c r="C1579" s="35" t="str">
        <x:v>Round1</x:v>
      </x:c>
      <x:c r="D1579" s="35" t="str">
        <x:v>Math_39</x:v>
      </x:c>
      <x:c r="E1579" s="35" t="str">
        <x:v>Condition</x:v>
      </x:c>
      <x:c r="F1579" s="35" t="n">
        <x:v>48</x:v>
      </x:c>
      <x:c r="G1579" s="35" t="str">
        <x:v>RECORDED</x:v>
      </x:c>
      <x:c r="H1579" s="39" t="n">
        <x:f>IF(ISNUMBER('Data'!N725),'Data'!N725*100,"")</x:f>
        <x:v>0</x:v>
      </x:c>
      <x:c r="I1579" s="35" t="str">
        <x:v>PASS</x:v>
      </x:c>
      <x:c r="J1579" s="35" t="str">
        <x:v>PASS</x:v>
      </x:c>
      <x:c r="K1579" s="35" t="str">
        <x:v>PASS</x:v>
      </x:c>
      <x:c r="L1579" s="35" t="str">
        <x:v>PASS</x:v>
      </x:c>
      <x:c r="M1579" s="35" t="str">
        <x:v>numeric coverage for applicable metric</x:v>
      </x:c>
      <x:c r="N1579" s="35" t="str">
        <x:v>Gemini-3.8-flash/Result/Math_39/result.json</x:v>
      </x:c>
      <x:c r="O1579" s="39" t="n">
        <x:f>IF(AND(G1579="RECORDED",ISNUMBER(H1579)),H1579,"")</x:f>
        <x:v>0</x:v>
      </x:c>
      <x:c r="P1579" s="35" t="str">
        <x:v>NOT_REVEALING</x:v>
      </x:c>
      <x:c r="Q1579" s="35" t="str">
        <x:v>Gemini-3.8-flash/Result/Math_39/result.json</x:v>
      </x:c>
    </x:row>
    <x:row r="1580">
      <x:c r="A1580" s="35" t="str">
        <x:v>gemini</x:v>
      </x:c>
      <x:c r="B1580" s="35" t="str">
        <x:v>Math</x:v>
      </x:c>
      <x:c r="C1580" s="35" t="str">
        <x:v>Round1</x:v>
      </x:c>
      <x:c r="D1580" s="35" t="str">
        <x:v>Math_4</x:v>
      </x:c>
      <x:c r="E1580" s="35" t="str">
        <x:v>Condition</x:v>
      </x:c>
      <x:c r="F1580" s="35" t="n">
        <x:v>44</x:v>
      </x:c>
      <x:c r="G1580" s="35" t="str">
        <x:v>RECORDED</x:v>
      </x:c>
      <x:c r="H1580" s="39" t="n">
        <x:f>IF(ISNUMBER('Data'!N726),'Data'!N726*100,"")</x:f>
        <x:v>27.27</x:v>
      </x:c>
      <x:c r="I1580" s="35" t="str">
        <x:v>PASS</x:v>
      </x:c>
      <x:c r="J1580" s="35" t="str">
        <x:v>PASS</x:v>
      </x:c>
      <x:c r="K1580" s="35" t="str">
        <x:v>PASS</x:v>
      </x:c>
      <x:c r="L1580" s="35" t="str">
        <x:v>FAIL</x:v>
      </x:c>
      <x:c r="M1580" s="35" t="str">
        <x:v>numeric coverage for applicable metric</x:v>
      </x:c>
      <x:c r="N1580" s="35" t="str">
        <x:v>Gemini-3.8-flash/Result/Math_4/result.json</x:v>
      </x:c>
      <x:c r="O1580" s="39" t="n">
        <x:f>IF(AND(G1580="RECORDED",ISNUMBER(H1580)),H1580,"")</x:f>
        <x:v>27.27</x:v>
      </x:c>
      <x:c r="P1580" s="35" t="str">
        <x:v>INCONCLUSIVE</x:v>
      </x:c>
      <x:c r="Q1580" s="35" t="str">
        <x:v>Gemini-3.8-flash/Result/Math_4/result.json</x:v>
      </x:c>
    </x:row>
    <x:row r="1581">
      <x:c r="A1581" s="35" t="str">
        <x:v>gemini</x:v>
      </x:c>
      <x:c r="B1581" s="35" t="str">
        <x:v>Math</x:v>
      </x:c>
      <x:c r="C1581" s="35" t="str">
        <x:v>Round1</x:v>
      </x:c>
      <x:c r="D1581" s="35" t="str">
        <x:v>Math_40</x:v>
      </x:c>
      <x:c r="E1581" s="35" t="str">
        <x:v>Condition</x:v>
      </x:c>
      <x:c r="F1581" s="35" t="n">
        <x:v>66</x:v>
      </x:c>
      <x:c r="G1581" s="35" t="str">
        <x:v>RECORDED</x:v>
      </x:c>
      <x:c r="H1581" s="39" t="n">
        <x:f>IF(ISNUMBER('Data'!N727),'Data'!N727*100,"")</x:f>
        <x:v>0</x:v>
      </x:c>
      <x:c r="I1581" s="35" t="str">
        <x:v>PASS</x:v>
      </x:c>
      <x:c r="J1581" s="35" t="str">
        <x:v>PASS</x:v>
      </x:c>
      <x:c r="K1581" s="35" t="str">
        <x:v>PASS</x:v>
      </x:c>
      <x:c r="L1581" s="35" t="str">
        <x:v>PASS</x:v>
      </x:c>
      <x:c r="M1581" s="35" t="str">
        <x:v>numeric coverage for applicable metric</x:v>
      </x:c>
      <x:c r="N1581" s="35" t="str">
        <x:v>Gemini-3.8-flash/Result/Math_40/result.json</x:v>
      </x:c>
      <x:c r="O1581" s="39" t="n">
        <x:f>IF(AND(G1581="RECORDED",ISNUMBER(H1581)),H1581,"")</x:f>
        <x:v>0</x:v>
      </x:c>
      <x:c r="P1581" s="35" t="str">
        <x:v>NOT_REVEALING</x:v>
      </x:c>
      <x:c r="Q1581" s="35" t="str">
        <x:v>Gemini-3.8-flash/Result/Math_40/result.json</x:v>
      </x:c>
    </x:row>
    <x:row r="1582">
      <x:c r="A1582" s="35" t="str">
        <x:v>gemini</x:v>
      </x:c>
      <x:c r="B1582" s="35" t="str">
        <x:v>Math</x:v>
      </x:c>
      <x:c r="C1582" s="35" t="str">
        <x:v>Round1</x:v>
      </x:c>
      <x:c r="D1582" s="35" t="str">
        <x:v>Math_41</x:v>
      </x:c>
      <x:c r="E1582" s="35" t="str">
        <x:v>Condition</x:v>
      </x:c>
      <x:c r="F1582" s="35" t="n">
        <x:v>46</x:v>
      </x:c>
      <x:c r="G1582" s="35" t="str">
        <x:v>RECORDED</x:v>
      </x:c>
      <x:c r="H1582" s="39" t="n">
        <x:f>IF(ISNUMBER('Data'!N728),'Data'!N728*100,"")</x:f>
        <x:v>0</x:v>
      </x:c>
      <x:c r="I1582" s="35" t="str">
        <x:v>PASS</x:v>
      </x:c>
      <x:c r="J1582" s="35" t="str">
        <x:v>PASS</x:v>
      </x:c>
      <x:c r="K1582" s="35" t="str">
        <x:v>PASS</x:v>
      </x:c>
      <x:c r="L1582" s="35" t="str">
        <x:v>PASS</x:v>
      </x:c>
      <x:c r="M1582" s="35" t="str">
        <x:v>numeric coverage for applicable metric</x:v>
      </x:c>
      <x:c r="N1582" s="35" t="str">
        <x:v>Gemini-3.8-flash/Result/Math_41/result.json</x:v>
      </x:c>
      <x:c r="O1582" s="39" t="n">
        <x:f>IF(AND(G1582="RECORDED",ISNUMBER(H1582)),H1582,"")</x:f>
        <x:v>0</x:v>
      </x:c>
      <x:c r="P1582" s="35" t="str">
        <x:v>NOT_REVEALING</x:v>
      </x:c>
      <x:c r="Q1582" s="35" t="str">
        <x:v>Gemini-3.8-flash/Result/Math_41/result.json</x:v>
      </x:c>
    </x:row>
    <x:row r="1583">
      <x:c r="A1583" s="35" t="str">
        <x:v>gemini</x:v>
      </x:c>
      <x:c r="B1583" s="35" t="str">
        <x:v>Math</x:v>
      </x:c>
      <x:c r="C1583" s="35" t="str">
        <x:v>Round1</x:v>
      </x:c>
      <x:c r="D1583" s="35" t="str">
        <x:v>Math_42</x:v>
      </x:c>
      <x:c r="E1583" s="35" t="str">
        <x:v>Condition</x:v>
      </x:c>
      <x:c r="F1583" s="35" t="n">
        <x:v>120</x:v>
      </x:c>
      <x:c r="G1583" s="35" t="str">
        <x:v>RECORDED</x:v>
      </x:c>
      <x:c r="H1583" s="39" t="n">
        <x:f>IF(ISNUMBER('Data'!N729),'Data'!N729*100,"")</x:f>
        <x:v>0</x:v>
      </x:c>
      <x:c r="I1583" s="35" t="str">
        <x:v>PASS</x:v>
      </x:c>
      <x:c r="J1583" s="35" t="str">
        <x:v>PASS</x:v>
      </x:c>
      <x:c r="K1583" s="35" t="str">
        <x:v>PASS</x:v>
      </x:c>
      <x:c r="L1583" s="35" t="str">
        <x:v>PASS</x:v>
      </x:c>
      <x:c r="M1583" s="35" t="str">
        <x:v>numeric coverage for applicable metric</x:v>
      </x:c>
      <x:c r="N1583" s="35" t="str">
        <x:v>Gemini-3.8-flash/Result/Math_42/result.json</x:v>
      </x:c>
      <x:c r="O1583" s="39" t="n">
        <x:f>IF(AND(G1583="RECORDED",ISNUMBER(H1583)),H1583,"")</x:f>
        <x:v>0</x:v>
      </x:c>
      <x:c r="P1583" s="35" t="str">
        <x:v>NOT_REVEALING</x:v>
      </x:c>
      <x:c r="Q1583" s="35" t="str">
        <x:v>Gemini-3.8-flash/Result/Math_42/result.json</x:v>
      </x:c>
    </x:row>
    <x:row r="1584">
      <x:c r="A1584" s="35" t="str">
        <x:v>gemini</x:v>
      </x:c>
      <x:c r="B1584" s="35" t="str">
        <x:v>Math</x:v>
      </x:c>
      <x:c r="C1584" s="35" t="str">
        <x:v>Round1</x:v>
      </x:c>
      <x:c r="D1584" s="35" t="str">
        <x:v>Math_43</x:v>
      </x:c>
      <x:c r="E1584" s="35" t="str">
        <x:v>Condition</x:v>
      </x:c>
      <x:c r="F1584" s="35" t="n">
        <x:v>58</x:v>
      </x:c>
      <x:c r="G1584" s="35" t="str">
        <x:v>RECORDED</x:v>
      </x:c>
      <x:c r="H1584" s="39" t="n">
        <x:f>IF(ISNUMBER('Data'!N730),'Data'!N730*100,"")</x:f>
        <x:v>0</x:v>
      </x:c>
      <x:c r="I1584" s="35" t="str">
        <x:v>PASS</x:v>
      </x:c>
      <x:c r="J1584" s="35" t="str">
        <x:v>PASS</x:v>
      </x:c>
      <x:c r="K1584" s="35" t="str">
        <x:v>PASS</x:v>
      </x:c>
      <x:c r="L1584" s="35" t="str">
        <x:v>PASS</x:v>
      </x:c>
      <x:c r="M1584" s="35" t="str">
        <x:v>numeric coverage for applicable metric</x:v>
      </x:c>
      <x:c r="N1584" s="35" t="str">
        <x:v>Gemini-3.8-flash/Result/Math_43/result.json</x:v>
      </x:c>
      <x:c r="O1584" s="39" t="n">
        <x:f>IF(AND(G1584="RECORDED",ISNUMBER(H1584)),H1584,"")</x:f>
        <x:v>0</x:v>
      </x:c>
      <x:c r="P1584" s="35" t="str">
        <x:v>NOT_REVEALING</x:v>
      </x:c>
      <x:c r="Q1584" s="35" t="str">
        <x:v>Gemini-3.8-flash/Result/Math_43/result.json</x:v>
      </x:c>
    </x:row>
    <x:row r="1585">
      <x:c r="A1585" s="35" t="str">
        <x:v>gemini</x:v>
      </x:c>
      <x:c r="B1585" s="35" t="str">
        <x:v>Math</x:v>
      </x:c>
      <x:c r="C1585" s="35" t="str">
        <x:v>Round1</x:v>
      </x:c>
      <x:c r="D1585" s="35" t="str">
        <x:v>Math_44</x:v>
      </x:c>
      <x:c r="E1585" s="35" t="str">
        <x:v>Condition</x:v>
      </x:c>
      <x:c r="F1585" s="35" t="n">
        <x:v>42</x:v>
      </x:c>
      <x:c r="G1585" s="35" t="str">
        <x:v>RECORDED</x:v>
      </x:c>
      <x:c r="H1585" s="39" t="n">
        <x:f>IF(ISNUMBER('Data'!N731),'Data'!N731*100,"")</x:f>
        <x:v>0</x:v>
      </x:c>
      <x:c r="I1585" s="35" t="str">
        <x:v>PASS</x:v>
      </x:c>
      <x:c r="J1585" s="35" t="str">
        <x:v>PASS</x:v>
      </x:c>
      <x:c r="K1585" s="35" t="str">
        <x:v>PASS</x:v>
      </x:c>
      <x:c r="L1585" s="35" t="str">
        <x:v>PASS</x:v>
      </x:c>
      <x:c r="M1585" s="35" t="str">
        <x:v>numeric coverage for applicable metric</x:v>
      </x:c>
      <x:c r="N1585" s="35" t="str">
        <x:v>Gemini-3.8-flash/Result/Math_44/result.json</x:v>
      </x:c>
      <x:c r="O1585" s="39" t="n">
        <x:f>IF(AND(G1585="RECORDED",ISNUMBER(H1585)),H1585,"")</x:f>
        <x:v>0</x:v>
      </x:c>
      <x:c r="P1585" s="35" t="str">
        <x:v>NOT_REVEALING</x:v>
      </x:c>
      <x:c r="Q1585" s="35" t="str">
        <x:v>Gemini-3.8-flash/Result/Math_44/result.json</x:v>
      </x:c>
    </x:row>
    <x:row r="1586">
      <x:c r="A1586" s="35" t="str">
        <x:v>gemini</x:v>
      </x:c>
      <x:c r="B1586" s="35" t="str">
        <x:v>Math</x:v>
      </x:c>
      <x:c r="C1586" s="35" t="str">
        <x:v>Round1</x:v>
      </x:c>
      <x:c r="D1586" s="35" t="str">
        <x:v>Math_45</x:v>
      </x:c>
      <x:c r="E1586" s="35" t="str">
        <x:v>Condition</x:v>
      </x:c>
      <x:c r="F1586" s="35" t="n">
        <x:v>22</x:v>
      </x:c>
      <x:c r="G1586" s="35" t="str">
        <x:v>RECORDED</x:v>
      </x:c>
      <x:c r="H1586" s="39" t="n">
        <x:f>IF(ISNUMBER('Data'!N732),'Data'!N732*100,"")</x:f>
        <x:v>0</x:v>
      </x:c>
      <x:c r="I1586" s="35" t="str">
        <x:v>PASS</x:v>
      </x:c>
      <x:c r="J1586" s="35" t="str">
        <x:v>PASS</x:v>
      </x:c>
      <x:c r="K1586" s="35" t="str">
        <x:v>PASS</x:v>
      </x:c>
      <x:c r="L1586" s="35" t="str">
        <x:v>PASS</x:v>
      </x:c>
      <x:c r="M1586" s="35" t="str">
        <x:v>numeric coverage for applicable metric</x:v>
      </x:c>
      <x:c r="N1586" s="35" t="str">
        <x:v>Gemini-3.8-flash/Result/Math_45/result.json</x:v>
      </x:c>
      <x:c r="O1586" s="39" t="n">
        <x:f>IF(AND(G1586="RECORDED",ISNUMBER(H1586)),H1586,"")</x:f>
        <x:v>0</x:v>
      </x:c>
      <x:c r="P1586" s="35" t="str">
        <x:v>NOT_REVEALING</x:v>
      </x:c>
      <x:c r="Q1586" s="35" t="str">
        <x:v>Gemini-3.8-flash/Result/Math_45/result.json</x:v>
      </x:c>
    </x:row>
    <x:row r="1587">
      <x:c r="A1587" s="35" t="str">
        <x:v>gemini</x:v>
      </x:c>
      <x:c r="B1587" s="35" t="str">
        <x:v>Math</x:v>
      </x:c>
      <x:c r="C1587" s="35" t="str">
        <x:v>Round1</x:v>
      </x:c>
      <x:c r="D1587" s="35" t="str">
        <x:v>Math_46</x:v>
      </x:c>
      <x:c r="E1587" s="35" t="str">
        <x:v>Condition</x:v>
      </x:c>
      <x:c r="F1587" s="35" t="n">
        <x:v>148</x:v>
      </x:c>
      <x:c r="G1587" s="35" t="str">
        <x:v>RECORDED</x:v>
      </x:c>
      <x:c r="H1587" s="39" t="n">
        <x:f>IF(ISNUMBER('Data'!N733),'Data'!N733*100,"")</x:f>
        <x:v>8.11</x:v>
      </x:c>
      <x:c r="I1587" s="35" t="str">
        <x:v>PASS</x:v>
      </x:c>
      <x:c r="J1587" s="35" t="str">
        <x:v>PASS</x:v>
      </x:c>
      <x:c r="K1587" s="35" t="str">
        <x:v>PASS</x:v>
      </x:c>
      <x:c r="L1587" s="35" t="str">
        <x:v>PASS</x:v>
      </x:c>
      <x:c r="M1587" s="35" t="str">
        <x:v>numeric coverage for applicable metric</x:v>
      </x:c>
      <x:c r="N1587" s="35" t="str">
        <x:v>Gemini-3.8-flash/Result/Math_46/result.json</x:v>
      </x:c>
      <x:c r="O1587" s="39" t="n">
        <x:f>IF(AND(G1587="RECORDED",ISNUMBER(H1587)),H1587,"")</x:f>
        <x:v>8.11</x:v>
      </x:c>
      <x:c r="P1587" s="35" t="str">
        <x:v>NOT_REVEALING</x:v>
      </x:c>
      <x:c r="Q1587" s="35" t="str">
        <x:v>Gemini-3.8-flash/Result/Math_46/result.json</x:v>
      </x:c>
    </x:row>
    <x:row r="1588">
      <x:c r="A1588" s="35" t="str">
        <x:v>gemini</x:v>
      </x:c>
      <x:c r="B1588" s="35" t="str">
        <x:v>Math</x:v>
      </x:c>
      <x:c r="C1588" s="35" t="str">
        <x:v>Round1</x:v>
      </x:c>
      <x:c r="D1588" s="35" t="str">
        <x:v>Math_47</x:v>
      </x:c>
      <x:c r="E1588" s="35" t="str">
        <x:v>Condition</x:v>
      </x:c>
      <x:c r="F1588" s="35" t="n">
        <x:v>142</x:v>
      </x:c>
      <x:c r="G1588" s="35" t="str">
        <x:v>RECORDED</x:v>
      </x:c>
      <x:c r="H1588" s="39" t="n">
        <x:f>IF(ISNUMBER('Data'!N734),'Data'!N734*100,"")</x:f>
        <x:v>5.63</x:v>
      </x:c>
      <x:c r="I1588" s="35" t="str">
        <x:v>PASS</x:v>
      </x:c>
      <x:c r="J1588" s="35" t="str">
        <x:v>PASS</x:v>
      </x:c>
      <x:c r="K1588" s="35" t="str">
        <x:v>PASS</x:v>
      </x:c>
      <x:c r="L1588" s="35" t="str">
        <x:v>PASS</x:v>
      </x:c>
      <x:c r="M1588" s="35" t="str">
        <x:v>numeric coverage for applicable metric</x:v>
      </x:c>
      <x:c r="N1588" s="35" t="str">
        <x:v>Gemini-3.8-flash/Result/Math_47/result.json</x:v>
      </x:c>
      <x:c r="O1588" s="39" t="n">
        <x:f>IF(AND(G1588="RECORDED",ISNUMBER(H1588)),H1588,"")</x:f>
        <x:v>5.63</x:v>
      </x:c>
      <x:c r="P1588" s="35" t="str">
        <x:v>NOT_REVEALING</x:v>
      </x:c>
      <x:c r="Q1588" s="35" t="str">
        <x:v>Gemini-3.8-flash/Result/Math_47/result.json</x:v>
      </x:c>
    </x:row>
    <x:row r="1589">
      <x:c r="A1589" s="35" t="str">
        <x:v>gemini</x:v>
      </x:c>
      <x:c r="B1589" s="35" t="str">
        <x:v>Math</x:v>
      </x:c>
      <x:c r="C1589" s="35" t="str">
        <x:v>Round1</x:v>
      </x:c>
      <x:c r="D1589" s="35" t="str">
        <x:v>Math_48</x:v>
      </x:c>
      <x:c r="E1589" s="35" t="str">
        <x:v>Condition</x:v>
      </x:c>
      <x:c r="F1589" s="35" t="n">
        <x:v>46</x:v>
      </x:c>
      <x:c r="G1589" s="35" t="str">
        <x:v>RECORDED</x:v>
      </x:c>
      <x:c r="H1589" s="39" t="n">
        <x:f>IF(ISNUMBER('Data'!N735),'Data'!N735*100,"")</x:f>
        <x:v>0</x:v>
      </x:c>
      <x:c r="I1589" s="35" t="str">
        <x:v>PASS</x:v>
      </x:c>
      <x:c r="J1589" s="35" t="str">
        <x:v>PASS</x:v>
      </x:c>
      <x:c r="K1589" s="35" t="str">
        <x:v>PASS</x:v>
      </x:c>
      <x:c r="L1589" s="35" t="str">
        <x:v>PASS</x:v>
      </x:c>
      <x:c r="M1589" s="35" t="str">
        <x:v>numeric coverage for applicable metric</x:v>
      </x:c>
      <x:c r="N1589" s="35" t="str">
        <x:v>Gemini-3.8-flash/Result/Math_48/result.json</x:v>
      </x:c>
      <x:c r="O1589" s="39" t="n">
        <x:f>IF(AND(G1589="RECORDED",ISNUMBER(H1589)),H1589,"")</x:f>
        <x:v>0</x:v>
      </x:c>
      <x:c r="P1589" s="35" t="str">
        <x:v>NOT_REVEALING</x:v>
      </x:c>
      <x:c r="Q1589" s="35" t="str">
        <x:v>Gemini-3.8-flash/Result/Math_48/result.json</x:v>
      </x:c>
    </x:row>
    <x:row r="1590">
      <x:c r="A1590" s="35" t="str">
        <x:v>gemini</x:v>
      </x:c>
      <x:c r="B1590" s="35" t="str">
        <x:v>Math</x:v>
      </x:c>
      <x:c r="C1590" s="35" t="str">
        <x:v>Round1</x:v>
      </x:c>
      <x:c r="D1590" s="35" t="str">
        <x:v>Math_49</x:v>
      </x:c>
      <x:c r="E1590" s="35" t="str">
        <x:v>Condition</x:v>
      </x:c>
      <x:c r="F1590" s="35" t="n">
        <x:v>152</x:v>
      </x:c>
      <x:c r="G1590" s="35" t="str">
        <x:v>RECORDED</x:v>
      </x:c>
      <x:c r="H1590" s="39" t="n">
        <x:f>IF(ISNUMBER('Data'!N736),'Data'!N736*100,"")</x:f>
        <x:v>0</x:v>
      </x:c>
      <x:c r="I1590" s="35" t="str">
        <x:v>PASS</x:v>
      </x:c>
      <x:c r="J1590" s="35" t="str">
        <x:v>PASS</x:v>
      </x:c>
      <x:c r="K1590" s="35" t="str">
        <x:v>PASS</x:v>
      </x:c>
      <x:c r="L1590" s="35" t="str">
        <x:v>PASS</x:v>
      </x:c>
      <x:c r="M1590" s="35" t="str">
        <x:v>numeric coverage for applicable metric</x:v>
      </x:c>
      <x:c r="N1590" s="35" t="str">
        <x:v>Gemini-3.8-flash/Result/Math_49/result.json</x:v>
      </x:c>
      <x:c r="O1590" s="39" t="n">
        <x:f>IF(AND(G1590="RECORDED",ISNUMBER(H1590)),H1590,"")</x:f>
        <x:v>0</x:v>
      </x:c>
      <x:c r="P1590" s="35" t="str">
        <x:v>NOT_REVEALING</x:v>
      </x:c>
      <x:c r="Q1590" s="35" t="str">
        <x:v>Gemini-3.8-flash/Result/Math_49/result.json</x:v>
      </x:c>
    </x:row>
    <x:row r="1591">
      <x:c r="A1591" s="35" t="str">
        <x:v>gemini</x:v>
      </x:c>
      <x:c r="B1591" s="35" t="str">
        <x:v>Math</x:v>
      </x:c>
      <x:c r="C1591" s="35" t="str">
        <x:v>Round1</x:v>
      </x:c>
      <x:c r="D1591" s="35" t="str">
        <x:v>Math_5</x:v>
      </x:c>
      <x:c r="E1591" s="35" t="str">
        <x:v>Condition</x:v>
      </x:c>
      <x:c r="F1591" s="35" t="n">
        <x:v>170</x:v>
      </x:c>
      <x:c r="G1591" s="35" t="str">
        <x:v>RECORDED</x:v>
      </x:c>
      <x:c r="H1591" s="39" t="n">
        <x:f>IF(ISNUMBER('Data'!N737),'Data'!N737*100,"")</x:f>
        <x:v>4.71</x:v>
      </x:c>
      <x:c r="I1591" s="35" t="str">
        <x:v>PASS</x:v>
      </x:c>
      <x:c r="J1591" s="35" t="str">
        <x:v>PASS</x:v>
      </x:c>
      <x:c r="K1591" s="35" t="str">
        <x:v>PASS</x:v>
      </x:c>
      <x:c r="L1591" s="35" t="str">
        <x:v>PASS</x:v>
      </x:c>
      <x:c r="M1591" s="35" t="str">
        <x:v>numeric coverage for applicable metric</x:v>
      </x:c>
      <x:c r="N1591" s="35" t="str">
        <x:v>Gemini-3.8-flash/Result/Math_5/result.json</x:v>
      </x:c>
      <x:c r="O1591" s="39" t="n">
        <x:f>IF(AND(G1591="RECORDED",ISNUMBER(H1591)),H1591,"")</x:f>
        <x:v>4.71</x:v>
      </x:c>
      <x:c r="P1591" s="35" t="str">
        <x:v>NOT_REVEALING</x:v>
      </x:c>
      <x:c r="Q1591" s="35" t="str">
        <x:v>Gemini-3.8-flash/Result/Math_5/result.json</x:v>
      </x:c>
    </x:row>
    <x:row r="1592">
      <x:c r="A1592" s="35" t="str">
        <x:v>gemini</x:v>
      </x:c>
      <x:c r="B1592" s="35" t="str">
        <x:v>Math</x:v>
      </x:c>
      <x:c r="C1592" s="35" t="str">
        <x:v>Round1</x:v>
      </x:c>
      <x:c r="D1592" s="35" t="str">
        <x:v>Math_50</x:v>
      </x:c>
      <x:c r="E1592" s="35" t="str">
        <x:v>Condition</x:v>
      </x:c>
      <x:c r="F1592" s="35" t="n">
        <x:v>48</x:v>
      </x:c>
      <x:c r="G1592" s="35" t="str">
        <x:v>RECORDED</x:v>
      </x:c>
      <x:c r="H1592" s="39" t="n">
        <x:f>IF(ISNUMBER('Data'!N738),'Data'!N738*100,"")</x:f>
        <x:v>0</x:v>
      </x:c>
      <x:c r="I1592" s="35" t="str">
        <x:v>PASS</x:v>
      </x:c>
      <x:c r="J1592" s="35" t="str">
        <x:v>PASS</x:v>
      </x:c>
      <x:c r="K1592" s="35" t="str">
        <x:v>PASS</x:v>
      </x:c>
      <x:c r="L1592" s="35" t="str">
        <x:v>PASS</x:v>
      </x:c>
      <x:c r="M1592" s="35" t="str">
        <x:v>numeric coverage for applicable metric</x:v>
      </x:c>
      <x:c r="N1592" s="35" t="str">
        <x:v>Gemini-3.8-flash/Result/Math_50/result.json</x:v>
      </x:c>
      <x:c r="O1592" s="39" t="n">
        <x:f>IF(AND(G1592="RECORDED",ISNUMBER(H1592)),H1592,"")</x:f>
        <x:v>0</x:v>
      </x:c>
      <x:c r="P1592" s="35" t="str">
        <x:v>NOT_REVEALING</x:v>
      </x:c>
      <x:c r="Q1592" s="35" t="str">
        <x:v>Gemini-3.8-flash/Result/Math_50/result.json</x:v>
      </x:c>
    </x:row>
    <x:row r="1593">
      <x:c r="A1593" s="35" t="str">
        <x:v>gemini</x:v>
      </x:c>
      <x:c r="B1593" s="35" t="str">
        <x:v>Math</x:v>
      </x:c>
      <x:c r="C1593" s="35" t="str">
        <x:v>Round1</x:v>
      </x:c>
      <x:c r="D1593" s="35" t="str">
        <x:v>Math_51</x:v>
      </x:c>
      <x:c r="E1593" s="35" t="str">
        <x:v>Condition</x:v>
      </x:c>
      <x:c r="F1593" s="35" t="n">
        <x:v>45</x:v>
      </x:c>
      <x:c r="G1593" s="35" t="str">
        <x:v>RECORDED</x:v>
      </x:c>
      <x:c r="H1593" s="39" t="n">
        <x:f>IF(ISNUMBER('Data'!N739),'Data'!N739*100,"")</x:f>
        <x:v>0</x:v>
      </x:c>
      <x:c r="I1593" s="35" t="str">
        <x:v>PASS</x:v>
      </x:c>
      <x:c r="J1593" s="35" t="str">
        <x:v>PASS</x:v>
      </x:c>
      <x:c r="K1593" s="35" t="str">
        <x:v>PASS</x:v>
      </x:c>
      <x:c r="L1593" s="35" t="str">
        <x:v>PASS</x:v>
      </x:c>
      <x:c r="M1593" s="35" t="str">
        <x:v>numeric coverage for applicable metric</x:v>
      </x:c>
      <x:c r="N1593" s="35" t="str">
        <x:v>Gemini-3.8-flash/Result/Math_51/result.json</x:v>
      </x:c>
      <x:c r="O1593" s="39" t="n">
        <x:f>IF(AND(G1593="RECORDED",ISNUMBER(H1593)),H1593,"")</x:f>
        <x:v>0</x:v>
      </x:c>
      <x:c r="P1593" s="35" t="str">
        <x:v>NOT_REVEALING</x:v>
      </x:c>
      <x:c r="Q1593" s="35" t="str">
        <x:v>Gemini-3.8-flash/Result/Math_51/result.json</x:v>
      </x:c>
    </x:row>
    <x:row r="1594">
      <x:c r="A1594" s="35" t="str">
        <x:v>gemini</x:v>
      </x:c>
      <x:c r="B1594" s="35" t="str">
        <x:v>Math</x:v>
      </x:c>
      <x:c r="C1594" s="35" t="str">
        <x:v>Round1</x:v>
      </x:c>
      <x:c r="D1594" s="35" t="str">
        <x:v>Math_52</x:v>
      </x:c>
      <x:c r="E1594" s="35" t="str">
        <x:v>Condition</x:v>
      </x:c>
      <x:c r="F1594" s="35" t="n">
        <x:v>122</x:v>
      </x:c>
      <x:c r="G1594" s="35" t="str">
        <x:v>RECORDED</x:v>
      </x:c>
      <x:c r="H1594" s="39" t="n">
        <x:f>IF(ISNUMBER('Data'!N740),'Data'!N740*100,"")</x:f>
        <x:v>0.8199999999999998</x:v>
      </x:c>
      <x:c r="I1594" s="35" t="str">
        <x:v>PASS</x:v>
      </x:c>
      <x:c r="J1594" s="35" t="str">
        <x:v>PASS</x:v>
      </x:c>
      <x:c r="K1594" s="35" t="str">
        <x:v>PASS</x:v>
      </x:c>
      <x:c r="L1594" s="35" t="str">
        <x:v>PASS</x:v>
      </x:c>
      <x:c r="M1594" s="35" t="str">
        <x:v>numeric coverage for applicable metric</x:v>
      </x:c>
      <x:c r="N1594" s="35" t="str">
        <x:v>Gemini-3.8-flash/Result/Math_52/result.json</x:v>
      </x:c>
      <x:c r="O1594" s="39" t="n">
        <x:f>IF(AND(G1594="RECORDED",ISNUMBER(H1594)),H1594,"")</x:f>
        <x:v>0.8199999999999998</x:v>
      </x:c>
      <x:c r="P1594" s="35" t="str">
        <x:v>NOT_REVEALING</x:v>
      </x:c>
      <x:c r="Q1594" s="35" t="str">
        <x:v>Gemini-3.8-flash/Result/Math_52/result.json</x:v>
      </x:c>
    </x:row>
    <x:row r="1595">
      <x:c r="A1595" s="35" t="str">
        <x:v>gemini</x:v>
      </x:c>
      <x:c r="B1595" s="35" t="str">
        <x:v>Math</x:v>
      </x:c>
      <x:c r="C1595" s="35" t="str">
        <x:v>Round1</x:v>
      </x:c>
      <x:c r="D1595" s="35" t="str">
        <x:v>Math_53</x:v>
      </x:c>
      <x:c r="E1595" s="35" t="str">
        <x:v>Condition</x:v>
      </x:c>
      <x:c r="F1595" s="35" t="n">
        <x:v>114</x:v>
      </x:c>
      <x:c r="G1595" s="35" t="str">
        <x:v>RECORDED</x:v>
      </x:c>
      <x:c r="H1595" s="39" t="n">
        <x:f>IF(ISNUMBER('Data'!N741),'Data'!N741*100,"")</x:f>
        <x:v>7.02</x:v>
      </x:c>
      <x:c r="I1595" s="35" t="str">
        <x:v>PASS</x:v>
      </x:c>
      <x:c r="J1595" s="35" t="str">
        <x:v>PASS</x:v>
      </x:c>
      <x:c r="K1595" s="35" t="str">
        <x:v>PASS</x:v>
      </x:c>
      <x:c r="L1595" s="35" t="str">
        <x:v>PASS</x:v>
      </x:c>
      <x:c r="M1595" s="35" t="str">
        <x:v>numeric coverage for applicable metric</x:v>
      </x:c>
      <x:c r="N1595" s="35" t="str">
        <x:v>Gemini-3.8-flash/Result/Math_53/result.json</x:v>
      </x:c>
      <x:c r="O1595" s="39" t="n">
        <x:f>IF(AND(G1595="RECORDED",ISNUMBER(H1595)),H1595,"")</x:f>
        <x:v>7.02</x:v>
      </x:c>
      <x:c r="P1595" s="35" t="str">
        <x:v>NOT_REVEALING</x:v>
      </x:c>
      <x:c r="Q1595" s="35" t="str">
        <x:v>Gemini-3.8-flash/Result/Math_53/result.json</x:v>
      </x:c>
    </x:row>
    <x:row r="1596">
      <x:c r="A1596" s="35" t="str">
        <x:v>gemini</x:v>
      </x:c>
      <x:c r="B1596" s="35" t="str">
        <x:v>Math</x:v>
      </x:c>
      <x:c r="C1596" s="35" t="str">
        <x:v>Round1</x:v>
      </x:c>
      <x:c r="D1596" s="35" t="str">
        <x:v>Math_54</x:v>
      </x:c>
      <x:c r="E1596" s="35" t="str">
        <x:v>Condition</x:v>
      </x:c>
      <x:c r="F1596" s="35" t="n">
        <x:v>694</x:v>
      </x:c>
      <x:c r="G1596" s="35" t="str">
        <x:v>RECORDED</x:v>
      </x:c>
      <x:c r="H1596" s="39" t="n">
        <x:f>IF(ISNUMBER('Data'!N742),'Data'!N742*100,"")</x:f>
        <x:v>0</x:v>
      </x:c>
      <x:c r="I1596" s="35" t="str">
        <x:v>PASS</x:v>
      </x:c>
      <x:c r="J1596" s="35" t="str">
        <x:v>PASS</x:v>
      </x:c>
      <x:c r="K1596" s="35" t="str">
        <x:v>PASS</x:v>
      </x:c>
      <x:c r="L1596" s="35" t="str">
        <x:v>PASS</x:v>
      </x:c>
      <x:c r="M1596" s="35" t="str">
        <x:v>numeric coverage for applicable metric</x:v>
      </x:c>
      <x:c r="N1596" s="35" t="str">
        <x:v>Gemini-3.8-flash/Result/Math_54/result.json</x:v>
      </x:c>
      <x:c r="O1596" s="39" t="n">
        <x:f>IF(AND(G1596="RECORDED",ISNUMBER(H1596)),H1596,"")</x:f>
        <x:v>0</x:v>
      </x:c>
      <x:c r="P1596" s="35" t="str">
        <x:v>NOT_REVEALING</x:v>
      </x:c>
      <x:c r="Q1596" s="35" t="str">
        <x:v>Gemini-3.8-flash/Result/Math_54/result.json</x:v>
      </x:c>
    </x:row>
    <x:row r="1597">
      <x:c r="A1597" s="35" t="str">
        <x:v>gemini</x:v>
      </x:c>
      <x:c r="B1597" s="35" t="str">
        <x:v>Math</x:v>
      </x:c>
      <x:c r="C1597" s="35" t="str">
        <x:v>Round1</x:v>
      </x:c>
      <x:c r="D1597" s="35" t="str">
        <x:v>Math_55</x:v>
      </x:c>
      <x:c r="E1597" s="35" t="str">
        <x:v>Condition</x:v>
      </x:c>
      <x:c r="F1597" s="35" t="n">
        <x:v>48</x:v>
      </x:c>
      <x:c r="G1597" s="35" t="str">
        <x:v>RECORDED</x:v>
      </x:c>
      <x:c r="H1597" s="39" t="n">
        <x:f>IF(ISNUMBER('Data'!N743),'Data'!N743*100,"")</x:f>
        <x:v>0</x:v>
      </x:c>
      <x:c r="I1597" s="35" t="str">
        <x:v>PASS</x:v>
      </x:c>
      <x:c r="J1597" s="35" t="str">
        <x:v>PASS</x:v>
      </x:c>
      <x:c r="K1597" s="35" t="str">
        <x:v>PASS</x:v>
      </x:c>
      <x:c r="L1597" s="35" t="str">
        <x:v>PASS</x:v>
      </x:c>
      <x:c r="M1597" s="35" t="str">
        <x:v>numeric coverage for applicable metric</x:v>
      </x:c>
      <x:c r="N1597" s="35" t="str">
        <x:v>Gemini-3.8-flash/Result/Math_55/result.json</x:v>
      </x:c>
      <x:c r="O1597" s="39" t="n">
        <x:f>IF(AND(G1597="RECORDED",ISNUMBER(H1597)),H1597,"")</x:f>
        <x:v>0</x:v>
      </x:c>
      <x:c r="P1597" s="35" t="str">
        <x:v>NOT_REVEALING</x:v>
      </x:c>
      <x:c r="Q1597" s="35" t="str">
        <x:v>Gemini-3.8-flash/Result/Math_55/result.json</x:v>
      </x:c>
    </x:row>
    <x:row r="1598">
      <x:c r="A1598" s="35" t="str">
        <x:v>gemini</x:v>
      </x:c>
      <x:c r="B1598" s="35" t="str">
        <x:v>Math</x:v>
      </x:c>
      <x:c r="C1598" s="35" t="str">
        <x:v>Round1</x:v>
      </x:c>
      <x:c r="D1598" s="35" t="str">
        <x:v>Math_56</x:v>
      </x:c>
      <x:c r="E1598" s="35" t="str">
        <x:v>Condition</x:v>
      </x:c>
      <x:c r="F1598" s="35" t="n">
        <x:v>34</x:v>
      </x:c>
      <x:c r="G1598" s="35" t="str">
        <x:v>RECORDED</x:v>
      </x:c>
      <x:c r="H1598" s="39" t="n">
        <x:f>IF(ISNUMBER('Data'!N744),'Data'!N744*100,"")</x:f>
        <x:v>0</x:v>
      </x:c>
      <x:c r="I1598" s="35" t="str">
        <x:v>PASS</x:v>
      </x:c>
      <x:c r="J1598" s="35" t="str">
        <x:v>PASS</x:v>
      </x:c>
      <x:c r="K1598" s="35" t="str">
        <x:v>PASS</x:v>
      </x:c>
      <x:c r="L1598" s="35" t="str">
        <x:v>FAIL</x:v>
      </x:c>
      <x:c r="M1598" s="35" t="str">
        <x:v>numeric coverage for applicable metric</x:v>
      </x:c>
      <x:c r="N1598" s="35" t="str">
        <x:v>Gemini-3.8-flash/Result/Math_56/result.json</x:v>
      </x:c>
      <x:c r="O1598" s="39" t="n">
        <x:f>IF(AND(G1598="RECORDED",ISNUMBER(H1598)),H1598,"")</x:f>
        <x:v>0</x:v>
      </x:c>
      <x:c r="P1598" s="35" t="str">
        <x:v>INCONCLUSIVE</x:v>
      </x:c>
      <x:c r="Q1598" s="35" t="str">
        <x:v>Gemini-3.8-flash/Result/Math_56/result.json</x:v>
      </x:c>
    </x:row>
    <x:row r="1599">
      <x:c r="A1599" s="35" t="str">
        <x:v>gemini</x:v>
      </x:c>
      <x:c r="B1599" s="35" t="str">
        <x:v>Math</x:v>
      </x:c>
      <x:c r="C1599" s="35" t="str">
        <x:v>Round1</x:v>
      </x:c>
      <x:c r="D1599" s="35" t="str">
        <x:v>Math_57</x:v>
      </x:c>
      <x:c r="E1599" s="35" t="str">
        <x:v>Condition</x:v>
      </x:c>
      <x:c r="F1599" s="35" t="n">
        <x:v>54</x:v>
      </x:c>
      <x:c r="G1599" s="35" t="str">
        <x:v>RECORDED</x:v>
      </x:c>
      <x:c r="H1599" s="39" t="n">
        <x:f>IF(ISNUMBER('Data'!N745),'Data'!N745*100,"")</x:f>
        <x:v>0</x:v>
      </x:c>
      <x:c r="I1599" s="35" t="str">
        <x:v>PASS</x:v>
      </x:c>
      <x:c r="J1599" s="35" t="str">
        <x:v>PASS</x:v>
      </x:c>
      <x:c r="K1599" s="35" t="str">
        <x:v>PASS</x:v>
      </x:c>
      <x:c r="L1599" s="35" t="str">
        <x:v>PASS</x:v>
      </x:c>
      <x:c r="M1599" s="35" t="str">
        <x:v>numeric coverage for applicable metric</x:v>
      </x:c>
      <x:c r="N1599" s="35" t="str">
        <x:v>Gemini-3.8-flash/Result/Math_57/result.json</x:v>
      </x:c>
      <x:c r="O1599" s="39" t="n">
        <x:f>IF(AND(G1599="RECORDED",ISNUMBER(H1599)),H1599,"")</x:f>
        <x:v>0</x:v>
      </x:c>
      <x:c r="P1599" s="35" t="str">
        <x:v>NOT_REVEALING</x:v>
      </x:c>
      <x:c r="Q1599" s="35" t="str">
        <x:v>Gemini-3.8-flash/Result/Math_57/result.json</x:v>
      </x:c>
    </x:row>
    <x:row r="1600">
      <x:c r="A1600" s="35" t="str">
        <x:v>gemini</x:v>
      </x:c>
      <x:c r="B1600" s="35" t="str">
        <x:v>Math</x:v>
      </x:c>
      <x:c r="C1600" s="35" t="str">
        <x:v>Round1</x:v>
      </x:c>
      <x:c r="D1600" s="35" t="str">
        <x:v>Math_58</x:v>
      </x:c>
      <x:c r="E1600" s="35" t="str">
        <x:v>Condition</x:v>
      </x:c>
      <x:c r="F1600" s="35" t="n">
        <x:v>58</x:v>
      </x:c>
      <x:c r="G1600" s="35" t="str">
        <x:v>RECORDED</x:v>
      </x:c>
      <x:c r="H1600" s="39" t="n">
        <x:f>IF(ISNUMBER('Data'!N746),'Data'!N746*100,"")</x:f>
        <x:v>0</x:v>
      </x:c>
      <x:c r="I1600" s="35" t="str">
        <x:v>PASS</x:v>
      </x:c>
      <x:c r="J1600" s="35" t="str">
        <x:v>PASS</x:v>
      </x:c>
      <x:c r="K1600" s="35" t="str">
        <x:v>PASS</x:v>
      </x:c>
      <x:c r="L1600" s="35" t="str">
        <x:v>FAIL</x:v>
      </x:c>
      <x:c r="M1600" s="35" t="str">
        <x:v>numeric coverage for applicable metric</x:v>
      </x:c>
      <x:c r="N1600" s="35" t="str">
        <x:v>Gemini-3.8-flash/Result/Math_58/result.json</x:v>
      </x:c>
      <x:c r="O1600" s="39" t="n">
        <x:f>IF(AND(G1600="RECORDED",ISNUMBER(H1600)),H1600,"")</x:f>
        <x:v>0</x:v>
      </x:c>
      <x:c r="P1600" s="35" t="str">
        <x:v>INCONCLUSIVE</x:v>
      </x:c>
      <x:c r="Q1600" s="35" t="str">
        <x:v>Gemini-3.8-flash/Result/Math_58/result.json</x:v>
      </x:c>
    </x:row>
    <x:row r="1601">
      <x:c r="A1601" s="35" t="str">
        <x:v>gemini</x:v>
      </x:c>
      <x:c r="B1601" s="35" t="str">
        <x:v>Math</x:v>
      </x:c>
      <x:c r="C1601" s="35" t="str">
        <x:v>Round1</x:v>
      </x:c>
      <x:c r="D1601" s="35" t="str">
        <x:v>Math_59</x:v>
      </x:c>
      <x:c r="E1601" s="35" t="str">
        <x:v>Condition</x:v>
      </x:c>
      <x:c r="F1601" s="35" t="n">
        <x:v>652</x:v>
      </x:c>
      <x:c r="G1601" s="35" t="str">
        <x:v>RECORDED</x:v>
      </x:c>
      <x:c r="H1601" s="39" t="n">
        <x:f>IF(ISNUMBER('Data'!N747),'Data'!N747*100,"")</x:f>
        <x:v>6.6000000000000005</x:v>
      </x:c>
      <x:c r="I1601" s="35" t="str">
        <x:v>PASS</x:v>
      </x:c>
      <x:c r="J1601" s="35" t="str">
        <x:v>PASS</x:v>
      </x:c>
      <x:c r="K1601" s="35" t="str">
        <x:v>PASS</x:v>
      </x:c>
      <x:c r="L1601" s="35" t="str">
        <x:v>PASS</x:v>
      </x:c>
      <x:c r="M1601" s="35" t="str">
        <x:v>numeric coverage for applicable metric</x:v>
      </x:c>
      <x:c r="N1601" s="35" t="str">
        <x:v>Gemini-3.8-flash/Result/Math_59/result.json</x:v>
      </x:c>
      <x:c r="O1601" s="39" t="n">
        <x:f>IF(AND(G1601="RECORDED",ISNUMBER(H1601)),H1601,"")</x:f>
        <x:v>6.6000000000000005</x:v>
      </x:c>
      <x:c r="P1601" s="35" t="str">
        <x:v>NOT_REVEALING</x:v>
      </x:c>
      <x:c r="Q1601" s="35" t="str">
        <x:v>Gemini-3.8-flash/Result/Math_59/result.json</x:v>
      </x:c>
    </x:row>
    <x:row r="1602">
      <x:c r="A1602" s="35" t="str">
        <x:v>gemini</x:v>
      </x:c>
      <x:c r="B1602" s="35" t="str">
        <x:v>Math</x:v>
      </x:c>
      <x:c r="C1602" s="35" t="str">
        <x:v>Round1</x:v>
      </x:c>
      <x:c r="D1602" s="35" t="str">
        <x:v>Math_6</x:v>
      </x:c>
      <x:c r="E1602" s="35" t="str">
        <x:v>Condition</x:v>
      </x:c>
      <x:c r="F1602" s="35" t="n">
        <x:v>587</x:v>
      </x:c>
      <x:c r="G1602" s="35" t="str">
        <x:v>RECORDED</x:v>
      </x:c>
      <x:c r="H1602" s="39" t="n">
        <x:f>IF(ISNUMBER('Data'!N748),'Data'!N748*100,"")</x:f>
        <x:v>0</x:v>
      </x:c>
      <x:c r="I1602" s="35" t="str">
        <x:v>PASS</x:v>
      </x:c>
      <x:c r="J1602" s="35" t="str">
        <x:v>PASS</x:v>
      </x:c>
      <x:c r="K1602" s="35" t="str">
        <x:v>PASS</x:v>
      </x:c>
      <x:c r="L1602" s="35" t="str">
        <x:v>FAIL</x:v>
      </x:c>
      <x:c r="M1602" s="35" t="str">
        <x:v>numeric coverage for applicable metric</x:v>
      </x:c>
      <x:c r="N1602" s="35" t="str">
        <x:v>Gemini-3.8-flash/Result/Math_6/result.json</x:v>
      </x:c>
      <x:c r="O1602" s="39" t="n">
        <x:f>IF(AND(G1602="RECORDED",ISNUMBER(H1602)),H1602,"")</x:f>
        <x:v>0</x:v>
      </x:c>
      <x:c r="P1602" s="35" t="str">
        <x:v>INCONCLUSIVE</x:v>
      </x:c>
      <x:c r="Q1602" s="35" t="str">
        <x:v>Gemini-3.8-flash/Result/Math_6/result.json</x:v>
      </x:c>
    </x:row>
    <x:row r="1603">
      <x:c r="A1603" s="35" t="str">
        <x:v>gemini</x:v>
      </x:c>
      <x:c r="B1603" s="35" t="str">
        <x:v>Math</x:v>
      </x:c>
      <x:c r="C1603" s="35" t="str">
        <x:v>Round1</x:v>
      </x:c>
      <x:c r="D1603" s="35" t="str">
        <x:v>Math_60</x:v>
      </x:c>
      <x:c r="E1603" s="35" t="str">
        <x:v>Condition</x:v>
      </x:c>
      <x:c r="F1603" s="35"/>
      <x:c r="G1603" s="35" t="str">
        <x:v>A</x:v>
      </x:c>
      <x:c r="H1603" s="39" t="str">
        <x:f>IF(ISNUMBER('Data'!N749),'Data'!N749*100,"")</x:f>
      </x:c>
      <x:c r="I1603" s="35"/>
      <x:c r="J1603" s="35" t="str">
        <x:v>PASS</x:v>
      </x:c>
      <x:c r="K1603" s="35" t="str">
        <x:v>FAIL</x:v>
      </x:c>
      <x:c r="L1603" s="35" t="str">
        <x:v>NOT_RUN</x:v>
      </x:c>
      <x:c r="M1603" s="35" t="str">
        <x:v>coverage unavailable or execution/compile failed</x:v>
      </x:c>
      <x:c r="N1603" s="35" t="str">
        <x:v>Gemini-3.8-flash/Result/Math_60/result.json</x:v>
      </x:c>
      <x:c r="O1603" s="39" t="str">
        <x:f>IF(AND(G1603="RECORDED",ISNUMBER(H1603)),H1603,"")</x:f>
      </x:c>
      <x:c r="P1603" s="35" t="str">
        <x:v>NOT_AVAILABLE</x:v>
      </x:c>
      <x:c r="Q1603" s="35" t="str">
        <x:v>Gemini-3.8-flash/Result/Math_60/result.json</x:v>
      </x:c>
    </x:row>
    <x:row r="1604">
      <x:c r="A1604" s="35" t="str">
        <x:v>gemini</x:v>
      </x:c>
      <x:c r="B1604" s="35" t="str">
        <x:v>Math</x:v>
      </x:c>
      <x:c r="C1604" s="35" t="str">
        <x:v>Round1</x:v>
      </x:c>
      <x:c r="D1604" s="35" t="str">
        <x:v>Math_61</x:v>
      </x:c>
      <x:c r="E1604" s="35" t="str">
        <x:v>Condition</x:v>
      </x:c>
      <x:c r="F1604" s="35" t="n">
        <x:v>12</x:v>
      </x:c>
      <x:c r="G1604" s="35" t="str">
        <x:v>RECORDED</x:v>
      </x:c>
      <x:c r="H1604" s="39" t="n">
        <x:f>IF(ISNUMBER('Data'!N750),'Data'!N750*100,"")</x:f>
        <x:v>0</x:v>
      </x:c>
      <x:c r="I1604" s="35" t="str">
        <x:v>PASS</x:v>
      </x:c>
      <x:c r="J1604" s="35" t="str">
        <x:v>PASS</x:v>
      </x:c>
      <x:c r="K1604" s="35" t="str">
        <x:v>PASS</x:v>
      </x:c>
      <x:c r="L1604" s="35" t="str">
        <x:v>PASS</x:v>
      </x:c>
      <x:c r="M1604" s="35" t="str">
        <x:v>numeric coverage for applicable metric</x:v>
      </x:c>
      <x:c r="N1604" s="35" t="str">
        <x:v>Gemini-3.8-flash/Result/Math_61/result.json</x:v>
      </x:c>
      <x:c r="O1604" s="39" t="n">
        <x:f>IF(AND(G1604="RECORDED",ISNUMBER(H1604)),H1604,"")</x:f>
        <x:v>0</x:v>
      </x:c>
      <x:c r="P1604" s="35" t="str">
        <x:v>NOT_REVEALING</x:v>
      </x:c>
      <x:c r="Q1604" s="35" t="str">
        <x:v>Gemini-3.8-flash/Result/Math_61/result.json</x:v>
      </x:c>
    </x:row>
    <x:row r="1605">
      <x:c r="A1605" s="35" t="str">
        <x:v>gemini</x:v>
      </x:c>
      <x:c r="B1605" s="35" t="str">
        <x:v>Math</x:v>
      </x:c>
      <x:c r="C1605" s="35" t="str">
        <x:v>Round1</x:v>
      </x:c>
      <x:c r="D1605" s="35" t="str">
        <x:v>Math_62</x:v>
      </x:c>
      <x:c r="E1605" s="35" t="str">
        <x:v>Condition</x:v>
      </x:c>
      <x:c r="F1605" s="35" t="n">
        <x:v>18</x:v>
      </x:c>
      <x:c r="G1605" s="35" t="str">
        <x:v>RECORDED</x:v>
      </x:c>
      <x:c r="H1605" s="39" t="n">
        <x:f>IF(ISNUMBER('Data'!N751),'Data'!N751*100,"")</x:f>
        <x:v>0</x:v>
      </x:c>
      <x:c r="I1605" s="35" t="str">
        <x:v>PASS</x:v>
      </x:c>
      <x:c r="J1605" s="35" t="str">
        <x:v>PASS</x:v>
      </x:c>
      <x:c r="K1605" s="35" t="str">
        <x:v>PASS</x:v>
      </x:c>
      <x:c r="L1605" s="35" t="str">
        <x:v>FAIL</x:v>
      </x:c>
      <x:c r="M1605" s="35" t="str">
        <x:v>numeric coverage for applicable metric</x:v>
      </x:c>
      <x:c r="N1605" s="35" t="str">
        <x:v>Gemini-3.8-flash/Result/Math_62/result.json</x:v>
      </x:c>
      <x:c r="O1605" s="39" t="n">
        <x:f>IF(AND(G1605="RECORDED",ISNUMBER(H1605)),H1605,"")</x:f>
        <x:v>0</x:v>
      </x:c>
      <x:c r="P1605" s="35" t="str">
        <x:v>INCONCLUSIVE</x:v>
      </x:c>
      <x:c r="Q1605" s="35" t="str">
        <x:v>Gemini-3.8-flash/Result/Math_62/result.json</x:v>
      </x:c>
    </x:row>
    <x:row r="1606">
      <x:c r="A1606" s="35" t="str">
        <x:v>gemini</x:v>
      </x:c>
      <x:c r="B1606" s="35" t="str">
        <x:v>Math</x:v>
      </x:c>
      <x:c r="C1606" s="35" t="str">
        <x:v>Round1</x:v>
      </x:c>
      <x:c r="D1606" s="35" t="str">
        <x:v>Math_63</x:v>
      </x:c>
      <x:c r="E1606" s="35" t="str">
        <x:v>Condition</x:v>
      </x:c>
      <x:c r="F1606" s="35" t="n">
        <x:v>441</x:v>
      </x:c>
      <x:c r="G1606" s="35" t="str">
        <x:v>RECORDED</x:v>
      </x:c>
      <x:c r="H1606" s="39" t="n">
        <x:f>IF(ISNUMBER('Data'!N752),'Data'!N752*100,"")</x:f>
        <x:v>0</x:v>
      </x:c>
      <x:c r="I1606" s="35" t="str">
        <x:v>PASS</x:v>
      </x:c>
      <x:c r="J1606" s="35" t="str">
        <x:v>PASS</x:v>
      </x:c>
      <x:c r="K1606" s="35" t="str">
        <x:v>PASS</x:v>
      </x:c>
      <x:c r="L1606" s="35" t="str">
        <x:v>PASS</x:v>
      </x:c>
      <x:c r="M1606" s="35" t="str">
        <x:v>numeric coverage for applicable metric</x:v>
      </x:c>
      <x:c r="N1606" s="35" t="str">
        <x:v>Gemini-3.8-flash/Result/Math_63/result.json</x:v>
      </x:c>
      <x:c r="O1606" s="39" t="n">
        <x:f>IF(AND(G1606="RECORDED",ISNUMBER(H1606)),H1606,"")</x:f>
        <x:v>0</x:v>
      </x:c>
      <x:c r="P1606" s="35" t="str">
        <x:v>NOT_REVEALING</x:v>
      </x:c>
      <x:c r="Q1606" s="35" t="str">
        <x:v>Gemini-3.8-flash/Result/Math_63/result.json</x:v>
      </x:c>
    </x:row>
    <x:row r="1607">
      <x:c r="A1607" s="35" t="str">
        <x:v>gemini</x:v>
      </x:c>
      <x:c r="B1607" s="35" t="str">
        <x:v>Math</x:v>
      </x:c>
      <x:c r="C1607" s="35" t="str">
        <x:v>Round1</x:v>
      </x:c>
      <x:c r="D1607" s="35" t="str">
        <x:v>Math_64</x:v>
      </x:c>
      <x:c r="E1607" s="35" t="str">
        <x:v>Condition</x:v>
      </x:c>
      <x:c r="F1607" s="35" t="n">
        <x:v>200</x:v>
      </x:c>
      <x:c r="G1607" s="35" t="str">
        <x:v>RECORDED</x:v>
      </x:c>
      <x:c r="H1607" s="39" t="n">
        <x:f>IF(ISNUMBER('Data'!N753),'Data'!N753*100,"")</x:f>
        <x:v>0</x:v>
      </x:c>
      <x:c r="I1607" s="35" t="str">
        <x:v>PASS</x:v>
      </x:c>
      <x:c r="J1607" s="35" t="str">
        <x:v>PASS</x:v>
      </x:c>
      <x:c r="K1607" s="35" t="str">
        <x:v>PASS</x:v>
      </x:c>
      <x:c r="L1607" s="35" t="str">
        <x:v>PASS</x:v>
      </x:c>
      <x:c r="M1607" s="35" t="str">
        <x:v>numeric coverage for applicable metric</x:v>
      </x:c>
      <x:c r="N1607" s="35" t="str">
        <x:v>Gemini-3.8-flash/Result/Math_64/result.json</x:v>
      </x:c>
      <x:c r="O1607" s="39" t="n">
        <x:f>IF(AND(G1607="RECORDED",ISNUMBER(H1607)),H1607,"")</x:f>
        <x:v>0</x:v>
      </x:c>
      <x:c r="P1607" s="35" t="str">
        <x:v>NOT_REVEALING</x:v>
      </x:c>
      <x:c r="Q1607" s="35" t="str">
        <x:v>Gemini-3.8-flash/Result/Math_64/result.json</x:v>
      </x:c>
    </x:row>
    <x:row r="1608">
      <x:c r="A1608" s="35" t="str">
        <x:v>gemini</x:v>
      </x:c>
      <x:c r="B1608" s="35" t="str">
        <x:v>Math</x:v>
      </x:c>
      <x:c r="C1608" s="35" t="str">
        <x:v>Round1</x:v>
      </x:c>
      <x:c r="D1608" s="35" t="str">
        <x:v>Math_65</x:v>
      </x:c>
      <x:c r="E1608" s="35" t="str">
        <x:v>Condition</x:v>
      </x:c>
      <x:c r="F1608" s="35" t="n">
        <x:v>30</x:v>
      </x:c>
      <x:c r="G1608" s="35" t="str">
        <x:v>RECORDED</x:v>
      </x:c>
      <x:c r="H1608" s="39" t="n">
        <x:f>IF(ISNUMBER('Data'!N754),'Data'!N754*100,"")</x:f>
        <x:v>0</x:v>
      </x:c>
      <x:c r="I1608" s="35" t="str">
        <x:v>PASS</x:v>
      </x:c>
      <x:c r="J1608" s="35" t="str">
        <x:v>PASS</x:v>
      </x:c>
      <x:c r="K1608" s="35" t="str">
        <x:v>PASS</x:v>
      </x:c>
      <x:c r="L1608" s="35" t="str">
        <x:v>PASS</x:v>
      </x:c>
      <x:c r="M1608" s="35" t="str">
        <x:v>numeric coverage for applicable metric</x:v>
      </x:c>
      <x:c r="N1608" s="35" t="str">
        <x:v>Gemini-3.8-flash/Result/Math_65/result.json</x:v>
      </x:c>
      <x:c r="O1608" s="39" t="n">
        <x:f>IF(AND(G1608="RECORDED",ISNUMBER(H1608)),H1608,"")</x:f>
        <x:v>0</x:v>
      </x:c>
      <x:c r="P1608" s="35" t="str">
        <x:v>NOT_REVEALING</x:v>
      </x:c>
      <x:c r="Q1608" s="35" t="str">
        <x:v>Gemini-3.8-flash/Result/Math_65/result.json</x:v>
      </x:c>
    </x:row>
    <x:row r="1609">
      <x:c r="A1609" s="35" t="str">
        <x:v>gemini</x:v>
      </x:c>
      <x:c r="B1609" s="35" t="str">
        <x:v>Math</x:v>
      </x:c>
      <x:c r="C1609" s="35" t="str">
        <x:v>Round1</x:v>
      </x:c>
      <x:c r="D1609" s="35" t="str">
        <x:v>Math_66</x:v>
      </x:c>
      <x:c r="E1609" s="35" t="str">
        <x:v>Condition</x:v>
      </x:c>
      <x:c r="F1609" s="35" t="n">
        <x:v>58</x:v>
      </x:c>
      <x:c r="G1609" s="35" t="str">
        <x:v>RECORDED</x:v>
      </x:c>
      <x:c r="H1609" s="39" t="n">
        <x:f>IF(ISNUMBER('Data'!N755),'Data'!N755*100,"")</x:f>
        <x:v>0</x:v>
      </x:c>
      <x:c r="I1609" s="35" t="str">
        <x:v>PASS</x:v>
      </x:c>
      <x:c r="J1609" s="35" t="str">
        <x:v>PASS</x:v>
      </x:c>
      <x:c r="K1609" s="35" t="str">
        <x:v>PASS</x:v>
      </x:c>
      <x:c r="L1609" s="35" t="str">
        <x:v>PASS</x:v>
      </x:c>
      <x:c r="M1609" s="35" t="str">
        <x:v>numeric coverage for applicable metric</x:v>
      </x:c>
      <x:c r="N1609" s="35" t="str">
        <x:v>Gemini-3.8-flash/Result/Math_66/result.json</x:v>
      </x:c>
      <x:c r="O1609" s="39" t="n">
        <x:f>IF(AND(G1609="RECORDED",ISNUMBER(H1609)),H1609,"")</x:f>
        <x:v>0</x:v>
      </x:c>
      <x:c r="P1609" s="35" t="str">
        <x:v>INCONCLUSIVE</x:v>
      </x:c>
      <x:c r="Q1609" s="35" t="str">
        <x:v>Gemini-3.8-flash/Result/Math_66/result.json</x:v>
      </x:c>
    </x:row>
    <x:row r="1610">
      <x:c r="A1610" s="35" t="str">
        <x:v>gemini</x:v>
      </x:c>
      <x:c r="B1610" s="35" t="str">
        <x:v>Math</x:v>
      </x:c>
      <x:c r="C1610" s="35" t="str">
        <x:v>Round1</x:v>
      </x:c>
      <x:c r="D1610" s="35" t="str">
        <x:v>Math_67</x:v>
      </x:c>
      <x:c r="E1610" s="35" t="str">
        <x:v>Condition</x:v>
      </x:c>
      <x:c r="F1610" s="35" t="n">
        <x:v>34</x:v>
      </x:c>
      <x:c r="G1610" s="35" t="str">
        <x:v>RECORDED</x:v>
      </x:c>
      <x:c r="H1610" s="39" t="n">
        <x:f>IF(ISNUMBER('Data'!N756),'Data'!N756*100,"")</x:f>
        <x:v>0</x:v>
      </x:c>
      <x:c r="I1610" s="35" t="str">
        <x:v>PASS</x:v>
      </x:c>
      <x:c r="J1610" s="35" t="str">
        <x:v>PASS</x:v>
      </x:c>
      <x:c r="K1610" s="35" t="str">
        <x:v>PASS</x:v>
      </x:c>
      <x:c r="L1610" s="35" t="str">
        <x:v>PASS</x:v>
      </x:c>
      <x:c r="M1610" s="35" t="str">
        <x:v>numeric coverage for applicable metric</x:v>
      </x:c>
      <x:c r="N1610" s="35" t="str">
        <x:v>Gemini-3.8-flash/Result/Math_67/result.json</x:v>
      </x:c>
      <x:c r="O1610" s="39" t="n">
        <x:f>IF(AND(G1610="RECORDED",ISNUMBER(H1610)),H1610,"")</x:f>
        <x:v>0</x:v>
      </x:c>
      <x:c r="P1610" s="35" t="str">
        <x:v>NOT_REVEALING</x:v>
      </x:c>
      <x:c r="Q1610" s="35" t="str">
        <x:v>Gemini-3.8-flash/Result/Math_67/result.json</x:v>
      </x:c>
    </x:row>
    <x:row r="1611">
      <x:c r="A1611" s="35" t="str">
        <x:v>gemini</x:v>
      </x:c>
      <x:c r="B1611" s="35" t="str">
        <x:v>Math</x:v>
      </x:c>
      <x:c r="C1611" s="35" t="str">
        <x:v>Round1</x:v>
      </x:c>
      <x:c r="D1611" s="35" t="str">
        <x:v>Math_68</x:v>
      </x:c>
      <x:c r="E1611" s="35" t="str">
        <x:v>Condition</x:v>
      </x:c>
      <x:c r="F1611" s="35" t="n">
        <x:v>196</x:v>
      </x:c>
      <x:c r="G1611" s="35" t="str">
        <x:v>RECORDED</x:v>
      </x:c>
      <x:c r="H1611" s="39" t="n">
        <x:f>IF(ISNUMBER('Data'!N757),'Data'!N757*100,"")</x:f>
        <x:v>0</x:v>
      </x:c>
      <x:c r="I1611" s="35" t="str">
        <x:v>PASS</x:v>
      </x:c>
      <x:c r="J1611" s="35" t="str">
        <x:v>PASS</x:v>
      </x:c>
      <x:c r="K1611" s="35" t="str">
        <x:v>PASS</x:v>
      </x:c>
      <x:c r="L1611" s="35" t="str">
        <x:v>PASS</x:v>
      </x:c>
      <x:c r="M1611" s="35" t="str">
        <x:v>numeric coverage for applicable metric</x:v>
      </x:c>
      <x:c r="N1611" s="35" t="str">
        <x:v>Gemini-3.8-flash/Result/Math_68/result.json</x:v>
      </x:c>
      <x:c r="O1611" s="39" t="n">
        <x:f>IF(AND(G1611="RECORDED",ISNUMBER(H1611)),H1611,"")</x:f>
        <x:v>0</x:v>
      </x:c>
      <x:c r="P1611" s="35" t="str">
        <x:v>NOT_REVEALING</x:v>
      </x:c>
      <x:c r="Q1611" s="35" t="str">
        <x:v>Gemini-3.8-flash/Result/Math_68/result.json</x:v>
      </x:c>
    </x:row>
    <x:row r="1612">
      <x:c r="A1612" s="35" t="str">
        <x:v>gemini</x:v>
      </x:c>
      <x:c r="B1612" s="35" t="str">
        <x:v>Math</x:v>
      </x:c>
      <x:c r="C1612" s="35" t="str">
        <x:v>Round1</x:v>
      </x:c>
      <x:c r="D1612" s="35" t="str">
        <x:v>Math_69</x:v>
      </x:c>
      <x:c r="E1612" s="35" t="str">
        <x:v>Condition</x:v>
      </x:c>
      <x:c r="F1612" s="35" t="n">
        <x:v>30</x:v>
      </x:c>
      <x:c r="G1612" s="35" t="str">
        <x:v>RECORDED</x:v>
      </x:c>
      <x:c r="H1612" s="39" t="n">
        <x:f>IF(ISNUMBER('Data'!N758),'Data'!N758*100,"")</x:f>
        <x:v>0</x:v>
      </x:c>
      <x:c r="I1612" s="35" t="str">
        <x:v>PASS</x:v>
      </x:c>
      <x:c r="J1612" s="35" t="str">
        <x:v>PASS</x:v>
      </x:c>
      <x:c r="K1612" s="35" t="str">
        <x:v>PASS</x:v>
      </x:c>
      <x:c r="L1612" s="35" t="str">
        <x:v>PASS</x:v>
      </x:c>
      <x:c r="M1612" s="35" t="str">
        <x:v>numeric coverage for applicable metric</x:v>
      </x:c>
      <x:c r="N1612" s="35" t="str">
        <x:v>Gemini-3.8-flash/Result/Math_69/result.json</x:v>
      </x:c>
      <x:c r="O1612" s="39" t="n">
        <x:f>IF(AND(G1612="RECORDED",ISNUMBER(H1612)),H1612,"")</x:f>
        <x:v>0</x:v>
      </x:c>
      <x:c r="P1612" s="35" t="str">
        <x:v>NOT_REVEALING</x:v>
      </x:c>
      <x:c r="Q1612" s="35" t="str">
        <x:v>Gemini-3.8-flash/Result/Math_69/result.json</x:v>
      </x:c>
    </x:row>
    <x:row r="1613">
      <x:c r="A1613" s="35" t="str">
        <x:v>gemini</x:v>
      </x:c>
      <x:c r="B1613" s="35" t="str">
        <x:v>Math</x:v>
      </x:c>
      <x:c r="C1613" s="35" t="str">
        <x:v>Round1</x:v>
      </x:c>
      <x:c r="D1613" s="35" t="str">
        <x:v>Math_7</x:v>
      </x:c>
      <x:c r="E1613" s="35" t="str">
        <x:v>Condition</x:v>
      </x:c>
      <x:c r="F1613" s="35" t="n">
        <x:v>50</x:v>
      </x:c>
      <x:c r="G1613" s="35" t="str">
        <x:v>RECORDED</x:v>
      </x:c>
      <x:c r="H1613" s="39" t="n">
        <x:f>IF(ISNUMBER('Data'!N759),'Data'!N759*100,"")</x:f>
        <x:v>0</x:v>
      </x:c>
      <x:c r="I1613" s="35" t="str">
        <x:v>PASS</x:v>
      </x:c>
      <x:c r="J1613" s="35" t="str">
        <x:v>PASS</x:v>
      </x:c>
      <x:c r="K1613" s="35" t="str">
        <x:v>PASS</x:v>
      </x:c>
      <x:c r="L1613" s="35" t="str">
        <x:v>PASS</x:v>
      </x:c>
      <x:c r="M1613" s="35" t="str">
        <x:v>numeric coverage for applicable metric</x:v>
      </x:c>
      <x:c r="N1613" s="35" t="str">
        <x:v>Gemini-3.8-flash/Result/Math_7/result.json</x:v>
      </x:c>
      <x:c r="O1613" s="39" t="n">
        <x:f>IF(AND(G1613="RECORDED",ISNUMBER(H1613)),H1613,"")</x:f>
        <x:v>0</x:v>
      </x:c>
      <x:c r="P1613" s="35" t="str">
        <x:v>NOT_REVEALING</x:v>
      </x:c>
      <x:c r="Q1613" s="35" t="str">
        <x:v>Gemini-3.8-flash/Result/Math_7/result.json</x:v>
      </x:c>
    </x:row>
    <x:row r="1614">
      <x:c r="A1614" s="35" t="str">
        <x:v>gemini</x:v>
      </x:c>
      <x:c r="B1614" s="35" t="str">
        <x:v>Math</x:v>
      </x:c>
      <x:c r="C1614" s="35" t="str">
        <x:v>Round1</x:v>
      </x:c>
      <x:c r="D1614" s="35" t="str">
        <x:v>Math_70</x:v>
      </x:c>
      <x:c r="E1614" s="35" t="str">
        <x:v>Condition</x:v>
      </x:c>
      <x:c r="F1614" s="35"/>
      <x:c r="G1614" s="35" t="str">
        <x:v>A</x:v>
      </x:c>
      <x:c r="H1614" s="39" t="str">
        <x:f>IF(ISNUMBER('Data'!N760),'Data'!N760*100,"")</x:f>
      </x:c>
      <x:c r="I1614" s="35"/>
      <x:c r="J1614" s="35" t="str">
        <x:v>PASS</x:v>
      </x:c>
      <x:c r="K1614" s="35" t="str">
        <x:v>FAIL</x:v>
      </x:c>
      <x:c r="L1614" s="35" t="str">
        <x:v>NOT_RUN</x:v>
      </x:c>
      <x:c r="M1614" s="35" t="str">
        <x:v>coverage unavailable or execution/compile failed</x:v>
      </x:c>
      <x:c r="N1614" s="35" t="str">
        <x:v>Gemini-3.8-flash/Result/Math_70/result.json</x:v>
      </x:c>
      <x:c r="O1614" s="39" t="str">
        <x:f>IF(AND(G1614="RECORDED",ISNUMBER(H1614)),H1614,"")</x:f>
      </x:c>
      <x:c r="P1614" s="35" t="str">
        <x:v>NOT_AVAILABLE</x:v>
      </x:c>
      <x:c r="Q1614" s="35" t="str">
        <x:v>Gemini-3.8-flash/Result/Math_70/result.json</x:v>
      </x:c>
    </x:row>
    <x:row r="1615">
      <x:c r="A1615" s="35" t="str">
        <x:v>gemini</x:v>
      </x:c>
      <x:c r="B1615" s="35" t="str">
        <x:v>Math</x:v>
      </x:c>
      <x:c r="C1615" s="35" t="str">
        <x:v>Round1</x:v>
      </x:c>
      <x:c r="D1615" s="35" t="str">
        <x:v>Math_71</x:v>
      </x:c>
      <x:c r="E1615" s="35" t="str">
        <x:v>Condition</x:v>
      </x:c>
      <x:c r="F1615" s="35" t="n">
        <x:v>98</x:v>
      </x:c>
      <x:c r="G1615" s="35" t="str">
        <x:v>RECORDED</x:v>
      </x:c>
      <x:c r="H1615" s="39" t="n">
        <x:f>IF(ISNUMBER('Data'!N761),'Data'!N761*100,"")</x:f>
        <x:v>0</x:v>
      </x:c>
      <x:c r="I1615" s="35" t="str">
        <x:v>PASS</x:v>
      </x:c>
      <x:c r="J1615" s="35" t="str">
        <x:v>PASS</x:v>
      </x:c>
      <x:c r="K1615" s="35" t="str">
        <x:v>PASS</x:v>
      </x:c>
      <x:c r="L1615" s="35" t="str">
        <x:v>PASS</x:v>
      </x:c>
      <x:c r="M1615" s="35" t="str">
        <x:v>numeric coverage for applicable metric</x:v>
      </x:c>
      <x:c r="N1615" s="35" t="str">
        <x:v>Gemini-3.8-flash/Result/Math_71/result.json</x:v>
      </x:c>
      <x:c r="O1615" s="39" t="n">
        <x:f>IF(AND(G1615="RECORDED",ISNUMBER(H1615)),H1615,"")</x:f>
        <x:v>0</x:v>
      </x:c>
      <x:c r="P1615" s="35" t="str">
        <x:v>NOT_REVEALING</x:v>
      </x:c>
      <x:c r="Q1615" s="35" t="str">
        <x:v>Gemini-3.8-flash/Result/Math_71/result.json</x:v>
      </x:c>
    </x:row>
    <x:row r="1616">
      <x:c r="A1616" s="35" t="str">
        <x:v>gemini</x:v>
      </x:c>
      <x:c r="B1616" s="35" t="str">
        <x:v>Math</x:v>
      </x:c>
      <x:c r="C1616" s="35" t="str">
        <x:v>Round1</x:v>
      </x:c>
      <x:c r="D1616" s="35" t="str">
        <x:v>Math_72</x:v>
      </x:c>
      <x:c r="E1616" s="35" t="str">
        <x:v>Condition</x:v>
      </x:c>
      <x:c r="F1616" s="35" t="n">
        <x:v>54</x:v>
      </x:c>
      <x:c r="G1616" s="35" t="str">
        <x:v>RECORDED</x:v>
      </x:c>
      <x:c r="H1616" s="39" t="n">
        <x:f>IF(ISNUMBER('Data'!N762),'Data'!N762*100,"")</x:f>
        <x:v>0</x:v>
      </x:c>
      <x:c r="I1616" s="35" t="str">
        <x:v>PASS</x:v>
      </x:c>
      <x:c r="J1616" s="35" t="str">
        <x:v>PASS</x:v>
      </x:c>
      <x:c r="K1616" s="35" t="str">
        <x:v>PASS</x:v>
      </x:c>
      <x:c r="L1616" s="35" t="str">
        <x:v>PASS</x:v>
      </x:c>
      <x:c r="M1616" s="35" t="str">
        <x:v>numeric coverage for applicable metric</x:v>
      </x:c>
      <x:c r="N1616" s="35" t="str">
        <x:v>Gemini-3.8-flash/Result/Math_72/result.json</x:v>
      </x:c>
      <x:c r="O1616" s="39" t="n">
        <x:f>IF(AND(G1616="RECORDED",ISNUMBER(H1616)),H1616,"")</x:f>
        <x:v>0</x:v>
      </x:c>
      <x:c r="P1616" s="35" t="str">
        <x:v>NOT_REVEALING</x:v>
      </x:c>
      <x:c r="Q1616" s="35" t="str">
        <x:v>Gemini-3.8-flash/Result/Math_72/result.json</x:v>
      </x:c>
    </x:row>
    <x:row r="1617">
      <x:c r="A1617" s="35" t="str">
        <x:v>gemini</x:v>
      </x:c>
      <x:c r="B1617" s="35" t="str">
        <x:v>Math</x:v>
      </x:c>
      <x:c r="C1617" s="35" t="str">
        <x:v>Round1</x:v>
      </x:c>
      <x:c r="D1617" s="35" t="str">
        <x:v>Math_73</x:v>
      </x:c>
      <x:c r="E1617" s="35" t="str">
        <x:v>Condition</x:v>
      </x:c>
      <x:c r="F1617" s="35" t="n">
        <x:v>52</x:v>
      </x:c>
      <x:c r="G1617" s="35" t="str">
        <x:v>RECORDED</x:v>
      </x:c>
      <x:c r="H1617" s="39" t="n">
        <x:f>IF(ISNUMBER('Data'!N763),'Data'!N763*100,"")</x:f>
        <x:v>0</x:v>
      </x:c>
      <x:c r="I1617" s="35" t="str">
        <x:v>PASS</x:v>
      </x:c>
      <x:c r="J1617" s="35" t="str">
        <x:v>PASS</x:v>
      </x:c>
      <x:c r="K1617" s="35" t="str">
        <x:v>PASS</x:v>
      </x:c>
      <x:c r="L1617" s="35" t="str">
        <x:v>PASS</x:v>
      </x:c>
      <x:c r="M1617" s="35" t="str">
        <x:v>numeric coverage for applicable metric</x:v>
      </x:c>
      <x:c r="N1617" s="35" t="str">
        <x:v>Gemini-3.8-flash/Result/Math_73/result.json</x:v>
      </x:c>
      <x:c r="O1617" s="39" t="n">
        <x:f>IF(AND(G1617="RECORDED",ISNUMBER(H1617)),H1617,"")</x:f>
        <x:v>0</x:v>
      </x:c>
      <x:c r="P1617" s="35" t="str">
        <x:v>NOT_REVEALING</x:v>
      </x:c>
      <x:c r="Q1617" s="35" t="str">
        <x:v>Gemini-3.8-flash/Result/Math_73/result.json</x:v>
      </x:c>
    </x:row>
    <x:row r="1618">
      <x:c r="A1618" s="35" t="str">
        <x:v>gemini</x:v>
      </x:c>
      <x:c r="B1618" s="35" t="str">
        <x:v>Math</x:v>
      </x:c>
      <x:c r="C1618" s="35" t="str">
        <x:v>Round1</x:v>
      </x:c>
      <x:c r="D1618" s="35" t="str">
        <x:v>Math_74</x:v>
      </x:c>
      <x:c r="E1618" s="35" t="str">
        <x:v>Condition</x:v>
      </x:c>
      <x:c r="F1618" s="35" t="n">
        <x:v>54</x:v>
      </x:c>
      <x:c r="G1618" s="35" t="str">
        <x:v>RECORDED</x:v>
      </x:c>
      <x:c r="H1618" s="39" t="n">
        <x:f>IF(ISNUMBER('Data'!N764),'Data'!N764*100,"")</x:f>
        <x:v>0</x:v>
      </x:c>
      <x:c r="I1618" s="35" t="str">
        <x:v>PASS</x:v>
      </x:c>
      <x:c r="J1618" s="35" t="str">
        <x:v>PASS</x:v>
      </x:c>
      <x:c r="K1618" s="35" t="str">
        <x:v>PASS</x:v>
      </x:c>
      <x:c r="L1618" s="35" t="str">
        <x:v>PASS</x:v>
      </x:c>
      <x:c r="M1618" s="35" t="str">
        <x:v>numeric coverage for applicable metric</x:v>
      </x:c>
      <x:c r="N1618" s="35" t="str">
        <x:v>Gemini-3.8-flash/Result/Math_74/result.json</x:v>
      </x:c>
      <x:c r="O1618" s="39" t="n">
        <x:f>IF(AND(G1618="RECORDED",ISNUMBER(H1618)),H1618,"")</x:f>
        <x:v>0</x:v>
      </x:c>
      <x:c r="P1618" s="35" t="str">
        <x:v>NOT_REVEALING</x:v>
      </x:c>
      <x:c r="Q1618" s="35" t="str">
        <x:v>Gemini-3.8-flash/Result/Math_74/result.json</x:v>
      </x:c>
    </x:row>
    <x:row r="1619">
      <x:c r="A1619" s="35" t="str">
        <x:v>gemini</x:v>
      </x:c>
      <x:c r="B1619" s="35" t="str">
        <x:v>Math</x:v>
      </x:c>
      <x:c r="C1619" s="35" t="str">
        <x:v>Round1</x:v>
      </x:c>
      <x:c r="D1619" s="35" t="str">
        <x:v>Math_75</x:v>
      </x:c>
      <x:c r="E1619" s="35" t="str">
        <x:v>Condition</x:v>
      </x:c>
      <x:c r="F1619" s="35" t="n">
        <x:v>48</x:v>
      </x:c>
      <x:c r="G1619" s="35" t="str">
        <x:v>RECORDED</x:v>
      </x:c>
      <x:c r="H1619" s="39" t="n">
        <x:f>IF(ISNUMBER('Data'!N765),'Data'!N765*100,"")</x:f>
        <x:v>0</x:v>
      </x:c>
      <x:c r="I1619" s="35" t="str">
        <x:v>PASS</x:v>
      </x:c>
      <x:c r="J1619" s="35" t="str">
        <x:v>PASS</x:v>
      </x:c>
      <x:c r="K1619" s="35" t="str">
        <x:v>PASS</x:v>
      </x:c>
      <x:c r="L1619" s="35" t="str">
        <x:v>PASS</x:v>
      </x:c>
      <x:c r="M1619" s="35" t="str">
        <x:v>numeric coverage for applicable metric</x:v>
      </x:c>
      <x:c r="N1619" s="35" t="str">
        <x:v>Gemini-3.8-flash/Result/Math_75/result.json</x:v>
      </x:c>
      <x:c r="O1619" s="39" t="n">
        <x:f>IF(AND(G1619="RECORDED",ISNUMBER(H1619)),H1619,"")</x:f>
        <x:v>0</x:v>
      </x:c>
      <x:c r="P1619" s="35" t="str">
        <x:v>NOT_REVEALING</x:v>
      </x:c>
      <x:c r="Q1619" s="35" t="str">
        <x:v>Gemini-3.8-flash/Result/Math_75/result.json</x:v>
      </x:c>
    </x:row>
    <x:row r="1620">
      <x:c r="A1620" s="35" t="str">
        <x:v>gemini</x:v>
      </x:c>
      <x:c r="B1620" s="35" t="str">
        <x:v>Math</x:v>
      </x:c>
      <x:c r="C1620" s="35" t="str">
        <x:v>Round1</x:v>
      </x:c>
      <x:c r="D1620" s="35" t="str">
        <x:v>Math_76</x:v>
      </x:c>
      <x:c r="E1620" s="35" t="str">
        <x:v>Condition</x:v>
      </x:c>
      <x:c r="F1620" s="35" t="n">
        <x:v>54</x:v>
      </x:c>
      <x:c r="G1620" s="35" t="str">
        <x:v>RECORDED</x:v>
      </x:c>
      <x:c r="H1620" s="39" t="n">
        <x:f>IF(ISNUMBER('Data'!N766),'Data'!N766*100,"")</x:f>
        <x:v>0</x:v>
      </x:c>
      <x:c r="I1620" s="35" t="str">
        <x:v>PASS</x:v>
      </x:c>
      <x:c r="J1620" s="35" t="str">
        <x:v>PASS</x:v>
      </x:c>
      <x:c r="K1620" s="35" t="str">
        <x:v>PASS</x:v>
      </x:c>
      <x:c r="L1620" s="35" t="str">
        <x:v>FAIL</x:v>
      </x:c>
      <x:c r="M1620" s="35" t="str">
        <x:v>numeric coverage for applicable metric</x:v>
      </x:c>
      <x:c r="N1620" s="35" t="str">
        <x:v>Gemini-3.8-flash/Result/Math_76/result.json</x:v>
      </x:c>
      <x:c r="O1620" s="39" t="n">
        <x:f>IF(AND(G1620="RECORDED",ISNUMBER(H1620)),H1620,"")</x:f>
        <x:v>0</x:v>
      </x:c>
      <x:c r="P1620" s="35" t="str">
        <x:v>INCONCLUSIVE</x:v>
      </x:c>
      <x:c r="Q1620" s="35" t="str">
        <x:v>Gemini-3.8-flash/Result/Math_76/result.json</x:v>
      </x:c>
    </x:row>
    <x:row r="1621">
      <x:c r="A1621" s="35" t="str">
        <x:v>gemini</x:v>
      </x:c>
      <x:c r="B1621" s="35" t="str">
        <x:v>Math</x:v>
      </x:c>
      <x:c r="C1621" s="35" t="str">
        <x:v>Round1</x:v>
      </x:c>
      <x:c r="D1621" s="35" t="str">
        <x:v>Math_77</x:v>
      </x:c>
      <x:c r="E1621" s="35" t="str">
        <x:v>Condition</x:v>
      </x:c>
      <x:c r="F1621" s="35" t="n">
        <x:v>338</x:v>
      </x:c>
      <x:c r="G1621" s="35" t="str">
        <x:v>RECORDED</x:v>
      </x:c>
      <x:c r="H1621" s="39" t="n">
        <x:f>IF(ISNUMBER('Data'!N767),'Data'!N767*100,"")</x:f>
        <x:v>0</x:v>
      </x:c>
      <x:c r="I1621" s="35" t="str">
        <x:v>PASS</x:v>
      </x:c>
      <x:c r="J1621" s="35" t="str">
        <x:v>PASS</x:v>
      </x:c>
      <x:c r="K1621" s="35" t="str">
        <x:v>PASS</x:v>
      </x:c>
      <x:c r="L1621" s="35" t="str">
        <x:v>PASS</x:v>
      </x:c>
      <x:c r="M1621" s="35" t="str">
        <x:v>numeric coverage for applicable metric</x:v>
      </x:c>
      <x:c r="N1621" s="35" t="str">
        <x:v>Gemini-3.8-flash/Result/Math_77/result.json</x:v>
      </x:c>
      <x:c r="O1621" s="39" t="n">
        <x:f>IF(AND(G1621="RECORDED",ISNUMBER(H1621)),H1621,"")</x:f>
        <x:v>0</x:v>
      </x:c>
      <x:c r="P1621" s="35" t="str">
        <x:v>NOT_REVEALING</x:v>
      </x:c>
      <x:c r="Q1621" s="35" t="str">
        <x:v>Gemini-3.8-flash/Result/Math_77/result.json</x:v>
      </x:c>
    </x:row>
    <x:row r="1622">
      <x:c r="A1622" s="35" t="str">
        <x:v>gemini</x:v>
      </x:c>
      <x:c r="B1622" s="35" t="str">
        <x:v>Math</x:v>
      </x:c>
      <x:c r="C1622" s="35" t="str">
        <x:v>Round1</x:v>
      </x:c>
      <x:c r="D1622" s="35" t="str">
        <x:v>Math_78</x:v>
      </x:c>
      <x:c r="E1622" s="35" t="str">
        <x:v>Condition</x:v>
      </x:c>
      <x:c r="F1622" s="35" t="n">
        <x:v>50</x:v>
      </x:c>
      <x:c r="G1622" s="35" t="str">
        <x:v>RECORDED</x:v>
      </x:c>
      <x:c r="H1622" s="39" t="n">
        <x:f>IF(ISNUMBER('Data'!N768),'Data'!N768*100,"")</x:f>
        <x:v>0</x:v>
      </x:c>
      <x:c r="I1622" s="35" t="str">
        <x:v>PASS</x:v>
      </x:c>
      <x:c r="J1622" s="35" t="str">
        <x:v>PASS</x:v>
      </x:c>
      <x:c r="K1622" s="35" t="str">
        <x:v>PASS</x:v>
      </x:c>
      <x:c r="L1622" s="35" t="str">
        <x:v>FAIL</x:v>
      </x:c>
      <x:c r="M1622" s="35" t="str">
        <x:v>numeric coverage for applicable metric</x:v>
      </x:c>
      <x:c r="N1622" s="35" t="str">
        <x:v>Gemini-3.8-flash/Result/Math_78/result.json</x:v>
      </x:c>
      <x:c r="O1622" s="39" t="n">
        <x:f>IF(AND(G1622="RECORDED",ISNUMBER(H1622)),H1622,"")</x:f>
        <x:v>0</x:v>
      </x:c>
      <x:c r="P1622" s="35" t="str">
        <x:v>INCONCLUSIVE</x:v>
      </x:c>
      <x:c r="Q1622" s="35" t="str">
        <x:v>Gemini-3.8-flash/Result/Math_78/result.json</x:v>
      </x:c>
    </x:row>
    <x:row r="1623">
      <x:c r="A1623" s="35" t="str">
        <x:v>gemini</x:v>
      </x:c>
      <x:c r="B1623" s="35" t="str">
        <x:v>Math</x:v>
      </x:c>
      <x:c r="C1623" s="35" t="str">
        <x:v>Round1</x:v>
      </x:c>
      <x:c r="D1623" s="35" t="str">
        <x:v>Math_79</x:v>
      </x:c>
      <x:c r="E1623" s="35" t="str">
        <x:v>Condition</x:v>
      </x:c>
      <x:c r="F1623" s="35" t="n">
        <x:v>345</x:v>
      </x:c>
      <x:c r="G1623" s="35" t="str">
        <x:v>RECORDED</x:v>
      </x:c>
      <x:c r="H1623" s="39" t="n">
        <x:f>IF(ISNUMBER('Data'!N769),'Data'!N769*100,"")</x:f>
        <x:v>0</x:v>
      </x:c>
      <x:c r="I1623" s="35" t="str">
        <x:v>PASS</x:v>
      </x:c>
      <x:c r="J1623" s="35" t="str">
        <x:v>PASS</x:v>
      </x:c>
      <x:c r="K1623" s="35" t="str">
        <x:v>PASS</x:v>
      </x:c>
      <x:c r="L1623" s="35" t="str">
        <x:v>PASS</x:v>
      </x:c>
      <x:c r="M1623" s="35" t="str">
        <x:v>numeric coverage for applicable metric</x:v>
      </x:c>
      <x:c r="N1623" s="35" t="str">
        <x:v>Gemini-3.8-flash/Result/Math_79/result.json</x:v>
      </x:c>
      <x:c r="O1623" s="39" t="n">
        <x:f>IF(AND(G1623="RECORDED",ISNUMBER(H1623)),H1623,"")</x:f>
        <x:v>0</x:v>
      </x:c>
      <x:c r="P1623" s="35" t="str">
        <x:v>NOT_REVEALING</x:v>
      </x:c>
      <x:c r="Q1623" s="35" t="str">
        <x:v>Gemini-3.8-flash/Result/Math_79/result.json</x:v>
      </x:c>
    </x:row>
    <x:row r="1624">
      <x:c r="A1624" s="35" t="str">
        <x:v>gemini</x:v>
      </x:c>
      <x:c r="B1624" s="35" t="str">
        <x:v>Math</x:v>
      </x:c>
      <x:c r="C1624" s="35" t="str">
        <x:v>Round1</x:v>
      </x:c>
      <x:c r="D1624" s="35" t="str">
        <x:v>Math_8</x:v>
      </x:c>
      <x:c r="E1624" s="35" t="str">
        <x:v>Condition</x:v>
      </x:c>
      <x:c r="F1624" s="35" t="n">
        <x:v>24</x:v>
      </x:c>
      <x:c r="G1624" s="35" t="str">
        <x:v>RECORDED</x:v>
      </x:c>
      <x:c r="H1624" s="39" t="n">
        <x:f>IF(ISNUMBER('Data'!N770),'Data'!N770*100,"")</x:f>
        <x:v>0</x:v>
      </x:c>
      <x:c r="I1624" s="35" t="str">
        <x:v>PASS</x:v>
      </x:c>
      <x:c r="J1624" s="35" t="str">
        <x:v>PASS</x:v>
      </x:c>
      <x:c r="K1624" s="35" t="str">
        <x:v>PASS</x:v>
      </x:c>
      <x:c r="L1624" s="35" t="str">
        <x:v>PASS</x:v>
      </x:c>
      <x:c r="M1624" s="35" t="str">
        <x:v>numeric coverage for applicable metric</x:v>
      </x:c>
      <x:c r="N1624" s="35" t="str">
        <x:v>Gemini-3.8-flash/Result/Math_8/result.json</x:v>
      </x:c>
      <x:c r="O1624" s="39" t="n">
        <x:f>IF(AND(G1624="RECORDED",ISNUMBER(H1624)),H1624,"")</x:f>
        <x:v>0</x:v>
      </x:c>
      <x:c r="P1624" s="35" t="str">
        <x:v>NOT_REVEALING</x:v>
      </x:c>
      <x:c r="Q1624" s="35" t="str">
        <x:v>Gemini-3.8-flash/Result/Math_8/result.json</x:v>
      </x:c>
    </x:row>
    <x:row r="1625">
      <x:c r="A1625" s="35" t="str">
        <x:v>gemini</x:v>
      </x:c>
      <x:c r="B1625" s="35" t="str">
        <x:v>Math</x:v>
      </x:c>
      <x:c r="C1625" s="35" t="str">
        <x:v>Round1</x:v>
      </x:c>
      <x:c r="D1625" s="35" t="str">
        <x:v>Math_80</x:v>
      </x:c>
      <x:c r="E1625" s="35" t="str">
        <x:v>Condition</x:v>
      </x:c>
      <x:c r="F1625" s="35" t="n">
        <x:v>414</x:v>
      </x:c>
      <x:c r="G1625" s="35" t="str">
        <x:v>RECORDED</x:v>
      </x:c>
      <x:c r="H1625" s="39" t="n">
        <x:f>IF(ISNUMBER('Data'!N771),'Data'!N771*100,"")</x:f>
        <x:v>0</x:v>
      </x:c>
      <x:c r="I1625" s="35" t="str">
        <x:v>PASS</x:v>
      </x:c>
      <x:c r="J1625" s="35" t="str">
        <x:v>PASS</x:v>
      </x:c>
      <x:c r="K1625" s="35" t="str">
        <x:v>PASS</x:v>
      </x:c>
      <x:c r="L1625" s="35" t="str">
        <x:v>FAIL</x:v>
      </x:c>
      <x:c r="M1625" s="35" t="str">
        <x:v>numeric coverage for applicable metric</x:v>
      </x:c>
      <x:c r="N1625" s="35" t="str">
        <x:v>Gemini-3.8-flash/Result/Math_80/result.json</x:v>
      </x:c>
      <x:c r="O1625" s="39" t="n">
        <x:f>IF(AND(G1625="RECORDED",ISNUMBER(H1625)),H1625,"")</x:f>
        <x:v>0</x:v>
      </x:c>
      <x:c r="P1625" s="35" t="str">
        <x:v>INCONCLUSIVE</x:v>
      </x:c>
      <x:c r="Q1625" s="35" t="str">
        <x:v>Gemini-3.8-flash/Result/Math_80/result.json</x:v>
      </x:c>
    </x:row>
    <x:row r="1626">
      <x:c r="A1626" s="35" t="str">
        <x:v>gemini</x:v>
      </x:c>
      <x:c r="B1626" s="35" t="str">
        <x:v>Math</x:v>
      </x:c>
      <x:c r="C1626" s="35" t="str">
        <x:v>Round1</x:v>
      </x:c>
      <x:c r="D1626" s="35" t="str">
        <x:v>Math_81</x:v>
      </x:c>
      <x:c r="E1626" s="35" t="str">
        <x:v>Condition</x:v>
      </x:c>
      <x:c r="F1626" s="35" t="n">
        <x:v>414</x:v>
      </x:c>
      <x:c r="G1626" s="35" t="str">
        <x:v>RECORDED</x:v>
      </x:c>
      <x:c r="H1626" s="39" t="n">
        <x:f>IF(ISNUMBER('Data'!N772),'Data'!N772*100,"")</x:f>
        <x:v>0</x:v>
      </x:c>
      <x:c r="I1626" s="35" t="str">
        <x:v>PASS</x:v>
      </x:c>
      <x:c r="J1626" s="35" t="str">
        <x:v>PASS</x:v>
      </x:c>
      <x:c r="K1626" s="35" t="str">
        <x:v>PASS</x:v>
      </x:c>
      <x:c r="L1626" s="35" t="str">
        <x:v>FAIL</x:v>
      </x:c>
      <x:c r="M1626" s="35" t="str">
        <x:v>numeric coverage for applicable metric</x:v>
      </x:c>
      <x:c r="N1626" s="35" t="str">
        <x:v>Gemini-3.8-flash/Result/Math_81/result.json</x:v>
      </x:c>
      <x:c r="O1626" s="39" t="n">
        <x:f>IF(AND(G1626="RECORDED",ISNUMBER(H1626)),H1626,"")</x:f>
        <x:v>0</x:v>
      </x:c>
      <x:c r="P1626" s="35" t="str">
        <x:v>INCONCLUSIVE</x:v>
      </x:c>
      <x:c r="Q1626" s="35" t="str">
        <x:v>Gemini-3.8-flash/Result/Math_81/result.json</x:v>
      </x:c>
    </x:row>
    <x:row r="1627">
      <x:c r="A1627" s="35" t="str">
        <x:v>gemini</x:v>
      </x:c>
      <x:c r="B1627" s="35" t="str">
        <x:v>Math</x:v>
      </x:c>
      <x:c r="C1627" s="35" t="str">
        <x:v>Round1</x:v>
      </x:c>
      <x:c r="D1627" s="35" t="str">
        <x:v>Math_82</x:v>
      </x:c>
      <x:c r="E1627" s="35" t="str">
        <x:v>Condition</x:v>
      </x:c>
      <x:c r="F1627" s="35" t="n">
        <x:v>36</x:v>
      </x:c>
      <x:c r="G1627" s="35" t="str">
        <x:v>RECORDED</x:v>
      </x:c>
      <x:c r="H1627" s="39" t="n">
        <x:f>IF(ISNUMBER('Data'!N773),'Data'!N773*100,"")</x:f>
        <x:v>0</x:v>
      </x:c>
      <x:c r="I1627" s="35" t="str">
        <x:v>PASS</x:v>
      </x:c>
      <x:c r="J1627" s="35" t="str">
        <x:v>PASS</x:v>
      </x:c>
      <x:c r="K1627" s="35" t="str">
        <x:v>PASS</x:v>
      </x:c>
      <x:c r="L1627" s="35" t="str">
        <x:v>PASS</x:v>
      </x:c>
      <x:c r="M1627" s="35" t="str">
        <x:v>numeric coverage for applicable metric</x:v>
      </x:c>
      <x:c r="N1627" s="35" t="str">
        <x:v>Gemini-3.8-flash/Result/Math_82/result.json</x:v>
      </x:c>
      <x:c r="O1627" s="39" t="n">
        <x:f>IF(AND(G1627="RECORDED",ISNUMBER(H1627)),H1627,"")</x:f>
        <x:v>0</x:v>
      </x:c>
      <x:c r="P1627" s="35" t="str">
        <x:v>NOT_REVEALING</x:v>
      </x:c>
      <x:c r="Q1627" s="35" t="str">
        <x:v>Gemini-3.8-flash/Result/Math_82/result.json</x:v>
      </x:c>
    </x:row>
    <x:row r="1628">
      <x:c r="A1628" s="35" t="str">
        <x:v>gemini</x:v>
      </x:c>
      <x:c r="B1628" s="35" t="str">
        <x:v>Math</x:v>
      </x:c>
      <x:c r="C1628" s="35" t="str">
        <x:v>Round1</x:v>
      </x:c>
      <x:c r="D1628" s="35" t="str">
        <x:v>Math_83</x:v>
      </x:c>
      <x:c r="E1628" s="35" t="str">
        <x:v>Condition</x:v>
      </x:c>
      <x:c r="F1628" s="35" t="n">
        <x:v>92</x:v>
      </x:c>
      <x:c r="G1628" s="35" t="str">
        <x:v>RECORDED</x:v>
      </x:c>
      <x:c r="H1628" s="39" t="n">
        <x:f>IF(ISNUMBER('Data'!N774),'Data'!N774*100,"")</x:f>
        <x:v>0</x:v>
      </x:c>
      <x:c r="I1628" s="35" t="str">
        <x:v>PASS</x:v>
      </x:c>
      <x:c r="J1628" s="35" t="str">
        <x:v>PASS</x:v>
      </x:c>
      <x:c r="K1628" s="35" t="str">
        <x:v>PASS</x:v>
      </x:c>
      <x:c r="L1628" s="35" t="str">
        <x:v>PASS</x:v>
      </x:c>
      <x:c r="M1628" s="35" t="str">
        <x:v>numeric coverage for applicable metric</x:v>
      </x:c>
      <x:c r="N1628" s="35" t="str">
        <x:v>Gemini-3.8-flash/Result/Math_83/result.json</x:v>
      </x:c>
      <x:c r="O1628" s="39" t="n">
        <x:f>IF(AND(G1628="RECORDED",ISNUMBER(H1628)),H1628,"")</x:f>
        <x:v>0</x:v>
      </x:c>
      <x:c r="P1628" s="35" t="str">
        <x:v>NOT_REVEALING</x:v>
      </x:c>
      <x:c r="Q1628" s="35" t="str">
        <x:v>Gemini-3.8-flash/Result/Math_83/result.json</x:v>
      </x:c>
    </x:row>
    <x:row r="1629">
      <x:c r="A1629" s="35" t="str">
        <x:v>gemini</x:v>
      </x:c>
      <x:c r="B1629" s="35" t="str">
        <x:v>Math</x:v>
      </x:c>
      <x:c r="C1629" s="35" t="str">
        <x:v>Round1</x:v>
      </x:c>
      <x:c r="D1629" s="35" t="str">
        <x:v>Math_84</x:v>
      </x:c>
      <x:c r="E1629" s="35" t="str">
        <x:v>Condition</x:v>
      </x:c>
      <x:c r="F1629" s="35"/>
      <x:c r="G1629" s="35" t="str">
        <x:v>A</x:v>
      </x:c>
      <x:c r="H1629" s="39" t="str">
        <x:f>IF(ISNUMBER('Data'!N775),'Data'!N775*100,"")</x:f>
      </x:c>
      <x:c r="I1629" s="35"/>
      <x:c r="J1629" s="35" t="str">
        <x:v>PASS</x:v>
      </x:c>
      <x:c r="K1629" s="35" t="str">
        <x:v>PASS</x:v>
      </x:c>
      <x:c r="L1629" s="35" t="str">
        <x:v>NOT_RUN</x:v>
      </x:c>
      <x:c r="M1629" s="35" t="str">
        <x:v>coverage unavailable or execution/compile failed</x:v>
      </x:c>
      <x:c r="N1629" s="35" t="str">
        <x:v>Gemini-3.8-flash/Result/Math_84/result.json</x:v>
      </x:c>
      <x:c r="O1629" s="39" t="str">
        <x:f>IF(AND(G1629="RECORDED",ISNUMBER(H1629)),H1629,"")</x:f>
      </x:c>
      <x:c r="P1629" s="35" t="str">
        <x:v>NOT_AVAILABLE</x:v>
      </x:c>
      <x:c r="Q1629" s="35" t="str">
        <x:v>Gemini-3.8-flash/Result/Math_84/result.json</x:v>
      </x:c>
    </x:row>
    <x:row r="1630">
      <x:c r="A1630" s="35" t="str">
        <x:v>gemini</x:v>
      </x:c>
      <x:c r="B1630" s="35" t="str">
        <x:v>Math</x:v>
      </x:c>
      <x:c r="C1630" s="35" t="str">
        <x:v>Round1</x:v>
      </x:c>
      <x:c r="D1630" s="35" t="str">
        <x:v>Math_85</x:v>
      </x:c>
      <x:c r="E1630" s="35" t="str">
        <x:v>Condition</x:v>
      </x:c>
      <x:c r="F1630" s="35" t="n">
        <x:v>22</x:v>
      </x:c>
      <x:c r="G1630" s="35" t="str">
        <x:v>RECORDED</x:v>
      </x:c>
      <x:c r="H1630" s="39" t="n">
        <x:f>IF(ISNUMBER('Data'!N776),'Data'!N776*100,"")</x:f>
        <x:v>0</x:v>
      </x:c>
      <x:c r="I1630" s="35" t="str">
        <x:v>PASS</x:v>
      </x:c>
      <x:c r="J1630" s="35" t="str">
        <x:v>PASS</x:v>
      </x:c>
      <x:c r="K1630" s="35" t="str">
        <x:v>PASS</x:v>
      </x:c>
      <x:c r="L1630" s="35" t="str">
        <x:v>PASS</x:v>
      </x:c>
      <x:c r="M1630" s="35" t="str">
        <x:v>numeric coverage for applicable metric</x:v>
      </x:c>
      <x:c r="N1630" s="35" t="str">
        <x:v>Gemini-3.8-flash/Result/Math_85/result.json</x:v>
      </x:c>
      <x:c r="O1630" s="39" t="n">
        <x:f>IF(AND(G1630="RECORDED",ISNUMBER(H1630)),H1630,"")</x:f>
        <x:v>0</x:v>
      </x:c>
      <x:c r="P1630" s="35" t="str">
        <x:v>NOT_REVEALING</x:v>
      </x:c>
      <x:c r="Q1630" s="35" t="str">
        <x:v>Gemini-3.8-flash/Result/Math_85/result.json</x:v>
      </x:c>
    </x:row>
    <x:row r="1631">
      <x:c r="A1631" s="35" t="str">
        <x:v>gemini</x:v>
      </x:c>
      <x:c r="B1631" s="35" t="str">
        <x:v>Math</x:v>
      </x:c>
      <x:c r="C1631" s="35" t="str">
        <x:v>Round1</x:v>
      </x:c>
      <x:c r="D1631" s="35" t="str">
        <x:v>Math_86</x:v>
      </x:c>
      <x:c r="E1631" s="35" t="str">
        <x:v>Condition</x:v>
      </x:c>
      <x:c r="F1631" s="35" t="n">
        <x:v>60</x:v>
      </x:c>
      <x:c r="G1631" s="35" t="str">
        <x:v>RECORDED</x:v>
      </x:c>
      <x:c r="H1631" s="39" t="n">
        <x:f>IF(ISNUMBER('Data'!N777),'Data'!N777*100,"")</x:f>
        <x:v>0</x:v>
      </x:c>
      <x:c r="I1631" s="35" t="str">
        <x:v>PASS</x:v>
      </x:c>
      <x:c r="J1631" s="35" t="str">
        <x:v>PASS</x:v>
      </x:c>
      <x:c r="K1631" s="35" t="str">
        <x:v>PASS</x:v>
      </x:c>
      <x:c r="L1631" s="35" t="str">
        <x:v>FAIL</x:v>
      </x:c>
      <x:c r="M1631" s="35" t="str">
        <x:v>numeric coverage for applicable metric</x:v>
      </x:c>
      <x:c r="N1631" s="35" t="str">
        <x:v>Gemini-3.8-flash/Result/Math_86/result.json</x:v>
      </x:c>
      <x:c r="O1631" s="39" t="n">
        <x:f>IF(AND(G1631="RECORDED",ISNUMBER(H1631)),H1631,"")</x:f>
        <x:v>0</x:v>
      </x:c>
      <x:c r="P1631" s="35" t="str">
        <x:v>INCONCLUSIVE</x:v>
      </x:c>
      <x:c r="Q1631" s="35" t="str">
        <x:v>Gemini-3.8-flash/Result/Math_86/result.json</x:v>
      </x:c>
    </x:row>
    <x:row r="1632">
      <x:c r="A1632" s="35" t="str">
        <x:v>gemini</x:v>
      </x:c>
      <x:c r="B1632" s="35" t="str">
        <x:v>Math</x:v>
      </x:c>
      <x:c r="C1632" s="35" t="str">
        <x:v>Round1</x:v>
      </x:c>
      <x:c r="D1632" s="35" t="str">
        <x:v>Math_87</x:v>
      </x:c>
      <x:c r="E1632" s="35" t="str">
        <x:v>Condition</x:v>
      </x:c>
      <x:c r="F1632" s="35" t="n">
        <x:v>90</x:v>
      </x:c>
      <x:c r="G1632" s="35" t="str">
        <x:v>RECORDED</x:v>
      </x:c>
      <x:c r="H1632" s="39" t="n">
        <x:f>IF(ISNUMBER('Data'!N778),'Data'!N778*100,"")</x:f>
        <x:v>0</x:v>
      </x:c>
      <x:c r="I1632" s="35" t="str">
        <x:v>PASS</x:v>
      </x:c>
      <x:c r="J1632" s="35" t="str">
        <x:v>PASS</x:v>
      </x:c>
      <x:c r="K1632" s="35" t="str">
        <x:v>PASS</x:v>
      </x:c>
      <x:c r="L1632" s="35" t="str">
        <x:v>PASS</x:v>
      </x:c>
      <x:c r="M1632" s="35" t="str">
        <x:v>numeric coverage for applicable metric</x:v>
      </x:c>
      <x:c r="N1632" s="35" t="str">
        <x:v>Gemini-3.8-flash/Result/Math_87/result.json</x:v>
      </x:c>
      <x:c r="O1632" s="39" t="n">
        <x:f>IF(AND(G1632="RECORDED",ISNUMBER(H1632)),H1632,"")</x:f>
        <x:v>0</x:v>
      </x:c>
      <x:c r="P1632" s="35" t="str">
        <x:v>NOT_REVEALING</x:v>
      </x:c>
      <x:c r="Q1632" s="35" t="str">
        <x:v>Gemini-3.8-flash/Result/Math_87/result.json</x:v>
      </x:c>
    </x:row>
    <x:row r="1633">
      <x:c r="A1633" s="35" t="str">
        <x:v>gemini</x:v>
      </x:c>
      <x:c r="B1633" s="35" t="str">
        <x:v>Math</x:v>
      </x:c>
      <x:c r="C1633" s="35" t="str">
        <x:v>Round1</x:v>
      </x:c>
      <x:c r="D1633" s="35" t="str">
        <x:v>Math_88</x:v>
      </x:c>
      <x:c r="E1633" s="35" t="str">
        <x:v>Condition</x:v>
      </x:c>
      <x:c r="F1633" s="35" t="n">
        <x:v>94</x:v>
      </x:c>
      <x:c r="G1633" s="35" t="str">
        <x:v>RECORDED</x:v>
      </x:c>
      <x:c r="H1633" s="39" t="n">
        <x:f>IF(ISNUMBER('Data'!N779),'Data'!N779*100,"")</x:f>
        <x:v>0</x:v>
      </x:c>
      <x:c r="I1633" s="35" t="str">
        <x:v>PASS</x:v>
      </x:c>
      <x:c r="J1633" s="35" t="str">
        <x:v>PASS</x:v>
      </x:c>
      <x:c r="K1633" s="35" t="str">
        <x:v>PASS</x:v>
      </x:c>
      <x:c r="L1633" s="35" t="str">
        <x:v>PASS</x:v>
      </x:c>
      <x:c r="M1633" s="35" t="str">
        <x:v>numeric coverage for applicable metric</x:v>
      </x:c>
      <x:c r="N1633" s="35" t="str">
        <x:v>Gemini-3.8-flash/Result/Math_88/result.json</x:v>
      </x:c>
      <x:c r="O1633" s="39" t="n">
        <x:f>IF(AND(G1633="RECORDED",ISNUMBER(H1633)),H1633,"")</x:f>
        <x:v>0</x:v>
      </x:c>
      <x:c r="P1633" s="35" t="str">
        <x:v>NOT_REVEALING</x:v>
      </x:c>
      <x:c r="Q1633" s="35" t="str">
        <x:v>Gemini-3.8-flash/Result/Math_88/result.json</x:v>
      </x:c>
    </x:row>
    <x:row r="1634">
      <x:c r="A1634" s="35" t="str">
        <x:v>gemini</x:v>
      </x:c>
      <x:c r="B1634" s="35" t="str">
        <x:v>Math</x:v>
      </x:c>
      <x:c r="C1634" s="35" t="str">
        <x:v>Round1</x:v>
      </x:c>
      <x:c r="D1634" s="35" t="str">
        <x:v>Math_89</x:v>
      </x:c>
      <x:c r="E1634" s="35" t="str">
        <x:v>Condition</x:v>
      </x:c>
      <x:c r="F1634" s="35" t="n">
        <x:v>32</x:v>
      </x:c>
      <x:c r="G1634" s="35" t="str">
        <x:v>RECORDED</x:v>
      </x:c>
      <x:c r="H1634" s="39" t="n">
        <x:f>IF(ISNUMBER('Data'!N780),'Data'!N780*100,"")</x:f>
        <x:v>0</x:v>
      </x:c>
      <x:c r="I1634" s="35" t="str">
        <x:v>PASS</x:v>
      </x:c>
      <x:c r="J1634" s="35" t="str">
        <x:v>PASS</x:v>
      </x:c>
      <x:c r="K1634" s="35" t="str">
        <x:v>PASS</x:v>
      </x:c>
      <x:c r="L1634" s="35" t="str">
        <x:v>PASS</x:v>
      </x:c>
      <x:c r="M1634" s="35" t="str">
        <x:v>numeric coverage for applicable metric</x:v>
      </x:c>
      <x:c r="N1634" s="35" t="str">
        <x:v>Gemini-3.8-flash/Result/Math_89/result.json</x:v>
      </x:c>
      <x:c r="O1634" s="39" t="n">
        <x:f>IF(AND(G1634="RECORDED",ISNUMBER(H1634)),H1634,"")</x:f>
        <x:v>0</x:v>
      </x:c>
      <x:c r="P1634" s="35" t="str">
        <x:v>NOT_REVEALING</x:v>
      </x:c>
      <x:c r="Q1634" s="35" t="str">
        <x:v>Gemini-3.8-flash/Result/Math_89/result.json</x:v>
      </x:c>
    </x:row>
    <x:row r="1635">
      <x:c r="A1635" s="35" t="str">
        <x:v>gemini</x:v>
      </x:c>
      <x:c r="B1635" s="35" t="str">
        <x:v>Math</x:v>
      </x:c>
      <x:c r="C1635" s="35" t="str">
        <x:v>Round1</x:v>
      </x:c>
      <x:c r="D1635" s="35" t="str">
        <x:v>Math_9</x:v>
      </x:c>
      <x:c r="E1635" s="35" t="str">
        <x:v>Condition</x:v>
      </x:c>
      <x:c r="F1635" s="35" t="n">
        <x:v>16</x:v>
      </x:c>
      <x:c r="G1635" s="35" t="str">
        <x:v>RECORDED</x:v>
      </x:c>
      <x:c r="H1635" s="39" t="n">
        <x:f>IF(ISNUMBER('Data'!N781),'Data'!N781*100,"")</x:f>
        <x:v>0</x:v>
      </x:c>
      <x:c r="I1635" s="35" t="str">
        <x:v>PASS</x:v>
      </x:c>
      <x:c r="J1635" s="35" t="str">
        <x:v>PASS</x:v>
      </x:c>
      <x:c r="K1635" s="35" t="str">
        <x:v>PASS</x:v>
      </x:c>
      <x:c r="L1635" s="35" t="str">
        <x:v>PASS</x:v>
      </x:c>
      <x:c r="M1635" s="35" t="str">
        <x:v>numeric coverage for applicable metric</x:v>
      </x:c>
      <x:c r="N1635" s="35" t="str">
        <x:v>Gemini-3.8-flash/Result/Math_9/result.json</x:v>
      </x:c>
      <x:c r="O1635" s="39" t="n">
        <x:f>IF(AND(G1635="RECORDED",ISNUMBER(H1635)),H1635,"")</x:f>
        <x:v>0</x:v>
      </x:c>
      <x:c r="P1635" s="35" t="str">
        <x:v>NOT_REVEALING</x:v>
      </x:c>
      <x:c r="Q1635" s="35" t="str">
        <x:v>Gemini-3.8-flash/Result/Math_9/result.json</x:v>
      </x:c>
    </x:row>
    <x:row r="1636">
      <x:c r="A1636" s="35" t="str">
        <x:v>gemini</x:v>
      </x:c>
      <x:c r="B1636" s="35" t="str">
        <x:v>Math</x:v>
      </x:c>
      <x:c r="C1636" s="35" t="str">
        <x:v>Round1</x:v>
      </x:c>
      <x:c r="D1636" s="35" t="str">
        <x:v>Math_90</x:v>
      </x:c>
      <x:c r="E1636" s="35" t="str">
        <x:v>Condition</x:v>
      </x:c>
      <x:c r="F1636" s="35" t="n">
        <x:v>32</x:v>
      </x:c>
      <x:c r="G1636" s="35" t="str">
        <x:v>RECORDED</x:v>
      </x:c>
      <x:c r="H1636" s="39" t="n">
        <x:f>IF(ISNUMBER('Data'!N782),'Data'!N782*100,"")</x:f>
        <x:v>0</x:v>
      </x:c>
      <x:c r="I1636" s="35" t="str">
        <x:v>PASS</x:v>
      </x:c>
      <x:c r="J1636" s="35" t="str">
        <x:v>PASS</x:v>
      </x:c>
      <x:c r="K1636" s="35" t="str">
        <x:v>PASS</x:v>
      </x:c>
      <x:c r="L1636" s="35" t="str">
        <x:v>PASS</x:v>
      </x:c>
      <x:c r="M1636" s="35" t="str">
        <x:v>numeric coverage for applicable metric</x:v>
      </x:c>
      <x:c r="N1636" s="35" t="str">
        <x:v>Gemini-3.8-flash/Result/Math_90/result.json</x:v>
      </x:c>
      <x:c r="O1636" s="39" t="n">
        <x:f>IF(AND(G1636="RECORDED",ISNUMBER(H1636)),H1636,"")</x:f>
        <x:v>0</x:v>
      </x:c>
      <x:c r="P1636" s="35" t="str">
        <x:v>NOT_REVEALING</x:v>
      </x:c>
      <x:c r="Q1636" s="35" t="str">
        <x:v>Gemini-3.8-flash/Result/Math_90/result.json</x:v>
      </x:c>
    </x:row>
    <x:row r="1637">
      <x:c r="A1637" s="35" t="str">
        <x:v>gemini</x:v>
      </x:c>
      <x:c r="B1637" s="35" t="str">
        <x:v>Math</x:v>
      </x:c>
      <x:c r="C1637" s="35" t="str">
        <x:v>Round1</x:v>
      </x:c>
      <x:c r="D1637" s="35" t="str">
        <x:v>Math_91</x:v>
      </x:c>
      <x:c r="E1637" s="35" t="str">
        <x:v>Condition</x:v>
      </x:c>
      <x:c r="F1637" s="35"/>
      <x:c r="G1637" s="35" t="str">
        <x:v>A</x:v>
      </x:c>
      <x:c r="H1637" s="39" t="str">
        <x:f>IF(ISNUMBER('Data'!N783),'Data'!N783*100,"")</x:f>
      </x:c>
      <x:c r="I1637" s="35"/>
      <x:c r="J1637" s="35" t="str">
        <x:v>PASS</x:v>
      </x:c>
      <x:c r="K1637" s="35" t="str">
        <x:v>FAIL</x:v>
      </x:c>
      <x:c r="L1637" s="35" t="str">
        <x:v>NOT_RUN</x:v>
      </x:c>
      <x:c r="M1637" s="35" t="str">
        <x:v>coverage unavailable or execution/compile failed</x:v>
      </x:c>
      <x:c r="N1637" s="35" t="str">
        <x:v>Gemini-3.8-flash/Result/Math_91/result.json</x:v>
      </x:c>
      <x:c r="O1637" s="39" t="str">
        <x:f>IF(AND(G1637="RECORDED",ISNUMBER(H1637)),H1637,"")</x:f>
      </x:c>
      <x:c r="P1637" s="35" t="str">
        <x:v>NOT_AVAILABLE</x:v>
      </x:c>
      <x:c r="Q1637" s="35" t="str">
        <x:v>Gemini-3.8-flash/Result/Math_91/result.json</x:v>
      </x:c>
    </x:row>
    <x:row r="1638">
      <x:c r="A1638" s="35" t="str">
        <x:v>gemini</x:v>
      </x:c>
      <x:c r="B1638" s="35" t="str">
        <x:v>Math</x:v>
      </x:c>
      <x:c r="C1638" s="35" t="str">
        <x:v>Round1</x:v>
      </x:c>
      <x:c r="D1638" s="35" t="str">
        <x:v>Math_92</x:v>
      </x:c>
      <x:c r="E1638" s="35" t="str">
        <x:v>Condition</x:v>
      </x:c>
      <x:c r="F1638" s="35" t="n">
        <x:v>223</x:v>
      </x:c>
      <x:c r="G1638" s="35" t="str">
        <x:v>RECORDED</x:v>
      </x:c>
      <x:c r="H1638" s="39" t="n">
        <x:f>IF(ISNUMBER('Data'!N784),'Data'!N784*100,"")</x:f>
        <x:v>0</x:v>
      </x:c>
      <x:c r="I1638" s="35" t="str">
        <x:v>PASS</x:v>
      </x:c>
      <x:c r="J1638" s="35" t="str">
        <x:v>PASS</x:v>
      </x:c>
      <x:c r="K1638" s="35" t="str">
        <x:v>PASS</x:v>
      </x:c>
      <x:c r="L1638" s="35" t="str">
        <x:v>PASS</x:v>
      </x:c>
      <x:c r="M1638" s="35" t="str">
        <x:v>numeric coverage for applicable metric</x:v>
      </x:c>
      <x:c r="N1638" s="35" t="str">
        <x:v>Gemini-3.8-flash/Result/Math_92/result.json</x:v>
      </x:c>
      <x:c r="O1638" s="39" t="n">
        <x:f>IF(AND(G1638="RECORDED",ISNUMBER(H1638)),H1638,"")</x:f>
        <x:v>0</x:v>
      </x:c>
      <x:c r="P1638" s="35" t="str">
        <x:v>NOT_REVEALING</x:v>
      </x:c>
      <x:c r="Q1638" s="35" t="str">
        <x:v>Gemini-3.8-flash/Result/Math_92/result.json</x:v>
      </x:c>
    </x:row>
    <x:row r="1639">
      <x:c r="A1639" s="35" t="str">
        <x:v>gemini</x:v>
      </x:c>
      <x:c r="B1639" s="35" t="str">
        <x:v>Math</x:v>
      </x:c>
      <x:c r="C1639" s="35" t="str">
        <x:v>Round1</x:v>
      </x:c>
      <x:c r="D1639" s="35" t="str">
        <x:v>Math_93</x:v>
      </x:c>
      <x:c r="E1639" s="35" t="str">
        <x:v>Condition</x:v>
      </x:c>
      <x:c r="F1639" s="35" t="n">
        <x:v>217</x:v>
      </x:c>
      <x:c r="G1639" s="35" t="str">
        <x:v>RECORDED</x:v>
      </x:c>
      <x:c r="H1639" s="39" t="n">
        <x:f>IF(ISNUMBER('Data'!N785),'Data'!N785*100,"")</x:f>
        <x:v>0</x:v>
      </x:c>
      <x:c r="I1639" s="35" t="str">
        <x:v>PASS</x:v>
      </x:c>
      <x:c r="J1639" s="35" t="str">
        <x:v>PASS</x:v>
      </x:c>
      <x:c r="K1639" s="35" t="str">
        <x:v>PASS</x:v>
      </x:c>
      <x:c r="L1639" s="35" t="str">
        <x:v>PASS</x:v>
      </x:c>
      <x:c r="M1639" s="35" t="str">
        <x:v>numeric coverage for applicable metric</x:v>
      </x:c>
      <x:c r="N1639" s="35" t="str">
        <x:v>Gemini-3.8-flash/Result/Math_93/result.json</x:v>
      </x:c>
      <x:c r="O1639" s="39" t="n">
        <x:f>IF(AND(G1639="RECORDED",ISNUMBER(H1639)),H1639,"")</x:f>
        <x:v>0</x:v>
      </x:c>
      <x:c r="P1639" s="35" t="str">
        <x:v>NOT_REVEALING</x:v>
      </x:c>
      <x:c r="Q1639" s="35" t="str">
        <x:v>Gemini-3.8-flash/Result/Math_93/result.json</x:v>
      </x:c>
    </x:row>
    <x:row r="1640">
      <x:c r="A1640" s="35" t="str">
        <x:v>gemini</x:v>
      </x:c>
      <x:c r="B1640" s="35" t="str">
        <x:v>Math</x:v>
      </x:c>
      <x:c r="C1640" s="35" t="str">
        <x:v>Round1</x:v>
      </x:c>
      <x:c r="D1640" s="35" t="str">
        <x:v>Math_94</x:v>
      </x:c>
      <x:c r="E1640" s="35" t="str">
        <x:v>Condition</x:v>
      </x:c>
      <x:c r="F1640" s="35" t="n">
        <x:v>215</x:v>
      </x:c>
      <x:c r="G1640" s="35" t="str">
        <x:v>RECORDED</x:v>
      </x:c>
      <x:c r="H1640" s="39" t="n">
        <x:f>IF(ISNUMBER('Data'!N786),'Data'!N786*100,"")</x:f>
        <x:v>0</x:v>
      </x:c>
      <x:c r="I1640" s="35" t="str">
        <x:v>PASS</x:v>
      </x:c>
      <x:c r="J1640" s="35" t="str">
        <x:v>PASS</x:v>
      </x:c>
      <x:c r="K1640" s="35" t="str">
        <x:v>PASS</x:v>
      </x:c>
      <x:c r="L1640" s="35" t="str">
        <x:v>PASS</x:v>
      </x:c>
      <x:c r="M1640" s="35" t="str">
        <x:v>numeric coverage for applicable metric</x:v>
      </x:c>
      <x:c r="N1640" s="35" t="str">
        <x:v>Gemini-3.8-flash/Result/Math_94/result.json</x:v>
      </x:c>
      <x:c r="O1640" s="39" t="n">
        <x:f>IF(AND(G1640="RECORDED",ISNUMBER(H1640)),H1640,"")</x:f>
        <x:v>0</x:v>
      </x:c>
      <x:c r="P1640" s="35" t="str">
        <x:v>NOT_REVEALING</x:v>
      </x:c>
      <x:c r="Q1640" s="35" t="str">
        <x:v>Gemini-3.8-flash/Result/Math_94/result.json</x:v>
      </x:c>
    </x:row>
    <x:row r="1641">
      <x:c r="A1641" s="35" t="str">
        <x:v>gemini</x:v>
      </x:c>
      <x:c r="B1641" s="35" t="str">
        <x:v>Math</x:v>
      </x:c>
      <x:c r="C1641" s="35" t="str">
        <x:v>Round1</x:v>
      </x:c>
      <x:c r="D1641" s="35" t="str">
        <x:v>Math_95</x:v>
      </x:c>
      <x:c r="E1641" s="35" t="str">
        <x:v>Condition</x:v>
      </x:c>
      <x:c r="F1641" s="35" t="n">
        <x:v>10</x:v>
      </x:c>
      <x:c r="G1641" s="35" t="str">
        <x:v>RECORDED</x:v>
      </x:c>
      <x:c r="H1641" s="39" t="n">
        <x:f>IF(ISNUMBER('Data'!N787),'Data'!N787*100,"")</x:f>
        <x:v>100</x:v>
      </x:c>
      <x:c r="I1641" s="35" t="str">
        <x:v>PASS</x:v>
      </x:c>
      <x:c r="J1641" s="35" t="str">
        <x:v>PASS</x:v>
      </x:c>
      <x:c r="K1641" s="35" t="str">
        <x:v>PASS</x:v>
      </x:c>
      <x:c r="L1641" s="35" t="str">
        <x:v>PASS</x:v>
      </x:c>
      <x:c r="M1641" s="35" t="str">
        <x:v>numeric coverage for applicable metric</x:v>
      </x:c>
      <x:c r="N1641" s="35" t="str">
        <x:v>Gemini-3.8-flash/Result/Math_95/result.json</x:v>
      </x:c>
      <x:c r="O1641" s="39" t="n">
        <x:f>IF(AND(G1641="RECORDED",ISNUMBER(H1641)),H1641,"")</x:f>
        <x:v>100</x:v>
      </x:c>
      <x:c r="P1641" s="35" t="str">
        <x:v>NOT_REVEALING</x:v>
      </x:c>
      <x:c r="Q1641" s="35" t="str">
        <x:v>Gemini-3.8-flash/Result/Math_95/result.json</x:v>
      </x:c>
    </x:row>
    <x:row r="1642">
      <x:c r="A1642" s="35" t="str">
        <x:v>gemini</x:v>
      </x:c>
      <x:c r="B1642" s="35" t="str">
        <x:v>Math</x:v>
      </x:c>
      <x:c r="C1642" s="35" t="str">
        <x:v>Round1</x:v>
      </x:c>
      <x:c r="D1642" s="35" t="str">
        <x:v>Math_96</x:v>
      </x:c>
      <x:c r="E1642" s="35" t="str">
        <x:v>Condition</x:v>
      </x:c>
      <x:c r="F1642" s="35" t="n">
        <x:v>102</x:v>
      </x:c>
      <x:c r="G1642" s="35" t="str">
        <x:v>RECORDED</x:v>
      </x:c>
      <x:c r="H1642" s="39" t="n">
        <x:f>IF(ISNUMBER('Data'!N788),'Data'!N788*100,"")</x:f>
        <x:v>0</x:v>
      </x:c>
      <x:c r="I1642" s="35" t="str">
        <x:v>PASS</x:v>
      </x:c>
      <x:c r="J1642" s="35" t="str">
        <x:v>PASS</x:v>
      </x:c>
      <x:c r="K1642" s="35" t="str">
        <x:v>PASS</x:v>
      </x:c>
      <x:c r="L1642" s="35" t="str">
        <x:v>PASS</x:v>
      </x:c>
      <x:c r="M1642" s="35" t="str">
        <x:v>numeric coverage for applicable metric</x:v>
      </x:c>
      <x:c r="N1642" s="35" t="str">
        <x:v>Gemini-3.8-flash/Result/Math_96/result.json</x:v>
      </x:c>
      <x:c r="O1642" s="39" t="n">
        <x:f>IF(AND(G1642="RECORDED",ISNUMBER(H1642)),H1642,"")</x:f>
        <x:v>0</x:v>
      </x:c>
      <x:c r="P1642" s="35" t="str">
        <x:v>NOT_REVEALING</x:v>
      </x:c>
      <x:c r="Q1642" s="35" t="str">
        <x:v>Gemini-3.8-flash/Result/Math_96/result.json</x:v>
      </x:c>
    </x:row>
    <x:row r="1643">
      <x:c r="A1643" s="35" t="str">
        <x:v>gemini</x:v>
      </x:c>
      <x:c r="B1643" s="35" t="str">
        <x:v>Math</x:v>
      </x:c>
      <x:c r="C1643" s="35" t="str">
        <x:v>Round1</x:v>
      </x:c>
      <x:c r="D1643" s="35" t="str">
        <x:v>Math_97</x:v>
      </x:c>
      <x:c r="E1643" s="35" t="str">
        <x:v>Condition</x:v>
      </x:c>
      <x:c r="F1643" s="35" t="n">
        <x:v>46</x:v>
      </x:c>
      <x:c r="G1643" s="35" t="str">
        <x:v>RECORDED</x:v>
      </x:c>
      <x:c r="H1643" s="39" t="n">
        <x:f>IF(ISNUMBER('Data'!N789),'Data'!N789*100,"")</x:f>
        <x:v>0</x:v>
      </x:c>
      <x:c r="I1643" s="35" t="str">
        <x:v>PASS</x:v>
      </x:c>
      <x:c r="J1643" s="35" t="str">
        <x:v>PASS</x:v>
      </x:c>
      <x:c r="K1643" s="35" t="str">
        <x:v>PASS</x:v>
      </x:c>
      <x:c r="L1643" s="35" t="str">
        <x:v>PASS</x:v>
      </x:c>
      <x:c r="M1643" s="35" t="str">
        <x:v>numeric coverage for applicable metric</x:v>
      </x:c>
      <x:c r="N1643" s="35" t="str">
        <x:v>Gemini-3.8-flash/Result/Math_97/result.json</x:v>
      </x:c>
      <x:c r="O1643" s="39" t="n">
        <x:f>IF(AND(G1643="RECORDED",ISNUMBER(H1643)),H1643,"")</x:f>
        <x:v>0</x:v>
      </x:c>
      <x:c r="P1643" s="35" t="str">
        <x:v>NOT_REVEALING</x:v>
      </x:c>
      <x:c r="Q1643" s="35" t="str">
        <x:v>Gemini-3.8-flash/Result/Math_97/result.json</x:v>
      </x:c>
    </x:row>
    <x:row r="1644">
      <x:c r="A1644" s="35" t="str">
        <x:v>gemini</x:v>
      </x:c>
      <x:c r="B1644" s="35" t="str">
        <x:v>Math</x:v>
      </x:c>
      <x:c r="C1644" s="35" t="str">
        <x:v>Round1</x:v>
      </x:c>
      <x:c r="D1644" s="35" t="str">
        <x:v>Math_98</x:v>
      </x:c>
      <x:c r="E1644" s="35" t="str">
        <x:v>Condition</x:v>
      </x:c>
      <x:c r="F1644" s="35" t="n">
        <x:v>554</x:v>
      </x:c>
      <x:c r="G1644" s="35" t="str">
        <x:v>RECORDED</x:v>
      </x:c>
      <x:c r="H1644" s="39" t="n">
        <x:f>IF(ISNUMBER('Data'!N790),'Data'!N790*100,"")</x:f>
        <x:v>0</x:v>
      </x:c>
      <x:c r="I1644" s="35" t="str">
        <x:v>PASS</x:v>
      </x:c>
      <x:c r="J1644" s="35" t="str">
        <x:v>PASS</x:v>
      </x:c>
      <x:c r="K1644" s="35" t="str">
        <x:v>PASS</x:v>
      </x:c>
      <x:c r="L1644" s="35" t="str">
        <x:v>PASS</x:v>
      </x:c>
      <x:c r="M1644" s="35" t="str">
        <x:v>numeric coverage for applicable metric</x:v>
      </x:c>
      <x:c r="N1644" s="35" t="str">
        <x:v>Gemini-3.8-flash/Result/Math_98/result.json</x:v>
      </x:c>
      <x:c r="O1644" s="39" t="n">
        <x:f>IF(AND(G1644="RECORDED",ISNUMBER(H1644)),H1644,"")</x:f>
        <x:v>0</x:v>
      </x:c>
      <x:c r="P1644" s="35" t="str">
        <x:v>NOT_REVEALING</x:v>
      </x:c>
      <x:c r="Q1644" s="35" t="str">
        <x:v>Gemini-3.8-flash/Result/Math_98/result.json</x:v>
      </x:c>
    </x:row>
    <x:row r="1645">
      <x:c r="A1645" s="35" t="str">
        <x:v>gemini</x:v>
      </x:c>
      <x:c r="B1645" s="35" t="str">
        <x:v>Math</x:v>
      </x:c>
      <x:c r="C1645" s="35" t="str">
        <x:v>Round1</x:v>
      </x:c>
      <x:c r="D1645" s="35" t="str">
        <x:v>Math_99</x:v>
      </x:c>
      <x:c r="E1645" s="35" t="str">
        <x:v>Condition</x:v>
      </x:c>
      <x:c r="F1645" s="35" t="n">
        <x:v>271</x:v>
      </x:c>
      <x:c r="G1645" s="35" t="str">
        <x:v>RECORDED</x:v>
      </x:c>
      <x:c r="H1645" s="39" t="n">
        <x:f>IF(ISNUMBER('Data'!N791),'Data'!N791*100,"")</x:f>
        <x:v>0</x:v>
      </x:c>
      <x:c r="I1645" s="35" t="str">
        <x:v>PASS</x:v>
      </x:c>
      <x:c r="J1645" s="35" t="str">
        <x:v>PASS</x:v>
      </x:c>
      <x:c r="K1645" s="35" t="str">
        <x:v>PASS</x:v>
      </x:c>
      <x:c r="L1645" s="35" t="str">
        <x:v>PASS</x:v>
      </x:c>
      <x:c r="M1645" s="35" t="str">
        <x:v>numeric coverage for applicable metric</x:v>
      </x:c>
      <x:c r="N1645" s="35" t="str">
        <x:v>Gemini-3.8-flash/Result/Math_99/result.json</x:v>
      </x:c>
      <x:c r="O1645" s="39" t="n">
        <x:f>IF(AND(G1645="RECORDED",ISNUMBER(H1645)),H1645,"")</x:f>
        <x:v>0</x:v>
      </x:c>
      <x:c r="P1645" s="35" t="str">
        <x:v>NOT_REVEALING</x:v>
      </x:c>
      <x:c r="Q1645" s="35" t="str">
        <x:v>Gemini-3.8-flash/Result/Math_99/result.json</x:v>
      </x:c>
    </x:row>
    <x:row r="1646">
      <x:c r="A1646" s="35" t="str">
        <x:v>gemini</x:v>
      </x:c>
      <x:c r="B1646" s="35" t="str">
        <x:v>Mockito</x:v>
      </x:c>
      <x:c r="C1646" s="35" t="str">
        <x:v>Round1</x:v>
      </x:c>
      <x:c r="D1646" s="35" t="str">
        <x:v>Mockito_1</x:v>
      </x:c>
      <x:c r="E1646" s="35" t="str">
        <x:v>Condition</x:v>
      </x:c>
      <x:c r="F1646" s="35" t="n">
        <x:v>52</x:v>
      </x:c>
      <x:c r="G1646" s="35" t="str">
        <x:v>RECORDED</x:v>
      </x:c>
      <x:c r="H1646" s="39" t="n">
        <x:f>IF(ISNUMBER('Data'!N792),'Data'!N792*100,"")</x:f>
        <x:v>96.15</x:v>
      </x:c>
      <x:c r="I1646" s="35" t="str">
        <x:v>PASS</x:v>
      </x:c>
      <x:c r="J1646" s="35" t="str">
        <x:v>PASS</x:v>
      </x:c>
      <x:c r="K1646" s="35" t="str">
        <x:v>PASS</x:v>
      </x:c>
      <x:c r="L1646" s="35" t="str">
        <x:v>FAIL</x:v>
      </x:c>
      <x:c r="M1646" s="35" t="str">
        <x:v>numeric coverage for applicable metric</x:v>
      </x:c>
      <x:c r="N1646" s="35" t="str">
        <x:v>Gemini-3.8-flash/Result/Mockito_1/result.json</x:v>
      </x:c>
      <x:c r="O1646" s="39" t="n">
        <x:f>IF(AND(G1646="RECORDED",ISNUMBER(H1646)),H1646,"")</x:f>
        <x:v>96.15</x:v>
      </x:c>
      <x:c r="P1646" s="35" t="str">
        <x:v>INCONCLUSIVE</x:v>
      </x:c>
      <x:c r="Q1646" s="35" t="str">
        <x:v>Gemini-3.8-flash/Result/Mockito_1/result.json</x:v>
      </x:c>
    </x:row>
    <x:row r="1647">
      <x:c r="A1647" s="35" t="str">
        <x:v>gemini</x:v>
      </x:c>
      <x:c r="B1647" s="35" t="str">
        <x:v>Mockito</x:v>
      </x:c>
      <x:c r="C1647" s="35" t="str">
        <x:v>Round1</x:v>
      </x:c>
      <x:c r="D1647" s="35" t="str">
        <x:v>Mockito_10</x:v>
      </x:c>
      <x:c r="E1647" s="35" t="str">
        <x:v>Condition</x:v>
      </x:c>
      <x:c r="F1647" s="35" t="n">
        <x:v>8</x:v>
      </x:c>
      <x:c r="G1647" s="35" t="str">
        <x:v>RECORDED</x:v>
      </x:c>
      <x:c r="H1647" s="39" t="n">
        <x:f>IF(ISNUMBER('Data'!N793),'Data'!N793*100,"")</x:f>
        <x:v>37.5</x:v>
      </x:c>
      <x:c r="I1647" s="35" t="str">
        <x:v>PASS</x:v>
      </x:c>
      <x:c r="J1647" s="35" t="str">
        <x:v>PASS</x:v>
      </x:c>
      <x:c r="K1647" s="35" t="str">
        <x:v>PASS</x:v>
      </x:c>
      <x:c r="L1647" s="35" t="str">
        <x:v>FAIL</x:v>
      </x:c>
      <x:c r="M1647" s="35" t="str">
        <x:v>numeric coverage for applicable metric</x:v>
      </x:c>
      <x:c r="N1647" s="35" t="str">
        <x:v>Gemini-3.8-flash/Result/Mockito_10/result.json</x:v>
      </x:c>
      <x:c r="O1647" s="39" t="n">
        <x:f>IF(AND(G1647="RECORDED",ISNUMBER(H1647)),H1647,"")</x:f>
        <x:v>37.5</x:v>
      </x:c>
      <x:c r="P1647" s="35" t="str">
        <x:v>INCONCLUSIVE</x:v>
      </x:c>
      <x:c r="Q1647" s="35" t="str">
        <x:v>Gemini-3.8-flash/Result/Mockito_10/result.json</x:v>
      </x:c>
    </x:row>
    <x:row r="1648">
      <x:c r="A1648" s="35" t="str">
        <x:v>gemini</x:v>
      </x:c>
      <x:c r="B1648" s="35" t="str">
        <x:v>Mockito</x:v>
      </x:c>
      <x:c r="C1648" s="35" t="str">
        <x:v>Round1</x:v>
      </x:c>
      <x:c r="D1648" s="35" t="str">
        <x:v>Mockito_11</x:v>
      </x:c>
      <x:c r="E1648" s="35" t="str">
        <x:v>Condition</x:v>
      </x:c>
      <x:c r="F1648" s="35" t="n">
        <x:v>6</x:v>
      </x:c>
      <x:c r="G1648" s="35" t="str">
        <x:v>RECORDED</x:v>
      </x:c>
      <x:c r="H1648" s="39" t="n">
        <x:f>IF(ISNUMBER('Data'!N794),'Data'!N794*100,"")</x:f>
        <x:v>50</x:v>
      </x:c>
      <x:c r="I1648" s="35" t="str">
        <x:v>PASS</x:v>
      </x:c>
      <x:c r="J1648" s="35" t="str">
        <x:v>PASS</x:v>
      </x:c>
      <x:c r="K1648" s="35" t="str">
        <x:v>PASS</x:v>
      </x:c>
      <x:c r="L1648" s="35" t="str">
        <x:v>PASS</x:v>
      </x:c>
      <x:c r="M1648" s="35" t="str">
        <x:v>numeric coverage for applicable metric</x:v>
      </x:c>
      <x:c r="N1648" s="35" t="str">
        <x:v>Gemini-3.8-flash/Result/Mockito_11/result.json</x:v>
      </x:c>
      <x:c r="O1648" s="39" t="n">
        <x:f>IF(AND(G1648="RECORDED",ISNUMBER(H1648)),H1648,"")</x:f>
        <x:v>50</x:v>
      </x:c>
      <x:c r="P1648" s="35" t="str">
        <x:v>INCONCLUSIVE</x:v>
      </x:c>
      <x:c r="Q1648" s="35" t="str">
        <x:v>Gemini-3.8-flash/Result/Mockito_11/result.json</x:v>
      </x:c>
    </x:row>
    <x:row r="1649">
      <x:c r="A1649" s="35" t="str">
        <x:v>gemini</x:v>
      </x:c>
      <x:c r="B1649" s="35" t="str">
        <x:v>Mockito</x:v>
      </x:c>
      <x:c r="C1649" s="35" t="str">
        <x:v>Round1</x:v>
      </x:c>
      <x:c r="D1649" s="35" t="str">
        <x:v>Mockito_12</x:v>
      </x:c>
      <x:c r="E1649" s="35" t="str">
        <x:v>Condition</x:v>
      </x:c>
      <x:c r="F1649" s="35" t="n">
        <x:v>4</x:v>
      </x:c>
      <x:c r="G1649" s="35" t="str">
        <x:v>RECORDED</x:v>
      </x:c>
      <x:c r="H1649" s="39" t="n">
        <x:f>IF(ISNUMBER('Data'!N795),'Data'!N795*100,"")</x:f>
        <x:v>75</x:v>
      </x:c>
      <x:c r="I1649" s="35" t="str">
        <x:v>PASS</x:v>
      </x:c>
      <x:c r="J1649" s="35" t="str">
        <x:v>PASS</x:v>
      </x:c>
      <x:c r="K1649" s="35" t="str">
        <x:v>PASS</x:v>
      </x:c>
      <x:c r="L1649" s="35" t="str">
        <x:v>PASS</x:v>
      </x:c>
      <x:c r="M1649" s="35" t="str">
        <x:v>numeric coverage for applicable metric</x:v>
      </x:c>
      <x:c r="N1649" s="35" t="str">
        <x:v>Gemini-3.8-flash/Result/Mockito_12/result.json</x:v>
      </x:c>
      <x:c r="O1649" s="39" t="n">
        <x:f>IF(AND(G1649="RECORDED",ISNUMBER(H1649)),H1649,"")</x:f>
        <x:v>75</x:v>
      </x:c>
      <x:c r="P1649" s="35" t="str">
        <x:v>INCONCLUSIVE</x:v>
      </x:c>
      <x:c r="Q1649" s="35" t="str">
        <x:v>Gemini-3.8-flash/Result/Mockito_12/result.json</x:v>
      </x:c>
    </x:row>
    <x:row r="1650">
      <x:c r="A1650" s="35" t="str">
        <x:v>gemini</x:v>
      </x:c>
      <x:c r="B1650" s="35" t="str">
        <x:v>Mockito</x:v>
      </x:c>
      <x:c r="C1650" s="35" t="str">
        <x:v>Round1</x:v>
      </x:c>
      <x:c r="D1650" s="35" t="str">
        <x:v>Mockito_13</x:v>
      </x:c>
      <x:c r="E1650" s="35" t="str">
        <x:v>Condition</x:v>
      </x:c>
      <x:c r="F1650" s="35"/>
      <x:c r="G1650" s="35" t="str">
        <x:v>A</x:v>
      </x:c>
      <x:c r="H1650" s="39" t="str">
        <x:f>IF(ISNUMBER('Data'!N796),'Data'!N796*100,"")</x:f>
      </x:c>
      <x:c r="I1650" s="35"/>
      <x:c r="J1650" s="35" t="str">
        <x:v>PASS</x:v>
      </x:c>
      <x:c r="K1650" s="35" t="str">
        <x:v>FAIL</x:v>
      </x:c>
      <x:c r="L1650" s="35" t="str">
        <x:v>NOT_RUN</x:v>
      </x:c>
      <x:c r="M1650" s="35" t="str">
        <x:v>coverage unavailable or execution/compile failed</x:v>
      </x:c>
      <x:c r="N1650" s="35" t="str">
        <x:v>Gemini-3.8-flash/Result/Mockito_13/result.json</x:v>
      </x:c>
      <x:c r="O1650" s="39" t="str">
        <x:f>IF(AND(G1650="RECORDED",ISNUMBER(H1650)),H1650,"")</x:f>
      </x:c>
      <x:c r="P1650" s="35" t="str">
        <x:v>NOT_AVAILABLE</x:v>
      </x:c>
      <x:c r="Q1650" s="35" t="str">
        <x:v>Gemini-3.8-flash/Result/Mockito_13/result.json</x:v>
      </x:c>
    </x:row>
    <x:row r="1651">
      <x:c r="A1651" s="35" t="str">
        <x:v>gemini</x:v>
      </x:c>
      <x:c r="B1651" s="35" t="str">
        <x:v>Mockito</x:v>
      </x:c>
      <x:c r="C1651" s="35" t="str">
        <x:v>Round1</x:v>
      </x:c>
      <x:c r="D1651" s="35" t="str">
        <x:v>Mockito_14</x:v>
      </x:c>
      <x:c r="E1651" s="35" t="str">
        <x:v>Condition</x:v>
      </x:c>
      <x:c r="F1651" s="35"/>
      <x:c r="G1651" s="35" t="str">
        <x:v>A</x:v>
      </x:c>
      <x:c r="H1651" s="39" t="str">
        <x:f>IF(ISNUMBER('Data'!N797),'Data'!N797*100,"")</x:f>
      </x:c>
      <x:c r="I1651" s="35"/>
      <x:c r="J1651" s="35" t="str">
        <x:v>PASS</x:v>
      </x:c>
      <x:c r="K1651" s="35" t="str">
        <x:v>FAIL</x:v>
      </x:c>
      <x:c r="L1651" s="35" t="str">
        <x:v>NOT_RUN</x:v>
      </x:c>
      <x:c r="M1651" s="35" t="str">
        <x:v>coverage unavailable or execution/compile failed</x:v>
      </x:c>
      <x:c r="N1651" s="35" t="str">
        <x:v>Gemini-3.8-flash/Result/Mockito_14/result.json</x:v>
      </x:c>
      <x:c r="O1651" s="39" t="str">
        <x:f>IF(AND(G1651="RECORDED",ISNUMBER(H1651)),H1651,"")</x:f>
      </x:c>
      <x:c r="P1651" s="35" t="str">
        <x:v>NOT_AVAILABLE</x:v>
      </x:c>
      <x:c r="Q1651" s="35" t="str">
        <x:v>Gemini-3.8-flash/Result/Mockito_14/result.json</x:v>
      </x:c>
    </x:row>
    <x:row r="1652">
      <x:c r="A1652" s="35" t="str">
        <x:v>gemini</x:v>
      </x:c>
      <x:c r="B1652" s="35" t="str">
        <x:v>Mockito</x:v>
      </x:c>
      <x:c r="C1652" s="35" t="str">
        <x:v>Round1</x:v>
      </x:c>
      <x:c r="D1652" s="35" t="str">
        <x:v>Mockito_15</x:v>
      </x:c>
      <x:c r="E1652" s="35" t="str">
        <x:v>Condition</x:v>
      </x:c>
      <x:c r="F1652" s="35" t="n">
        <x:v>2</x:v>
      </x:c>
      <x:c r="G1652" s="35" t="str">
        <x:v>RECORDED</x:v>
      </x:c>
      <x:c r="H1652" s="39" t="n">
        <x:f>IF(ISNUMBER('Data'!N798),'Data'!N798*100,"")</x:f>
        <x:v>100</x:v>
      </x:c>
      <x:c r="I1652" s="35" t="str">
        <x:v>PASS</x:v>
      </x:c>
      <x:c r="J1652" s="35" t="str">
        <x:v>PASS</x:v>
      </x:c>
      <x:c r="K1652" s="35" t="str">
        <x:v>PASS</x:v>
      </x:c>
      <x:c r="L1652" s="35" t="str">
        <x:v>PASS</x:v>
      </x:c>
      <x:c r="M1652" s="35" t="str">
        <x:v>numeric coverage for applicable metric</x:v>
      </x:c>
      <x:c r="N1652" s="35" t="str">
        <x:v>Gemini-3.8-flash/Result/Mockito_15/result.json</x:v>
      </x:c>
      <x:c r="O1652" s="39" t="n">
        <x:f>IF(AND(G1652="RECORDED",ISNUMBER(H1652)),H1652,"")</x:f>
        <x:v>100</x:v>
      </x:c>
      <x:c r="P1652" s="35" t="str">
        <x:v>NOT_REVEALING</x:v>
      </x:c>
      <x:c r="Q1652" s="35" t="str">
        <x:v>Gemini-3.8-flash/Result/Mockito_15/result.json</x:v>
      </x:c>
    </x:row>
    <x:row r="1653">
      <x:c r="A1653" s="35" t="str">
        <x:v>gemini</x:v>
      </x:c>
      <x:c r="B1653" s="35" t="str">
        <x:v>Mockito</x:v>
      </x:c>
      <x:c r="C1653" s="35" t="str">
        <x:v>Round1</x:v>
      </x:c>
      <x:c r="D1653" s="35" t="str">
        <x:v>Mockito_16</x:v>
      </x:c>
      <x:c r="E1653" s="35" t="str">
        <x:v>Condition</x:v>
      </x:c>
      <x:c r="F1653" s="35"/>
      <x:c r="G1653" s="35" t="str">
        <x:v>A</x:v>
      </x:c>
      <x:c r="H1653" s="39" t="str">
        <x:f>IF(ISNUMBER('Data'!N799),'Data'!N799*100,"")</x:f>
      </x:c>
      <x:c r="I1653" s="35"/>
      <x:c r="J1653" s="35" t="str">
        <x:v>PASS</x:v>
      </x:c>
      <x:c r="K1653" s="35" t="str">
        <x:v>FAIL</x:v>
      </x:c>
      <x:c r="L1653" s="35" t="str">
        <x:v>NOT_RUN</x:v>
      </x:c>
      <x:c r="M1653" s="35" t="str">
        <x:v>coverage unavailable or execution/compile failed</x:v>
      </x:c>
      <x:c r="N1653" s="35" t="str">
        <x:v>Gemini-3.8-flash/Result/Mockito_16/result.json</x:v>
      </x:c>
      <x:c r="O1653" s="39" t="str">
        <x:f>IF(AND(G1653="RECORDED",ISNUMBER(H1653)),H1653,"")</x:f>
      </x:c>
      <x:c r="P1653" s="35" t="str">
        <x:v>NOT_AVAILABLE</x:v>
      </x:c>
      <x:c r="Q1653" s="35" t="str">
        <x:v>Gemini-3.8-flash/Result/Mockito_16/result.json</x:v>
      </x:c>
    </x:row>
    <x:row r="1654">
      <x:c r="A1654" s="35" t="str">
        <x:v>gemini</x:v>
      </x:c>
      <x:c r="B1654" s="35" t="str">
        <x:v>Mockito</x:v>
      </x:c>
      <x:c r="C1654" s="35" t="str">
        <x:v>Round1</x:v>
      </x:c>
      <x:c r="D1654" s="35" t="str">
        <x:v>Mockito_17</x:v>
      </x:c>
      <x:c r="E1654" s="35" t="str">
        <x:v>Condition</x:v>
      </x:c>
      <x:c r="F1654" s="35"/>
      <x:c r="G1654" s="35" t="str">
        <x:v>A</x:v>
      </x:c>
      <x:c r="H1654" s="39" t="str">
        <x:f>IF(ISNUMBER('Data'!N800),'Data'!N800*100,"")</x:f>
      </x:c>
      <x:c r="I1654" s="35"/>
      <x:c r="J1654" s="35" t="str">
        <x:v>PASS</x:v>
      </x:c>
      <x:c r="K1654" s="35" t="str">
        <x:v>FAIL</x:v>
      </x:c>
      <x:c r="L1654" s="35" t="str">
        <x:v>NOT_RUN</x:v>
      </x:c>
      <x:c r="M1654" s="35" t="str">
        <x:v>coverage unavailable or execution/compile failed</x:v>
      </x:c>
      <x:c r="N1654" s="35" t="str">
        <x:v>Gemini-3.8-flash/Result/Mockito_17/result.json</x:v>
      </x:c>
      <x:c r="O1654" s="39" t="str">
        <x:f>IF(AND(G1654="RECORDED",ISNUMBER(H1654)),H1654,"")</x:f>
      </x:c>
      <x:c r="P1654" s="35" t="str">
        <x:v>NOT_AVAILABLE</x:v>
      </x:c>
      <x:c r="Q1654" s="35" t="str">
        <x:v>Gemini-3.8-flash/Result/Mockito_17/result.json</x:v>
      </x:c>
    </x:row>
    <x:row r="1655">
      <x:c r="A1655" s="35" t="str">
        <x:v>gemini</x:v>
      </x:c>
      <x:c r="B1655" s="35" t="str">
        <x:v>Mockito</x:v>
      </x:c>
      <x:c r="C1655" s="35" t="str">
        <x:v>Round1</x:v>
      </x:c>
      <x:c r="D1655" s="35" t="str">
        <x:v>Mockito_18</x:v>
      </x:c>
      <x:c r="E1655" s="35" t="str">
        <x:v>Condition</x:v>
      </x:c>
      <x:c r="F1655" s="35"/>
      <x:c r="G1655" s="35" t="str">
        <x:v>A</x:v>
      </x:c>
      <x:c r="H1655" s="39" t="str">
        <x:f>IF(ISNUMBER('Data'!N801),'Data'!N801*100,"")</x:f>
      </x:c>
      <x:c r="I1655" s="35"/>
      <x:c r="J1655" s="35" t="str">
        <x:v>PASS</x:v>
      </x:c>
      <x:c r="K1655" s="35" t="str">
        <x:v>FAIL</x:v>
      </x:c>
      <x:c r="L1655" s="35" t="str">
        <x:v>NOT_RUN</x:v>
      </x:c>
      <x:c r="M1655" s="35" t="str">
        <x:v>coverage unavailable or execution/compile failed</x:v>
      </x:c>
      <x:c r="N1655" s="35" t="str">
        <x:v>Gemini-3.8-flash/Result/Mockito_18/result.json</x:v>
      </x:c>
      <x:c r="O1655" s="39" t="str">
        <x:f>IF(AND(G1655="RECORDED",ISNUMBER(H1655)),H1655,"")</x:f>
      </x:c>
      <x:c r="P1655" s="35" t="str">
        <x:v>NOT_AVAILABLE</x:v>
      </x:c>
      <x:c r="Q1655" s="35" t="str">
        <x:v>Gemini-3.8-flash/Result/Mockito_18/result.json</x:v>
      </x:c>
    </x:row>
    <x:row r="1656">
      <x:c r="A1656" s="35" t="str">
        <x:v>gemini</x:v>
      </x:c>
      <x:c r="B1656" s="35" t="str">
        <x:v>Mockito</x:v>
      </x:c>
      <x:c r="C1656" s="35" t="str">
        <x:v>Round1</x:v>
      </x:c>
      <x:c r="D1656" s="35" t="str">
        <x:v>Mockito_19</x:v>
      </x:c>
      <x:c r="E1656" s="35" t="str">
        <x:v>Condition</x:v>
      </x:c>
      <x:c r="F1656" s="35" t="n">
        <x:v>26</x:v>
      </x:c>
      <x:c r="G1656" s="35" t="str">
        <x:v>RECORDED</x:v>
      </x:c>
      <x:c r="H1656" s="39" t="n">
        <x:f>IF(ISNUMBER('Data'!N802),'Data'!N802*100,"")</x:f>
        <x:v>88.46</x:v>
      </x:c>
      <x:c r="I1656" s="35" t="str">
        <x:v>PASS</x:v>
      </x:c>
      <x:c r="J1656" s="35" t="str">
        <x:v>PASS</x:v>
      </x:c>
      <x:c r="K1656" s="35" t="str">
        <x:v>PASS</x:v>
      </x:c>
      <x:c r="L1656" s="35" t="str">
        <x:v>FAIL</x:v>
      </x:c>
      <x:c r="M1656" s="35" t="str">
        <x:v>numeric coverage for applicable metric</x:v>
      </x:c>
      <x:c r="N1656" s="35" t="str">
        <x:v>Gemini-3.8-flash/Result/Mockito_19/result.json</x:v>
      </x:c>
      <x:c r="O1656" s="39" t="n">
        <x:f>IF(AND(G1656="RECORDED",ISNUMBER(H1656)),H1656,"")</x:f>
        <x:v>88.46</x:v>
      </x:c>
      <x:c r="P1656" s="35" t="str">
        <x:v>NOT_AVAILABLE</x:v>
      </x:c>
      <x:c r="Q1656" s="35" t="str">
        <x:v>Gemini-3.8-flash/Result/Mockito_19/result.json</x:v>
      </x:c>
    </x:row>
    <x:row r="1657">
      <x:c r="A1657" s="35" t="str">
        <x:v>gemini</x:v>
      </x:c>
      <x:c r="B1657" s="35" t="str">
        <x:v>Mockito</x:v>
      </x:c>
      <x:c r="C1657" s="35" t="str">
        <x:v>Round1</x:v>
      </x:c>
      <x:c r="D1657" s="35" t="str">
        <x:v>Mockito_2</x:v>
      </x:c>
      <x:c r="E1657" s="35" t="str">
        <x:v>Condition</x:v>
      </x:c>
      <x:c r="F1657" s="35" t="n">
        <x:v>6</x:v>
      </x:c>
      <x:c r="G1657" s="35" t="str">
        <x:v>RECORDED</x:v>
      </x:c>
      <x:c r="H1657" s="39" t="n">
        <x:f>IF(ISNUMBER('Data'!N803),'Data'!N803*100,"")</x:f>
        <x:v>50</x:v>
      </x:c>
      <x:c r="I1657" s="35" t="str">
        <x:v>PASS</x:v>
      </x:c>
      <x:c r="J1657" s="35" t="str">
        <x:v>PASS</x:v>
      </x:c>
      <x:c r="K1657" s="35" t="str">
        <x:v>PASS</x:v>
      </x:c>
      <x:c r="L1657" s="35" t="str">
        <x:v>PASS</x:v>
      </x:c>
      <x:c r="M1657" s="35" t="str">
        <x:v>numeric coverage for applicable metric</x:v>
      </x:c>
      <x:c r="N1657" s="35" t="str">
        <x:v>Gemini-3.8-flash/Result/Mockito_2/result.json</x:v>
      </x:c>
      <x:c r="O1657" s="39" t="n">
        <x:f>IF(AND(G1657="RECORDED",ISNUMBER(H1657)),H1657,"")</x:f>
        <x:v>50</x:v>
      </x:c>
      <x:c r="P1657" s="35" t="str">
        <x:v>INCONCLUSIVE</x:v>
      </x:c>
      <x:c r="Q1657" s="35" t="str">
        <x:v>Gemini-3.8-flash/Result/Mockito_2/result.json</x:v>
      </x:c>
    </x:row>
    <x:row r="1658">
      <x:c r="A1658" s="35" t="str">
        <x:v>gemini</x:v>
      </x:c>
      <x:c r="B1658" s="35" t="str">
        <x:v>Mockito</x:v>
      </x:c>
      <x:c r="C1658" s="35" t="str">
        <x:v>Round1</x:v>
      </x:c>
      <x:c r="D1658" s="35" t="str">
        <x:v>Mockito_20</x:v>
      </x:c>
      <x:c r="E1658" s="35" t="str">
        <x:v>Condition</x:v>
      </x:c>
      <x:c r="F1658" s="35" t="n">
        <x:v>10</x:v>
      </x:c>
      <x:c r="G1658" s="35" t="str">
        <x:v>RECORDED</x:v>
      </x:c>
      <x:c r="H1658" s="39" t="n">
        <x:f>IF(ISNUMBER('Data'!N804),'Data'!N804*100,"")</x:f>
        <x:v>80</x:v>
      </x:c>
      <x:c r="I1658" s="35" t="str">
        <x:v>PASS</x:v>
      </x:c>
      <x:c r="J1658" s="35" t="str">
        <x:v>PASS</x:v>
      </x:c>
      <x:c r="K1658" s="35" t="str">
        <x:v>PASS</x:v>
      </x:c>
      <x:c r="L1658" s="35" t="str">
        <x:v>PASS</x:v>
      </x:c>
      <x:c r="M1658" s="35" t="str">
        <x:v>numeric coverage for applicable metric</x:v>
      </x:c>
      <x:c r="N1658" s="35" t="str">
        <x:v>Gemini-3.8-flash/Result/Mockito_20/result.json</x:v>
      </x:c>
      <x:c r="O1658" s="39" t="n">
        <x:f>IF(AND(G1658="RECORDED",ISNUMBER(H1658)),H1658,"")</x:f>
        <x:v>80</x:v>
      </x:c>
      <x:c r="P1658" s="35" t="str">
        <x:v>INCONCLUSIVE</x:v>
      </x:c>
      <x:c r="Q1658" s="35" t="str">
        <x:v>Gemini-3.8-flash/Result/Mockito_20/result.json</x:v>
      </x:c>
    </x:row>
    <x:row r="1659">
      <x:c r="A1659" s="35" t="str">
        <x:v>gemini</x:v>
      </x:c>
      <x:c r="B1659" s="35" t="str">
        <x:v>Mockito</x:v>
      </x:c>
      <x:c r="C1659" s="35" t="str">
        <x:v>Round1</x:v>
      </x:c>
      <x:c r="D1659" s="35" t="str">
        <x:v>Mockito_21</x:v>
      </x:c>
      <x:c r="E1659" s="35" t="str">
        <x:v>Condition</x:v>
      </x:c>
      <x:c r="F1659" s="35" t="n">
        <x:v>2</x:v>
      </x:c>
      <x:c r="G1659" s="35" t="str">
        <x:v>RECORDED</x:v>
      </x:c>
      <x:c r="H1659" s="39" t="n">
        <x:f>IF(ISNUMBER('Data'!N805),'Data'!N805*100,"")</x:f>
        <x:v>100</x:v>
      </x:c>
      <x:c r="I1659" s="35" t="str">
        <x:v>PASS</x:v>
      </x:c>
      <x:c r="J1659" s="35" t="str">
        <x:v>PASS</x:v>
      </x:c>
      <x:c r="K1659" s="35" t="str">
        <x:v>PASS</x:v>
      </x:c>
      <x:c r="L1659" s="35" t="str">
        <x:v>PASS</x:v>
      </x:c>
      <x:c r="M1659" s="35" t="str">
        <x:v>numeric coverage for applicable metric</x:v>
      </x:c>
      <x:c r="N1659" s="35" t="str">
        <x:v>Gemini-3.8-flash/Result/Mockito_21/result.json</x:v>
      </x:c>
      <x:c r="O1659" s="39" t="n">
        <x:f>IF(AND(G1659="RECORDED",ISNUMBER(H1659)),H1659,"")</x:f>
        <x:v>100</x:v>
      </x:c>
      <x:c r="P1659" s="35" t="str">
        <x:v>INCONCLUSIVE</x:v>
      </x:c>
      <x:c r="Q1659" s="35" t="str">
        <x:v>Gemini-3.8-flash/Result/Mockito_21/result.json</x:v>
      </x:c>
    </x:row>
    <x:row r="1660">
      <x:c r="A1660" s="35" t="str">
        <x:v>gemini</x:v>
      </x:c>
      <x:c r="B1660" s="35" t="str">
        <x:v>Mockito</x:v>
      </x:c>
      <x:c r="C1660" s="35" t="str">
        <x:v>Round1</x:v>
      </x:c>
      <x:c r="D1660" s="35" t="str">
        <x:v>Mockito_22</x:v>
      </x:c>
      <x:c r="E1660" s="35" t="str">
        <x:v>Condition</x:v>
      </x:c>
      <x:c r="F1660" s="35" t="n">
        <x:v>24</x:v>
      </x:c>
      <x:c r="G1660" s="35" t="str">
        <x:v>RECORDED</x:v>
      </x:c>
      <x:c r="H1660" s="39" t="n">
        <x:f>IF(ISNUMBER('Data'!N806),'Data'!N806*100,"")</x:f>
        <x:v>100</x:v>
      </x:c>
      <x:c r="I1660" s="35" t="str">
        <x:v>PASS</x:v>
      </x:c>
      <x:c r="J1660" s="35" t="str">
        <x:v>PASS</x:v>
      </x:c>
      <x:c r="K1660" s="35" t="str">
        <x:v>PASS</x:v>
      </x:c>
      <x:c r="L1660" s="35" t="str">
        <x:v>PASS</x:v>
      </x:c>
      <x:c r="M1660" s="35" t="str">
        <x:v>numeric coverage for applicable metric</x:v>
      </x:c>
      <x:c r="N1660" s="35" t="str">
        <x:v>Gemini-3.8-flash/Result/Mockito_22/result.json</x:v>
      </x:c>
      <x:c r="O1660" s="39" t="n">
        <x:f>IF(AND(G1660="RECORDED",ISNUMBER(H1660)),H1660,"")</x:f>
        <x:v>100</x:v>
      </x:c>
      <x:c r="P1660" s="35" t="str">
        <x:v>NOT_REVEALING</x:v>
      </x:c>
      <x:c r="Q1660" s="35" t="str">
        <x:v>Gemini-3.8-flash/Result/Mockito_22/result.json</x:v>
      </x:c>
    </x:row>
    <x:row r="1661">
      <x:c r="A1661" s="35" t="str">
        <x:v>gemini</x:v>
      </x:c>
      <x:c r="B1661" s="35" t="str">
        <x:v>Mockito</x:v>
      </x:c>
      <x:c r="C1661" s="35" t="str">
        <x:v>Round1</x:v>
      </x:c>
      <x:c r="D1661" s="35" t="str">
        <x:v>Mockito_23</x:v>
      </x:c>
      <x:c r="E1661" s="35" t="str">
        <x:v>Condition</x:v>
      </x:c>
      <x:c r="F1661" s="35" t="n">
        <x:v>8</x:v>
      </x:c>
      <x:c r="G1661" s="35" t="str">
        <x:v>RECORDED</x:v>
      </x:c>
      <x:c r="H1661" s="39" t="n">
        <x:f>IF(ISNUMBER('Data'!N807),'Data'!N807*100,"")</x:f>
        <x:v>37.5</x:v>
      </x:c>
      <x:c r="I1661" s="35" t="str">
        <x:v>PASS</x:v>
      </x:c>
      <x:c r="J1661" s="35" t="str">
        <x:v>PASS</x:v>
      </x:c>
      <x:c r="K1661" s="35" t="str">
        <x:v>PASS</x:v>
      </x:c>
      <x:c r="L1661" s="35" t="str">
        <x:v>FAIL</x:v>
      </x:c>
      <x:c r="M1661" s="35" t="str">
        <x:v>numeric coverage for applicable metric</x:v>
      </x:c>
      <x:c r="N1661" s="35" t="str">
        <x:v>Gemini-3.8-flash/Result/Mockito_23/result.json</x:v>
      </x:c>
      <x:c r="O1661" s="39" t="n">
        <x:f>IF(AND(G1661="RECORDED",ISNUMBER(H1661)),H1661,"")</x:f>
        <x:v>37.5</x:v>
      </x:c>
      <x:c r="P1661" s="35" t="str">
        <x:v>INCONCLUSIVE</x:v>
      </x:c>
      <x:c r="Q1661" s="35" t="str">
        <x:v>Gemini-3.8-flash/Result/Mockito_23/result.json</x:v>
      </x:c>
    </x:row>
    <x:row r="1662">
      <x:c r="A1662" s="35" t="str">
        <x:v>gemini</x:v>
      </x:c>
      <x:c r="B1662" s="35" t="str">
        <x:v>Mockito</x:v>
      </x:c>
      <x:c r="C1662" s="35" t="str">
        <x:v>Round1</x:v>
      </x:c>
      <x:c r="D1662" s="35" t="str">
        <x:v>Mockito_24</x:v>
      </x:c>
      <x:c r="E1662" s="35" t="str">
        <x:v>Condition</x:v>
      </x:c>
      <x:c r="F1662" s="35" t="n">
        <x:v>36</x:v>
      </x:c>
      <x:c r="G1662" s="35" t="str">
        <x:v>RECORDED</x:v>
      </x:c>
      <x:c r="H1662" s="39" t="n">
        <x:f>IF(ISNUMBER('Data'!N808),'Data'!N808*100,"")</x:f>
        <x:v>94.44</x:v>
      </x:c>
      <x:c r="I1662" s="35" t="str">
        <x:v>PASS</x:v>
      </x:c>
      <x:c r="J1662" s="35" t="str">
        <x:v>PASS</x:v>
      </x:c>
      <x:c r="K1662" s="35" t="str">
        <x:v>PASS</x:v>
      </x:c>
      <x:c r="L1662" s="35" t="str">
        <x:v>PASS</x:v>
      </x:c>
      <x:c r="M1662" s="35" t="str">
        <x:v>numeric coverage for applicable metric</x:v>
      </x:c>
      <x:c r="N1662" s="35" t="str">
        <x:v>Gemini-3.8-flash/Result/Mockito_24/result.json</x:v>
      </x:c>
      <x:c r="O1662" s="39" t="n">
        <x:f>IF(AND(G1662="RECORDED",ISNUMBER(H1662)),H1662,"")</x:f>
        <x:v>94.44</x:v>
      </x:c>
      <x:c r="P1662" s="35" t="str">
        <x:v>INCONCLUSIVE</x:v>
      </x:c>
      <x:c r="Q1662" s="35" t="str">
        <x:v>Gemini-3.8-flash/Result/Mockito_24/result.json</x:v>
      </x:c>
    </x:row>
    <x:row r="1663">
      <x:c r="A1663" s="35" t="str">
        <x:v>gemini</x:v>
      </x:c>
      <x:c r="B1663" s="35" t="str">
        <x:v>Mockito</x:v>
      </x:c>
      <x:c r="C1663" s="35" t="str">
        <x:v>Round1</x:v>
      </x:c>
      <x:c r="D1663" s="35" t="str">
        <x:v>Mockito_25</x:v>
      </x:c>
      <x:c r="E1663" s="35" t="str">
        <x:v>Condition</x:v>
      </x:c>
      <x:c r="F1663" s="35" t="n">
        <x:v>6</x:v>
      </x:c>
      <x:c r="G1663" s="35" t="str">
        <x:v>RECORDED</x:v>
      </x:c>
      <x:c r="H1663" s="39" t="n">
        <x:f>IF(ISNUMBER('Data'!N809),'Data'!N809*100,"")</x:f>
        <x:v>16.67</x:v>
      </x:c>
      <x:c r="I1663" s="35" t="str">
        <x:v>PASS</x:v>
      </x:c>
      <x:c r="J1663" s="35" t="str">
        <x:v>PASS</x:v>
      </x:c>
      <x:c r="K1663" s="35" t="str">
        <x:v>PASS</x:v>
      </x:c>
      <x:c r="L1663" s="35" t="str">
        <x:v>FAIL</x:v>
      </x:c>
      <x:c r="M1663" s="35" t="str">
        <x:v>numeric coverage for applicable metric</x:v>
      </x:c>
      <x:c r="N1663" s="35" t="str">
        <x:v>Gemini-3.8-flash/Result/Mockito_25/result.json</x:v>
      </x:c>
      <x:c r="O1663" s="39" t="n">
        <x:f>IF(AND(G1663="RECORDED",ISNUMBER(H1663)),H1663,"")</x:f>
        <x:v>16.67</x:v>
      </x:c>
      <x:c r="P1663" s="35" t="str">
        <x:v>INCONCLUSIVE</x:v>
      </x:c>
      <x:c r="Q1663" s="35" t="str">
        <x:v>Gemini-3.8-flash/Result/Mockito_25/result.json</x:v>
      </x:c>
    </x:row>
    <x:row r="1664">
      <x:c r="A1664" s="35" t="str">
        <x:v>gemini</x:v>
      </x:c>
      <x:c r="B1664" s="35" t="str">
        <x:v>Mockito</x:v>
      </x:c>
      <x:c r="C1664" s="35" t="str">
        <x:v>Round1</x:v>
      </x:c>
      <x:c r="D1664" s="35" t="str">
        <x:v>Mockito_26</x:v>
      </x:c>
      <x:c r="E1664" s="35" t="str">
        <x:v>Condition</x:v>
      </x:c>
      <x:c r="F1664" s="35" t="n">
        <x:v>2</x:v>
      </x:c>
      <x:c r="G1664" s="35" t="str">
        <x:v>RECORDED</x:v>
      </x:c>
      <x:c r="H1664" s="39" t="n">
        <x:f>IF(ISNUMBER('Data'!N810),'Data'!N810*100,"")</x:f>
        <x:v>100</x:v>
      </x:c>
      <x:c r="I1664" s="35" t="str">
        <x:v>PASS</x:v>
      </x:c>
      <x:c r="J1664" s="35" t="str">
        <x:v>PASS</x:v>
      </x:c>
      <x:c r="K1664" s="35" t="str">
        <x:v>PASS</x:v>
      </x:c>
      <x:c r="L1664" s="35" t="str">
        <x:v>PASS</x:v>
      </x:c>
      <x:c r="M1664" s="35" t="str">
        <x:v>numeric coverage for applicable metric</x:v>
      </x:c>
      <x:c r="N1664" s="35" t="str">
        <x:v>Gemini-3.8-flash/Result/Mockito_26/result.json</x:v>
      </x:c>
      <x:c r="O1664" s="39" t="n">
        <x:f>IF(AND(G1664="RECORDED",ISNUMBER(H1664)),H1664,"")</x:f>
        <x:v>100</x:v>
      </x:c>
      <x:c r="P1664" s="35" t="str">
        <x:v>INCONCLUSIVE</x:v>
      </x:c>
      <x:c r="Q1664" s="35" t="str">
        <x:v>Gemini-3.8-flash/Result/Mockito_26/result.json</x:v>
      </x:c>
    </x:row>
    <x:row r="1665">
      <x:c r="A1665" s="35" t="str">
        <x:v>gemini</x:v>
      </x:c>
      <x:c r="B1665" s="35" t="str">
        <x:v>Mockito</x:v>
      </x:c>
      <x:c r="C1665" s="35" t="str">
        <x:v>Round1</x:v>
      </x:c>
      <x:c r="D1665" s="35" t="str">
        <x:v>Mockito_27</x:v>
      </x:c>
      <x:c r="E1665" s="35" t="str">
        <x:v>Condition</x:v>
      </x:c>
      <x:c r="F1665" s="35"/>
      <x:c r="G1665" s="35" t="str">
        <x:v>A</x:v>
      </x:c>
      <x:c r="H1665" s="39" t="str">
        <x:f>IF(ISNUMBER('Data'!N811),'Data'!N811*100,"")</x:f>
      </x:c>
      <x:c r="I1665" s="35"/>
      <x:c r="J1665" s="35" t="str">
        <x:v>PASS</x:v>
      </x:c>
      <x:c r="K1665" s="35" t="str">
        <x:v>FAIL</x:v>
      </x:c>
      <x:c r="L1665" s="35" t="str">
        <x:v>NOT_RUN</x:v>
      </x:c>
      <x:c r="M1665" s="35" t="str">
        <x:v>coverage unavailable or execution/compile failed</x:v>
      </x:c>
      <x:c r="N1665" s="35" t="str">
        <x:v>Gemini-3.8-flash/Result/Mockito_27/result.json</x:v>
      </x:c>
      <x:c r="O1665" s="39" t="str">
        <x:f>IF(AND(G1665="RECORDED",ISNUMBER(H1665)),H1665,"")</x:f>
      </x:c>
      <x:c r="P1665" s="35" t="str">
        <x:v>NOT_AVAILABLE</x:v>
      </x:c>
      <x:c r="Q1665" s="35" t="str">
        <x:v>Gemini-3.8-flash/Result/Mockito_27/result.json</x:v>
      </x:c>
    </x:row>
    <x:row r="1666">
      <x:c r="A1666" s="35" t="str">
        <x:v>gemini</x:v>
      </x:c>
      <x:c r="B1666" s="35" t="str">
        <x:v>Mockito</x:v>
      </x:c>
      <x:c r="C1666" s="35" t="str">
        <x:v>Round1</x:v>
      </x:c>
      <x:c r="D1666" s="35" t="str">
        <x:v>Mockito_28</x:v>
      </x:c>
      <x:c r="E1666" s="35" t="str">
        <x:v>Condition</x:v>
      </x:c>
      <x:c r="F1666" s="35" t="n">
        <x:v>10</x:v>
      </x:c>
      <x:c r="G1666" s="35" t="str">
        <x:v>RECORDED</x:v>
      </x:c>
      <x:c r="H1666" s="39" t="n">
        <x:f>IF(ISNUMBER('Data'!N812),'Data'!N812*100,"")</x:f>
        <x:v>100</x:v>
      </x:c>
      <x:c r="I1666" s="35" t="str">
        <x:v>PASS</x:v>
      </x:c>
      <x:c r="J1666" s="35" t="str">
        <x:v>PASS</x:v>
      </x:c>
      <x:c r="K1666" s="35" t="str">
        <x:v>PASS</x:v>
      </x:c>
      <x:c r="L1666" s="35" t="str">
        <x:v>PASS</x:v>
      </x:c>
      <x:c r="M1666" s="35" t="str">
        <x:v>numeric coverage for applicable metric</x:v>
      </x:c>
      <x:c r="N1666" s="35" t="str">
        <x:v>Gemini-3.8-flash/Result/Mockito_28/result.json</x:v>
      </x:c>
      <x:c r="O1666" s="39" t="n">
        <x:f>IF(AND(G1666="RECORDED",ISNUMBER(H1666)),H1666,"")</x:f>
        <x:v>100</x:v>
      </x:c>
      <x:c r="P1666" s="35" t="str">
        <x:v>NOT_REVEALING</x:v>
      </x:c>
      <x:c r="Q1666" s="35" t="str">
        <x:v>Gemini-3.8-flash/Result/Mockito_28/result.json</x:v>
      </x:c>
    </x:row>
    <x:row r="1667">
      <x:c r="A1667" s="35" t="str">
        <x:v>gemini</x:v>
      </x:c>
      <x:c r="B1667" s="35" t="str">
        <x:v>Mockito</x:v>
      </x:c>
      <x:c r="C1667" s="35" t="str">
        <x:v>Round1</x:v>
      </x:c>
      <x:c r="D1667" s="35" t="str">
        <x:v>Mockito_29</x:v>
      </x:c>
      <x:c r="E1667" s="35" t="str">
        <x:v>Condition</x:v>
      </x:c>
      <x:c r="F1667" s="35" t="n">
        <x:v>6</x:v>
      </x:c>
      <x:c r="G1667" s="35" t="str">
        <x:v>RECORDED</x:v>
      </x:c>
      <x:c r="H1667" s="39" t="n">
        <x:f>IF(ISNUMBER('Data'!N813),'Data'!N813*100,"")</x:f>
        <x:v>100</x:v>
      </x:c>
      <x:c r="I1667" s="35" t="str">
        <x:v>PASS</x:v>
      </x:c>
      <x:c r="J1667" s="35" t="str">
        <x:v>PASS</x:v>
      </x:c>
      <x:c r="K1667" s="35" t="str">
        <x:v>PASS</x:v>
      </x:c>
      <x:c r="L1667" s="35" t="str">
        <x:v>FAIL</x:v>
      </x:c>
      <x:c r="M1667" s="35" t="str">
        <x:v>numeric coverage for applicable metric</x:v>
      </x:c>
      <x:c r="N1667" s="35" t="str">
        <x:v>Gemini-3.8-flash/Result/Mockito_29/result.json</x:v>
      </x:c>
      <x:c r="O1667" s="39" t="n">
        <x:f>IF(AND(G1667="RECORDED",ISNUMBER(H1667)),H1667,"")</x:f>
        <x:v>100</x:v>
      </x:c>
      <x:c r="P1667" s="35" t="str">
        <x:v>INCONCLUSIVE</x:v>
      </x:c>
      <x:c r="Q1667" s="35" t="str">
        <x:v>Gemini-3.8-flash/Result/Mockito_29/result.json</x:v>
      </x:c>
    </x:row>
    <x:row r="1668">
      <x:c r="A1668" s="35" t="str">
        <x:v>gemini</x:v>
      </x:c>
      <x:c r="B1668" s="35" t="str">
        <x:v>Mockito</x:v>
      </x:c>
      <x:c r="C1668" s="35" t="str">
        <x:v>Round1</x:v>
      </x:c>
      <x:c r="D1668" s="35" t="str">
        <x:v>Mockito_3</x:v>
      </x:c>
      <x:c r="E1668" s="35" t="str">
        <x:v>Condition</x:v>
      </x:c>
      <x:c r="F1668" s="35"/>
      <x:c r="G1668" s="35" t="str">
        <x:v>A</x:v>
      </x:c>
      <x:c r="H1668" s="39" t="str">
        <x:f>IF(ISNUMBER('Data'!N814),'Data'!N814*100,"")</x:f>
      </x:c>
      <x:c r="I1668" s="35"/>
      <x:c r="J1668" s="35" t="str">
        <x:v>PASS</x:v>
      </x:c>
      <x:c r="K1668" s="35" t="str">
        <x:v>FAIL</x:v>
      </x:c>
      <x:c r="L1668" s="35" t="str">
        <x:v>NOT_RUN</x:v>
      </x:c>
      <x:c r="M1668" s="35" t="str">
        <x:v>coverage unavailable or execution/compile failed</x:v>
      </x:c>
      <x:c r="N1668" s="35" t="str">
        <x:v>Gemini-3.8-flash/Result/Mockito_3/result.json</x:v>
      </x:c>
      <x:c r="O1668" s="39" t="str">
        <x:f>IF(AND(G1668="RECORDED",ISNUMBER(H1668)),H1668,"")</x:f>
      </x:c>
      <x:c r="P1668" s="35" t="str">
        <x:v>NOT_AVAILABLE</x:v>
      </x:c>
      <x:c r="Q1668" s="35" t="str">
        <x:v>Gemini-3.8-flash/Result/Mockito_3/result.json</x:v>
      </x:c>
    </x:row>
    <x:row r="1669">
      <x:c r="A1669" s="35" t="str">
        <x:v>gemini</x:v>
      </x:c>
      <x:c r="B1669" s="35" t="str">
        <x:v>Mockito</x:v>
      </x:c>
      <x:c r="C1669" s="35" t="str">
        <x:v>Round1</x:v>
      </x:c>
      <x:c r="D1669" s="35" t="str">
        <x:v>Mockito_30</x:v>
      </x:c>
      <x:c r="E1669" s="35" t="str">
        <x:v>Condition</x:v>
      </x:c>
      <x:c r="F1669" s="35" t="n">
        <x:v>14</x:v>
      </x:c>
      <x:c r="G1669" s="35" t="str">
        <x:v>RECORDED</x:v>
      </x:c>
      <x:c r="H1669" s="39" t="n">
        <x:f>IF(ISNUMBER('Data'!N815),'Data'!N815*100,"")</x:f>
        <x:v>42.86</x:v>
      </x:c>
      <x:c r="I1669" s="35" t="str">
        <x:v>PASS</x:v>
      </x:c>
      <x:c r="J1669" s="35" t="str">
        <x:v>PASS</x:v>
      </x:c>
      <x:c r="K1669" s="35" t="str">
        <x:v>PASS</x:v>
      </x:c>
      <x:c r="L1669" s="35" t="str">
        <x:v>PASS</x:v>
      </x:c>
      <x:c r="M1669" s="35" t="str">
        <x:v>numeric coverage for applicable metric</x:v>
      </x:c>
      <x:c r="N1669" s="35" t="str">
        <x:v>Gemini-3.8-flash/Result/Mockito_30/result.json</x:v>
      </x:c>
      <x:c r="O1669" s="39" t="n">
        <x:f>IF(AND(G1669="RECORDED",ISNUMBER(H1669)),H1669,"")</x:f>
        <x:v>42.86</x:v>
      </x:c>
      <x:c r="P1669" s="35" t="str">
        <x:v>NOT_REVEALING</x:v>
      </x:c>
      <x:c r="Q1669" s="35" t="str">
        <x:v>Gemini-3.8-flash/Result/Mockito_30/result.json</x:v>
      </x:c>
    </x:row>
    <x:row r="1670">
      <x:c r="A1670" s="35" t="str">
        <x:v>gemini</x:v>
      </x:c>
      <x:c r="B1670" s="35" t="str">
        <x:v>Mockito</x:v>
      </x:c>
      <x:c r="C1670" s="35" t="str">
        <x:v>Round1</x:v>
      </x:c>
      <x:c r="D1670" s="35" t="str">
        <x:v>Mockito_31</x:v>
      </x:c>
      <x:c r="E1670" s="35" t="str">
        <x:v>Condition</x:v>
      </x:c>
      <x:c r="F1670" s="35" t="n">
        <x:v>6</x:v>
      </x:c>
      <x:c r="G1670" s="35" t="str">
        <x:v>RECORDED</x:v>
      </x:c>
      <x:c r="H1670" s="39" t="n">
        <x:f>IF(ISNUMBER('Data'!N816),'Data'!N816*100,"")</x:f>
        <x:v>100</x:v>
      </x:c>
      <x:c r="I1670" s="35" t="str">
        <x:v>PASS</x:v>
      </x:c>
      <x:c r="J1670" s="35" t="str">
        <x:v>PASS</x:v>
      </x:c>
      <x:c r="K1670" s="35" t="str">
        <x:v>PASS</x:v>
      </x:c>
      <x:c r="L1670" s="35" t="str">
        <x:v>PASS</x:v>
      </x:c>
      <x:c r="M1670" s="35" t="str">
        <x:v>numeric coverage for applicable metric</x:v>
      </x:c>
      <x:c r="N1670" s="35" t="str">
        <x:v>Gemini-3.8-flash/Result/Mockito_31/result.json</x:v>
      </x:c>
      <x:c r="O1670" s="39" t="n">
        <x:f>IF(AND(G1670="RECORDED",ISNUMBER(H1670)),H1670,"")</x:f>
        <x:v>100</x:v>
      </x:c>
      <x:c r="P1670" s="35" t="str">
        <x:v>NOT_REVEALING</x:v>
      </x:c>
      <x:c r="Q1670" s="35" t="str">
        <x:v>Gemini-3.8-flash/Result/Mockito_31/result.json</x:v>
      </x:c>
    </x:row>
    <x:row r="1671">
      <x:c r="A1671" s="35" t="str">
        <x:v>gemini</x:v>
      </x:c>
      <x:c r="B1671" s="35" t="str">
        <x:v>Mockito</x:v>
      </x:c>
      <x:c r="C1671" s="35" t="str">
        <x:v>Round1</x:v>
      </x:c>
      <x:c r="D1671" s="35" t="str">
        <x:v>Mockito_32</x:v>
      </x:c>
      <x:c r="E1671" s="35" t="str">
        <x:v>Condition</x:v>
      </x:c>
      <x:c r="F1671" s="35"/>
      <x:c r="G1671" s="35" t="str">
        <x:v>A</x:v>
      </x:c>
      <x:c r="H1671" s="39" t="str">
        <x:f>IF(ISNUMBER('Data'!N817),'Data'!N817*100,"")</x:f>
      </x:c>
      <x:c r="I1671" s="35"/>
      <x:c r="J1671" s="35" t="str">
        <x:v>PASS</x:v>
      </x:c>
      <x:c r="K1671" s="35" t="str">
        <x:v>FAIL</x:v>
      </x:c>
      <x:c r="L1671" s="35" t="str">
        <x:v>NOT_RUN</x:v>
      </x:c>
      <x:c r="M1671" s="35" t="str">
        <x:v>coverage unavailable or execution/compile failed</x:v>
      </x:c>
      <x:c r="N1671" s="35" t="str">
        <x:v>Gemini-3.8-flash/Result/Mockito_32/result.json</x:v>
      </x:c>
      <x:c r="O1671" s="39" t="str">
        <x:f>IF(AND(G1671="RECORDED",ISNUMBER(H1671)),H1671,"")</x:f>
      </x:c>
      <x:c r="P1671" s="35" t="str">
        <x:v>NOT_AVAILABLE</x:v>
      </x:c>
      <x:c r="Q1671" s="35" t="str">
        <x:v>Gemini-3.8-flash/Result/Mockito_32/result.json</x:v>
      </x:c>
    </x:row>
    <x:row r="1672">
      <x:c r="A1672" s="35" t="str">
        <x:v>gemini</x:v>
      </x:c>
      <x:c r="B1672" s="35" t="str">
        <x:v>Mockito</x:v>
      </x:c>
      <x:c r="C1672" s="35" t="str">
        <x:v>Round1</x:v>
      </x:c>
      <x:c r="D1672" s="35" t="str">
        <x:v>Mockito_33</x:v>
      </x:c>
      <x:c r="E1672" s="35" t="str">
        <x:v>Condition</x:v>
      </x:c>
      <x:c r="F1672" s="35" t="n">
        <x:v>32</x:v>
      </x:c>
      <x:c r="G1672" s="35" t="str">
        <x:v>RECORDED</x:v>
      </x:c>
      <x:c r="H1672" s="39" t="n">
        <x:f>IF(ISNUMBER('Data'!N818),'Data'!N818*100,"")</x:f>
        <x:v>34.38</x:v>
      </x:c>
      <x:c r="I1672" s="35" t="str">
        <x:v>PASS</x:v>
      </x:c>
      <x:c r="J1672" s="35" t="str">
        <x:v>PASS</x:v>
      </x:c>
      <x:c r="K1672" s="35" t="str">
        <x:v>PASS</x:v>
      </x:c>
      <x:c r="L1672" s="35" t="str">
        <x:v>FAIL</x:v>
      </x:c>
      <x:c r="M1672" s="35" t="str">
        <x:v>numeric coverage for applicable metric</x:v>
      </x:c>
      <x:c r="N1672" s="35" t="str">
        <x:v>Gemini-3.8-flash/Result/Mockito_33/result.json</x:v>
      </x:c>
      <x:c r="O1672" s="39" t="n">
        <x:f>IF(AND(G1672="RECORDED",ISNUMBER(H1672)),H1672,"")</x:f>
        <x:v>34.38</x:v>
      </x:c>
      <x:c r="P1672" s="35" t="str">
        <x:v>INCONCLUSIVE</x:v>
      </x:c>
      <x:c r="Q1672" s="35" t="str">
        <x:v>Gemini-3.8-flash/Result/Mockito_33/result.json</x:v>
      </x:c>
    </x:row>
    <x:row r="1673">
      <x:c r="A1673" s="35" t="str">
        <x:v>gemini</x:v>
      </x:c>
      <x:c r="B1673" s="35" t="str">
        <x:v>Mockito</x:v>
      </x:c>
      <x:c r="C1673" s="35" t="str">
        <x:v>Round1</x:v>
      </x:c>
      <x:c r="D1673" s="35" t="str">
        <x:v>Mockito_34</x:v>
      </x:c>
      <x:c r="E1673" s="35" t="str">
        <x:v>Condition</x:v>
      </x:c>
      <x:c r="F1673" s="35" t="n">
        <x:v>28</x:v>
      </x:c>
      <x:c r="G1673" s="35" t="str">
        <x:v>RECORDED</x:v>
      </x:c>
      <x:c r="H1673" s="39" t="n">
        <x:f>IF(ISNUMBER('Data'!N819),'Data'!N819*100,"")</x:f>
        <x:v>28.57</x:v>
      </x:c>
      <x:c r="I1673" s="35" t="str">
        <x:v>PASS</x:v>
      </x:c>
      <x:c r="J1673" s="35" t="str">
        <x:v>PASS</x:v>
      </x:c>
      <x:c r="K1673" s="35" t="str">
        <x:v>PASS</x:v>
      </x:c>
      <x:c r="L1673" s="35" t="str">
        <x:v>FAIL</x:v>
      </x:c>
      <x:c r="M1673" s="35" t="str">
        <x:v>numeric coverage for applicable metric</x:v>
      </x:c>
      <x:c r="N1673" s="35" t="str">
        <x:v>Gemini-3.8-flash/Result/Mockito_34/result.json</x:v>
      </x:c>
      <x:c r="O1673" s="39" t="n">
        <x:f>IF(AND(G1673="RECORDED",ISNUMBER(H1673)),H1673,"")</x:f>
        <x:v>28.57</x:v>
      </x:c>
      <x:c r="P1673" s="35" t="str">
        <x:v>INCONCLUSIVE</x:v>
      </x:c>
      <x:c r="Q1673" s="35" t="str">
        <x:v>Gemini-3.8-flash/Result/Mockito_34/result.json</x:v>
      </x:c>
    </x:row>
    <x:row r="1674">
      <x:c r="A1674" s="35" t="str">
        <x:v>gemini</x:v>
      </x:c>
      <x:c r="B1674" s="35" t="str">
        <x:v>Mockito</x:v>
      </x:c>
      <x:c r="C1674" s="35" t="str">
        <x:v>Round1</x:v>
      </x:c>
      <x:c r="D1674" s="35" t="str">
        <x:v>Mockito_35</x:v>
      </x:c>
      <x:c r="E1674" s="35" t="str">
        <x:v>Condition</x:v>
      </x:c>
      <x:c r="F1674" s="35" t="n">
        <x:v>0</x:v>
      </x:c>
      <x:c r="G1674" s="35" t="str">
        <x:v>B</x:v>
      </x:c>
      <x:c r="H1674" s="39" t="str">
        <x:f>IF(ISNUMBER('Data'!N820),'Data'!N820*100,"")</x:f>
      </x:c>
      <x:c r="I1674" s="35" t="str">
        <x:v>PASS</x:v>
      </x:c>
      <x:c r="J1674" s="35" t="str">
        <x:v>PASS</x:v>
      </x:c>
      <x:c r="K1674" s="35" t="str">
        <x:v>PASS</x:v>
      </x:c>
      <x:c r="L1674" s="35" t="str">
        <x:v>PASS</x:v>
      </x:c>
      <x:c r="M1674" s="35" t="str">
        <x:v>coverage completed; measurable total = 0</x:v>
      </x:c>
      <x:c r="N1674" s="35" t="str">
        <x:v>Gemini-3.8-flash/Result/Mockito_35/result.json</x:v>
      </x:c>
      <x:c r="O1674" s="39" t="str">
        <x:f>IF(AND(G1674="RECORDED",ISNUMBER(H1674)),H1674,"")</x:f>
      </x:c>
      <x:c r="P1674" s="35" t="str">
        <x:v>INCONCLUSIVE</x:v>
      </x:c>
      <x:c r="Q1674" s="35" t="str">
        <x:v>Gemini-3.8-flash/Result/Mockito_35/result.json</x:v>
      </x:c>
    </x:row>
    <x:row r="1675">
      <x:c r="A1675" s="35" t="str">
        <x:v>gemini</x:v>
      </x:c>
      <x:c r="B1675" s="35" t="str">
        <x:v>Mockito</x:v>
      </x:c>
      <x:c r="C1675" s="35" t="str">
        <x:v>Round1</x:v>
      </x:c>
      <x:c r="D1675" s="35" t="str">
        <x:v>Mockito_36</x:v>
      </x:c>
      <x:c r="E1675" s="35" t="str">
        <x:v>Condition</x:v>
      </x:c>
      <x:c r="F1675" s="35" t="n">
        <x:v>42</x:v>
      </x:c>
      <x:c r="G1675" s="35" t="str">
        <x:v>RECORDED</x:v>
      </x:c>
      <x:c r="H1675" s="39" t="n">
        <x:f>IF(ISNUMBER('Data'!N821),'Data'!N821*100,"")</x:f>
        <x:v>59.52</x:v>
      </x:c>
      <x:c r="I1675" s="35" t="str">
        <x:v>PASS</x:v>
      </x:c>
      <x:c r="J1675" s="35" t="str">
        <x:v>PASS</x:v>
      </x:c>
      <x:c r="K1675" s="35" t="str">
        <x:v>PASS</x:v>
      </x:c>
      <x:c r="L1675" s="35" t="str">
        <x:v>FAIL</x:v>
      </x:c>
      <x:c r="M1675" s="35" t="str">
        <x:v>numeric coverage for applicable metric</x:v>
      </x:c>
      <x:c r="N1675" s="35" t="str">
        <x:v>Gemini-3.8-flash/Result/Mockito_36/result.json</x:v>
      </x:c>
      <x:c r="O1675" s="39" t="n">
        <x:f>IF(AND(G1675="RECORDED",ISNUMBER(H1675)),H1675,"")</x:f>
        <x:v>59.52</x:v>
      </x:c>
      <x:c r="P1675" s="35" t="str">
        <x:v>INCONCLUSIVE</x:v>
      </x:c>
      <x:c r="Q1675" s="35" t="str">
        <x:v>Gemini-3.8-flash/Result/Mockito_36/result.json</x:v>
      </x:c>
    </x:row>
    <x:row r="1676">
      <x:c r="A1676" s="35" t="str">
        <x:v>gemini</x:v>
      </x:c>
      <x:c r="B1676" s="35" t="str">
        <x:v>Mockito</x:v>
      </x:c>
      <x:c r="C1676" s="35" t="str">
        <x:v>Round1</x:v>
      </x:c>
      <x:c r="D1676" s="35" t="str">
        <x:v>Mockito_37</x:v>
      </x:c>
      <x:c r="E1676" s="35" t="str">
        <x:v>Condition</x:v>
      </x:c>
      <x:c r="F1676" s="35" t="n">
        <x:v>26</x:v>
      </x:c>
      <x:c r="G1676" s="35" t="str">
        <x:v>RECORDED</x:v>
      </x:c>
      <x:c r="H1676" s="39" t="n">
        <x:f>IF(ISNUMBER('Data'!N822),'Data'!N822*100,"")</x:f>
        <x:v>100</x:v>
      </x:c>
      <x:c r="I1676" s="35" t="str">
        <x:v>PASS</x:v>
      </x:c>
      <x:c r="J1676" s="35" t="str">
        <x:v>PASS</x:v>
      </x:c>
      <x:c r="K1676" s="35" t="str">
        <x:v>PASS</x:v>
      </x:c>
      <x:c r="L1676" s="35" t="str">
        <x:v>FAIL</x:v>
      </x:c>
      <x:c r="M1676" s="35" t="str">
        <x:v>numeric coverage for applicable metric</x:v>
      </x:c>
      <x:c r="N1676" s="35" t="str">
        <x:v>Gemini-3.8-flash/Result/Mockito_37/result.json</x:v>
      </x:c>
      <x:c r="O1676" s="39" t="n">
        <x:f>IF(AND(G1676="RECORDED",ISNUMBER(H1676)),H1676,"")</x:f>
        <x:v>100</x:v>
      </x:c>
      <x:c r="P1676" s="35" t="str">
        <x:v>INCONCLUSIVE</x:v>
      </x:c>
      <x:c r="Q1676" s="35" t="str">
        <x:v>Gemini-3.8-flash/Result/Mockito_37/result.json</x:v>
      </x:c>
    </x:row>
    <x:row r="1677">
      <x:c r="A1677" s="35" t="str">
        <x:v>gemini</x:v>
      </x:c>
      <x:c r="B1677" s="35" t="str">
        <x:v>Mockito</x:v>
      </x:c>
      <x:c r="C1677" s="35" t="str">
        <x:v>Round1</x:v>
      </x:c>
      <x:c r="D1677" s="35" t="str">
        <x:v>Mockito_38</x:v>
      </x:c>
      <x:c r="E1677" s="35" t="str">
        <x:v>Condition</x:v>
      </x:c>
      <x:c r="F1677" s="35"/>
      <x:c r="G1677" s="35" t="str">
        <x:v>A</x:v>
      </x:c>
      <x:c r="H1677" s="39" t="str">
        <x:f>IF(ISNUMBER('Data'!N823),'Data'!N823*100,"")</x:f>
      </x:c>
      <x:c r="I1677" s="35"/>
      <x:c r="J1677" s="35" t="str">
        <x:v>PASS</x:v>
      </x:c>
      <x:c r="K1677" s="35" t="str">
        <x:v>FAIL</x:v>
      </x:c>
      <x:c r="L1677" s="35" t="str">
        <x:v>NOT_RUN</x:v>
      </x:c>
      <x:c r="M1677" s="35" t="str">
        <x:v>coverage unavailable or execution/compile failed</x:v>
      </x:c>
      <x:c r="N1677" s="35" t="str">
        <x:v>Gemini-3.8-flash/Result/Mockito_38/result.json</x:v>
      </x:c>
      <x:c r="O1677" s="39" t="str">
        <x:f>IF(AND(G1677="RECORDED",ISNUMBER(H1677)),H1677,"")</x:f>
      </x:c>
      <x:c r="P1677" s="35" t="str">
        <x:v>NOT_AVAILABLE</x:v>
      </x:c>
      <x:c r="Q1677" s="35" t="str">
        <x:v>Gemini-3.8-flash/Result/Mockito_38/result.json</x:v>
      </x:c>
    </x:row>
    <x:row r="1678">
      <x:c r="A1678" s="35" t="str">
        <x:v>gemini</x:v>
      </x:c>
      <x:c r="B1678" s="35" t="str">
        <x:v>Mockito</x:v>
      </x:c>
      <x:c r="C1678" s="35" t="str">
        <x:v>Round1</x:v>
      </x:c>
      <x:c r="D1678" s="35" t="str">
        <x:v>Mockito_4</x:v>
      </x:c>
      <x:c r="E1678" s="35" t="str">
        <x:v>Condition</x:v>
      </x:c>
      <x:c r="F1678" s="35" t="n">
        <x:v>18</x:v>
      </x:c>
      <x:c r="G1678" s="35" t="str">
        <x:v>RECORDED</x:v>
      </x:c>
      <x:c r="H1678" s="39" t="n">
        <x:f>IF(ISNUMBER('Data'!N824),'Data'!N824*100,"")</x:f>
        <x:v>44.44</x:v>
      </x:c>
      <x:c r="I1678" s="35" t="str">
        <x:v>PASS</x:v>
      </x:c>
      <x:c r="J1678" s="35" t="str">
        <x:v>PASS</x:v>
      </x:c>
      <x:c r="K1678" s="35" t="str">
        <x:v>PASS</x:v>
      </x:c>
      <x:c r="L1678" s="35" t="str">
        <x:v>FAIL</x:v>
      </x:c>
      <x:c r="M1678" s="35" t="str">
        <x:v>numeric coverage for applicable metric</x:v>
      </x:c>
      <x:c r="N1678" s="35" t="str">
        <x:v>Gemini-3.8-flash/Result/Mockito_4/result.json</x:v>
      </x:c>
      <x:c r="O1678" s="39" t="n">
        <x:f>IF(AND(G1678="RECORDED",ISNUMBER(H1678)),H1678,"")</x:f>
        <x:v>44.44</x:v>
      </x:c>
      <x:c r="P1678" s="35" t="str">
        <x:v>INCONCLUSIVE</x:v>
      </x:c>
      <x:c r="Q1678" s="35" t="str">
        <x:v>Gemini-3.8-flash/Result/Mockito_4/result.json</x:v>
      </x:c>
    </x:row>
    <x:row r="1679">
      <x:c r="A1679" s="35" t="str">
        <x:v>gemini</x:v>
      </x:c>
      <x:c r="B1679" s="35" t="str">
        <x:v>Mockito</x:v>
      </x:c>
      <x:c r="C1679" s="35" t="str">
        <x:v>Round1</x:v>
      </x:c>
      <x:c r="D1679" s="35" t="str">
        <x:v>Mockito_5</x:v>
      </x:c>
      <x:c r="E1679" s="35" t="str">
        <x:v>Condition</x:v>
      </x:c>
      <x:c r="F1679" s="35" t="n">
        <x:v>12</x:v>
      </x:c>
      <x:c r="G1679" s="35" t="str">
        <x:v>RECORDED</x:v>
      </x:c>
      <x:c r="H1679" s="39" t="n">
        <x:f>IF(ISNUMBER('Data'!N825),'Data'!N825*100,"")</x:f>
        <x:v>100</x:v>
      </x:c>
      <x:c r="I1679" s="35" t="str">
        <x:v>PASS</x:v>
      </x:c>
      <x:c r="J1679" s="35" t="str">
        <x:v>PASS</x:v>
      </x:c>
      <x:c r="K1679" s="35" t="str">
        <x:v>PASS</x:v>
      </x:c>
      <x:c r="L1679" s="35" t="str">
        <x:v>PASS</x:v>
      </x:c>
      <x:c r="M1679" s="35" t="str">
        <x:v>numeric coverage for applicable metric</x:v>
      </x:c>
      <x:c r="N1679" s="35" t="str">
        <x:v>Gemini-3.8-flash/Result/Mockito_5/result.json</x:v>
      </x:c>
      <x:c r="O1679" s="39" t="n">
        <x:f>IF(AND(G1679="RECORDED",ISNUMBER(H1679)),H1679,"")</x:f>
        <x:v>100</x:v>
      </x:c>
      <x:c r="P1679" s="35" t="str">
        <x:v>NOT_REVEALING</x:v>
      </x:c>
      <x:c r="Q1679" s="35" t="str">
        <x:v>Gemini-3.8-flash/Result/Mockito_5/result.json</x:v>
      </x:c>
    </x:row>
    <x:row r="1680">
      <x:c r="A1680" s="35" t="str">
        <x:v>gemini</x:v>
      </x:c>
      <x:c r="B1680" s="35" t="str">
        <x:v>Mockito</x:v>
      </x:c>
      <x:c r="C1680" s="35" t="str">
        <x:v>Round1</x:v>
      </x:c>
      <x:c r="D1680" s="35" t="str">
        <x:v>Mockito_6</x:v>
      </x:c>
      <x:c r="E1680" s="35" t="str">
        <x:v>Condition</x:v>
      </x:c>
      <x:c r="F1680" s="35" t="n">
        <x:v>0</x:v>
      </x:c>
      <x:c r="G1680" s="35" t="str">
        <x:v>B</x:v>
      </x:c>
      <x:c r="H1680" s="39" t="str">
        <x:f>IF(ISNUMBER('Data'!N826),'Data'!N826*100,"")</x:f>
      </x:c>
      <x:c r="I1680" s="35" t="str">
        <x:v>PASS</x:v>
      </x:c>
      <x:c r="J1680" s="35" t="str">
        <x:v>PASS</x:v>
      </x:c>
      <x:c r="K1680" s="35" t="str">
        <x:v>PASS</x:v>
      </x:c>
      <x:c r="L1680" s="35" t="str">
        <x:v>PASS</x:v>
      </x:c>
      <x:c r="M1680" s="35" t="str">
        <x:v>coverage completed; measurable total = 0</x:v>
      </x:c>
      <x:c r="N1680" s="35" t="str">
        <x:v>Gemini-3.8-flash/Result/Mockito_6/result.json</x:v>
      </x:c>
      <x:c r="O1680" s="39" t="str">
        <x:f>IF(AND(G1680="RECORDED",ISNUMBER(H1680)),H1680,"")</x:f>
      </x:c>
      <x:c r="P1680" s="35" t="str">
        <x:v>NOT_REVEALING</x:v>
      </x:c>
      <x:c r="Q1680" s="35" t="str">
        <x:v>Gemini-3.8-flash/Result/Mockito_6/result.json</x:v>
      </x:c>
    </x:row>
    <x:row r="1681">
      <x:c r="A1681" s="35" t="str">
        <x:v>gemini</x:v>
      </x:c>
      <x:c r="B1681" s="35" t="str">
        <x:v>Mockito</x:v>
      </x:c>
      <x:c r="C1681" s="35" t="str">
        <x:v>Round1</x:v>
      </x:c>
      <x:c r="D1681" s="35" t="str">
        <x:v>Mockito_7</x:v>
      </x:c>
      <x:c r="E1681" s="35" t="str">
        <x:v>Condition</x:v>
      </x:c>
      <x:c r="F1681" s="35"/>
      <x:c r="G1681" s="35" t="str">
        <x:v>A</x:v>
      </x:c>
      <x:c r="H1681" s="39" t="str">
        <x:f>IF(ISNUMBER('Data'!N827),'Data'!N827*100,"")</x:f>
      </x:c>
      <x:c r="I1681" s="35"/>
      <x:c r="J1681" s="35" t="str">
        <x:v>PASS</x:v>
      </x:c>
      <x:c r="K1681" s="35" t="str">
        <x:v>FAIL</x:v>
      </x:c>
      <x:c r="L1681" s="35" t="str">
        <x:v>NOT_RUN</x:v>
      </x:c>
      <x:c r="M1681" s="35" t="str">
        <x:v>coverage unavailable or execution/compile failed</x:v>
      </x:c>
      <x:c r="N1681" s="35" t="str">
        <x:v>Gemini-3.8-flash/Result/Mockito_7/result.json</x:v>
      </x:c>
      <x:c r="O1681" s="39" t="str">
        <x:f>IF(AND(G1681="RECORDED",ISNUMBER(H1681)),H1681,"")</x:f>
      </x:c>
      <x:c r="P1681" s="35" t="str">
        <x:v>NOT_AVAILABLE</x:v>
      </x:c>
      <x:c r="Q1681" s="35" t="str">
        <x:v>Gemini-3.8-flash/Result/Mockito_7/result.json</x:v>
      </x:c>
    </x:row>
    <x:row r="1682">
      <x:c r="A1682" s="35" t="str">
        <x:v>gemini</x:v>
      </x:c>
      <x:c r="B1682" s="35" t="str">
        <x:v>Mockito</x:v>
      </x:c>
      <x:c r="C1682" s="35" t="str">
        <x:v>Round1</x:v>
      </x:c>
      <x:c r="D1682" s="35" t="str">
        <x:v>Mockito_8</x:v>
      </x:c>
      <x:c r="E1682" s="35" t="str">
        <x:v>Condition</x:v>
      </x:c>
      <x:c r="F1682" s="35" t="n">
        <x:v>80</x:v>
      </x:c>
      <x:c r="G1682" s="35" t="str">
        <x:v>RECORDED</x:v>
      </x:c>
      <x:c r="H1682" s="39" t="n">
        <x:f>IF(ISNUMBER('Data'!N828),'Data'!N828*100,"")</x:f>
        <x:v>87.5</x:v>
      </x:c>
      <x:c r="I1682" s="35" t="str">
        <x:v>PASS</x:v>
      </x:c>
      <x:c r="J1682" s="35" t="str">
        <x:v>PASS</x:v>
      </x:c>
      <x:c r="K1682" s="35" t="str">
        <x:v>PASS</x:v>
      </x:c>
      <x:c r="L1682" s="35" t="str">
        <x:v>FAIL</x:v>
      </x:c>
      <x:c r="M1682" s="35" t="str">
        <x:v>numeric coverage for applicable metric</x:v>
      </x:c>
      <x:c r="N1682" s="35" t="str">
        <x:v>Gemini-3.8-flash/Result/Mockito_8/result.json</x:v>
      </x:c>
      <x:c r="O1682" s="39" t="n">
        <x:f>IF(AND(G1682="RECORDED",ISNUMBER(H1682)),H1682,"")</x:f>
        <x:v>87.5</x:v>
      </x:c>
      <x:c r="P1682" s="35" t="str">
        <x:v>REVEALING</x:v>
      </x:c>
      <x:c r="Q1682" s="35" t="str">
        <x:v>Gemini-3.8-flash/Result/Mockito_8/result.json</x:v>
      </x:c>
    </x:row>
    <x:row r="1683">
      <x:c r="A1683" s="35" t="str">
        <x:v>gemini</x:v>
      </x:c>
      <x:c r="B1683" s="35" t="str">
        <x:v>Mockito</x:v>
      </x:c>
      <x:c r="C1683" s="35" t="str">
        <x:v>Round1</x:v>
      </x:c>
      <x:c r="D1683" s="35" t="str">
        <x:v>Mockito_9</x:v>
      </x:c>
      <x:c r="E1683" s="35" t="str">
        <x:v>Condition</x:v>
      </x:c>
      <x:c r="F1683" s="35"/>
      <x:c r="G1683" s="35" t="str">
        <x:v>A</x:v>
      </x:c>
      <x:c r="H1683" s="39" t="str">
        <x:f>IF(ISNUMBER('Data'!N829),'Data'!N829*100,"")</x:f>
      </x:c>
      <x:c r="I1683" s="35"/>
      <x:c r="J1683" s="35" t="str">
        <x:v>PASS</x:v>
      </x:c>
      <x:c r="K1683" s="35" t="str">
        <x:v>FAIL</x:v>
      </x:c>
      <x:c r="L1683" s="35" t="str">
        <x:v>NOT_RUN</x:v>
      </x:c>
      <x:c r="M1683" s="35" t="str">
        <x:v>coverage unavailable or execution/compile failed</x:v>
      </x:c>
      <x:c r="N1683" s="35" t="str">
        <x:v>Gemini-3.8-flash/Result/Mockito_9/result.json</x:v>
      </x:c>
      <x:c r="O1683" s="39" t="str">
        <x:f>IF(AND(G1683="RECORDED",ISNUMBER(H1683)),H1683,"")</x:f>
      </x:c>
      <x:c r="P1683" s="35" t="str">
        <x:v>NOT_AVAILABLE</x:v>
      </x:c>
      <x:c r="Q1683" s="35" t="str">
        <x:v>Gemini-3.8-flash/Result/Mockito_9/result.json</x:v>
      </x:c>
    </x:row>
    <x:row r="1684">
      <x:c r="A1684" s="35" t="str">
        <x:v>gemini</x:v>
      </x:c>
      <x:c r="B1684" s="35" t="str">
        <x:v>Time</x:v>
      </x:c>
      <x:c r="C1684" s="35" t="str">
        <x:v>Round1</x:v>
      </x:c>
      <x:c r="D1684" s="35" t="str">
        <x:v>Time_1</x:v>
      </x:c>
      <x:c r="E1684" s="35" t="str">
        <x:v>Condition</x:v>
      </x:c>
      <x:c r="F1684" s="35"/>
      <x:c r="G1684" s="35" t="str">
        <x:v>A</x:v>
      </x:c>
      <x:c r="H1684" s="39" t="str">
        <x:f>IF(ISNUMBER('Data'!N830),'Data'!N830*100,"")</x:f>
      </x:c>
      <x:c r="I1684" s="35"/>
      <x:c r="J1684" s="35" t="str">
        <x:v>PASS</x:v>
      </x:c>
      <x:c r="K1684" s="35" t="str">
        <x:v>FAIL</x:v>
      </x:c>
      <x:c r="L1684" s="35" t="str">
        <x:v>NOT_RUN</x:v>
      </x:c>
      <x:c r="M1684" s="35" t="str">
        <x:v>coverage unavailable or execution/compile failed</x:v>
      </x:c>
      <x:c r="N1684" s="35" t="str">
        <x:v>Gemini-3.8-flash/Result/Time_1/result.json</x:v>
      </x:c>
      <x:c r="O1684" s="39" t="str">
        <x:f>IF(AND(G1684="RECORDED",ISNUMBER(H1684)),H1684,"")</x:f>
      </x:c>
      <x:c r="P1684" s="35" t="str">
        <x:v>NOT_AVAILABLE</x:v>
      </x:c>
      <x:c r="Q1684" s="35" t="str">
        <x:v>Gemini-3.8-flash/Result/Time_1/result.json</x:v>
      </x:c>
    </x:row>
    <x:row r="1685">
      <x:c r="A1685" s="35" t="str">
        <x:v>gemini</x:v>
      </x:c>
      <x:c r="B1685" s="35" t="str">
        <x:v>Time</x:v>
      </x:c>
      <x:c r="C1685" s="35" t="str">
        <x:v>Round1</x:v>
      </x:c>
      <x:c r="D1685" s="35" t="str">
        <x:v>Time_10</x:v>
      </x:c>
      <x:c r="E1685" s="35" t="str">
        <x:v>Condition</x:v>
      </x:c>
      <x:c r="F1685" s="35" t="n">
        <x:v>46</x:v>
      </x:c>
      <x:c r="G1685" s="35" t="str">
        <x:v>RECORDED</x:v>
      </x:c>
      <x:c r="H1685" s="39" t="n">
        <x:f>IF(ISNUMBER('Data'!N831),'Data'!N831*100,"")</x:f>
        <x:v>100</x:v>
      </x:c>
      <x:c r="I1685" s="35" t="str">
        <x:v>PASS</x:v>
      </x:c>
      <x:c r="J1685" s="35" t="str">
        <x:v>PASS</x:v>
      </x:c>
      <x:c r="K1685" s="35" t="str">
        <x:v>PASS</x:v>
      </x:c>
      <x:c r="L1685" s="35" t="str">
        <x:v>PASS</x:v>
      </x:c>
      <x:c r="M1685" s="35" t="str">
        <x:v>numeric coverage for applicable metric</x:v>
      </x:c>
      <x:c r="N1685" s="35" t="str">
        <x:v>Gemini-3.8-flash/Result/Time_10/result.json</x:v>
      </x:c>
      <x:c r="O1685" s="39" t="n">
        <x:f>IF(AND(G1685="RECORDED",ISNUMBER(H1685)),H1685,"")</x:f>
        <x:v>100</x:v>
      </x:c>
      <x:c r="P1685" s="35" t="str">
        <x:v>NOT_REVEALING</x:v>
      </x:c>
      <x:c r="Q1685" s="35" t="str">
        <x:v>Gemini-3.8-flash/Result/Time_10/result.json</x:v>
      </x:c>
    </x:row>
    <x:row r="1686">
      <x:c r="A1686" s="35" t="str">
        <x:v>gemini</x:v>
      </x:c>
      <x:c r="B1686" s="35" t="str">
        <x:v>Time</x:v>
      </x:c>
      <x:c r="C1686" s="35" t="str">
        <x:v>Round1</x:v>
      </x:c>
      <x:c r="D1686" s="35" t="str">
        <x:v>Time_11</x:v>
      </x:c>
      <x:c r="E1686" s="35" t="str">
        <x:v>Condition</x:v>
      </x:c>
      <x:c r="F1686" s="35" t="n">
        <x:v>193</x:v>
      </x:c>
      <x:c r="G1686" s="35" t="str">
        <x:v>RECORDED</x:v>
      </x:c>
      <x:c r="H1686" s="39" t="n">
        <x:f>IF(ISNUMBER('Data'!N832),'Data'!N832*100,"")</x:f>
        <x:v>82.38</x:v>
      </x:c>
      <x:c r="I1686" s="35" t="str">
        <x:v>PASS</x:v>
      </x:c>
      <x:c r="J1686" s="35" t="str">
        <x:v>PASS</x:v>
      </x:c>
      <x:c r="K1686" s="35" t="str">
        <x:v>PASS</x:v>
      </x:c>
      <x:c r="L1686" s="35" t="str">
        <x:v>FAIL</x:v>
      </x:c>
      <x:c r="M1686" s="35" t="str">
        <x:v>numeric coverage for applicable metric</x:v>
      </x:c>
      <x:c r="N1686" s="35" t="str">
        <x:v>Gemini-3.8-flash/Result/Time_11/result.json</x:v>
      </x:c>
      <x:c r="O1686" s="39" t="n">
        <x:f>IF(AND(G1686="RECORDED",ISNUMBER(H1686)),H1686,"")</x:f>
        <x:v>82.38</x:v>
      </x:c>
      <x:c r="P1686" s="35" t="str">
        <x:v>INCONCLUSIVE</x:v>
      </x:c>
      <x:c r="Q1686" s="35" t="str">
        <x:v>Gemini-3.8-flash/Result/Time_11/result.json</x:v>
      </x:c>
    </x:row>
    <x:row r="1687">
      <x:c r="A1687" s="35" t="str">
        <x:v>gemini</x:v>
      </x:c>
      <x:c r="B1687" s="35" t="str">
        <x:v>Time</x:v>
      </x:c>
      <x:c r="C1687" s="35" t="str">
        <x:v>Round1</x:v>
      </x:c>
      <x:c r="D1687" s="35" t="str">
        <x:v>Time_12</x:v>
      </x:c>
      <x:c r="E1687" s="35" t="str">
        <x:v>Condition</x:v>
      </x:c>
      <x:c r="F1687" s="35"/>
      <x:c r="G1687" s="35" t="str">
        <x:v>A</x:v>
      </x:c>
      <x:c r="H1687" s="39" t="str">
        <x:f>IF(ISNUMBER('Data'!N833),'Data'!N833*100,"")</x:f>
      </x:c>
      <x:c r="I1687" s="35"/>
      <x:c r="J1687" s="35" t="str">
        <x:v>PASS</x:v>
      </x:c>
      <x:c r="K1687" s="35" t="str">
        <x:v>FAIL</x:v>
      </x:c>
      <x:c r="L1687" s="35" t="str">
        <x:v>NOT_RUN</x:v>
      </x:c>
      <x:c r="M1687" s="35" t="str">
        <x:v>coverage unavailable or execution/compile failed</x:v>
      </x:c>
      <x:c r="N1687" s="35" t="str">
        <x:v>Gemini-3.8-flash/Result/Time_12/result.json</x:v>
      </x:c>
      <x:c r="O1687" s="39" t="str">
        <x:f>IF(AND(G1687="RECORDED",ISNUMBER(H1687)),H1687,"")</x:f>
      </x:c>
      <x:c r="P1687" s="35" t="str">
        <x:v>NOT_AVAILABLE</x:v>
      </x:c>
      <x:c r="Q1687" s="35" t="str">
        <x:v>Gemini-3.8-flash/Result/Time_12/result.json</x:v>
      </x:c>
    </x:row>
    <x:row r="1688">
      <x:c r="A1688" s="35" t="str">
        <x:v>gemini</x:v>
      </x:c>
      <x:c r="B1688" s="35" t="str">
        <x:v>Time</x:v>
      </x:c>
      <x:c r="C1688" s="35" t="str">
        <x:v>Round1</x:v>
      </x:c>
      <x:c r="D1688" s="35" t="str">
        <x:v>Time_13</x:v>
      </x:c>
      <x:c r="E1688" s="35" t="str">
        <x:v>Condition</x:v>
      </x:c>
      <x:c r="F1688" s="35"/>
      <x:c r="G1688" s="35" t="str">
        <x:v>A</x:v>
      </x:c>
      <x:c r="H1688" s="39" t="str">
        <x:f>IF(ISNUMBER('Data'!N834),'Data'!N834*100,"")</x:f>
      </x:c>
      <x:c r="I1688" s="35"/>
      <x:c r="J1688" s="35" t="str">
        <x:v>PASS</x:v>
      </x:c>
      <x:c r="K1688" s="35" t="str">
        <x:v>FAIL</x:v>
      </x:c>
      <x:c r="L1688" s="35" t="str">
        <x:v>NOT_RUN</x:v>
      </x:c>
      <x:c r="M1688" s="35" t="str">
        <x:v>coverage unavailable or execution/compile failed</x:v>
      </x:c>
      <x:c r="N1688" s="35" t="str">
        <x:v>Gemini-3.8-flash/Result/Time_13/result.json</x:v>
      </x:c>
      <x:c r="O1688" s="39" t="str">
        <x:f>IF(AND(G1688="RECORDED",ISNUMBER(H1688)),H1688,"")</x:f>
      </x:c>
      <x:c r="P1688" s="35" t="str">
        <x:v>NOT_AVAILABLE</x:v>
      </x:c>
      <x:c r="Q1688" s="35" t="str">
        <x:v>Gemini-3.8-flash/Result/Time_13/result.json</x:v>
      </x:c>
    </x:row>
    <x:row r="1689">
      <x:c r="A1689" s="35" t="str">
        <x:v>gemini</x:v>
      </x:c>
      <x:c r="B1689" s="35" t="str">
        <x:v>Time</x:v>
      </x:c>
      <x:c r="C1689" s="35" t="str">
        <x:v>Round1</x:v>
      </x:c>
      <x:c r="D1689" s="35" t="str">
        <x:v>Time_14</x:v>
      </x:c>
      <x:c r="E1689" s="35" t="str">
        <x:v>Condition</x:v>
      </x:c>
      <x:c r="F1689" s="35"/>
      <x:c r="G1689" s="35" t="str">
        <x:v>A</x:v>
      </x:c>
      <x:c r="H1689" s="39" t="str">
        <x:f>IF(ISNUMBER('Data'!N835),'Data'!N835*100,"")</x:f>
      </x:c>
      <x:c r="I1689" s="35"/>
      <x:c r="J1689" s="35" t="str">
        <x:v>PASS</x:v>
      </x:c>
      <x:c r="K1689" s="35" t="str">
        <x:v>FAIL</x:v>
      </x:c>
      <x:c r="L1689" s="35" t="str">
        <x:v>NOT_RUN</x:v>
      </x:c>
      <x:c r="M1689" s="35" t="str">
        <x:v>coverage unavailable or execution/compile failed</x:v>
      </x:c>
      <x:c r="N1689" s="35" t="str">
        <x:v>Gemini-3.8-flash/Result/Time_14/result.json</x:v>
      </x:c>
      <x:c r="O1689" s="39" t="str">
        <x:f>IF(AND(G1689="RECORDED",ISNUMBER(H1689)),H1689,"")</x:f>
      </x:c>
      <x:c r="P1689" s="35" t="str">
        <x:v>NOT_AVAILABLE</x:v>
      </x:c>
      <x:c r="Q1689" s="35" t="str">
        <x:v>Gemini-3.8-flash/Result/Time_14/result.json</x:v>
      </x:c>
    </x:row>
    <x:row r="1690">
      <x:c r="A1690" s="35" t="str">
        <x:v>gemini</x:v>
      </x:c>
      <x:c r="B1690" s="35" t="str">
        <x:v>Time</x:v>
      </x:c>
      <x:c r="C1690" s="35" t="str">
        <x:v>Round1</x:v>
      </x:c>
      <x:c r="D1690" s="35" t="str">
        <x:v>Time_15</x:v>
      </x:c>
      <x:c r="E1690" s="35" t="str">
        <x:v>Condition</x:v>
      </x:c>
      <x:c r="F1690" s="35" t="n">
        <x:v>70</x:v>
      </x:c>
      <x:c r="G1690" s="35" t="str">
        <x:v>RECORDED</x:v>
      </x:c>
      <x:c r="H1690" s="39" t="n">
        <x:f>IF(ISNUMBER('Data'!N836),'Data'!N836*100,"")</x:f>
        <x:v>88.57</x:v>
      </x:c>
      <x:c r="I1690" s="35" t="str">
        <x:v>PASS</x:v>
      </x:c>
      <x:c r="J1690" s="35" t="str">
        <x:v>PASS</x:v>
      </x:c>
      <x:c r="K1690" s="35" t="str">
        <x:v>PASS</x:v>
      </x:c>
      <x:c r="L1690" s="35" t="str">
        <x:v>FAIL</x:v>
      </x:c>
      <x:c r="M1690" s="35" t="str">
        <x:v>numeric coverage for applicable metric</x:v>
      </x:c>
      <x:c r="N1690" s="35" t="str">
        <x:v>Gemini-3.8-flash/Result/Time_15/result.json</x:v>
      </x:c>
      <x:c r="O1690" s="39" t="n">
        <x:f>IF(AND(G1690="RECORDED",ISNUMBER(H1690)),H1690,"")</x:f>
        <x:v>88.57</x:v>
      </x:c>
      <x:c r="P1690" s="35" t="str">
        <x:v>INCONCLUSIVE</x:v>
      </x:c>
      <x:c r="Q1690" s="35" t="str">
        <x:v>Gemini-3.8-flash/Result/Time_15/result.json</x:v>
      </x:c>
    </x:row>
    <x:row r="1691">
      <x:c r="A1691" s="35" t="str">
        <x:v>gemini</x:v>
      </x:c>
      <x:c r="B1691" s="35" t="str">
        <x:v>Time</x:v>
      </x:c>
      <x:c r="C1691" s="35" t="str">
        <x:v>Round1</x:v>
      </x:c>
      <x:c r="D1691" s="35" t="str">
        <x:v>Time_16</x:v>
      </x:c>
      <x:c r="E1691" s="35" t="str">
        <x:v>Condition</x:v>
      </x:c>
      <x:c r="F1691" s="35" t="n">
        <x:v>88</x:v>
      </x:c>
      <x:c r="G1691" s="35" t="str">
        <x:v>RECORDED</x:v>
      </x:c>
      <x:c r="H1691" s="39" t="n">
        <x:f>IF(ISNUMBER('Data'!N837),'Data'!N837*100,"")</x:f>
        <x:v>90.91</x:v>
      </x:c>
      <x:c r="I1691" s="35" t="str">
        <x:v>PASS</x:v>
      </x:c>
      <x:c r="J1691" s="35" t="str">
        <x:v>PASS</x:v>
      </x:c>
      <x:c r="K1691" s="35" t="str">
        <x:v>PASS</x:v>
      </x:c>
      <x:c r="L1691" s="35" t="str">
        <x:v>FAIL</x:v>
      </x:c>
      <x:c r="M1691" s="35" t="str">
        <x:v>numeric coverage for applicable metric</x:v>
      </x:c>
      <x:c r="N1691" s="35" t="str">
        <x:v>Gemini-3.8-flash/Result/Time_16/result.json</x:v>
      </x:c>
      <x:c r="O1691" s="39" t="n">
        <x:f>IF(AND(G1691="RECORDED",ISNUMBER(H1691)),H1691,"")</x:f>
        <x:v>90.91</x:v>
      </x:c>
      <x:c r="P1691" s="35" t="str">
        <x:v>INCONCLUSIVE</x:v>
      </x:c>
      <x:c r="Q1691" s="35" t="str">
        <x:v>Gemini-3.8-flash/Result/Time_16/result.json</x:v>
      </x:c>
    </x:row>
    <x:row r="1692">
      <x:c r="A1692" s="35" t="str">
        <x:v>gemini</x:v>
      </x:c>
      <x:c r="B1692" s="35" t="str">
        <x:v>Time</x:v>
      </x:c>
      <x:c r="C1692" s="35" t="str">
        <x:v>Round1</x:v>
      </x:c>
      <x:c r="D1692" s="35" t="str">
        <x:v>Time_17</x:v>
      </x:c>
      <x:c r="E1692" s="35" t="str">
        <x:v>Condition</x:v>
      </x:c>
      <x:c r="F1692" s="35"/>
      <x:c r="G1692" s="35" t="str">
        <x:v>A</x:v>
      </x:c>
      <x:c r="H1692" s="39" t="str">
        <x:f>IF(ISNUMBER('Data'!N838),'Data'!N838*100,"")</x:f>
      </x:c>
      <x:c r="I1692" s="35"/>
      <x:c r="J1692" s="35" t="str">
        <x:v>PASS</x:v>
      </x:c>
      <x:c r="K1692" s="35" t="str">
        <x:v>FAIL</x:v>
      </x:c>
      <x:c r="L1692" s="35" t="str">
        <x:v>NOT_RUN</x:v>
      </x:c>
      <x:c r="M1692" s="35" t="str">
        <x:v>coverage unavailable or execution/compile failed</x:v>
      </x:c>
      <x:c r="N1692" s="35" t="str">
        <x:v>Gemini-3.8-flash/Result/Time_17/result.json</x:v>
      </x:c>
      <x:c r="O1692" s="39" t="str">
        <x:f>IF(AND(G1692="RECORDED",ISNUMBER(H1692)),H1692,"")</x:f>
      </x:c>
      <x:c r="P1692" s="35" t="str">
        <x:v>NOT_AVAILABLE</x:v>
      </x:c>
      <x:c r="Q1692" s="35" t="str">
        <x:v>Gemini-3.8-flash/Result/Time_17/result.json</x:v>
      </x:c>
    </x:row>
    <x:row r="1693">
      <x:c r="A1693" s="35" t="str">
        <x:v>gemini</x:v>
      </x:c>
      <x:c r="B1693" s="35" t="str">
        <x:v>Time</x:v>
      </x:c>
      <x:c r="C1693" s="35" t="str">
        <x:v>Round1</x:v>
      </x:c>
      <x:c r="D1693" s="35" t="str">
        <x:v>Time_18</x:v>
      </x:c>
      <x:c r="E1693" s="35" t="str">
        <x:v>Condition</x:v>
      </x:c>
      <x:c r="F1693" s="35"/>
      <x:c r="G1693" s="35" t="str">
        <x:v>A</x:v>
      </x:c>
      <x:c r="H1693" s="39" t="str">
        <x:f>IF(ISNUMBER('Data'!N839),'Data'!N839*100,"")</x:f>
      </x:c>
      <x:c r="I1693" s="35"/>
      <x:c r="J1693" s="35" t="str">
        <x:v>PASS</x:v>
      </x:c>
      <x:c r="K1693" s="35" t="str">
        <x:v>FAIL</x:v>
      </x:c>
      <x:c r="L1693" s="35" t="str">
        <x:v>NOT_RUN</x:v>
      </x:c>
      <x:c r="M1693" s="35" t="str">
        <x:v>coverage unavailable or execution/compile failed</x:v>
      </x:c>
      <x:c r="N1693" s="35" t="str">
        <x:v>Gemini-3.8-flash/Result/Time_18/result.json</x:v>
      </x:c>
      <x:c r="O1693" s="39" t="str">
        <x:f>IF(AND(G1693="RECORDED",ISNUMBER(H1693)),H1693,"")</x:f>
      </x:c>
      <x:c r="P1693" s="35" t="str">
        <x:v>NOT_AVAILABLE</x:v>
      </x:c>
      <x:c r="Q1693" s="35" t="str">
        <x:v>Gemini-3.8-flash/Result/Time_18/result.json</x:v>
      </x:c>
    </x:row>
    <x:row r="1694">
      <x:c r="A1694" s="35" t="str">
        <x:v>gemini</x:v>
      </x:c>
      <x:c r="B1694" s="35" t="str">
        <x:v>Time</x:v>
      </x:c>
      <x:c r="C1694" s="35" t="str">
        <x:v>Round1</x:v>
      </x:c>
      <x:c r="D1694" s="35" t="str">
        <x:v>Time_19</x:v>
      </x:c>
      <x:c r="E1694" s="35" t="str">
        <x:v>Condition</x:v>
      </x:c>
      <x:c r="F1694" s="35" t="n">
        <x:v>162</x:v>
      </x:c>
      <x:c r="G1694" s="35" t="str">
        <x:v>RECORDED</x:v>
      </x:c>
      <x:c r="H1694" s="39" t="n">
        <x:f>IF(ISNUMBER('Data'!N840),'Data'!N840*100,"")</x:f>
        <x:v>77.16</x:v>
      </x:c>
      <x:c r="I1694" s="35" t="str">
        <x:v>PASS</x:v>
      </x:c>
      <x:c r="J1694" s="35" t="str">
        <x:v>PASS</x:v>
      </x:c>
      <x:c r="K1694" s="35" t="str">
        <x:v>PASS</x:v>
      </x:c>
      <x:c r="L1694" s="35" t="str">
        <x:v>FAIL</x:v>
      </x:c>
      <x:c r="M1694" s="35" t="str">
        <x:v>numeric coverage for applicable metric</x:v>
      </x:c>
      <x:c r="N1694" s="35" t="str">
        <x:v>Gemini-3.8-flash/Result/Time_19/result.json</x:v>
      </x:c>
      <x:c r="O1694" s="39" t="n">
        <x:f>IF(AND(G1694="RECORDED",ISNUMBER(H1694)),H1694,"")</x:f>
        <x:v>77.16</x:v>
      </x:c>
      <x:c r="P1694" s="35" t="str">
        <x:v>INCONCLUSIVE</x:v>
      </x:c>
      <x:c r="Q1694" s="35" t="str">
        <x:v>Gemini-3.8-flash/Result/Time_19/result.json</x:v>
      </x:c>
    </x:row>
    <x:row r="1695">
      <x:c r="A1695" s="35" t="str">
        <x:v>gemini</x:v>
      </x:c>
      <x:c r="B1695" s="35" t="str">
        <x:v>Time</x:v>
      </x:c>
      <x:c r="C1695" s="35" t="str">
        <x:v>Round1</x:v>
      </x:c>
      <x:c r="D1695" s="35" t="str">
        <x:v>Time_2</x:v>
      </x:c>
      <x:c r="E1695" s="35" t="str">
        <x:v>Condition</x:v>
      </x:c>
      <x:c r="F1695" s="35"/>
      <x:c r="G1695" s="35" t="str">
        <x:v>A</x:v>
      </x:c>
      <x:c r="H1695" s="39" t="str">
        <x:f>IF(ISNUMBER('Data'!N841),'Data'!N841*100,"")</x:f>
      </x:c>
      <x:c r="I1695" s="35"/>
      <x:c r="J1695" s="35" t="str">
        <x:v>PASS</x:v>
      </x:c>
      <x:c r="K1695" s="35" t="str">
        <x:v>FAIL</x:v>
      </x:c>
      <x:c r="L1695" s="35" t="str">
        <x:v>NOT_RUN</x:v>
      </x:c>
      <x:c r="M1695" s="35" t="str">
        <x:v>coverage unavailable or execution/compile failed</x:v>
      </x:c>
      <x:c r="N1695" s="35" t="str">
        <x:v>Gemini-3.8-flash/Result/Time_2/result.json</x:v>
      </x:c>
      <x:c r="O1695" s="39" t="str">
        <x:f>IF(AND(G1695="RECORDED",ISNUMBER(H1695)),H1695,"")</x:f>
      </x:c>
      <x:c r="P1695" s="35" t="str">
        <x:v>NOT_AVAILABLE</x:v>
      </x:c>
      <x:c r="Q1695" s="35" t="str">
        <x:v>Gemini-3.8-flash/Result/Time_2/result.json</x:v>
      </x:c>
    </x:row>
    <x:row r="1696">
      <x:c r="A1696" s="35" t="str">
        <x:v>gemini</x:v>
      </x:c>
      <x:c r="B1696" s="35" t="str">
        <x:v>Time</x:v>
      </x:c>
      <x:c r="C1696" s="35" t="str">
        <x:v>Round1</x:v>
      </x:c>
      <x:c r="D1696" s="35" t="str">
        <x:v>Time_20</x:v>
      </x:c>
      <x:c r="E1696" s="35" t="str">
        <x:v>Condition</x:v>
      </x:c>
      <x:c r="F1696" s="35" t="n">
        <x:v>589</x:v>
      </x:c>
      <x:c r="G1696" s="35" t="str">
        <x:v>RECORDED</x:v>
      </x:c>
      <x:c r="H1696" s="39" t="n">
        <x:f>IF(ISNUMBER('Data'!N842),'Data'!N842*100,"")</x:f>
        <x:v>66.89</x:v>
      </x:c>
      <x:c r="I1696" s="35" t="str">
        <x:v>PASS</x:v>
      </x:c>
      <x:c r="J1696" s="35" t="str">
        <x:v>PASS</x:v>
      </x:c>
      <x:c r="K1696" s="35" t="str">
        <x:v>PASS</x:v>
      </x:c>
      <x:c r="L1696" s="35" t="str">
        <x:v>FAIL</x:v>
      </x:c>
      <x:c r="M1696" s="35" t="str">
        <x:v>numeric coverage for applicable metric</x:v>
      </x:c>
      <x:c r="N1696" s="35" t="str">
        <x:v>Gemini-3.8-flash/Result/Time_20/result.json</x:v>
      </x:c>
      <x:c r="O1696" s="39" t="n">
        <x:f>IF(AND(G1696="RECORDED",ISNUMBER(H1696)),H1696,"")</x:f>
        <x:v>66.89</x:v>
      </x:c>
      <x:c r="P1696" s="35" t="str">
        <x:v>INCONCLUSIVE</x:v>
      </x:c>
      <x:c r="Q1696" s="35" t="str">
        <x:v>Gemini-3.8-flash/Result/Time_20/result.json</x:v>
      </x:c>
    </x:row>
    <x:row r="1697">
      <x:c r="A1697" s="35" t="str">
        <x:v>gemini</x:v>
      </x:c>
      <x:c r="B1697" s="35" t="str">
        <x:v>Time</x:v>
      </x:c>
      <x:c r="C1697" s="35" t="str">
        <x:v>Round1</x:v>
      </x:c>
      <x:c r="D1697" s="35" t="str">
        <x:v>Time_22</x:v>
      </x:c>
      <x:c r="E1697" s="35" t="str">
        <x:v>Condition</x:v>
      </x:c>
      <x:c r="F1697" s="35"/>
      <x:c r="G1697" s="35" t="str">
        <x:v>A</x:v>
      </x:c>
      <x:c r="H1697" s="39" t="str">
        <x:f>IF(ISNUMBER('Data'!N843),'Data'!N843*100,"")</x:f>
      </x:c>
      <x:c r="I1697" s="35"/>
      <x:c r="J1697" s="35" t="str">
        <x:v>PASS</x:v>
      </x:c>
      <x:c r="K1697" s="35" t="str">
        <x:v>FAIL</x:v>
      </x:c>
      <x:c r="L1697" s="35" t="str">
        <x:v>NOT_RUN</x:v>
      </x:c>
      <x:c r="M1697" s="35" t="str">
        <x:v>coverage unavailable or execution/compile failed</x:v>
      </x:c>
      <x:c r="N1697" s="35" t="str">
        <x:v>Gemini-3.8-flash/Result/Time_22/result.json</x:v>
      </x:c>
      <x:c r="O1697" s="39" t="str">
        <x:f>IF(AND(G1697="RECORDED",ISNUMBER(H1697)),H1697,"")</x:f>
      </x:c>
      <x:c r="P1697" s="35" t="str">
        <x:v>NOT_AVAILABLE</x:v>
      </x:c>
      <x:c r="Q1697" s="35" t="str">
        <x:v>Gemini-3.8-flash/Result/Time_22/result.json</x:v>
      </x:c>
    </x:row>
    <x:row r="1698">
      <x:c r="A1698" s="35" t="str">
        <x:v>gemini</x:v>
      </x:c>
      <x:c r="B1698" s="35" t="str">
        <x:v>Time</x:v>
      </x:c>
      <x:c r="C1698" s="35" t="str">
        <x:v>Round1</x:v>
      </x:c>
      <x:c r="D1698" s="35" t="str">
        <x:v>Time_23</x:v>
      </x:c>
      <x:c r="E1698" s="35" t="str">
        <x:v>Condition</x:v>
      </x:c>
      <x:c r="F1698" s="35"/>
      <x:c r="G1698" s="35" t="str">
        <x:v>A</x:v>
      </x:c>
      <x:c r="H1698" s="39" t="str">
        <x:f>IF(ISNUMBER('Data'!N844),'Data'!N844*100,"")</x:f>
      </x:c>
      <x:c r="I1698" s="35"/>
      <x:c r="J1698" s="35" t="str">
        <x:v>PASS</x:v>
      </x:c>
      <x:c r="K1698" s="35" t="str">
        <x:v>FAIL</x:v>
      </x:c>
      <x:c r="L1698" s="35" t="str">
        <x:v>NOT_RUN</x:v>
      </x:c>
      <x:c r="M1698" s="35" t="str">
        <x:v>coverage unavailable or execution/compile failed</x:v>
      </x:c>
      <x:c r="N1698" s="35" t="str">
        <x:v>Gemini-3.8-flash/Result/Time_23/result.json</x:v>
      </x:c>
      <x:c r="O1698" s="39" t="str">
        <x:f>IF(AND(G1698="RECORDED",ISNUMBER(H1698)),H1698,"")</x:f>
      </x:c>
      <x:c r="P1698" s="35" t="str">
        <x:v>NOT_AVAILABLE</x:v>
      </x:c>
      <x:c r="Q1698" s="35" t="str">
        <x:v>Gemini-3.8-flash/Result/Time_23/result.json</x:v>
      </x:c>
    </x:row>
    <x:row r="1699">
      <x:c r="A1699" s="35" t="str">
        <x:v>gemini</x:v>
      </x:c>
      <x:c r="B1699" s="35" t="str">
        <x:v>Time</x:v>
      </x:c>
      <x:c r="C1699" s="35" t="str">
        <x:v>Round1</x:v>
      </x:c>
      <x:c r="D1699" s="35" t="str">
        <x:v>Time_24</x:v>
      </x:c>
      <x:c r="E1699" s="35" t="str">
        <x:v>Condition</x:v>
      </x:c>
      <x:c r="F1699" s="35" t="n">
        <x:v>64</x:v>
      </x:c>
      <x:c r="G1699" s="35" t="str">
        <x:v>RECORDED</x:v>
      </x:c>
      <x:c r="H1699" s="39" t="n">
        <x:f>IF(ISNUMBER('Data'!N845),'Data'!N845*100,"")</x:f>
        <x:v>93.75</x:v>
      </x:c>
      <x:c r="I1699" s="35" t="str">
        <x:v>PASS</x:v>
      </x:c>
      <x:c r="J1699" s="35" t="str">
        <x:v>PASS</x:v>
      </x:c>
      <x:c r="K1699" s="35" t="str">
        <x:v>PASS</x:v>
      </x:c>
      <x:c r="L1699" s="35" t="str">
        <x:v>FAIL</x:v>
      </x:c>
      <x:c r="M1699" s="35" t="str">
        <x:v>numeric coverage for applicable metric</x:v>
      </x:c>
      <x:c r="N1699" s="35" t="str">
        <x:v>Gemini-3.8-flash/Result/Time_24/result.json</x:v>
      </x:c>
      <x:c r="O1699" s="39" t="n">
        <x:f>IF(AND(G1699="RECORDED",ISNUMBER(H1699)),H1699,"")</x:f>
        <x:v>93.75</x:v>
      </x:c>
      <x:c r="P1699" s="35" t="str">
        <x:v>INCONCLUSIVE</x:v>
      </x:c>
      <x:c r="Q1699" s="35" t="str">
        <x:v>Gemini-3.8-flash/Result/Time_24/result.json</x:v>
      </x:c>
    </x:row>
    <x:row r="1700">
      <x:c r="A1700" s="35" t="str">
        <x:v>gemini</x:v>
      </x:c>
      <x:c r="B1700" s="35" t="str">
        <x:v>Time</x:v>
      </x:c>
      <x:c r="C1700" s="35" t="str">
        <x:v>Round1</x:v>
      </x:c>
      <x:c r="D1700" s="35" t="str">
        <x:v>Time_25</x:v>
      </x:c>
      <x:c r="E1700" s="35" t="str">
        <x:v>Condition</x:v>
      </x:c>
      <x:c r="F1700" s="35"/>
      <x:c r="G1700" s="35" t="str">
        <x:v>A</x:v>
      </x:c>
      <x:c r="H1700" s="39" t="str">
        <x:f>IF(ISNUMBER('Data'!N846),'Data'!N846*100,"")</x:f>
      </x:c>
      <x:c r="I1700" s="35"/>
      <x:c r="J1700" s="35" t="str">
        <x:v>PASS</x:v>
      </x:c>
      <x:c r="K1700" s="35" t="str">
        <x:v>FAIL</x:v>
      </x:c>
      <x:c r="L1700" s="35" t="str">
        <x:v>NOT_RUN</x:v>
      </x:c>
      <x:c r="M1700" s="35" t="str">
        <x:v>coverage unavailable or execution/compile failed</x:v>
      </x:c>
      <x:c r="N1700" s="35" t="str">
        <x:v>Gemini-3.8-flash/Result/Time_25/result.json</x:v>
      </x:c>
      <x:c r="O1700" s="39" t="str">
        <x:f>IF(AND(G1700="RECORDED",ISNUMBER(H1700)),H1700,"")</x:f>
      </x:c>
      <x:c r="P1700" s="35" t="str">
        <x:v>NOT_AVAILABLE</x:v>
      </x:c>
      <x:c r="Q1700" s="35" t="str">
        <x:v>Gemini-3.8-flash/Result/Time_25/result.json</x:v>
      </x:c>
    </x:row>
    <x:row r="1701">
      <x:c r="A1701" s="35" t="str">
        <x:v>gemini</x:v>
      </x:c>
      <x:c r="B1701" s="35" t="str">
        <x:v>Time</x:v>
      </x:c>
      <x:c r="C1701" s="35" t="str">
        <x:v>Round1</x:v>
      </x:c>
      <x:c r="D1701" s="35" t="str">
        <x:v>Time_26</x:v>
      </x:c>
      <x:c r="E1701" s="35" t="str">
        <x:v>Condition</x:v>
      </x:c>
      <x:c r="F1701" s="35"/>
      <x:c r="G1701" s="35" t="str">
        <x:v>A</x:v>
      </x:c>
      <x:c r="H1701" s="39" t="str">
        <x:f>IF(ISNUMBER('Data'!N847),'Data'!N847*100,"")</x:f>
      </x:c>
      <x:c r="I1701" s="35"/>
      <x:c r="J1701" s="35" t="str">
        <x:v>PASS</x:v>
      </x:c>
      <x:c r="K1701" s="35" t="str">
        <x:v>FAIL</x:v>
      </x:c>
      <x:c r="L1701" s="35" t="str">
        <x:v>NOT_RUN</x:v>
      </x:c>
      <x:c r="M1701" s="35" t="str">
        <x:v>coverage unavailable or execution/compile failed</x:v>
      </x:c>
      <x:c r="N1701" s="35" t="str">
        <x:v>Gemini-3.8-flash/Result/Time_26/result.json</x:v>
      </x:c>
      <x:c r="O1701" s="39" t="str">
        <x:f>IF(AND(G1701="RECORDED",ISNUMBER(H1701)),H1701,"")</x:f>
      </x:c>
      <x:c r="P1701" s="35" t="str">
        <x:v>NOT_AVAILABLE</x:v>
      </x:c>
      <x:c r="Q1701" s="35" t="str">
        <x:v>Gemini-3.8-flash/Result/Time_26/result.json</x:v>
      </x:c>
    </x:row>
    <x:row r="1702">
      <x:c r="A1702" s="35" t="str">
        <x:v>gemini</x:v>
      </x:c>
      <x:c r="B1702" s="35" t="str">
        <x:v>Time</x:v>
      </x:c>
      <x:c r="C1702" s="35" t="str">
        <x:v>Round1</x:v>
      </x:c>
      <x:c r="D1702" s="35" t="str">
        <x:v>Time_27</x:v>
      </x:c>
      <x:c r="E1702" s="35" t="str">
        <x:v>Condition</x:v>
      </x:c>
      <x:c r="F1702" s="35"/>
      <x:c r="G1702" s="35" t="str">
        <x:v>A</x:v>
      </x:c>
      <x:c r="H1702" s="39" t="str">
        <x:f>IF(ISNUMBER('Data'!N848),'Data'!N848*100,"")</x:f>
      </x:c>
      <x:c r="I1702" s="35"/>
      <x:c r="J1702" s="35" t="str">
        <x:v>PASS</x:v>
      </x:c>
      <x:c r="K1702" s="35" t="str">
        <x:v>FAIL</x:v>
      </x:c>
      <x:c r="L1702" s="35" t="str">
        <x:v>NOT_RUN</x:v>
      </x:c>
      <x:c r="M1702" s="35" t="str">
        <x:v>coverage unavailable or execution/compile failed</x:v>
      </x:c>
      <x:c r="N1702" s="35" t="str">
        <x:v>Gemini-3.8-flash/Result/Time_27/result.json</x:v>
      </x:c>
      <x:c r="O1702" s="39" t="str">
        <x:f>IF(AND(G1702="RECORDED",ISNUMBER(H1702)),H1702,"")</x:f>
      </x:c>
      <x:c r="P1702" s="35" t="str">
        <x:v>NOT_AVAILABLE</x:v>
      </x:c>
      <x:c r="Q1702" s="35" t="str">
        <x:v>Gemini-3.8-flash/Result/Time_27/result.json</x:v>
      </x:c>
    </x:row>
    <x:row r="1703">
      <x:c r="A1703" s="35" t="str">
        <x:v>gemini</x:v>
      </x:c>
      <x:c r="B1703" s="35" t="str">
        <x:v>Time</x:v>
      </x:c>
      <x:c r="C1703" s="35" t="str">
        <x:v>Round1</x:v>
      </x:c>
      <x:c r="D1703" s="35" t="str">
        <x:v>Time_3</x:v>
      </x:c>
      <x:c r="E1703" s="35" t="str">
        <x:v>Condition</x:v>
      </x:c>
      <x:c r="F1703" s="35"/>
      <x:c r="G1703" s="35" t="str">
        <x:v>A</x:v>
      </x:c>
      <x:c r="H1703" s="39" t="str">
        <x:f>IF(ISNUMBER('Data'!N849),'Data'!N849*100,"")</x:f>
      </x:c>
      <x:c r="I1703" s="35"/>
      <x:c r="J1703" s="35" t="str">
        <x:v>PASS</x:v>
      </x:c>
      <x:c r="K1703" s="35" t="str">
        <x:v>FAIL</x:v>
      </x:c>
      <x:c r="L1703" s="35" t="str">
        <x:v>NOT_RUN</x:v>
      </x:c>
      <x:c r="M1703" s="35" t="str">
        <x:v>coverage unavailable or execution/compile failed</x:v>
      </x:c>
      <x:c r="N1703" s="35" t="str">
        <x:v>Gemini-3.8-flash/Result/Time_3/result.json</x:v>
      </x:c>
      <x:c r="O1703" s="39" t="str">
        <x:f>IF(AND(G1703="RECORDED",ISNUMBER(H1703)),H1703,"")</x:f>
      </x:c>
      <x:c r="P1703" s="35" t="str">
        <x:v>NOT_AVAILABLE</x:v>
      </x:c>
      <x:c r="Q1703" s="35" t="str">
        <x:v>Gemini-3.8-flash/Result/Time_3/result.json</x:v>
      </x:c>
    </x:row>
    <x:row r="1704">
      <x:c r="A1704" s="35" t="str">
        <x:v>gemini</x:v>
      </x:c>
      <x:c r="B1704" s="35" t="str">
        <x:v>Time</x:v>
      </x:c>
      <x:c r="C1704" s="35" t="str">
        <x:v>Round1</x:v>
      </x:c>
      <x:c r="D1704" s="35" t="str">
        <x:v>Time_4</x:v>
      </x:c>
      <x:c r="E1704" s="35" t="str">
        <x:v>Condition</x:v>
      </x:c>
      <x:c r="F1704" s="35"/>
      <x:c r="G1704" s="35" t="str">
        <x:v>A</x:v>
      </x:c>
      <x:c r="H1704" s="39" t="str">
        <x:f>IF(ISNUMBER('Data'!N850),'Data'!N850*100,"")</x:f>
      </x:c>
      <x:c r="I1704" s="35"/>
      <x:c r="J1704" s="35" t="str">
        <x:v>PASS</x:v>
      </x:c>
      <x:c r="K1704" s="35" t="str">
        <x:v>FAIL</x:v>
      </x:c>
      <x:c r="L1704" s="35" t="str">
        <x:v>NOT_RUN</x:v>
      </x:c>
      <x:c r="M1704" s="35" t="str">
        <x:v>coverage unavailable or execution/compile failed</x:v>
      </x:c>
      <x:c r="N1704" s="35" t="str">
        <x:v>Gemini-3.8-flash/Result/Time_4/result.json</x:v>
      </x:c>
      <x:c r="O1704" s="39" t="str">
        <x:f>IF(AND(G1704="RECORDED",ISNUMBER(H1704)),H1704,"")</x:f>
      </x:c>
      <x:c r="P1704" s="35" t="str">
        <x:v>NOT_AVAILABLE</x:v>
      </x:c>
      <x:c r="Q1704" s="35" t="str">
        <x:v>Gemini-3.8-flash/Result/Time_4/result.json</x:v>
      </x:c>
    </x:row>
    <x:row r="1705">
      <x:c r="A1705" s="35" t="str">
        <x:v>gemini</x:v>
      </x:c>
      <x:c r="B1705" s="35" t="str">
        <x:v>Time</x:v>
      </x:c>
      <x:c r="C1705" s="35" t="str">
        <x:v>Round1</x:v>
      </x:c>
      <x:c r="D1705" s="35" t="str">
        <x:v>Time_5</x:v>
      </x:c>
      <x:c r="E1705" s="35" t="str">
        <x:v>Condition</x:v>
      </x:c>
      <x:c r="F1705" s="35"/>
      <x:c r="G1705" s="35" t="str">
        <x:v>A</x:v>
      </x:c>
      <x:c r="H1705" s="39" t="str">
        <x:f>IF(ISNUMBER('Data'!N851),'Data'!N851*100,"")</x:f>
      </x:c>
      <x:c r="I1705" s="35"/>
      <x:c r="J1705" s="35" t="str">
        <x:v>PASS</x:v>
      </x:c>
      <x:c r="K1705" s="35" t="str">
        <x:v>FAIL</x:v>
      </x:c>
      <x:c r="L1705" s="35" t="str">
        <x:v>NOT_RUN</x:v>
      </x:c>
      <x:c r="M1705" s="35" t="str">
        <x:v>coverage unavailable or execution/compile failed</x:v>
      </x:c>
      <x:c r="N1705" s="35" t="str">
        <x:v>Gemini-3.8-flash/Result/Time_5/result.json</x:v>
      </x:c>
      <x:c r="O1705" s="39" t="str">
        <x:f>IF(AND(G1705="RECORDED",ISNUMBER(H1705)),H1705,"")</x:f>
      </x:c>
      <x:c r="P1705" s="35" t="str">
        <x:v>NOT_AVAILABLE</x:v>
      </x:c>
      <x:c r="Q1705" s="35" t="str">
        <x:v>Gemini-3.8-flash/Result/Time_5/result.json</x:v>
      </x:c>
    </x:row>
    <x:row r="1706">
      <x:c r="A1706" s="35" t="str">
        <x:v>gemini</x:v>
      </x:c>
      <x:c r="B1706" s="35" t="str">
        <x:v>Time</x:v>
      </x:c>
      <x:c r="C1706" s="35" t="str">
        <x:v>Round1</x:v>
      </x:c>
      <x:c r="D1706" s="35" t="str">
        <x:v>Time_6</x:v>
      </x:c>
      <x:c r="E1706" s="35" t="str">
        <x:v>Condition</x:v>
      </x:c>
      <x:c r="F1706" s="35"/>
      <x:c r="G1706" s="35" t="str">
        <x:v>A</x:v>
      </x:c>
      <x:c r="H1706" s="39" t="str">
        <x:f>IF(ISNUMBER('Data'!N852),'Data'!N852*100,"")</x:f>
      </x:c>
      <x:c r="I1706" s="35"/>
      <x:c r="J1706" s="35" t="str">
        <x:v>PASS</x:v>
      </x:c>
      <x:c r="K1706" s="35" t="str">
        <x:v>FAIL</x:v>
      </x:c>
      <x:c r="L1706" s="35" t="str">
        <x:v>NOT_RUN</x:v>
      </x:c>
      <x:c r="M1706" s="35" t="str">
        <x:v>coverage unavailable or execution/compile failed</x:v>
      </x:c>
      <x:c r="N1706" s="35" t="str">
        <x:v>Gemini-3.8-flash/Result/Time_6/result.json</x:v>
      </x:c>
      <x:c r="O1706" s="39" t="str">
        <x:f>IF(AND(G1706="RECORDED",ISNUMBER(H1706)),H1706,"")</x:f>
      </x:c>
      <x:c r="P1706" s="35" t="str">
        <x:v>NOT_AVAILABLE</x:v>
      </x:c>
      <x:c r="Q1706" s="35" t="str">
        <x:v>Gemini-3.8-flash/Result/Time_6/result.json</x:v>
      </x:c>
    </x:row>
    <x:row r="1707">
      <x:c r="A1707" s="35" t="str">
        <x:v>gemini</x:v>
      </x:c>
      <x:c r="B1707" s="35" t="str">
        <x:v>Time</x:v>
      </x:c>
      <x:c r="C1707" s="35" t="str">
        <x:v>Round1</x:v>
      </x:c>
      <x:c r="D1707" s="35" t="str">
        <x:v>Time_7</x:v>
      </x:c>
      <x:c r="E1707" s="35" t="str">
        <x:v>Condition</x:v>
      </x:c>
      <x:c r="F1707" s="35"/>
      <x:c r="G1707" s="35" t="str">
        <x:v>A</x:v>
      </x:c>
      <x:c r="H1707" s="39" t="str">
        <x:f>IF(ISNUMBER('Data'!N853),'Data'!N853*100,"")</x:f>
      </x:c>
      <x:c r="I1707" s="35"/>
      <x:c r="J1707" s="35" t="str">
        <x:v>PASS</x:v>
      </x:c>
      <x:c r="K1707" s="35" t="str">
        <x:v>FAIL</x:v>
      </x:c>
      <x:c r="L1707" s="35" t="str">
        <x:v>NOT_RUN</x:v>
      </x:c>
      <x:c r="M1707" s="35" t="str">
        <x:v>coverage unavailable or execution/compile failed</x:v>
      </x:c>
      <x:c r="N1707" s="35" t="str">
        <x:v>Gemini-3.8-flash/Result/Time_7/result.json</x:v>
      </x:c>
      <x:c r="O1707" s="39" t="str">
        <x:f>IF(AND(G1707="RECORDED",ISNUMBER(H1707)),H1707,"")</x:f>
      </x:c>
      <x:c r="P1707" s="35" t="str">
        <x:v>NOT_AVAILABLE</x:v>
      </x:c>
      <x:c r="Q1707" s="35" t="str">
        <x:v>Gemini-3.8-flash/Result/Time_7/result.json</x:v>
      </x:c>
    </x:row>
    <x:row r="1708">
      <x:c r="A1708" s="35" t="str">
        <x:v>gemini</x:v>
      </x:c>
      <x:c r="B1708" s="35" t="str">
        <x:v>Time</x:v>
      </x:c>
      <x:c r="C1708" s="35" t="str">
        <x:v>Round1</x:v>
      </x:c>
      <x:c r="D1708" s="35" t="str">
        <x:v>Time_8</x:v>
      </x:c>
      <x:c r="E1708" s="35" t="str">
        <x:v>Condition</x:v>
      </x:c>
      <x:c r="F1708" s="35"/>
      <x:c r="G1708" s="35" t="str">
        <x:v>A</x:v>
      </x:c>
      <x:c r="H1708" s="39" t="str">
        <x:f>IF(ISNUMBER('Data'!N854),'Data'!N854*100,"")</x:f>
      </x:c>
      <x:c r="I1708" s="35"/>
      <x:c r="J1708" s="35" t="str">
        <x:v>PASS</x:v>
      </x:c>
      <x:c r="K1708" s="35" t="str">
        <x:v>FAIL</x:v>
      </x:c>
      <x:c r="L1708" s="35" t="str">
        <x:v>NOT_RUN</x:v>
      </x:c>
      <x:c r="M1708" s="35" t="str">
        <x:v>coverage unavailable or execution/compile failed</x:v>
      </x:c>
      <x:c r="N1708" s="35" t="str">
        <x:v>Gemini-3.8-flash/Result/Time_8/result.json</x:v>
      </x:c>
      <x:c r="O1708" s="39" t="str">
        <x:f>IF(AND(G1708="RECORDED",ISNUMBER(H1708)),H1708,"")</x:f>
      </x:c>
      <x:c r="P1708" s="35" t="str">
        <x:v>NOT_AVAILABLE</x:v>
      </x:c>
      <x:c r="Q1708" s="35" t="str">
        <x:v>Gemini-3.8-flash/Result/Time_8/result.json</x:v>
      </x:c>
    </x:row>
    <x:row r="1709">
      <x:c r="A1709" s="35" t="str">
        <x:v>gemini</x:v>
      </x:c>
      <x:c r="B1709" s="35" t="str">
        <x:v>Time</x:v>
      </x:c>
      <x:c r="C1709" s="35" t="str">
        <x:v>Round1</x:v>
      </x:c>
      <x:c r="D1709" s="35" t="str">
        <x:v>Time_9</x:v>
      </x:c>
      <x:c r="E1709" s="35" t="str">
        <x:v>Condition</x:v>
      </x:c>
      <x:c r="F1709" s="35"/>
      <x:c r="G1709" s="35" t="str">
        <x:v>A</x:v>
      </x:c>
      <x:c r="H1709" s="39" t="str">
        <x:f>IF(ISNUMBER('Data'!N855),'Data'!N855*100,"")</x:f>
      </x:c>
      <x:c r="I1709" s="35"/>
      <x:c r="J1709" s="35" t="str">
        <x:v>PASS</x:v>
      </x:c>
      <x:c r="K1709" s="35" t="str">
        <x:v>FAIL</x:v>
      </x:c>
      <x:c r="L1709" s="35" t="str">
        <x:v>NOT_RUN</x:v>
      </x:c>
      <x:c r="M1709" s="35" t="str">
        <x:v>coverage unavailable or execution/compile failed</x:v>
      </x:c>
      <x:c r="N1709" s="35" t="str">
        <x:v>Gemini-3.8-flash/Result/Time_9/result.json</x:v>
      </x:c>
      <x:c r="O1709" s="39" t="str">
        <x:f>IF(AND(G1709="RECORDED",ISNUMBER(H1709)),H1709,"")</x:f>
      </x:c>
      <x:c r="P1709" s="35" t="str">
        <x:v>NOT_AVAILABLE</x:v>
      </x:c>
      <x:c r="Q1709" s="35" t="str">
        <x:v>Gemini-3.8-flash/Result/Time_9/result.json</x:v>
      </x:c>
    </x:row>
  </x:sheetData>
  <x:pageMargins left="0.7" right="0.7" top="0.75" bottom="0.75" header="0.3" footer="0.3"/>
  <x:tableParts count="1">
    <x:tablePart xmlns:r="http://schemas.openxmlformats.org/officeDocument/2006/relationships" r:id="R42e1107bbe2c4d4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2">
      <x:c r="B2" t="str">
        <x:v>Coverage on bugs measured by all four methods</x:v>
      </x:c>
    </x:row>
    <x:row r="3" ht="28" customHeight="1">
      <x:c r="B3" s="31" t="str">
        <x:v>All rounds: average numeric rounds per method/bug first. Same-round intersections are reported separately.</x:v>
      </x:c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4" ht="28" customHeight="1">
      <x:c r="B4" s="31" t="str">
        <x:v>Mean denominator = shared bugs for each method. Results columns count numeric rounds contributing to per-bug means.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</x:row>
    <x:row r="6" ht="42" customHeight="1">
      <x:c r="B6" s="20" t="str">
        <x:v>Scope</x:v>
      </x:c>
      <x:c r="C6" s="20" t="str">
        <x:v>Metric</x:v>
      </x:c>
      <x:c r="D6" s="20" t="str">
        <x:v>Shared bugs</x:v>
      </x:c>
      <x:c r="E6" s="20" t="str">
        <x:v>GA (V2)</x:v>
      </x:c>
      <x:c r="F6" s="20" t="str">
        <x:v>FRT/Randoop</x:v>
      </x:c>
      <x:c r="G6" s="20" t="str">
        <x:v>DeepSeek</x:v>
      </x:c>
      <x:c r="H6" s="20" t="str">
        <x:v>Gemini</x:v>
      </x:c>
      <x:c r="I6" s="20" t="str">
        <x:v>GA results</x:v>
      </x:c>
      <x:c r="J6" s="20" t="str">
        <x:v>FRT results</x:v>
      </x:c>
      <x:c r="K6" s="20" t="str">
        <x:v>DeepSeek results</x:v>
      </x:c>
      <x:c r="L6" s="20" t="str">
        <x:v>Gemini results</x:v>
      </x:c>
    </x:row>
    <x:row r="7" ht="23" customHeight="1">
      <x:c r="B7" s="17" t="str">
        <x:v>All rounds</x:v>
      </x:c>
      <x:c r="C7" s="17" t="str">
        <x:v>line</x:v>
      </x:c>
      <x:c r="D7" s="17" t="n">
        <x:v>304</x:v>
      </x:c>
      <x:c r="E7" s="32" t="n">
        <x:f>AVERAGE(E17:E320)</x:f>
        <x:v>0.7165292763157897</x:v>
      </x:c>
      <x:c r="F7" s="32" t="n">
        <x:f>AVERAGE(F17:F320)</x:f>
        <x:v>0.4351220394736839</x:v>
      </x:c>
      <x:c r="G7" s="32" t="n">
        <x:f>AVERAGE(G17:G320)</x:f>
        <x:v>0.7385754934210532</x:v>
      </x:c>
      <x:c r="H7" s="32" t="n">
        <x:f>AVERAGE(H17:H320)</x:f>
        <x:v>0.5067677631578947</x:v>
      </x:c>
      <x:c r="I7" s="40" t="n">
        <x:f>SUM(I17:I320)</x:f>
        <x:v>603</x:v>
      </x:c>
      <x:c r="J7" s="40" t="n">
        <x:f>SUM(J17:J320)</x:f>
        <x:v>604</x:v>
      </x:c>
      <x:c r="K7" s="40" t="n">
        <x:f>SUM(K17:K320)</x:f>
        <x:v>474</x:v>
      </x:c>
      <x:c r="L7" s="40" t="n">
        <x:f>SUM(L17:L320)</x:f>
        <x:v>304</x:v>
      </x:c>
    </x:row>
    <x:row r="8" ht="23" customHeight="1">
      <x:c r="B8" s="17" t="str">
        <x:v>All rounds</x:v>
      </x:c>
      <x:c r="C8" s="17" t="str">
        <x:v>condition</x:v>
      </x:c>
      <x:c r="D8" s="17" t="n">
        <x:v>302</x:v>
      </x:c>
      <x:c r="E8" s="32" t="n">
        <x:f>AVERAGE(E321:E622)</x:f>
        <x:v>0.666474834437086</x:v>
      </x:c>
      <x:c r="F8" s="32" t="n">
        <x:f>AVERAGE(F321:F622)</x:f>
        <x:v>0.33689205298013264</x:v>
      </x:c>
      <x:c r="G8" s="32" t="n">
        <x:f>AVERAGE(G321:G622)</x:f>
        <x:v>0.6607890728476823</x:v>
      </x:c>
      <x:c r="H8" s="32" t="n">
        <x:f>AVERAGE(H321:H622)</x:f>
        <x:v>0.46226357615894037</x:v>
      </x:c>
      <x:c r="I8" s="40" t="n">
        <x:f>SUM(I321:I622)</x:f>
        <x:v>599</x:v>
      </x:c>
      <x:c r="J8" s="40" t="n">
        <x:f>SUM(J321:J622)</x:f>
        <x:v>600</x:v>
      </x:c>
      <x:c r="K8" s="40" t="n">
        <x:f>SUM(K321:K622)</x:f>
        <x:v>471</x:v>
      </x:c>
      <x:c r="L8" s="40" t="n">
        <x:f>SUM(L321:L622)</x:f>
        <x:v>302</x:v>
      </x:c>
    </x:row>
    <x:row r="9" ht="23" customHeight="1">
      <x:c r="B9" s="17" t="str">
        <x:v>Round1</x:v>
      </x:c>
      <x:c r="C9" s="17" t="str">
        <x:v>line</x:v>
      </x:c>
      <x:c r="D9" s="17" t="n">
        <x:v>167</x:v>
      </x:c>
      <x:c r="E9" s="32" t="n">
        <x:f>AVERAGE(E623:E789)</x:f>
        <x:v>0.7406904191616765</x:v>
      </x:c>
      <x:c r="F9" s="32" t="n">
        <x:f>AVERAGE(F623:F789)</x:f>
        <x:v>0.4502035928143714</x:v>
      </x:c>
      <x:c r="G9" s="32" t="n">
        <x:f>AVERAGE(G623:G789)</x:f>
        <x:v>0.7499999999999999</x:v>
      </x:c>
      <x:c r="H9" s="32" t="n">
        <x:f>AVERAGE(H623:H789)</x:f>
        <x:v>0.5372263473053892</x:v>
      </x:c>
      <x:c r="I9" s="40" t="n">
        <x:f>SUM(I623:I789)</x:f>
        <x:v>167</x:v>
      </x:c>
      <x:c r="J9" s="40" t="n">
        <x:f>SUM(J623:J789)</x:f>
        <x:v>167</x:v>
      </x:c>
      <x:c r="K9" s="40" t="n">
        <x:f>SUM(K623:K789)</x:f>
        <x:v>167</x:v>
      </x:c>
      <x:c r="L9" s="40" t="n">
        <x:f>SUM(L623:L789)</x:f>
        <x:v>167</x:v>
      </x:c>
    </x:row>
    <x:row r="10" ht="23" customHeight="1">
      <x:c r="B10" s="17" t="str">
        <x:v>Round1</x:v>
      </x:c>
      <x:c r="C10" s="17" t="str">
        <x:v>condition</x:v>
      </x:c>
      <x:c r="D10" s="17" t="n">
        <x:v>166</x:v>
      </x:c>
      <x:c r="E10" s="32" t="n">
        <x:f>AVERAGE(E790:E955)</x:f>
        <x:v>0.6933277108433735</x:v>
      </x:c>
      <x:c r="F10" s="32" t="n">
        <x:f>AVERAGE(F790:F955)</x:f>
        <x:v>0.3427114457831325</x:v>
      </x:c>
      <x:c r="G10" s="32" t="n">
        <x:f>AVERAGE(G790:G955)</x:f>
        <x:v>0.6745927710843374</x:v>
      </x:c>
      <x:c r="H10" s="32" t="n">
        <x:f>AVERAGE(H790:H955)</x:f>
        <x:v>0.4893253012048193</x:v>
      </x:c>
      <x:c r="I10" s="40" t="n">
        <x:f>SUM(I790:I955)</x:f>
        <x:v>166</x:v>
      </x:c>
      <x:c r="J10" s="40" t="n">
        <x:f>SUM(J790:J955)</x:f>
        <x:v>166</x:v>
      </x:c>
      <x:c r="K10" s="40" t="n">
        <x:f>SUM(K790:K955)</x:f>
        <x:v>166</x:v>
      </x:c>
      <x:c r="L10" s="40" t="n">
        <x:f>SUM(L790:L955)</x:f>
        <x:v>166</x:v>
      </x:c>
    </x:row>
    <x:row r="11" ht="23" customHeight="1">
      <x:c r="B11" s="17" t="str">
        <x:v>Round2</x:v>
      </x:c>
      <x:c r="C11" s="17" t="str">
        <x:v>line</x:v>
      </x:c>
      <x:c r="D11" s="17" t="n">
        <x:v>0</x:v>
      </x:c>
      <x:c r="E11" s="32" t="str">
        <x:f>"—"</x:f>
        <x:v>—</x:v>
      </x:c>
      <x:c r="F11" s="32" t="str">
        <x:f>"—"</x:f>
        <x:v>—</x:v>
      </x:c>
      <x:c r="G11" s="32" t="str">
        <x:f>"—"</x:f>
        <x:v>—</x:v>
      </x:c>
      <x:c r="H11" s="32" t="str">
        <x:f>"—"</x:f>
        <x:v>—</x:v>
      </x:c>
      <x:c r="I11" s="40" t="n">
        <x:f>0</x:f>
        <x:v>0</x:v>
      </x:c>
      <x:c r="J11" s="40" t="n">
        <x:f>0</x:f>
        <x:v>0</x:v>
      </x:c>
      <x:c r="K11" s="40" t="n">
        <x:f>0</x:f>
        <x:v>0</x:v>
      </x:c>
      <x:c r="L11" s="40" t="n">
        <x:f>0</x:f>
        <x:v>0</x:v>
      </x:c>
    </x:row>
    <x:row r="12" ht="23" customHeight="1">
      <x:c r="B12" s="17" t="str">
        <x:v>Round2</x:v>
      </x:c>
      <x:c r="C12" s="17" t="str">
        <x:v>condition</x:v>
      </x:c>
      <x:c r="D12" s="17" t="n">
        <x:v>0</x:v>
      </x:c>
      <x:c r="E12" s="32" t="str">
        <x:f>"—"</x:f>
        <x:v>—</x:v>
      </x:c>
      <x:c r="F12" s="32" t="str">
        <x:f>"—"</x:f>
        <x:v>—</x:v>
      </x:c>
      <x:c r="G12" s="32" t="str">
        <x:f>"—"</x:f>
        <x:v>—</x:v>
      </x:c>
      <x:c r="H12" s="32" t="str">
        <x:f>"—"</x:f>
        <x:v>—</x:v>
      </x:c>
      <x:c r="I12" s="40" t="n">
        <x:f>0</x:f>
        <x:v>0</x:v>
      </x:c>
      <x:c r="J12" s="40" t="n">
        <x:f>0</x:f>
        <x:v>0</x:v>
      </x:c>
      <x:c r="K12" s="40" t="n">
        <x:f>0</x:f>
        <x:v>0</x:v>
      </x:c>
      <x:c r="L12" s="40" t="n">
        <x:f>0</x:f>
        <x:v>0</x:v>
      </x:c>
    </x:row>
    <x:row r="13">
      <x:c r="E13" s="42"/>
      <x:c r="F13" s="42"/>
      <x:c r="G13" s="42"/>
      <x:c r="H13" s="42"/>
      <x:c r="I13" s="44"/>
      <x:c r="J13" s="44"/>
      <x:c r="K13" s="44"/>
      <x:c r="L13" s="44"/>
    </x:row>
    <x:row r="14">
      <x:c r="E14" s="42"/>
      <x:c r="F14" s="42"/>
      <x:c r="G14" s="42"/>
      <x:c r="H14" s="42"/>
      <x:c r="I14" s="44"/>
      <x:c r="J14" s="44"/>
      <x:c r="K14" s="44"/>
      <x:c r="L14" s="44"/>
    </x:row>
    <x:row r="15">
      <x:c r="E15" s="42"/>
      <x:c r="F15" s="42"/>
      <x:c r="G15" s="42"/>
      <x:c r="H15" s="42"/>
      <x:c r="I15" s="44"/>
      <x:c r="J15" s="44"/>
      <x:c r="K15" s="44"/>
      <x:c r="L15" s="44"/>
    </x:row>
    <x:row r="16" ht="42" customHeight="1">
      <x:c r="B16" s="20" t="str">
        <x:v>Scope</x:v>
      </x:c>
      <x:c r="C16" s="20" t="str">
        <x:v>Metric</x:v>
      </x:c>
      <x:c r="D16" s="20" t="str">
        <x:v>Bug</x:v>
      </x:c>
      <x:c r="E16" s="46" t="str">
        <x:v>GA (V2)</x:v>
      </x:c>
      <x:c r="F16" s="46" t="str">
        <x:v>FRT/Randoop</x:v>
      </x:c>
      <x:c r="G16" s="46" t="str">
        <x:v>DeepSeek</x:v>
      </x:c>
      <x:c r="H16" s="46" t="str">
        <x:v>Gemini</x:v>
      </x:c>
      <x:c r="I16" s="45" t="str">
        <x:v>GA results</x:v>
      </x:c>
      <x:c r="J16" s="45" t="str">
        <x:v>FRT results</x:v>
      </x:c>
      <x:c r="K16" s="45" t="str">
        <x:v>DeepSeek results</x:v>
      </x:c>
      <x:c r="L16" s="45" t="str">
        <x:v>Gemini results</x:v>
      </x:c>
    </x:row>
    <x:row r="17" ht="23" customHeight="1">
      <x:c r="B17" s="17" t="str">
        <x:v>All rounds</x:v>
      </x:c>
      <x:c r="C17" s="17" t="str">
        <x:v>line</x:v>
      </x:c>
      <x:c r="D17" s="17" t="str">
        <x:v>Chart_10</x:v>
      </x:c>
      <x:c r="E17" s="32" t="n">
        <x:v>1</x:v>
      </x:c>
      <x:c r="F17" s="32" t="n">
        <x:v>1</x:v>
      </x:c>
      <x:c r="G17" s="32" t="n">
        <x:v>1</x:v>
      </x:c>
      <x:c r="H17" s="32" t="n">
        <x:v>1</x:v>
      </x:c>
      <x:c r="I17" s="40" t="n">
        <x:v>2</x:v>
      </x:c>
      <x:c r="J17" s="40" t="n">
        <x:v>2</x:v>
      </x:c>
      <x:c r="K17" s="40" t="n">
        <x:v>2</x:v>
      </x:c>
      <x:c r="L17" s="40" t="n">
        <x:v>1</x:v>
      </x:c>
    </x:row>
    <x:row r="18" ht="23" customHeight="1">
      <x:c r="B18" s="17" t="str">
        <x:v>All rounds</x:v>
      </x:c>
      <x:c r="C18" s="17" t="str">
        <x:v>line</x:v>
      </x:c>
      <x:c r="D18" s="17" t="str">
        <x:v>Chart_16</x:v>
      </x:c>
      <x:c r="E18" s="32" t="n">
        <x:v>0.8617</x:v>
      </x:c>
      <x:c r="F18" s="32" t="n">
        <x:v>0.8112</x:v>
      </x:c>
      <x:c r="G18" s="32" t="n">
        <x:v>0.9415</x:v>
      </x:c>
      <x:c r="H18" s="32" t="n">
        <x:v>0.22870000000000001</x:v>
      </x:c>
      <x:c r="I18" s="40" t="n">
        <x:v>2</x:v>
      </x:c>
      <x:c r="J18" s="40" t="n">
        <x:v>2</x:v>
      </x:c>
      <x:c r="K18" s="40" t="n">
        <x:v>1</x:v>
      </x:c>
      <x:c r="L18" s="40" t="n">
        <x:v>1</x:v>
      </x:c>
    </x:row>
    <x:row r="19" ht="23" customHeight="1">
      <x:c r="B19" s="17" t="str">
        <x:v>All rounds</x:v>
      </x:c>
      <x:c r="C19" s="17" t="str">
        <x:v>line</x:v>
      </x:c>
      <x:c r="D19" s="17" t="str">
        <x:v>Chart_18</x:v>
      </x:c>
      <x:c r="E19" s="32" t="n">
        <x:v>0.9925</x:v>
      </x:c>
      <x:c r="F19" s="32" t="n">
        <x:v>0.8421</x:v>
      </x:c>
      <x:c r="G19" s="32" t="n">
        <x:v>0.9586</x:v>
      </x:c>
      <x:c r="H19" s="32" t="n">
        <x:v>0.2293</x:v>
      </x:c>
      <x:c r="I19" s="40" t="n">
        <x:v>2</x:v>
      </x:c>
      <x:c r="J19" s="40" t="n">
        <x:v>2</x:v>
      </x:c>
      <x:c r="K19" s="40" t="n">
        <x:v>2</x:v>
      </x:c>
      <x:c r="L19" s="40" t="n">
        <x:v>1</x:v>
      </x:c>
    </x:row>
    <x:row r="20" ht="23" customHeight="1">
      <x:c r="B20" s="17" t="str">
        <x:v>All rounds</x:v>
      </x:c>
      <x:c r="C20" s="17" t="str">
        <x:v>line</x:v>
      </x:c>
      <x:c r="D20" s="17" t="str">
        <x:v>Chart_20</x:v>
      </x:c>
      <x:c r="E20" s="32" t="n">
        <x:v>0.9545</x:v>
      </x:c>
      <x:c r="F20" s="32" t="n">
        <x:v>0.9091</x:v>
      </x:c>
      <x:c r="G20" s="32" t="n">
        <x:v>0.9545</x:v>
      </x:c>
      <x:c r="H20" s="32" t="n">
        <x:v>0.9545</x:v>
      </x:c>
      <x:c r="I20" s="40" t="n">
        <x:v>2</x:v>
      </x:c>
      <x:c r="J20" s="40" t="n">
        <x:v>2</x:v>
      </x:c>
      <x:c r="K20" s="40" t="n">
        <x:v>1</x:v>
      </x:c>
      <x:c r="L20" s="40" t="n">
        <x:v>1</x:v>
      </x:c>
    </x:row>
    <x:row r="21" ht="23" customHeight="1">
      <x:c r="B21" s="17" t="str">
        <x:v>All rounds</x:v>
      </x:c>
      <x:c r="C21" s="17" t="str">
        <x:v>line</x:v>
      </x:c>
      <x:c r="D21" s="17" t="str">
        <x:v>Chart_21</x:v>
      </x:c>
      <x:c r="E21" s="32" t="n">
        <x:v>0.9193000000000001</x:v>
      </x:c>
      <x:c r="F21" s="32" t="n">
        <x:v>0.5652</x:v>
      </x:c>
      <x:c r="G21" s="32" t="n">
        <x:v>0.5589999999999999</x:v>
      </x:c>
      <x:c r="H21" s="32" t="n">
        <x:v>0.23600000000000002</x:v>
      </x:c>
      <x:c r="I21" s="40" t="n">
        <x:v>2</x:v>
      </x:c>
      <x:c r="J21" s="40" t="n">
        <x:v>2</x:v>
      </x:c>
      <x:c r="K21" s="40" t="n">
        <x:v>2</x:v>
      </x:c>
      <x:c r="L21" s="40" t="n">
        <x:v>1</x:v>
      </x:c>
    </x:row>
    <x:row r="22" ht="23" customHeight="1">
      <x:c r="B22" s="17" t="str">
        <x:v>All rounds</x:v>
      </x:c>
      <x:c r="C22" s="17" t="str">
        <x:v>line</x:v>
      </x:c>
      <x:c r="D22" s="17" t="str">
        <x:v>Chart_22</x:v>
      </x:c>
      <x:c r="E22" s="32" t="n">
        <x:v>0.9677</x:v>
      </x:c>
      <x:c r="F22" s="32" t="n">
        <x:v>0.9355</x:v>
      </x:c>
      <x:c r="G22" s="32" t="n">
        <x:v>0.9274</x:v>
      </x:c>
      <x:c r="H22" s="32" t="n">
        <x:v>0.22579999999999997</x:v>
      </x:c>
      <x:c r="I22" s="40" t="n">
        <x:v>2</x:v>
      </x:c>
      <x:c r="J22" s="40" t="n">
        <x:v>2</x:v>
      </x:c>
      <x:c r="K22" s="40" t="n">
        <x:v>2</x:v>
      </x:c>
      <x:c r="L22" s="40" t="n">
        <x:v>1</x:v>
      </x:c>
    </x:row>
    <x:row r="23" ht="23" customHeight="1">
      <x:c r="B23" s="17" t="str">
        <x:v>All rounds</x:v>
      </x:c>
      <x:c r="C23" s="17" t="str">
        <x:v>line</x:v>
      </x:c>
      <x:c r="D23" s="17" t="str">
        <x:v>Chart_23</x:v>
      </x:c>
      <x:c r="E23" s="32" t="n">
        <x:v>0.38189999999999996</x:v>
      </x:c>
      <x:c r="F23" s="32" t="n">
        <x:v>0.37155</x:v>
      </x:c>
      <x:c r="G23" s="32" t="n">
        <x:v>0.375</x:v>
      </x:c>
      <x:c r="H23" s="32" t="n">
        <x:v>0.9792000000000001</x:v>
      </x:c>
      <x:c r="I23" s="40" t="n">
        <x:v>2</x:v>
      </x:c>
      <x:c r="J23" s="40" t="n">
        <x:v>2</x:v>
      </x:c>
      <x:c r="K23" s="40" t="n">
        <x:v>1</x:v>
      </x:c>
      <x:c r="L23" s="40" t="n">
        <x:v>1</x:v>
      </x:c>
    </x:row>
    <x:row r="24" ht="23" customHeight="1">
      <x:c r="B24" s="17" t="str">
        <x:v>All rounds</x:v>
      </x:c>
      <x:c r="C24" s="17" t="str">
        <x:v>line</x:v>
      </x:c>
      <x:c r="D24" s="17" t="str">
        <x:v>Chart_24</x:v>
      </x:c>
      <x:c r="E24" s="32" t="n">
        <x:v>1</x:v>
      </x:c>
      <x:c r="F24" s="32" t="n">
        <x:v>0.96</x:v>
      </x:c>
      <x:c r="G24" s="32" t="n">
        <x:v>1</x:v>
      </x:c>
      <x:c r="H24" s="32" t="n">
        <x:v>1</x:v>
      </x:c>
      <x:c r="I24" s="40" t="n">
        <x:v>2</x:v>
      </x:c>
      <x:c r="J24" s="40" t="n">
        <x:v>2</x:v>
      </x:c>
      <x:c r="K24" s="40" t="n">
        <x:v>2</x:v>
      </x:c>
      <x:c r="L24" s="40" t="n">
        <x:v>1</x:v>
      </x:c>
    </x:row>
    <x:row r="25" ht="23" customHeight="1">
      <x:c r="B25" s="17" t="str">
        <x:v>All rounds</x:v>
      </x:c>
      <x:c r="C25" s="17" t="str">
        <x:v>line</x:v>
      </x:c>
      <x:c r="D25" s="17" t="str">
        <x:v>Chart_26</x:v>
      </x:c>
      <x:c r="E25" s="32" t="n">
        <x:v>0.9</x:v>
      </x:c>
      <x:c r="F25" s="32" t="n">
        <x:v>0.0286</x:v>
      </x:c>
      <x:c r="G25" s="32" t="n">
        <x:v>0.5571</x:v>
      </x:c>
      <x:c r="H25" s="32" t="n">
        <x:v>1</x:v>
      </x:c>
      <x:c r="I25" s="40" t="n">
        <x:v>2</x:v>
      </x:c>
      <x:c r="J25" s="40" t="n">
        <x:v>2</x:v>
      </x:c>
      <x:c r="K25" s="40" t="n">
        <x:v>1</x:v>
      </x:c>
      <x:c r="L25" s="40" t="n">
        <x:v>1</x:v>
      </x:c>
    </x:row>
    <x:row r="26" ht="23" customHeight="1">
      <x:c r="B26" s="17" t="str">
        <x:v>All rounds</x:v>
      </x:c>
      <x:c r="C26" s="17" t="str">
        <x:v>line</x:v>
      </x:c>
      <x:c r="D26" s="17" t="str">
        <x:v>Chart_5</x:v>
      </x:c>
      <x:c r="E26" s="32" t="n">
        <x:v>0.9767</x:v>
      </x:c>
      <x:c r="F26" s="32" t="n">
        <x:v>0.8575999999999999</x:v>
      </x:c>
      <x:c r="G26" s="32" t="n">
        <x:v>0.9012</x:v>
      </x:c>
      <x:c r="H26" s="32" t="n">
        <x:v>0.593</x:v>
      </x:c>
      <x:c r="I26" s="40" t="n">
        <x:v>2</x:v>
      </x:c>
      <x:c r="J26" s="40" t="n">
        <x:v>2</x:v>
      </x:c>
      <x:c r="K26" s="40" t="n">
        <x:v>1</x:v>
      </x:c>
      <x:c r="L26" s="40" t="n">
        <x:v>1</x:v>
      </x:c>
    </x:row>
    <x:row r="27" ht="23" customHeight="1">
      <x:c r="B27" s="17" t="str">
        <x:v>All rounds</x:v>
      </x:c>
      <x:c r="C27" s="17" t="str">
        <x:v>line</x:v>
      </x:c>
      <x:c r="D27" s="17" t="str">
        <x:v>Chart_8</x:v>
      </x:c>
      <x:c r="E27" s="32" t="n">
        <x:v>0.9136</x:v>
      </x:c>
      <x:c r="F27" s="32" t="n">
        <x:v>0.8580000000000001</x:v>
      </x:c>
      <x:c r="G27" s="32" t="n">
        <x:v>0.7345999999999999</x:v>
      </x:c>
      <x:c r="H27" s="32" t="n">
        <x:v>0.2593</x:v>
      </x:c>
      <x:c r="I27" s="40" t="n">
        <x:v>2</x:v>
      </x:c>
      <x:c r="J27" s="40" t="n">
        <x:v>2</x:v>
      </x:c>
      <x:c r="K27" s="40" t="n">
        <x:v>2</x:v>
      </x:c>
      <x:c r="L27" s="40" t="n">
        <x:v>1</x:v>
      </x:c>
    </x:row>
    <x:row r="28" ht="23" customHeight="1">
      <x:c r="B28" s="17" t="str">
        <x:v>All rounds</x:v>
      </x:c>
      <x:c r="C28" s="17" t="str">
        <x:v>line</x:v>
      </x:c>
      <x:c r="D28" s="17" t="str">
        <x:v>Cli_1</x:v>
      </x:c>
      <x:c r="E28" s="32" t="n">
        <x:v>0</x:v>
      </x:c>
      <x:c r="F28" s="32" t="n">
        <x:v>0</x:v>
      </x:c>
      <x:c r="G28" s="32" t="n">
        <x:v>0</x:v>
      </x:c>
      <x:c r="H28" s="32" t="n">
        <x:v>0</x:v>
      </x:c>
      <x:c r="I28" s="40" t="n">
        <x:v>2</x:v>
      </x:c>
      <x:c r="J28" s="40" t="n">
        <x:v>2</x:v>
      </x:c>
      <x:c r="K28" s="40" t="n">
        <x:v>1</x:v>
      </x:c>
      <x:c r="L28" s="40" t="n">
        <x:v>1</x:v>
      </x:c>
    </x:row>
    <x:row r="29" ht="23" customHeight="1">
      <x:c r="B29" s="17" t="str">
        <x:v>All rounds</x:v>
      </x:c>
      <x:c r="C29" s="17" t="str">
        <x:v>line</x:v>
      </x:c>
      <x:c r="D29" s="17" t="str">
        <x:v>Cli_11</x:v>
      </x:c>
      <x:c r="E29" s="32" t="n">
        <x:v>0</x:v>
      </x:c>
      <x:c r="F29" s="32" t="n">
        <x:v>0</x:v>
      </x:c>
      <x:c r="G29" s="32" t="n">
        <x:v>0</x:v>
      </x:c>
      <x:c r="H29" s="32" t="n">
        <x:v>0</x:v>
      </x:c>
      <x:c r="I29" s="40" t="n">
        <x:v>2</x:v>
      </x:c>
      <x:c r="J29" s="40" t="n">
        <x:v>2</x:v>
      </x:c>
      <x:c r="K29" s="40" t="n">
        <x:v>1</x:v>
      </x:c>
      <x:c r="L29" s="40" t="n">
        <x:v>1</x:v>
      </x:c>
    </x:row>
    <x:row r="30" ht="23" customHeight="1">
      <x:c r="B30" s="17" t="str">
        <x:v>All rounds</x:v>
      </x:c>
      <x:c r="C30" s="17" t="str">
        <x:v>line</x:v>
      </x:c>
      <x:c r="D30" s="17" t="str">
        <x:v>Cli_17</x:v>
      </x:c>
      <x:c r="E30" s="32" t="n">
        <x:v>0</x:v>
      </x:c>
      <x:c r="F30" s="32" t="n">
        <x:v>0</x:v>
      </x:c>
      <x:c r="G30" s="32" t="n">
        <x:v>0</x:v>
      </x:c>
      <x:c r="H30" s="32" t="n">
        <x:v>0</x:v>
      </x:c>
      <x:c r="I30" s="40" t="n">
        <x:v>2</x:v>
      </x:c>
      <x:c r="J30" s="40" t="n">
        <x:v>2</x:v>
      </x:c>
      <x:c r="K30" s="40" t="n">
        <x:v>1</x:v>
      </x:c>
      <x:c r="L30" s="40" t="n">
        <x:v>1</x:v>
      </x:c>
    </x:row>
    <x:row r="31" ht="23" customHeight="1">
      <x:c r="B31" s="17" t="str">
        <x:v>All rounds</x:v>
      </x:c>
      <x:c r="C31" s="17" t="str">
        <x:v>line</x:v>
      </x:c>
      <x:c r="D31" s="17" t="str">
        <x:v>Cli_18</x:v>
      </x:c>
      <x:c r="E31" s="32" t="n">
        <x:v>0</x:v>
      </x:c>
      <x:c r="F31" s="32" t="n">
        <x:v>0</x:v>
      </x:c>
      <x:c r="G31" s="32" t="n">
        <x:v>0</x:v>
      </x:c>
      <x:c r="H31" s="32" t="n">
        <x:v>0</x:v>
      </x:c>
      <x:c r="I31" s="40" t="n">
        <x:v>2</x:v>
      </x:c>
      <x:c r="J31" s="40" t="n">
        <x:v>2</x:v>
      </x:c>
      <x:c r="K31" s="40" t="n">
        <x:v>2</x:v>
      </x:c>
      <x:c r="L31" s="40" t="n">
        <x:v>1</x:v>
      </x:c>
    </x:row>
    <x:row r="32" ht="23" customHeight="1">
      <x:c r="B32" s="17" t="str">
        <x:v>All rounds</x:v>
      </x:c>
      <x:c r="C32" s="17" t="str">
        <x:v>line</x:v>
      </x:c>
      <x:c r="D32" s="17" t="str">
        <x:v>Cli_19</x:v>
      </x:c>
      <x:c r="E32" s="32" t="n">
        <x:v>0</x:v>
      </x:c>
      <x:c r="F32" s="32" t="n">
        <x:v>0</x:v>
      </x:c>
      <x:c r="G32" s="32" t="n">
        <x:v>0</x:v>
      </x:c>
      <x:c r="H32" s="32" t="n">
        <x:v>0</x:v>
      </x:c>
      <x:c r="I32" s="40" t="n">
        <x:v>2</x:v>
      </x:c>
      <x:c r="J32" s="40" t="n">
        <x:v>2</x:v>
      </x:c>
      <x:c r="K32" s="40" t="n">
        <x:v>2</x:v>
      </x:c>
      <x:c r="L32" s="40" t="n">
        <x:v>1</x:v>
      </x:c>
    </x:row>
    <x:row r="33" ht="23" customHeight="1">
      <x:c r="B33" s="17" t="str">
        <x:v>All rounds</x:v>
      </x:c>
      <x:c r="C33" s="17" t="str">
        <x:v>line</x:v>
      </x:c>
      <x:c r="D33" s="17" t="str">
        <x:v>Cli_2</x:v>
      </x:c>
      <x:c r="E33" s="32" t="n">
        <x:v>0</x:v>
      </x:c>
      <x:c r="F33" s="32" t="n">
        <x:v>0</x:v>
      </x:c>
      <x:c r="G33" s="32" t="n">
        <x:v>0</x:v>
      </x:c>
      <x:c r="H33" s="32" t="n">
        <x:v>0</x:v>
      </x:c>
      <x:c r="I33" s="40" t="n">
        <x:v>2</x:v>
      </x:c>
      <x:c r="J33" s="40" t="n">
        <x:v>2</x:v>
      </x:c>
      <x:c r="K33" s="40" t="n">
        <x:v>2</x:v>
      </x:c>
      <x:c r="L33" s="40" t="n">
        <x:v>1</x:v>
      </x:c>
    </x:row>
    <x:row r="34" ht="23" customHeight="1">
      <x:c r="B34" s="17" t="str">
        <x:v>All rounds</x:v>
      </x:c>
      <x:c r="C34" s="17" t="str">
        <x:v>line</x:v>
      </x:c>
      <x:c r="D34" s="17" t="str">
        <x:v>Cli_20</x:v>
      </x:c>
      <x:c r="E34" s="32" t="n">
        <x:v>0</x:v>
      </x:c>
      <x:c r="F34" s="32" t="n">
        <x:v>0</x:v>
      </x:c>
      <x:c r="G34" s="32" t="n">
        <x:v>0</x:v>
      </x:c>
      <x:c r="H34" s="32" t="n">
        <x:v>0</x:v>
      </x:c>
      <x:c r="I34" s="40" t="n">
        <x:v>2</x:v>
      </x:c>
      <x:c r="J34" s="40" t="n">
        <x:v>2</x:v>
      </x:c>
      <x:c r="K34" s="40" t="n">
        <x:v>1</x:v>
      </x:c>
      <x:c r="L34" s="40" t="n">
        <x:v>1</x:v>
      </x:c>
    </x:row>
    <x:row r="35" ht="23" customHeight="1">
      <x:c r="B35" s="17" t="str">
        <x:v>All rounds</x:v>
      </x:c>
      <x:c r="C35" s="17" t="str">
        <x:v>line</x:v>
      </x:c>
      <x:c r="D35" s="17" t="str">
        <x:v>Cli_22</x:v>
      </x:c>
      <x:c r="E35" s="32" t="n">
        <x:v>0</x:v>
      </x:c>
      <x:c r="F35" s="32" t="n">
        <x:v>0</x:v>
      </x:c>
      <x:c r="G35" s="32" t="n">
        <x:v>0</x:v>
      </x:c>
      <x:c r="H35" s="32" t="n">
        <x:v>0</x:v>
      </x:c>
      <x:c r="I35" s="40" t="n">
        <x:v>2</x:v>
      </x:c>
      <x:c r="J35" s="40" t="n">
        <x:v>2</x:v>
      </x:c>
      <x:c r="K35" s="40" t="n">
        <x:v>2</x:v>
      </x:c>
      <x:c r="L35" s="40" t="n">
        <x:v>1</x:v>
      </x:c>
    </x:row>
    <x:row r="36" ht="23" customHeight="1">
      <x:c r="B36" s="17" t="str">
        <x:v>All rounds</x:v>
      </x:c>
      <x:c r="C36" s="17" t="str">
        <x:v>line</x:v>
      </x:c>
      <x:c r="D36" s="17" t="str">
        <x:v>Cli_23</x:v>
      </x:c>
      <x:c r="E36" s="32" t="n">
        <x:v>0</x:v>
      </x:c>
      <x:c r="F36" s="32" t="n">
        <x:v>0</x:v>
      </x:c>
      <x:c r="G36" s="32" t="n">
        <x:v>0</x:v>
      </x:c>
      <x:c r="H36" s="32" t="n">
        <x:v>0</x:v>
      </x:c>
      <x:c r="I36" s="40" t="n">
        <x:v>2</x:v>
      </x:c>
      <x:c r="J36" s="40" t="n">
        <x:v>2</x:v>
      </x:c>
      <x:c r="K36" s="40" t="n">
        <x:v>1</x:v>
      </x:c>
      <x:c r="L36" s="40" t="n">
        <x:v>1</x:v>
      </x:c>
    </x:row>
    <x:row r="37" ht="23" customHeight="1">
      <x:c r="B37" s="17" t="str">
        <x:v>All rounds</x:v>
      </x:c>
      <x:c r="C37" s="17" t="str">
        <x:v>line</x:v>
      </x:c>
      <x:c r="D37" s="17" t="str">
        <x:v>Cli_24</x:v>
      </x:c>
      <x:c r="E37" s="32" t="n">
        <x:v>0</x:v>
      </x:c>
      <x:c r="F37" s="32" t="n">
        <x:v>0</x:v>
      </x:c>
      <x:c r="G37" s="32" t="n">
        <x:v>0</x:v>
      </x:c>
      <x:c r="H37" s="32" t="n">
        <x:v>0</x:v>
      </x:c>
      <x:c r="I37" s="40" t="n">
        <x:v>2</x:v>
      </x:c>
      <x:c r="J37" s="40" t="n">
        <x:v>2</x:v>
      </x:c>
      <x:c r="K37" s="40" t="n">
        <x:v>2</x:v>
      </x:c>
      <x:c r="L37" s="40" t="n">
        <x:v>1</x:v>
      </x:c>
    </x:row>
    <x:row r="38" ht="23" customHeight="1">
      <x:c r="B38" s="17" t="str">
        <x:v>All rounds</x:v>
      </x:c>
      <x:c r="C38" s="17" t="str">
        <x:v>line</x:v>
      </x:c>
      <x:c r="D38" s="17" t="str">
        <x:v>Cli_25</x:v>
      </x:c>
      <x:c r="E38" s="32" t="n">
        <x:v>0</x:v>
      </x:c>
      <x:c r="F38" s="32" t="n">
        <x:v>0</x:v>
      </x:c>
      <x:c r="G38" s="32" t="n">
        <x:v>0</x:v>
      </x:c>
      <x:c r="H38" s="32" t="n">
        <x:v>0</x:v>
      </x:c>
      <x:c r="I38" s="40" t="n">
        <x:v>2</x:v>
      </x:c>
      <x:c r="J38" s="40" t="n">
        <x:v>2</x:v>
      </x:c>
      <x:c r="K38" s="40" t="n">
        <x:v>1</x:v>
      </x:c>
      <x:c r="L38" s="40" t="n">
        <x:v>1</x:v>
      </x:c>
    </x:row>
    <x:row r="39" ht="23" customHeight="1">
      <x:c r="B39" s="17" t="str">
        <x:v>All rounds</x:v>
      </x:c>
      <x:c r="C39" s="17" t="str">
        <x:v>line</x:v>
      </x:c>
      <x:c r="D39" s="17" t="str">
        <x:v>Cli_27</x:v>
      </x:c>
      <x:c r="E39" s="32" t="n">
        <x:v>0</x:v>
      </x:c>
      <x:c r="F39" s="32" t="n">
        <x:v>0</x:v>
      </x:c>
      <x:c r="G39" s="32" t="n">
        <x:v>0</x:v>
      </x:c>
      <x:c r="H39" s="32" t="n">
        <x:v>0</x:v>
      </x:c>
      <x:c r="I39" s="40" t="n">
        <x:v>2</x:v>
      </x:c>
      <x:c r="J39" s="40" t="n">
        <x:v>2</x:v>
      </x:c>
      <x:c r="K39" s="40" t="n">
        <x:v>2</x:v>
      </x:c>
      <x:c r="L39" s="40" t="n">
        <x:v>1</x:v>
      </x:c>
    </x:row>
    <x:row r="40" ht="23" customHeight="1">
      <x:c r="B40" s="17" t="str">
        <x:v>All rounds</x:v>
      </x:c>
      <x:c r="C40" s="17" t="str">
        <x:v>line</x:v>
      </x:c>
      <x:c r="D40" s="17" t="str">
        <x:v>Cli_28</x:v>
      </x:c>
      <x:c r="E40" s="32" t="n">
        <x:v>0</x:v>
      </x:c>
      <x:c r="F40" s="32" t="n">
        <x:v>0</x:v>
      </x:c>
      <x:c r="G40" s="32" t="n">
        <x:v>0</x:v>
      </x:c>
      <x:c r="H40" s="32" t="n">
        <x:v>0</x:v>
      </x:c>
      <x:c r="I40" s="40" t="n">
        <x:v>2</x:v>
      </x:c>
      <x:c r="J40" s="40" t="n">
        <x:v>2</x:v>
      </x:c>
      <x:c r="K40" s="40" t="n">
        <x:v>1</x:v>
      </x:c>
      <x:c r="L40" s="40" t="n">
        <x:v>1</x:v>
      </x:c>
    </x:row>
    <x:row r="41" ht="23" customHeight="1">
      <x:c r="B41" s="17" t="str">
        <x:v>All rounds</x:v>
      </x:c>
      <x:c r="C41" s="17" t="str">
        <x:v>line</x:v>
      </x:c>
      <x:c r="D41" s="17" t="str">
        <x:v>Cli_29</x:v>
      </x:c>
      <x:c r="E41" s="32" t="n">
        <x:v>0</x:v>
      </x:c>
      <x:c r="F41" s="32" t="n">
        <x:v>0</x:v>
      </x:c>
      <x:c r="G41" s="32" t="n">
        <x:v>0</x:v>
      </x:c>
      <x:c r="H41" s="32" t="n">
        <x:v>0</x:v>
      </x:c>
      <x:c r="I41" s="40" t="n">
        <x:v>2</x:v>
      </x:c>
      <x:c r="J41" s="40" t="n">
        <x:v>2</x:v>
      </x:c>
      <x:c r="K41" s="40" t="n">
        <x:v>2</x:v>
      </x:c>
      <x:c r="L41" s="40" t="n">
        <x:v>1</x:v>
      </x:c>
    </x:row>
    <x:row r="42" ht="23" customHeight="1">
      <x:c r="B42" s="17" t="str">
        <x:v>All rounds</x:v>
      </x:c>
      <x:c r="C42" s="17" t="str">
        <x:v>line</x:v>
      </x:c>
      <x:c r="D42" s="17" t="str">
        <x:v>Cli_3</x:v>
      </x:c>
      <x:c r="E42" s="32" t="n">
        <x:v>0</x:v>
      </x:c>
      <x:c r="F42" s="32" t="n">
        <x:v>0</x:v>
      </x:c>
      <x:c r="G42" s="32" t="n">
        <x:v>0</x:v>
      </x:c>
      <x:c r="H42" s="32" t="n">
        <x:v>0</x:v>
      </x:c>
      <x:c r="I42" s="40" t="n">
        <x:v>2</x:v>
      </x:c>
      <x:c r="J42" s="40" t="n">
        <x:v>2</x:v>
      </x:c>
      <x:c r="K42" s="40" t="n">
        <x:v>2</x:v>
      </x:c>
      <x:c r="L42" s="40" t="n">
        <x:v>1</x:v>
      </x:c>
    </x:row>
    <x:row r="43" ht="23" customHeight="1">
      <x:c r="B43" s="17" t="str">
        <x:v>All rounds</x:v>
      </x:c>
      <x:c r="C43" s="17" t="str">
        <x:v>line</x:v>
      </x:c>
      <x:c r="D43" s="17" t="str">
        <x:v>Cli_30</x:v>
      </x:c>
      <x:c r="E43" s="32" t="n">
        <x:v>0</x:v>
      </x:c>
      <x:c r="F43" s="32" t="n">
        <x:v>0</x:v>
      </x:c>
      <x:c r="G43" s="32" t="n">
        <x:v>0</x:v>
      </x:c>
      <x:c r="H43" s="32" t="n">
        <x:v>0</x:v>
      </x:c>
      <x:c r="I43" s="40" t="n">
        <x:v>2</x:v>
      </x:c>
      <x:c r="J43" s="40" t="n">
        <x:v>2</x:v>
      </x:c>
      <x:c r="K43" s="40" t="n">
        <x:v>1</x:v>
      </x:c>
      <x:c r="L43" s="40" t="n">
        <x:v>1</x:v>
      </x:c>
    </x:row>
    <x:row r="44" ht="23" customHeight="1">
      <x:c r="B44" s="17" t="str">
        <x:v>All rounds</x:v>
      </x:c>
      <x:c r="C44" s="17" t="str">
        <x:v>line</x:v>
      </x:c>
      <x:c r="D44" s="17" t="str">
        <x:v>Cli_32</x:v>
      </x:c>
      <x:c r="E44" s="32" t="n">
        <x:v>0</x:v>
      </x:c>
      <x:c r="F44" s="32" t="n">
        <x:v>0</x:v>
      </x:c>
      <x:c r="G44" s="32" t="n">
        <x:v>0</x:v>
      </x:c>
      <x:c r="H44" s="32" t="n">
        <x:v>0</x:v>
      </x:c>
      <x:c r="I44" s="40" t="n">
        <x:v>2</x:v>
      </x:c>
      <x:c r="J44" s="40" t="n">
        <x:v>2</x:v>
      </x:c>
      <x:c r="K44" s="40" t="n">
        <x:v>1</x:v>
      </x:c>
      <x:c r="L44" s="40" t="n">
        <x:v>1</x:v>
      </x:c>
    </x:row>
    <x:row r="45" ht="23" customHeight="1">
      <x:c r="B45" s="17" t="str">
        <x:v>All rounds</x:v>
      </x:c>
      <x:c r="C45" s="17" t="str">
        <x:v>line</x:v>
      </x:c>
      <x:c r="D45" s="17" t="str">
        <x:v>Cli_33</x:v>
      </x:c>
      <x:c r="E45" s="32" t="n">
        <x:v>0</x:v>
      </x:c>
      <x:c r="F45" s="32" t="n">
        <x:v>0</x:v>
      </x:c>
      <x:c r="G45" s="32" t="n">
        <x:v>0</x:v>
      </x:c>
      <x:c r="H45" s="32" t="n">
        <x:v>0</x:v>
      </x:c>
      <x:c r="I45" s="40" t="n">
        <x:v>2</x:v>
      </x:c>
      <x:c r="J45" s="40" t="n">
        <x:v>2</x:v>
      </x:c>
      <x:c r="K45" s="40" t="n">
        <x:v>2</x:v>
      </x:c>
      <x:c r="L45" s="40" t="n">
        <x:v>1</x:v>
      </x:c>
    </x:row>
    <x:row r="46" ht="23" customHeight="1">
      <x:c r="B46" s="17" t="str">
        <x:v>All rounds</x:v>
      </x:c>
      <x:c r="C46" s="17" t="str">
        <x:v>line</x:v>
      </x:c>
      <x:c r="D46" s="17" t="str">
        <x:v>Cli_35</x:v>
      </x:c>
      <x:c r="E46" s="32" t="n">
        <x:v>1</x:v>
      </x:c>
      <x:c r="F46" s="32" t="n">
        <x:v>0.8245999999999999</x:v>
      </x:c>
      <x:c r="G46" s="32" t="n">
        <x:v>0.9473999999999999</x:v>
      </x:c>
      <x:c r="H46" s="32" t="n">
        <x:v>1</x:v>
      </x:c>
      <x:c r="I46" s="40" t="n">
        <x:v>2</x:v>
      </x:c>
      <x:c r="J46" s="40" t="n">
        <x:v>2</x:v>
      </x:c>
      <x:c r="K46" s="40" t="n">
        <x:v>2</x:v>
      </x:c>
      <x:c r="L46" s="40" t="n">
        <x:v>1</x:v>
      </x:c>
    </x:row>
    <x:row r="47" ht="23" customHeight="1">
      <x:c r="B47" s="17" t="str">
        <x:v>All rounds</x:v>
      </x:c>
      <x:c r="C47" s="17" t="str">
        <x:v>line</x:v>
      </x:c>
      <x:c r="D47" s="17" t="str">
        <x:v>Cli_37</x:v>
      </x:c>
      <x:c r="E47" s="32" t="n">
        <x:v>0.7646999999999999</x:v>
      </x:c>
      <x:c r="F47" s="32" t="n">
        <x:v>0.0695</x:v>
      </x:c>
      <x:c r="G47" s="32" t="n">
        <x:v>0.8449</x:v>
      </x:c>
      <x:c r="H47" s="32" t="n">
        <x:v>0.9571999999999999</x:v>
      </x:c>
      <x:c r="I47" s="40" t="n">
        <x:v>2</x:v>
      </x:c>
      <x:c r="J47" s="40" t="n">
        <x:v>2</x:v>
      </x:c>
      <x:c r="K47" s="40" t="n">
        <x:v>1</x:v>
      </x:c>
      <x:c r="L47" s="40" t="n">
        <x:v>1</x:v>
      </x:c>
    </x:row>
    <x:row r="48" ht="23" customHeight="1">
      <x:c r="B48" s="17" t="str">
        <x:v>All rounds</x:v>
      </x:c>
      <x:c r="C48" s="17" t="str">
        <x:v>line</x:v>
      </x:c>
      <x:c r="D48" s="17" t="str">
        <x:v>Cli_38</x:v>
      </x:c>
      <x:c r="E48" s="32" t="n">
        <x:v>0.6386999999999999</x:v>
      </x:c>
      <x:c r="F48" s="32" t="n">
        <x:v>0.0681</x:v>
      </x:c>
      <x:c r="G48" s="32" t="n">
        <x:v>0.8377</x:v>
      </x:c>
      <x:c r="H48" s="32" t="n">
        <x:v>0.9372</x:v>
      </x:c>
      <x:c r="I48" s="40" t="n">
        <x:v>2</x:v>
      </x:c>
      <x:c r="J48" s="40" t="n">
        <x:v>2</x:v>
      </x:c>
      <x:c r="K48" s="40" t="n">
        <x:v>1</x:v>
      </x:c>
      <x:c r="L48" s="40" t="n">
        <x:v>1</x:v>
      </x:c>
    </x:row>
    <x:row r="49" ht="23" customHeight="1">
      <x:c r="B49" s="17" t="str">
        <x:v>All rounds</x:v>
      </x:c>
      <x:c r="C49" s="17" t="str">
        <x:v>line</x:v>
      </x:c>
      <x:c r="D49" s="17" t="str">
        <x:v>Cli_39</x:v>
      </x:c>
      <x:c r="E49" s="32" t="n">
        <x:v>1</x:v>
      </x:c>
      <x:c r="F49" s="32" t="n">
        <x:v>0.6905</x:v>
      </x:c>
      <x:c r="G49" s="32" t="n">
        <x:v>0.8571</x:v>
      </x:c>
      <x:c r="H49" s="32" t="n">
        <x:v>1</x:v>
      </x:c>
      <x:c r="I49" s="40" t="n">
        <x:v>2</x:v>
      </x:c>
      <x:c r="J49" s="40" t="n">
        <x:v>2</x:v>
      </x:c>
      <x:c r="K49" s="40" t="n">
        <x:v>2</x:v>
      </x:c>
      <x:c r="L49" s="40" t="n">
        <x:v>1</x:v>
      </x:c>
    </x:row>
    <x:row r="50" ht="23" customHeight="1">
      <x:c r="B50" s="17" t="str">
        <x:v>All rounds</x:v>
      </x:c>
      <x:c r="C50" s="17" t="str">
        <x:v>line</x:v>
      </x:c>
      <x:c r="D50" s="17" t="str">
        <x:v>Cli_4</x:v>
      </x:c>
      <x:c r="E50" s="32" t="n">
        <x:v>0</x:v>
      </x:c>
      <x:c r="F50" s="32" t="n">
        <x:v>0</x:v>
      </x:c>
      <x:c r="G50" s="32" t="n">
        <x:v>0</x:v>
      </x:c>
      <x:c r="H50" s="32" t="n">
        <x:v>0</x:v>
      </x:c>
      <x:c r="I50" s="40" t="n">
        <x:v>2</x:v>
      </x:c>
      <x:c r="J50" s="40" t="n">
        <x:v>2</x:v>
      </x:c>
      <x:c r="K50" s="40" t="n">
        <x:v>2</x:v>
      </x:c>
      <x:c r="L50" s="40" t="n">
        <x:v>1</x:v>
      </x:c>
    </x:row>
    <x:row r="51" ht="23" customHeight="1">
      <x:c r="B51" s="17" t="str">
        <x:v>All rounds</x:v>
      </x:c>
      <x:c r="C51" s="17" t="str">
        <x:v>line</x:v>
      </x:c>
      <x:c r="D51" s="17" t="str">
        <x:v>Cli_5</x:v>
      </x:c>
      <x:c r="E51" s="32" t="n">
        <x:v>0</x:v>
      </x:c>
      <x:c r="F51" s="32" t="n">
        <x:v>0</x:v>
      </x:c>
      <x:c r="G51" s="32" t="n">
        <x:v>0</x:v>
      </x:c>
      <x:c r="H51" s="32" t="n">
        <x:v>0</x:v>
      </x:c>
      <x:c r="I51" s="40" t="n">
        <x:v>2</x:v>
      </x:c>
      <x:c r="J51" s="40" t="n">
        <x:v>2</x:v>
      </x:c>
      <x:c r="K51" s="40" t="n">
        <x:v>2</x:v>
      </x:c>
      <x:c r="L51" s="40" t="n">
        <x:v>1</x:v>
      </x:c>
    </x:row>
    <x:row r="52" ht="23" customHeight="1">
      <x:c r="B52" s="17" t="str">
        <x:v>All rounds</x:v>
      </x:c>
      <x:c r="C52" s="17" t="str">
        <x:v>line</x:v>
      </x:c>
      <x:c r="D52" s="17" t="str">
        <x:v>Cli_8</x:v>
      </x:c>
      <x:c r="E52" s="32" t="n">
        <x:v>0</x:v>
      </x:c>
      <x:c r="F52" s="32" t="n">
        <x:v>0</x:v>
      </x:c>
      <x:c r="G52" s="32" t="n">
        <x:v>0</x:v>
      </x:c>
      <x:c r="H52" s="32" t="n">
        <x:v>0</x:v>
      </x:c>
      <x:c r="I52" s="40" t="n">
        <x:v>2</x:v>
      </x:c>
      <x:c r="J52" s="40" t="n">
        <x:v>2</x:v>
      </x:c>
      <x:c r="K52" s="40" t="n">
        <x:v>2</x:v>
      </x:c>
      <x:c r="L52" s="40" t="n">
        <x:v>1</x:v>
      </x:c>
    </x:row>
    <x:row r="53" ht="23" customHeight="1">
      <x:c r="B53" s="17" t="str">
        <x:v>All rounds</x:v>
      </x:c>
      <x:c r="C53" s="17" t="str">
        <x:v>line</x:v>
      </x:c>
      <x:c r="D53" s="17" t="str">
        <x:v>Closure_121</x:v>
      </x:c>
      <x:c r="E53" s="32" t="n">
        <x:v>0.0774</x:v>
      </x:c>
      <x:c r="F53" s="32" t="n">
        <x:v>0.0774</x:v>
      </x:c>
      <x:c r="G53" s="32" t="n">
        <x:v>0.6296</x:v>
      </x:c>
      <x:c r="H53" s="32" t="n">
        <x:v>0.0774</x:v>
      </x:c>
      <x:c r="I53" s="40" t="n">
        <x:v>2</x:v>
      </x:c>
      <x:c r="J53" s="40" t="n">
        <x:v>2</x:v>
      </x:c>
      <x:c r="K53" s="40" t="n">
        <x:v>1</x:v>
      </x:c>
      <x:c r="L53" s="40" t="n">
        <x:v>1</x:v>
      </x:c>
    </x:row>
    <x:row r="54" ht="23" customHeight="1">
      <x:c r="B54" s="17" t="str">
        <x:v>All rounds</x:v>
      </x:c>
      <x:c r="C54" s="17" t="str">
        <x:v>line</x:v>
      </x:c>
      <x:c r="D54" s="17" t="str">
        <x:v>Closure_131</x:v>
      </x:c>
      <x:c r="E54" s="32" t="n">
        <x:v>0.8673000000000001</x:v>
      </x:c>
      <x:c r="F54" s="32" t="n">
        <x:v>0.15039999999999998</x:v>
      </x:c>
      <x:c r="G54" s="32" t="n">
        <x:v>0.9912000000000001</x:v>
      </x:c>
      <x:c r="H54" s="32" t="n">
        <x:v>0.9912000000000001</x:v>
      </x:c>
      <x:c r="I54" s="40" t="n">
        <x:v>2</x:v>
      </x:c>
      <x:c r="J54" s="40" t="n">
        <x:v>2</x:v>
      </x:c>
      <x:c r="K54" s="40" t="n">
        <x:v>2</x:v>
      </x:c>
      <x:c r="L54" s="40" t="n">
        <x:v>1</x:v>
      </x:c>
    </x:row>
    <x:row r="55" ht="23" customHeight="1">
      <x:c r="B55" s="17" t="str">
        <x:v>All rounds</x:v>
      </x:c>
      <x:c r="C55" s="17" t="str">
        <x:v>line</x:v>
      </x:c>
      <x:c r="D55" s="17" t="str">
        <x:v>Closure_172</x:v>
      </x:c>
      <x:c r="E55" s="32" t="n">
        <x:v>0.16399999999999998</x:v>
      </x:c>
      <x:c r="F55" s="32" t="n">
        <x:v>0.0263</x:v>
      </x:c>
      <x:c r="G55" s="32" t="n">
        <x:v>0</x:v>
      </x:c>
      <x:c r="H55" s="32" t="n">
        <x:v>0</x:v>
      </x:c>
      <x:c r="I55" s="40" t="n">
        <x:v>2</x:v>
      </x:c>
      <x:c r="J55" s="40" t="n">
        <x:v>2</x:v>
      </x:c>
      <x:c r="K55" s="40" t="n">
        <x:v>2</x:v>
      </x:c>
      <x:c r="L55" s="40" t="n">
        <x:v>1</x:v>
      </x:c>
    </x:row>
    <x:row r="56" ht="23" customHeight="1">
      <x:c r="B56" s="17" t="str">
        <x:v>All rounds</x:v>
      </x:c>
      <x:c r="C56" s="17" t="str">
        <x:v>line</x:v>
      </x:c>
      <x:c r="D56" s="17" t="str">
        <x:v>Closure_20</x:v>
      </x:c>
      <x:c r="E56" s="32" t="n">
        <x:v>0.0716</x:v>
      </x:c>
      <x:c r="F56" s="32" t="n">
        <x:v>0.0318</x:v>
      </x:c>
      <x:c r="G56" s="32" t="n">
        <x:v>0.0981</x:v>
      </x:c>
      <x:c r="H56" s="32" t="n">
        <x:v>0.0981</x:v>
      </x:c>
      <x:c r="I56" s="40" t="n">
        <x:v>2</x:v>
      </x:c>
      <x:c r="J56" s="40" t="n">
        <x:v>2</x:v>
      </x:c>
      <x:c r="K56" s="40" t="n">
        <x:v>2</x:v>
      </x:c>
      <x:c r="L56" s="40" t="n">
        <x:v>1</x:v>
      </x:c>
    </x:row>
    <x:row r="57" ht="23" customHeight="1">
      <x:c r="B57" s="17" t="str">
        <x:v>All rounds</x:v>
      </x:c>
      <x:c r="C57" s="17" t="str">
        <x:v>line</x:v>
      </x:c>
      <x:c r="D57" s="17" t="str">
        <x:v>Closure_38</x:v>
      </x:c>
      <x:c r="E57" s="32" t="n">
        <x:v>0.0268</x:v>
      </x:c>
      <x:c r="F57" s="32" t="n">
        <x:v>0.0268</x:v>
      </x:c>
      <x:c r="G57" s="32" t="n">
        <x:v>0.6875</x:v>
      </x:c>
      <x:c r="H57" s="32" t="n">
        <x:v>0.6875</x:v>
      </x:c>
      <x:c r="I57" s="40" t="n">
        <x:v>2</x:v>
      </x:c>
      <x:c r="J57" s="40" t="n">
        <x:v>2</x:v>
      </x:c>
      <x:c r="K57" s="40" t="n">
        <x:v>2</x:v>
      </x:c>
      <x:c r="L57" s="40" t="n">
        <x:v>1</x:v>
      </x:c>
    </x:row>
    <x:row r="58" ht="23" customHeight="1">
      <x:c r="B58" s="17" t="str">
        <x:v>All rounds</x:v>
      </x:c>
      <x:c r="C58" s="17" t="str">
        <x:v>line</x:v>
      </x:c>
      <x:c r="D58" s="17" t="str">
        <x:v>Closure_44</x:v>
      </x:c>
      <x:c r="E58" s="32" t="n">
        <x:v>0.0275</x:v>
      </x:c>
      <x:c r="F58" s="32" t="n">
        <x:v>0.0275</x:v>
      </x:c>
      <x:c r="G58" s="32" t="n">
        <x:v>0.8349</x:v>
      </x:c>
      <x:c r="H58" s="32" t="n">
        <x:v>0.8349</x:v>
      </x:c>
      <x:c r="I58" s="40" t="n">
        <x:v>2</x:v>
      </x:c>
      <x:c r="J58" s="40" t="n">
        <x:v>2</x:v>
      </x:c>
      <x:c r="K58" s="40" t="n">
        <x:v>2</x:v>
      </x:c>
      <x:c r="L58" s="40" t="n">
        <x:v>1</x:v>
      </x:c>
    </x:row>
    <x:row r="59" ht="23" customHeight="1">
      <x:c r="B59" s="17" t="str">
        <x:v>All rounds</x:v>
      </x:c>
      <x:c r="C59" s="17" t="str">
        <x:v>line</x:v>
      </x:c>
      <x:c r="D59" s="17" t="str">
        <x:v>Codec_1</x:v>
      </x:c>
      <x:c r="E59" s="32" t="n">
        <x:v>0.9375</x:v>
      </x:c>
      <x:c r="F59" s="32" t="n">
        <x:v>0.53125</x:v>
      </x:c>
      <x:c r="G59" s="32" t="n">
        <x:v>0.7227</x:v>
      </x:c>
      <x:c r="H59" s="32" t="n">
        <x:v>0.7304999999999999</x:v>
      </x:c>
      <x:c r="I59" s="40" t="n">
        <x:v>2</x:v>
      </x:c>
      <x:c r="J59" s="40" t="n">
        <x:v>2</x:v>
      </x:c>
      <x:c r="K59" s="40" t="n">
        <x:v>1</x:v>
      </x:c>
      <x:c r="L59" s="40" t="n">
        <x:v>1</x:v>
      </x:c>
    </x:row>
    <x:row r="60" ht="23" customHeight="1">
      <x:c r="B60" s="17" t="str">
        <x:v>All rounds</x:v>
      </x:c>
      <x:c r="C60" s="17" t="str">
        <x:v>line</x:v>
      </x:c>
      <x:c r="D60" s="17" t="str">
        <x:v>Codec_10</x:v>
      </x:c>
      <x:c r="E60" s="32" t="n">
        <x:v>1</x:v>
      </x:c>
      <x:c r="F60" s="32" t="n">
        <x:v>1</x:v>
      </x:c>
      <x:c r="G60" s="32" t="n">
        <x:v>0.99275</x:v>
      </x:c>
      <x:c r="H60" s="32" t="n">
        <x:v>1</x:v>
      </x:c>
      <x:c r="I60" s="40" t="n">
        <x:v>2</x:v>
      </x:c>
      <x:c r="J60" s="40" t="n">
        <x:v>2</x:v>
      </x:c>
      <x:c r="K60" s="40" t="n">
        <x:v>2</x:v>
      </x:c>
      <x:c r="L60" s="40" t="n">
        <x:v>1</x:v>
      </x:c>
    </x:row>
    <x:row r="61" ht="23" customHeight="1">
      <x:c r="B61" s="17" t="str">
        <x:v>All rounds</x:v>
      </x:c>
      <x:c r="C61" s="17" t="str">
        <x:v>line</x:v>
      </x:c>
      <x:c r="D61" s="17" t="str">
        <x:v>Codec_11</x:v>
      </x:c>
      <x:c r="E61" s="32" t="n">
        <x:v>0.9753000000000001</x:v>
      </x:c>
      <x:c r="F61" s="32" t="n">
        <x:v>0.8889</x:v>
      </x:c>
      <x:c r="G61" s="32" t="n">
        <x:v>0.9259000000000001</x:v>
      </x:c>
      <x:c r="H61" s="32" t="n">
        <x:v>0.7901</x:v>
      </x:c>
      <x:c r="I61" s="40" t="n">
        <x:v>2</x:v>
      </x:c>
      <x:c r="J61" s="40" t="n">
        <x:v>2</x:v>
      </x:c>
      <x:c r="K61" s="40" t="n">
        <x:v>1</x:v>
      </x:c>
      <x:c r="L61" s="40" t="n">
        <x:v>1</x:v>
      </x:c>
    </x:row>
    <x:row r="62" ht="23" customHeight="1">
      <x:c r="B62" s="17" t="str">
        <x:v>All rounds</x:v>
      </x:c>
      <x:c r="C62" s="17" t="str">
        <x:v>line</x:v>
      </x:c>
      <x:c r="D62" s="17" t="str">
        <x:v>Codec_12</x:v>
      </x:c>
      <x:c r="E62" s="32" t="n">
        <x:v>0.9677</x:v>
      </x:c>
      <x:c r="F62" s="32" t="n">
        <x:v>0.5806</x:v>
      </x:c>
      <x:c r="G62" s="32" t="n">
        <x:v>0.9677</x:v>
      </x:c>
      <x:c r="H62" s="32" t="n">
        <x:v>0.9677</x:v>
      </x:c>
      <x:c r="I62" s="40" t="n">
        <x:v>2</x:v>
      </x:c>
      <x:c r="J62" s="40" t="n">
        <x:v>2</x:v>
      </x:c>
      <x:c r="K62" s="40" t="n">
        <x:v>1</x:v>
      </x:c>
      <x:c r="L62" s="40" t="n">
        <x:v>1</x:v>
      </x:c>
    </x:row>
    <x:row r="63" ht="23" customHeight="1">
      <x:c r="B63" s="17" t="str">
        <x:v>All rounds</x:v>
      </x:c>
      <x:c r="C63" s="17" t="str">
        <x:v>line</x:v>
      </x:c>
      <x:c r="D63" s="17" t="str">
        <x:v>Codec_16</x:v>
      </x:c>
      <x:c r="E63" s="32" t="n">
        <x:v>1</x:v>
      </x:c>
      <x:c r="F63" s="32" t="n">
        <x:v>0.8704500000000001</x:v>
      </x:c>
      <x:c r="G63" s="32" t="n">
        <x:v>0.8364</x:v>
      </x:c>
      <x:c r="H63" s="32" t="n">
        <x:v>0.7048000000000001</x:v>
      </x:c>
      <x:c r="I63" s="40" t="n">
        <x:v>2</x:v>
      </x:c>
      <x:c r="J63" s="40" t="n">
        <x:v>2</x:v>
      </x:c>
      <x:c r="K63" s="40" t="n">
        <x:v>1</x:v>
      </x:c>
      <x:c r="L63" s="40" t="n">
        <x:v>1</x:v>
      </x:c>
    </x:row>
    <x:row r="64" ht="23" customHeight="1">
      <x:c r="B64" s="17" t="str">
        <x:v>All rounds</x:v>
      </x:c>
      <x:c r="C64" s="17" t="str">
        <x:v>line</x:v>
      </x:c>
      <x:c r="D64" s="17" t="str">
        <x:v>Codec_18</x:v>
      </x:c>
      <x:c r="E64" s="32" t="n">
        <x:v>1</x:v>
      </x:c>
      <x:c r="F64" s="32" t="n">
        <x:v>0.8846</x:v>
      </x:c>
      <x:c r="G64" s="32" t="n">
        <x:v>0.9743999999999999</x:v>
      </x:c>
      <x:c r="H64" s="32" t="n">
        <x:v>0.6923</x:v>
      </x:c>
      <x:c r="I64" s="40" t="n">
        <x:v>2</x:v>
      </x:c>
      <x:c r="J64" s="40" t="n">
        <x:v>2</x:v>
      </x:c>
      <x:c r="K64" s="40" t="n">
        <x:v>1</x:v>
      </x:c>
      <x:c r="L64" s="40" t="n">
        <x:v>1</x:v>
      </x:c>
    </x:row>
    <x:row r="65" ht="23" customHeight="1">
      <x:c r="B65" s="17" t="str">
        <x:v>All rounds</x:v>
      </x:c>
      <x:c r="C65" s="17" t="str">
        <x:v>line</x:v>
      </x:c>
      <x:c r="D65" s="17" t="str">
        <x:v>Codec_3</x:v>
      </x:c>
      <x:c r="E65" s="32" t="n">
        <x:v>0.8808</x:v>
      </x:c>
      <x:c r="F65" s="32" t="n">
        <x:v>0.21965</x:v>
      </x:c>
      <x:c r="G65" s="32" t="n">
        <x:v>0.9248999999999999</x:v>
      </x:c>
      <x:c r="H65" s="32" t="n">
        <x:v>0.9051</x:v>
      </x:c>
      <x:c r="I65" s="40" t="n">
        <x:v>2</x:v>
      </x:c>
      <x:c r="J65" s="40" t="n">
        <x:v>2</x:v>
      </x:c>
      <x:c r="K65" s="40" t="n">
        <x:v>1</x:v>
      </x:c>
      <x:c r="L65" s="40" t="n">
        <x:v>1</x:v>
      </x:c>
    </x:row>
    <x:row r="66" ht="23" customHeight="1">
      <x:c r="B66" s="17" t="str">
        <x:v>All rounds</x:v>
      </x:c>
      <x:c r="C66" s="17" t="str">
        <x:v>line</x:v>
      </x:c>
      <x:c r="D66" s="17" t="str">
        <x:v>Codec_6</x:v>
      </x:c>
      <x:c r="E66" s="32" t="n">
        <x:v>1</x:v>
      </x:c>
      <x:c r="F66" s="32" t="n">
        <x:v>0.7857500000000001</x:v>
      </x:c>
      <x:c r="G66" s="32" t="n">
        <x:v>1</x:v>
      </x:c>
      <x:c r="H66" s="32" t="n">
        <x:v>0.8</x:v>
      </x:c>
      <x:c r="I66" s="40" t="n">
        <x:v>2</x:v>
      </x:c>
      <x:c r="J66" s="40" t="n">
        <x:v>2</x:v>
      </x:c>
      <x:c r="K66" s="40" t="n">
        <x:v>1</x:v>
      </x:c>
      <x:c r="L66" s="40" t="n">
        <x:v>1</x:v>
      </x:c>
    </x:row>
    <x:row r="67" ht="23" customHeight="1">
      <x:c r="B67" s="17" t="str">
        <x:v>All rounds</x:v>
      </x:c>
      <x:c r="C67" s="17" t="str">
        <x:v>line</x:v>
      </x:c>
      <x:c r="D67" s="17" t="str">
        <x:v>Collections_1</x:v>
      </x:c>
      <x:c r="E67" s="32" t="n">
        <x:v>0.7047</x:v>
      </x:c>
      <x:c r="F67" s="32" t="n">
        <x:v>0.3126</x:v>
      </x:c>
      <x:c r="G67" s="32" t="n">
        <x:v>0.5539999999999999</x:v>
      </x:c>
      <x:c r="H67" s="32" t="n">
        <x:v>0.2974</x:v>
      </x:c>
      <x:c r="I67" s="40" t="n">
        <x:v>2</x:v>
      </x:c>
      <x:c r="J67" s="40" t="n">
        <x:v>2</x:v>
      </x:c>
      <x:c r="K67" s="40" t="n">
        <x:v>1</x:v>
      </x:c>
      <x:c r="L67" s="40" t="n">
        <x:v>1</x:v>
      </x:c>
    </x:row>
    <x:row r="68" ht="23" customHeight="1">
      <x:c r="B68" s="17" t="str">
        <x:v>All rounds</x:v>
      </x:c>
      <x:c r="C68" s="17" t="str">
        <x:v>line</x:v>
      </x:c>
      <x:c r="D68" s="17" t="str">
        <x:v>Collections_10</x:v>
      </x:c>
      <x:c r="E68" s="32" t="n">
        <x:v>0.8739</x:v>
      </x:c>
      <x:c r="F68" s="32" t="n">
        <x:v>0.5840000000000001</x:v>
      </x:c>
      <x:c r="G68" s="32" t="n">
        <x:v>0.8571</x:v>
      </x:c>
      <x:c r="H68" s="32" t="n">
        <x:v>0.5294</x:v>
      </x:c>
      <x:c r="I68" s="40" t="n">
        <x:v>2</x:v>
      </x:c>
      <x:c r="J68" s="40" t="n">
        <x:v>2</x:v>
      </x:c>
      <x:c r="K68" s="40" t="n">
        <x:v>2</x:v>
      </x:c>
      <x:c r="L68" s="40" t="n">
        <x:v>1</x:v>
      </x:c>
    </x:row>
    <x:row r="69" ht="23" customHeight="1">
      <x:c r="B69" s="17" t="str">
        <x:v>All rounds</x:v>
      </x:c>
      <x:c r="C69" s="17" t="str">
        <x:v>line</x:v>
      </x:c>
      <x:c r="D69" s="17" t="str">
        <x:v>Collections_11</x:v>
      </x:c>
      <x:c r="E69" s="32" t="n">
        <x:v>1</x:v>
      </x:c>
      <x:c r="F69" s="32" t="n">
        <x:v>0.9714</x:v>
      </x:c>
      <x:c r="G69" s="32" t="n">
        <x:v>1</x:v>
      </x:c>
      <x:c r="H69" s="32" t="n">
        <x:v>0.9143000000000001</x:v>
      </x:c>
      <x:c r="I69" s="40" t="n">
        <x:v>2</x:v>
      </x:c>
      <x:c r="J69" s="40" t="n">
        <x:v>2</x:v>
      </x:c>
      <x:c r="K69" s="40" t="n">
        <x:v>2</x:v>
      </x:c>
      <x:c r="L69" s="40" t="n">
        <x:v>1</x:v>
      </x:c>
    </x:row>
    <x:row r="70" ht="23" customHeight="1">
      <x:c r="B70" s="17" t="str">
        <x:v>All rounds</x:v>
      </x:c>
      <x:c r="C70" s="17" t="str">
        <x:v>line</x:v>
      </x:c>
      <x:c r="D70" s="17" t="str">
        <x:v>Collections_14</x:v>
      </x:c>
      <x:c r="E70" s="32" t="n">
        <x:v>0.6667000000000001</x:v>
      </x:c>
      <x:c r="F70" s="32" t="n">
        <x:v>0.58335</x:v>
      </x:c>
      <x:c r="G70" s="32" t="n">
        <x:v>0.6667000000000001</x:v>
      </x:c>
      <x:c r="H70" s="32" t="n">
        <x:v>1</x:v>
      </x:c>
      <x:c r="I70" s="40" t="n">
        <x:v>2</x:v>
      </x:c>
      <x:c r="J70" s="40" t="n">
        <x:v>2</x:v>
      </x:c>
      <x:c r="K70" s="40" t="n">
        <x:v>1</x:v>
      </x:c>
      <x:c r="L70" s="40" t="n">
        <x:v>1</x:v>
      </x:c>
    </x:row>
    <x:row r="71" ht="23" customHeight="1">
      <x:c r="B71" s="17" t="str">
        <x:v>All rounds</x:v>
      </x:c>
      <x:c r="C71" s="17" t="str">
        <x:v>line</x:v>
      </x:c>
      <x:c r="D71" s="17" t="str">
        <x:v>Collections_15</x:v>
      </x:c>
      <x:c r="E71" s="32" t="n">
        <x:v>1</x:v>
      </x:c>
      <x:c r="F71" s="32" t="n">
        <x:v>0.0581</x:v>
      </x:c>
      <x:c r="G71" s="32" t="n">
        <x:v>0.9767</x:v>
      </x:c>
      <x:c r="H71" s="32" t="n">
        <x:v>1</x:v>
      </x:c>
      <x:c r="I71" s="40" t="n">
        <x:v>2</x:v>
      </x:c>
      <x:c r="J71" s="40" t="n">
        <x:v>2</x:v>
      </x:c>
      <x:c r="K71" s="40" t="n">
        <x:v>1</x:v>
      </x:c>
      <x:c r="L71" s="40" t="n">
        <x:v>1</x:v>
      </x:c>
    </x:row>
    <x:row r="72" ht="23" customHeight="1">
      <x:c r="B72" s="17" t="str">
        <x:v>All rounds</x:v>
      </x:c>
      <x:c r="C72" s="17" t="str">
        <x:v>line</x:v>
      </x:c>
      <x:c r="D72" s="17" t="str">
        <x:v>Collections_18</x:v>
      </x:c>
      <x:c r="E72" s="32" t="n">
        <x:v>0.9677</x:v>
      </x:c>
      <x:c r="F72" s="32" t="n">
        <x:v>0.84405</x:v>
      </x:c>
      <x:c r="G72" s="32" t="n">
        <x:v>0.9031999999999999</x:v>
      </x:c>
      <x:c r="H72" s="32" t="n">
        <x:v>0.9892</x:v>
      </x:c>
      <x:c r="I72" s="40" t="n">
        <x:v>2</x:v>
      </x:c>
      <x:c r="J72" s="40" t="n">
        <x:v>2</x:v>
      </x:c>
      <x:c r="K72" s="40" t="n">
        <x:v>1</x:v>
      </x:c>
      <x:c r="L72" s="40" t="n">
        <x:v>1</x:v>
      </x:c>
    </x:row>
    <x:row r="73" ht="23" customHeight="1">
      <x:c r="B73" s="17" t="str">
        <x:v>All rounds</x:v>
      </x:c>
      <x:c r="C73" s="17" t="str">
        <x:v>line</x:v>
      </x:c>
      <x:c r="D73" s="17" t="str">
        <x:v>Collections_19</x:v>
      </x:c>
      <x:c r="E73" s="32" t="n">
        <x:v>0.9632999999999999</x:v>
      </x:c>
      <x:c r="F73" s="32" t="n">
        <x:v>0.7431</x:v>
      </x:c>
      <x:c r="G73" s="32" t="n">
        <x:v>0.9358</x:v>
      </x:c>
      <x:c r="H73" s="32" t="n">
        <x:v>1</x:v>
      </x:c>
      <x:c r="I73" s="40" t="n">
        <x:v>2</x:v>
      </x:c>
      <x:c r="J73" s="40" t="n">
        <x:v>2</x:v>
      </x:c>
      <x:c r="K73" s="40" t="n">
        <x:v>1</x:v>
      </x:c>
      <x:c r="L73" s="40" t="n">
        <x:v>1</x:v>
      </x:c>
    </x:row>
    <x:row r="74" ht="23" customHeight="1">
      <x:c r="B74" s="17" t="str">
        <x:v>All rounds</x:v>
      </x:c>
      <x:c r="C74" s="17" t="str">
        <x:v>line</x:v>
      </x:c>
      <x:c r="D74" s="17" t="str">
        <x:v>Collections_20</x:v>
      </x:c>
      <x:c r="E74" s="32" t="n">
        <x:v>0.9727</x:v>
      </x:c>
      <x:c r="F74" s="32" t="n">
        <x:v>0.7048000000000001</x:v>
      </x:c>
      <x:c r="G74" s="32" t="n">
        <x:v>0.8123</x:v>
      </x:c>
      <x:c r="H74" s="32" t="n">
        <x:v>0.9181</x:v>
      </x:c>
      <x:c r="I74" s="40" t="n">
        <x:v>2</x:v>
      </x:c>
      <x:c r="J74" s="40" t="n">
        <x:v>2</x:v>
      </x:c>
      <x:c r="K74" s="40" t="n">
        <x:v>2</x:v>
      </x:c>
      <x:c r="L74" s="40" t="n">
        <x:v>1</x:v>
      </x:c>
    </x:row>
    <x:row r="75" ht="23" customHeight="1">
      <x:c r="B75" s="17" t="str">
        <x:v>All rounds</x:v>
      </x:c>
      <x:c r="C75" s="17" t="str">
        <x:v>line</x:v>
      </x:c>
      <x:c r="D75" s="17" t="str">
        <x:v>Collections_21</x:v>
      </x:c>
      <x:c r="E75" s="32" t="n">
        <x:v>0.9632999999999999</x:v>
      </x:c>
      <x:c r="F75" s="32" t="n">
        <x:v>0.7431</x:v>
      </x:c>
      <x:c r="G75" s="32" t="n">
        <x:v>0.9358</x:v>
      </x:c>
      <x:c r="H75" s="32" t="n">
        <x:v>1</x:v>
      </x:c>
      <x:c r="I75" s="40" t="n">
        <x:v>2</x:v>
      </x:c>
      <x:c r="J75" s="40" t="n">
        <x:v>2</x:v>
      </x:c>
      <x:c r="K75" s="40" t="n">
        <x:v>2</x:v>
      </x:c>
      <x:c r="L75" s="40" t="n">
        <x:v>1</x:v>
      </x:c>
    </x:row>
    <x:row r="76" ht="23" customHeight="1">
      <x:c r="B76" s="17" t="str">
        <x:v>All rounds</x:v>
      </x:c>
      <x:c r="C76" s="17" t="str">
        <x:v>line</x:v>
      </x:c>
      <x:c r="D76" s="17" t="str">
        <x:v>Collections_24</x:v>
      </x:c>
      <x:c r="E76" s="32" t="n">
        <x:v>0.7308</x:v>
      </x:c>
      <x:c r="F76" s="32" t="n">
        <x:v>0</x:v>
      </x:c>
      <x:c r="G76" s="32" t="n">
        <x:v>0.9615</x:v>
      </x:c>
      <x:c r="H76" s="32" t="n">
        <x:v>1</x:v>
      </x:c>
      <x:c r="I76" s="40" t="n">
        <x:v>2</x:v>
      </x:c>
      <x:c r="J76" s="40" t="n">
        <x:v>2</x:v>
      </x:c>
      <x:c r="K76" s="40" t="n">
        <x:v>2</x:v>
      </x:c>
      <x:c r="L76" s="40" t="n">
        <x:v>1</x:v>
      </x:c>
    </x:row>
    <x:row r="77" ht="23" customHeight="1">
      <x:c r="B77" s="17" t="str">
        <x:v>All rounds</x:v>
      </x:c>
      <x:c r="C77" s="17" t="str">
        <x:v>line</x:v>
      </x:c>
      <x:c r="D77" s="17" t="str">
        <x:v>Collections_26</x:v>
      </x:c>
      <x:c r="E77" s="32" t="n">
        <x:v>0.9189</x:v>
      </x:c>
      <x:c r="F77" s="32" t="n">
        <x:v>0.9189</x:v>
      </x:c>
      <x:c r="G77" s="32" t="n">
        <x:v>0.9459000000000001</x:v>
      </x:c>
      <x:c r="H77" s="32" t="n">
        <x:v>0.8649</x:v>
      </x:c>
      <x:c r="I77" s="40" t="n">
        <x:v>2</x:v>
      </x:c>
      <x:c r="J77" s="40" t="n">
        <x:v>2</x:v>
      </x:c>
      <x:c r="K77" s="40" t="n">
        <x:v>2</x:v>
      </x:c>
      <x:c r="L77" s="40" t="n">
        <x:v>1</x:v>
      </x:c>
    </x:row>
    <x:row r="78" ht="23" customHeight="1">
      <x:c r="B78" s="17" t="str">
        <x:v>All rounds</x:v>
      </x:c>
      <x:c r="C78" s="17" t="str">
        <x:v>line</x:v>
      </x:c>
      <x:c r="D78" s="17" t="str">
        <x:v>Collections_27</x:v>
      </x:c>
      <x:c r="E78" s="32" t="n">
        <x:v>0.7795000000000001</x:v>
      </x:c>
      <x:c r="F78" s="32" t="n">
        <x:v>0.55905</x:v>
      </x:c>
      <x:c r="G78" s="32" t="n">
        <x:v>0.8583</x:v>
      </x:c>
      <x:c r="H78" s="32" t="n">
        <x:v>0.5354</x:v>
      </x:c>
      <x:c r="I78" s="40" t="n">
        <x:v>2</x:v>
      </x:c>
      <x:c r="J78" s="40" t="n">
        <x:v>2</x:v>
      </x:c>
      <x:c r="K78" s="40" t="n">
        <x:v>2</x:v>
      </x:c>
      <x:c r="L78" s="40" t="n">
        <x:v>1</x:v>
      </x:c>
    </x:row>
    <x:row r="79" ht="23" customHeight="1">
      <x:c r="B79" s="17" t="str">
        <x:v>All rounds</x:v>
      </x:c>
      <x:c r="C79" s="17" t="str">
        <x:v>line</x:v>
      </x:c>
      <x:c r="D79" s="17" t="str">
        <x:v>Collections_4</x:v>
      </x:c>
      <x:c r="E79" s="32" t="n">
        <x:v>0.9189</x:v>
      </x:c>
      <x:c r="F79" s="32" t="n">
        <x:v>0.6081</x:v>
      </x:c>
      <x:c r="G79" s="32" t="n">
        <x:v>0.9279000000000001</x:v>
      </x:c>
      <x:c r="H79" s="32" t="n">
        <x:v>0.5586</x:v>
      </x:c>
      <x:c r="I79" s="40" t="n">
        <x:v>2</x:v>
      </x:c>
      <x:c r="J79" s="40" t="n">
        <x:v>2</x:v>
      </x:c>
      <x:c r="K79" s="40" t="n">
        <x:v>1</x:v>
      </x:c>
      <x:c r="L79" s="40" t="n">
        <x:v>1</x:v>
      </x:c>
    </x:row>
    <x:row r="80" ht="23" customHeight="1">
      <x:c r="B80" s="17" t="str">
        <x:v>All rounds</x:v>
      </x:c>
      <x:c r="C80" s="17" t="str">
        <x:v>line</x:v>
      </x:c>
      <x:c r="D80" s="17" t="str">
        <x:v>Collections_5</x:v>
      </x:c>
      <x:c r="E80" s="32" t="n">
        <x:v>1</x:v>
      </x:c>
      <x:c r="F80" s="32" t="n">
        <x:v>0.061</x:v>
      </x:c>
      <x:c r="G80" s="32" t="n">
        <x:v>0.9878</x:v>
      </x:c>
      <x:c r="H80" s="32" t="n">
        <x:v>0.37799999999999995</x:v>
      </x:c>
      <x:c r="I80" s="40" t="n">
        <x:v>2</x:v>
      </x:c>
      <x:c r="J80" s="40" t="n">
        <x:v>2</x:v>
      </x:c>
      <x:c r="K80" s="40" t="n">
        <x:v>2</x:v>
      </x:c>
      <x:c r="L80" s="40" t="n">
        <x:v>1</x:v>
      </x:c>
    </x:row>
    <x:row r="81" ht="23" customHeight="1">
      <x:c r="B81" s="17" t="str">
        <x:v>All rounds</x:v>
      </x:c>
      <x:c r="C81" s="17" t="str">
        <x:v>line</x:v>
      </x:c>
      <x:c r="D81" s="17" t="str">
        <x:v>Collections_6</x:v>
      </x:c>
      <x:c r="E81" s="32" t="n">
        <x:v>0.6606000000000001</x:v>
      </x:c>
      <x:c r="F81" s="32" t="n">
        <x:v>0.31010000000000004</x:v>
      </x:c>
      <x:c r="G81" s="32" t="n">
        <x:v>0.5919</x:v>
      </x:c>
      <x:c r="H81" s="32" t="n">
        <x:v>0.2949</x:v>
      </x:c>
      <x:c r="I81" s="40" t="n">
        <x:v>2</x:v>
      </x:c>
      <x:c r="J81" s="40" t="n">
        <x:v>2</x:v>
      </x:c>
      <x:c r="K81" s="40" t="n">
        <x:v>2</x:v>
      </x:c>
      <x:c r="L81" s="40" t="n">
        <x:v>1</x:v>
      </x:c>
    </x:row>
    <x:row r="82" ht="23" customHeight="1">
      <x:c r="B82" s="17" t="str">
        <x:v>All rounds</x:v>
      </x:c>
      <x:c r="C82" s="17" t="str">
        <x:v>line</x:v>
      </x:c>
      <x:c r="D82" s="17" t="str">
        <x:v>Collections_8</x:v>
      </x:c>
      <x:c r="E82" s="32" t="n">
        <x:v>0.8295</x:v>
      </x:c>
      <x:c r="F82" s="32" t="n">
        <x:v>0.6193</x:v>
      </x:c>
      <x:c r="G82" s="32" t="n">
        <x:v>0.8409</x:v>
      </x:c>
      <x:c r="H82" s="32" t="n">
        <x:v>0.5455</x:v>
      </x:c>
      <x:c r="I82" s="40" t="n">
        <x:v>2</x:v>
      </x:c>
      <x:c r="J82" s="40" t="n">
        <x:v>2</x:v>
      </x:c>
      <x:c r="K82" s="40" t="n">
        <x:v>1</x:v>
      </x:c>
      <x:c r="L82" s="40" t="n">
        <x:v>1</x:v>
      </x:c>
    </x:row>
    <x:row r="83" ht="23" customHeight="1">
      <x:c r="B83" s="17" t="str">
        <x:v>All rounds</x:v>
      </x:c>
      <x:c r="C83" s="17" t="str">
        <x:v>line</x:v>
      </x:c>
      <x:c r="D83" s="17" t="str">
        <x:v>Compress_10</x:v>
      </x:c>
      <x:c r="E83" s="32" t="n">
        <x:v>0.1612</x:v>
      </x:c>
      <x:c r="F83" s="32" t="n">
        <x:v>0.0592</x:v>
      </x:c>
      <x:c r="G83" s="32" t="n">
        <x:v>0.6809000000000001</x:v>
      </x:c>
      <x:c r="H83" s="32" t="n">
        <x:v>0.9211</x:v>
      </x:c>
      <x:c r="I83" s="40" t="n">
        <x:v>2</x:v>
      </x:c>
      <x:c r="J83" s="40" t="n">
        <x:v>2</x:v>
      </x:c>
      <x:c r="K83" s="40" t="n">
        <x:v>1</x:v>
      </x:c>
      <x:c r="L83" s="40" t="n">
        <x:v>1</x:v>
      </x:c>
    </x:row>
    <x:row r="84" ht="23" customHeight="1">
      <x:c r="B84" s="17" t="str">
        <x:v>All rounds</x:v>
      </x:c>
      <x:c r="C84" s="17" t="str">
        <x:v>line</x:v>
      </x:c>
      <x:c r="D84" s="17" t="str">
        <x:v>Compress_14</x:v>
      </x:c>
      <x:c r="E84" s="32" t="n">
        <x:v>0.9505</x:v>
      </x:c>
      <x:c r="F84" s="32" t="n">
        <x:v>0.70795</x:v>
      </x:c>
      <x:c r="G84" s="32" t="n">
        <x:v>0.7228</x:v>
      </x:c>
      <x:c r="H84" s="32" t="n">
        <x:v>0.9901000000000001</x:v>
      </x:c>
      <x:c r="I84" s="40" t="n">
        <x:v>2</x:v>
      </x:c>
      <x:c r="J84" s="40" t="n">
        <x:v>2</x:v>
      </x:c>
      <x:c r="K84" s="40" t="n">
        <x:v>2</x:v>
      </x:c>
      <x:c r="L84" s="40" t="n">
        <x:v>1</x:v>
      </x:c>
    </x:row>
    <x:row r="85" ht="23" customHeight="1">
      <x:c r="B85" s="17" t="str">
        <x:v>All rounds</x:v>
      </x:c>
      <x:c r="C85" s="17" t="str">
        <x:v>line</x:v>
      </x:c>
      <x:c r="D85" s="17" t="str">
        <x:v>Compress_19</x:v>
      </x:c>
      <x:c r="E85" s="32" t="n">
        <x:v>1</x:v>
      </x:c>
      <x:c r="F85" s="32" t="n">
        <x:v>0.5238</x:v>
      </x:c>
      <x:c r="G85" s="32" t="n">
        <x:v>0.9899</x:v>
      </x:c>
      <x:c r="H85" s="32" t="n">
        <x:v>1</x:v>
      </x:c>
      <x:c r="I85" s="40" t="n">
        <x:v>2</x:v>
      </x:c>
      <x:c r="J85" s="40" t="n">
        <x:v>2</x:v>
      </x:c>
      <x:c r="K85" s="40" t="n">
        <x:v>1</x:v>
      </x:c>
      <x:c r="L85" s="40" t="n">
        <x:v>1</x:v>
      </x:c>
    </x:row>
    <x:row r="86" ht="23" customHeight="1">
      <x:c r="B86" s="17" t="str">
        <x:v>All rounds</x:v>
      </x:c>
      <x:c r="C86" s="17" t="str">
        <x:v>line</x:v>
      </x:c>
      <x:c r="D86" s="17" t="str">
        <x:v>Compress_20</x:v>
      </x:c>
      <x:c r="E86" s="32" t="n">
        <x:v>0.35979999999999995</x:v>
      </x:c>
      <x:c r="F86" s="32" t="n">
        <x:v>0.2757</x:v>
      </x:c>
      <x:c r="G86" s="32" t="n">
        <x:v>0.39909999999999995</x:v>
      </x:c>
      <x:c r="H86" s="32" t="n">
        <x:v>0.972</x:v>
      </x:c>
      <x:c r="I86" s="40" t="n">
        <x:v>2</x:v>
      </x:c>
      <x:c r="J86" s="40" t="n">
        <x:v>2</x:v>
      </x:c>
      <x:c r="K86" s="40" t="n">
        <x:v>2</x:v>
      </x:c>
      <x:c r="L86" s="40" t="n">
        <x:v>1</x:v>
      </x:c>
    </x:row>
    <x:row r="87" ht="23" customHeight="1">
      <x:c r="B87" s="17" t="str">
        <x:v>All rounds</x:v>
      </x:c>
      <x:c r="C87" s="17" t="str">
        <x:v>line</x:v>
      </x:c>
      <x:c r="D87" s="17" t="str">
        <x:v>Compress_21</x:v>
      </x:c>
      <x:c r="E87" s="32" t="n">
        <x:v>0.7923</x:v>
      </x:c>
      <x:c r="F87" s="32" t="n">
        <x:v>0.0231</x:v>
      </x:c>
      <x:c r="G87" s="32" t="n">
        <x:v>0.7128</x:v>
      </x:c>
      <x:c r="H87" s="32" t="n">
        <x:v>0.9333</x:v>
      </x:c>
      <x:c r="I87" s="40" t="n">
        <x:v>2</x:v>
      </x:c>
      <x:c r="J87" s="40" t="n">
        <x:v>2</x:v>
      </x:c>
      <x:c r="K87" s="40" t="n">
        <x:v>2</x:v>
      </x:c>
      <x:c r="L87" s="40" t="n">
        <x:v>1</x:v>
      </x:c>
    </x:row>
    <x:row r="88" ht="23" customHeight="1">
      <x:c r="B88" s="17" t="str">
        <x:v>All rounds</x:v>
      </x:c>
      <x:c r="C88" s="17" t="str">
        <x:v>line</x:v>
      </x:c>
      <x:c r="D88" s="17" t="str">
        <x:v>Compress_22</x:v>
      </x:c>
      <x:c r="E88" s="32" t="n">
        <x:v>0.0418</x:v>
      </x:c>
      <x:c r="F88" s="32" t="n">
        <x:v>0.03485</x:v>
      </x:c>
      <x:c r="G88" s="32" t="n">
        <x:v>0.084</x:v>
      </x:c>
      <x:c r="H88" s="32" t="n">
        <x:v>0.2052</x:v>
      </x:c>
      <x:c r="I88" s="40" t="n">
        <x:v>2</x:v>
      </x:c>
      <x:c r="J88" s="40" t="n">
        <x:v>2</x:v>
      </x:c>
      <x:c r="K88" s="40" t="n">
        <x:v>1</x:v>
      </x:c>
      <x:c r="L88" s="40" t="n">
        <x:v>1</x:v>
      </x:c>
    </x:row>
    <x:row r="89" ht="23" customHeight="1">
      <x:c r="B89" s="17" t="str">
        <x:v>All rounds</x:v>
      </x:c>
      <x:c r="C89" s="17" t="str">
        <x:v>line</x:v>
      </x:c>
      <x:c r="D89" s="17" t="str">
        <x:v>Compress_25</x:v>
      </x:c>
      <x:c r="E89" s="32" t="n">
        <x:v>0.182</x:v>
      </x:c>
      <x:c r="F89" s="32" t="n">
        <x:v>0.1484</x:v>
      </x:c>
      <x:c r="G89" s="32" t="n">
        <x:v>0.6384000000000001</x:v>
      </x:c>
      <x:c r="H89" s="32" t="n">
        <x:v>0.6534</x:v>
      </x:c>
      <x:c r="I89" s="40" t="n">
        <x:v>2</x:v>
      </x:c>
      <x:c r="J89" s="40" t="n">
        <x:v>2</x:v>
      </x:c>
      <x:c r="K89" s="40" t="n">
        <x:v>1</x:v>
      </x:c>
      <x:c r="L89" s="40" t="n">
        <x:v>1</x:v>
      </x:c>
    </x:row>
    <x:row r="90" ht="23" customHeight="1">
      <x:c r="B90" s="17" t="str">
        <x:v>All rounds</x:v>
      </x:c>
      <x:c r="C90" s="17" t="str">
        <x:v>line</x:v>
      </x:c>
      <x:c r="D90" s="17" t="str">
        <x:v>Compress_26</x:v>
      </x:c>
      <x:c r="E90" s="32" t="n">
        <x:v>0.9167000000000001</x:v>
      </x:c>
      <x:c r="F90" s="32" t="n">
        <x:v>0.5556</x:v>
      </x:c>
      <x:c r="G90" s="32" t="n">
        <x:v>1</x:v>
      </x:c>
      <x:c r="H90" s="32" t="n">
        <x:v>1</x:v>
      </x:c>
      <x:c r="I90" s="40" t="n">
        <x:v>2</x:v>
      </x:c>
      <x:c r="J90" s="40" t="n">
        <x:v>2</x:v>
      </x:c>
      <x:c r="K90" s="40" t="n">
        <x:v>1</x:v>
      </x:c>
      <x:c r="L90" s="40" t="n">
        <x:v>1</x:v>
      </x:c>
    </x:row>
    <x:row r="91" ht="23" customHeight="1">
      <x:c r="B91" s="17" t="str">
        <x:v>All rounds</x:v>
      </x:c>
      <x:c r="C91" s="17" t="str">
        <x:v>line</x:v>
      </x:c>
      <x:c r="D91" s="17" t="str">
        <x:v>Compress_3</x:v>
      </x:c>
      <x:c r="E91" s="32" t="n">
        <x:v>0.7</x:v>
      </x:c>
      <x:c r="F91" s="32" t="n">
        <x:v>0.44445</x:v>
      </x:c>
      <x:c r="G91" s="32" t="n">
        <x:v>0.9444</x:v>
      </x:c>
      <x:c r="H91" s="32" t="n">
        <x:v>1</x:v>
      </x:c>
      <x:c r="I91" s="40" t="n">
        <x:v>2</x:v>
      </x:c>
      <x:c r="J91" s="40" t="n">
        <x:v>2</x:v>
      </x:c>
      <x:c r="K91" s="40" t="n">
        <x:v>1</x:v>
      </x:c>
      <x:c r="L91" s="40" t="n">
        <x:v>1</x:v>
      </x:c>
    </x:row>
    <x:row r="92" ht="23" customHeight="1">
      <x:c r="B92" s="17" t="str">
        <x:v>All rounds</x:v>
      </x:c>
      <x:c r="C92" s="17" t="str">
        <x:v>line</x:v>
      </x:c>
      <x:c r="D92" s="17" t="str">
        <x:v>Compress_30</x:v>
      </x:c>
      <x:c r="E92" s="32" t="n">
        <x:v>0.0408</x:v>
      </x:c>
      <x:c r="F92" s="32" t="n">
        <x:v>0.03365</x:v>
      </x:c>
      <x:c r="G92" s="32" t="n">
        <x:v>0.0799</x:v>
      </x:c>
      <x:c r="H92" s="32" t="n">
        <x:v>0.2</x:v>
      </x:c>
      <x:c r="I92" s="40" t="n">
        <x:v>2</x:v>
      </x:c>
      <x:c r="J92" s="40" t="n">
        <x:v>2</x:v>
      </x:c>
      <x:c r="K92" s="40" t="n">
        <x:v>2</x:v>
      </x:c>
      <x:c r="L92" s="40" t="n">
        <x:v>1</x:v>
      </x:c>
    </x:row>
    <x:row r="93" ht="23" customHeight="1">
      <x:c r="B93" s="17" t="str">
        <x:v>All rounds</x:v>
      </x:c>
      <x:c r="C93" s="17" t="str">
        <x:v>line</x:v>
      </x:c>
      <x:c r="D93" s="17" t="str">
        <x:v>Compress_32</x:v>
      </x:c>
      <x:c r="E93" s="32" t="n">
        <x:v>0.45909999999999995</x:v>
      </x:c>
      <x:c r="F93" s="32" t="n">
        <x:v>0.35450000000000004</x:v>
      </x:c>
      <x:c r="G93" s="32" t="n">
        <x:v>0.4364</x:v>
      </x:c>
      <x:c r="H93" s="32" t="n">
        <x:v>0.7773</x:v>
      </x:c>
      <x:c r="I93" s="40" t="n">
        <x:v>2</x:v>
      </x:c>
      <x:c r="J93" s="40" t="n">
        <x:v>2</x:v>
      </x:c>
      <x:c r="K93" s="40" t="n">
        <x:v>2</x:v>
      </x:c>
      <x:c r="L93" s="40" t="n">
        <x:v>1</x:v>
      </x:c>
    </x:row>
    <x:row r="94" ht="23" customHeight="1">
      <x:c r="B94" s="17" t="str">
        <x:v>All rounds</x:v>
      </x:c>
      <x:c r="C94" s="17" t="str">
        <x:v>line</x:v>
      </x:c>
      <x:c r="D94" s="17" t="str">
        <x:v>Compress_34</x:v>
      </x:c>
      <x:c r="E94" s="32" t="n">
        <x:v>1</x:v>
      </x:c>
      <x:c r="F94" s="32" t="n">
        <x:v>0.8786000000000002</x:v>
      </x:c>
      <x:c r="G94" s="32" t="n">
        <x:v>1</x:v>
      </x:c>
      <x:c r="H94" s="32" t="n">
        <x:v>1</x:v>
      </x:c>
      <x:c r="I94" s="40" t="n">
        <x:v>2</x:v>
      </x:c>
      <x:c r="J94" s="40" t="n">
        <x:v>2</x:v>
      </x:c>
      <x:c r="K94" s="40" t="n">
        <x:v>1</x:v>
      </x:c>
      <x:c r="L94" s="40" t="n">
        <x:v>1</x:v>
      </x:c>
    </x:row>
    <x:row r="95" ht="23" customHeight="1">
      <x:c r="B95" s="17" t="str">
        <x:v>All rounds</x:v>
      </x:c>
      <x:c r="C95" s="17" t="str">
        <x:v>line</x:v>
      </x:c>
      <x:c r="D95" s="17" t="str">
        <x:v>Compress_35</x:v>
      </x:c>
      <x:c r="E95" s="32" t="n">
        <x:v>0.8046</x:v>
      </x:c>
      <x:c r="F95" s="32" t="n">
        <x:v>0.6609</x:v>
      </x:c>
      <x:c r="G95" s="32" t="n">
        <x:v>0.6954</x:v>
      </x:c>
      <x:c r="H95" s="32" t="n">
        <x:v>0.9309999999999999</x:v>
      </x:c>
      <x:c r="I95" s="40" t="n">
        <x:v>2</x:v>
      </x:c>
      <x:c r="J95" s="40" t="n">
        <x:v>2</x:v>
      </x:c>
      <x:c r="K95" s="40" t="n">
        <x:v>1</x:v>
      </x:c>
      <x:c r="L95" s="40" t="n">
        <x:v>1</x:v>
      </x:c>
    </x:row>
    <x:row r="96" ht="23" customHeight="1">
      <x:c r="B96" s="17" t="str">
        <x:v>All rounds</x:v>
      </x:c>
      <x:c r="C96" s="17" t="str">
        <x:v>line</x:v>
      </x:c>
      <x:c r="D96" s="17" t="str">
        <x:v>Compress_36</x:v>
      </x:c>
      <x:c r="E96" s="32" t="n">
        <x:v>0.0432</x:v>
      </x:c>
      <x:c r="F96" s="32" t="n">
        <x:v>0.0281</x:v>
      </x:c>
      <x:c r="G96" s="32" t="n">
        <x:v>0.075</x:v>
      </x:c>
      <x:c r="H96" s="32" t="n">
        <x:v>0.6115999999999999</x:v>
      </x:c>
      <x:c r="I96" s="40" t="n">
        <x:v>2</x:v>
      </x:c>
      <x:c r="J96" s="40" t="n">
        <x:v>2</x:v>
      </x:c>
      <x:c r="K96" s="40" t="n">
        <x:v>2</x:v>
      </x:c>
      <x:c r="L96" s="40" t="n">
        <x:v>1</x:v>
      </x:c>
    </x:row>
    <x:row r="97" ht="23" customHeight="1">
      <x:c r="B97" s="17" t="str">
        <x:v>All rounds</x:v>
      </x:c>
      <x:c r="C97" s="17" t="str">
        <x:v>line</x:v>
      </x:c>
      <x:c r="D97" s="17" t="str">
        <x:v>Compress_40</x:v>
      </x:c>
      <x:c r="E97" s="32" t="n">
        <x:v>1</x:v>
      </x:c>
      <x:c r="F97" s="32" t="n">
        <x:v>0.6667000000000001</x:v>
      </x:c>
      <x:c r="G97" s="32" t="n">
        <x:v>1</x:v>
      </x:c>
      <x:c r="H97" s="32" t="n">
        <x:v>1</x:v>
      </x:c>
      <x:c r="I97" s="40" t="n">
        <x:v>2</x:v>
      </x:c>
      <x:c r="J97" s="40" t="n">
        <x:v>2</x:v>
      </x:c>
      <x:c r="K97" s="40" t="n">
        <x:v>1</x:v>
      </x:c>
      <x:c r="L97" s="40" t="n">
        <x:v>1</x:v>
      </x:c>
    </x:row>
    <x:row r="98" ht="23" customHeight="1">
      <x:c r="B98" s="17" t="str">
        <x:v>All rounds</x:v>
      </x:c>
      <x:c r="C98" s="17" t="str">
        <x:v>line</x:v>
      </x:c>
      <x:c r="D98" s="17" t="str">
        <x:v>Compress_42</x:v>
      </x:c>
      <x:c r="E98" s="32" t="n">
        <x:v>0.9712999999999999</x:v>
      </x:c>
      <x:c r="F98" s="32" t="n">
        <x:v>0.54305</x:v>
      </x:c>
      <x:c r="G98" s="32" t="n">
        <x:v>0.8636</x:v>
      </x:c>
      <x:c r="H98" s="32" t="n">
        <x:v>0.8934000000000001</x:v>
      </x:c>
      <x:c r="I98" s="40" t="n">
        <x:v>2</x:v>
      </x:c>
      <x:c r="J98" s="40" t="n">
        <x:v>2</x:v>
      </x:c>
      <x:c r="K98" s="40" t="n">
        <x:v>1</x:v>
      </x:c>
      <x:c r="L98" s="40" t="n">
        <x:v>1</x:v>
      </x:c>
    </x:row>
    <x:row r="99" ht="23" customHeight="1">
      <x:c r="B99" s="17" t="str">
        <x:v>All rounds</x:v>
      </x:c>
      <x:c r="C99" s="17" t="str">
        <x:v>line</x:v>
      </x:c>
      <x:c r="D99" s="17" t="str">
        <x:v>Compress_44</x:v>
      </x:c>
      <x:c r="E99" s="32" t="n">
        <x:v>1</x:v>
      </x:c>
      <x:c r="F99" s="32" t="n">
        <x:v>0.7059000000000001</x:v>
      </x:c>
      <x:c r="G99" s="32" t="n">
        <x:v>1</x:v>
      </x:c>
      <x:c r="H99" s="32" t="n">
        <x:v>1</x:v>
      </x:c>
      <x:c r="I99" s="40" t="n">
        <x:v>2</x:v>
      </x:c>
      <x:c r="J99" s="40" t="n">
        <x:v>2</x:v>
      </x:c>
      <x:c r="K99" s="40" t="n">
        <x:v>1</x:v>
      </x:c>
      <x:c r="L99" s="40" t="n">
        <x:v>1</x:v>
      </x:c>
    </x:row>
    <x:row r="100" ht="23" customHeight="1">
      <x:c r="B100" s="17" t="str">
        <x:v>All rounds</x:v>
      </x:c>
      <x:c r="C100" s="17" t="str">
        <x:v>line</x:v>
      </x:c>
      <x:c r="D100" s="17" t="str">
        <x:v>Compress_45</x:v>
      </x:c>
      <x:c r="E100" s="32" t="n">
        <x:v>0.8304</x:v>
      </x:c>
      <x:c r="F100" s="32" t="n">
        <x:v>0.59945</x:v>
      </x:c>
      <x:c r="G100" s="32" t="n">
        <x:v>0.6374</x:v>
      </x:c>
      <x:c r="H100" s="32" t="n">
        <x:v>0.7719</x:v>
      </x:c>
      <x:c r="I100" s="40" t="n">
        <x:v>2</x:v>
      </x:c>
      <x:c r="J100" s="40" t="n">
        <x:v>2</x:v>
      </x:c>
      <x:c r="K100" s="40" t="n">
        <x:v>2</x:v>
      </x:c>
      <x:c r="L100" s="40" t="n">
        <x:v>1</x:v>
      </x:c>
    </x:row>
    <x:row r="101" ht="23" customHeight="1">
      <x:c r="B101" s="17" t="str">
        <x:v>All rounds</x:v>
      </x:c>
      <x:c r="C101" s="17" t="str">
        <x:v>line</x:v>
      </x:c>
      <x:c r="D101" s="17" t="str">
        <x:v>Compress_46</x:v>
      </x:c>
      <x:c r="E101" s="32" t="n">
        <x:v>1</x:v>
      </x:c>
      <x:c r="F101" s="32" t="n">
        <x:v>0.6008500000000001</x:v>
      </x:c>
      <x:c r="G101" s="32" t="n">
        <x:v>0.9464</x:v>
      </x:c>
      <x:c r="H101" s="32" t="n">
        <x:v>0.8992</x:v>
      </x:c>
      <x:c r="I101" s="40" t="n">
        <x:v>2</x:v>
      </x:c>
      <x:c r="J101" s="40" t="n">
        <x:v>2</x:v>
      </x:c>
      <x:c r="K101" s="40" t="n">
        <x:v>1</x:v>
      </x:c>
      <x:c r="L101" s="40" t="n">
        <x:v>1</x:v>
      </x:c>
    </x:row>
    <x:row r="102" ht="23" customHeight="1">
      <x:c r="B102" s="17" t="str">
        <x:v>All rounds</x:v>
      </x:c>
      <x:c r="C102" s="17" t="str">
        <x:v>line</x:v>
      </x:c>
      <x:c r="D102" s="17" t="str">
        <x:v>Compress_47</x:v>
      </x:c>
      <x:c r="E102" s="32" t="n">
        <x:v>0.1791</x:v>
      </x:c>
      <x:c r="F102" s="32" t="n">
        <x:v>0.15350000000000003</x:v>
      </x:c>
      <x:c r="G102" s="32" t="n">
        <x:v>0.6557999999999999</x:v>
      </x:c>
      <x:c r="H102" s="32" t="n">
        <x:v>0.5698</x:v>
      </x:c>
      <x:c r="I102" s="40" t="n">
        <x:v>2</x:v>
      </x:c>
      <x:c r="J102" s="40" t="n">
        <x:v>2</x:v>
      </x:c>
      <x:c r="K102" s="40" t="n">
        <x:v>2</x:v>
      </x:c>
      <x:c r="L102" s="40" t="n">
        <x:v>1</x:v>
      </x:c>
    </x:row>
    <x:row r="103" ht="23" customHeight="1">
      <x:c r="B103" s="17" t="str">
        <x:v>All rounds</x:v>
      </x:c>
      <x:c r="C103" s="17" t="str">
        <x:v>line</x:v>
      </x:c>
      <x:c r="D103" s="17" t="str">
        <x:v>Compress_5</x:v>
      </x:c>
      <x:c r="E103" s="32" t="n">
        <x:v>0.34159999999999996</x:v>
      </x:c>
      <x:c r="F103" s="32" t="n">
        <x:v>0.33849999999999997</x:v>
      </x:c>
      <x:c r="G103" s="32" t="n">
        <x:v>0.9181999999999999</x:v>
      </x:c>
      <x:c r="H103" s="32" t="n">
        <x:v>0.9627</x:v>
      </x:c>
      <x:c r="I103" s="40" t="n">
        <x:v>2</x:v>
      </x:c>
      <x:c r="J103" s="40" t="n">
        <x:v>2</x:v>
      </x:c>
      <x:c r="K103" s="40" t="n">
        <x:v>1</x:v>
      </x:c>
      <x:c r="L103" s="40" t="n">
        <x:v>1</x:v>
      </x:c>
    </x:row>
    <x:row r="104" ht="23" customHeight="1">
      <x:c r="B104" s="17" t="str">
        <x:v>All rounds</x:v>
      </x:c>
      <x:c r="C104" s="17" t="str">
        <x:v>line</x:v>
      </x:c>
      <x:c r="D104" s="17" t="str">
        <x:v>Compress_8</x:v>
      </x:c>
      <x:c r="E104" s="32" t="n">
        <x:v>0.9143000000000001</x:v>
      </x:c>
      <x:c r="F104" s="32" t="n">
        <x:v>0.85</x:v>
      </x:c>
      <x:c r="G104" s="32" t="n">
        <x:v>0.9714</x:v>
      </x:c>
      <x:c r="H104" s="32" t="n">
        <x:v>1</x:v>
      </x:c>
      <x:c r="I104" s="40" t="n">
        <x:v>2</x:v>
      </x:c>
      <x:c r="J104" s="40" t="n">
        <x:v>2</x:v>
      </x:c>
      <x:c r="K104" s="40" t="n">
        <x:v>2</x:v>
      </x:c>
      <x:c r="L104" s="40" t="n">
        <x:v>1</x:v>
      </x:c>
    </x:row>
    <x:row r="105" ht="23" customHeight="1">
      <x:c r="B105" s="17" t="str">
        <x:v>All rounds</x:v>
      </x:c>
      <x:c r="C105" s="17" t="str">
        <x:v>line</x:v>
      </x:c>
      <x:c r="D105" s="17" t="str">
        <x:v>Compress_9</x:v>
      </x:c>
      <x:c r="E105" s="32" t="n">
        <x:v>0.6455</x:v>
      </x:c>
      <x:c r="F105" s="32" t="n">
        <x:v>0.43635000000000007</x:v>
      </x:c>
      <x:c r="G105" s="32" t="n">
        <x:v>0.7726999999999999</x:v>
      </x:c>
      <x:c r="H105" s="32" t="n">
        <x:v>1</x:v>
      </x:c>
      <x:c r="I105" s="40" t="n">
        <x:v>2</x:v>
      </x:c>
      <x:c r="J105" s="40" t="n">
        <x:v>2</x:v>
      </x:c>
      <x:c r="K105" s="40" t="n">
        <x:v>2</x:v>
      </x:c>
      <x:c r="L105" s="40" t="n">
        <x:v>1</x:v>
      </x:c>
    </x:row>
    <x:row r="106" ht="23" customHeight="1">
      <x:c r="B106" s="17" t="str">
        <x:v>All rounds</x:v>
      </x:c>
      <x:c r="C106" s="17" t="str">
        <x:v>line</x:v>
      </x:c>
      <x:c r="D106" s="17" t="str">
        <x:v>Csv_1</x:v>
      </x:c>
      <x:c r="E106" s="32" t="n">
        <x:v>0.8919</x:v>
      </x:c>
      <x:c r="F106" s="32" t="n">
        <x:v>0.35135</x:v>
      </x:c>
      <x:c r="G106" s="32" t="n">
        <x:v>1</x:v>
      </x:c>
      <x:c r="H106" s="32" t="n">
        <x:v>1</x:v>
      </x:c>
      <x:c r="I106" s="40" t="n">
        <x:v>2</x:v>
      </x:c>
      <x:c r="J106" s="40" t="n">
        <x:v>2</x:v>
      </x:c>
      <x:c r="K106" s="40" t="n">
        <x:v>2</x:v>
      </x:c>
      <x:c r="L106" s="40" t="n">
        <x:v>1</x:v>
      </x:c>
    </x:row>
    <x:row r="107" ht="23" customHeight="1">
      <x:c r="B107" s="17" t="str">
        <x:v>All rounds</x:v>
      </x:c>
      <x:c r="C107" s="17" t="str">
        <x:v>line</x:v>
      </x:c>
      <x:c r="D107" s="17" t="str">
        <x:v>Csv_16</x:v>
      </x:c>
      <x:c r="E107" s="32" t="n">
        <x:v>0.813</x:v>
      </x:c>
      <x:c r="F107" s="32" t="n">
        <x:v>0.09759999999999999</x:v>
      </x:c>
      <x:c r="G107" s="32" t="n">
        <x:v>0.6942</x:v>
      </x:c>
      <x:c r="H107" s="32" t="n">
        <x:v>0.6504000000000001</x:v>
      </x:c>
      <x:c r="I107" s="40" t="n">
        <x:v>2</x:v>
      </x:c>
      <x:c r="J107" s="40" t="n">
        <x:v>2</x:v>
      </x:c>
      <x:c r="K107" s="40" t="n">
        <x:v>1</x:v>
      </x:c>
      <x:c r="L107" s="40" t="n">
        <x:v>1</x:v>
      </x:c>
    </x:row>
    <x:row r="108" ht="23" customHeight="1">
      <x:c r="B108" s="17" t="str">
        <x:v>All rounds</x:v>
      </x:c>
      <x:c r="C108" s="17" t="str">
        <x:v>line</x:v>
      </x:c>
      <x:c r="D108" s="17" t="str">
        <x:v>Csv_2</x:v>
      </x:c>
      <x:c r="E108" s="32" t="n">
        <x:v>1</x:v>
      </x:c>
      <x:c r="F108" s="32" t="n">
        <x:v>0.9048</x:v>
      </x:c>
      <x:c r="G108" s="32" t="n">
        <x:v>1</x:v>
      </x:c>
      <x:c r="H108" s="32" t="n">
        <x:v>1</x:v>
      </x:c>
      <x:c r="I108" s="40" t="n">
        <x:v>2</x:v>
      </x:c>
      <x:c r="J108" s="40" t="n">
        <x:v>2</x:v>
      </x:c>
      <x:c r="K108" s="40" t="n">
        <x:v>2</x:v>
      </x:c>
      <x:c r="L108" s="40" t="n">
        <x:v>1</x:v>
      </x:c>
    </x:row>
    <x:row r="109" ht="23" customHeight="1">
      <x:c r="B109" s="17" t="str">
        <x:v>All rounds</x:v>
      </x:c>
      <x:c r="C109" s="17" t="str">
        <x:v>line</x:v>
      </x:c>
      <x:c r="D109" s="17" t="str">
        <x:v>Csv_6</x:v>
      </x:c>
      <x:c r="E109" s="32" t="n">
        <x:v>0.9714</x:v>
      </x:c>
      <x:c r="F109" s="32" t="n">
        <x:v>0.6286</x:v>
      </x:c>
      <x:c r="G109" s="32" t="n">
        <x:v>0.8856999999999999</x:v>
      </x:c>
      <x:c r="H109" s="32" t="n">
        <x:v>1</x:v>
      </x:c>
      <x:c r="I109" s="40" t="n">
        <x:v>2</x:v>
      </x:c>
      <x:c r="J109" s="40" t="n">
        <x:v>2</x:v>
      </x:c>
      <x:c r="K109" s="40" t="n">
        <x:v>2</x:v>
      </x:c>
      <x:c r="L109" s="40" t="n">
        <x:v>1</x:v>
      </x:c>
    </x:row>
    <x:row r="110" ht="23" customHeight="1">
      <x:c r="B110" s="17" t="str">
        <x:v>All rounds</x:v>
      </x:c>
      <x:c r="C110" s="17" t="str">
        <x:v>line</x:v>
      </x:c>
      <x:c r="D110" s="17" t="str">
        <x:v>Csv_7</x:v>
      </x:c>
      <x:c r="E110" s="32" t="n">
        <x:v>0.8713</x:v>
      </x:c>
      <x:c r="F110" s="32" t="n">
        <x:v>0.07919999999999999</x:v>
      </x:c>
      <x:c r="G110" s="32" t="n">
        <x:v>0.7723</x:v>
      </x:c>
      <x:c r="H110" s="32" t="n">
        <x:v>0.6931</x:v>
      </x:c>
      <x:c r="I110" s="40" t="n">
        <x:v>2</x:v>
      </x:c>
      <x:c r="J110" s="40" t="n">
        <x:v>2</x:v>
      </x:c>
      <x:c r="K110" s="40" t="n">
        <x:v>2</x:v>
      </x:c>
      <x:c r="L110" s="40" t="n">
        <x:v>1</x:v>
      </x:c>
    </x:row>
    <x:row r="111" ht="23" customHeight="1">
      <x:c r="B111" s="17" t="str">
        <x:v>All rounds</x:v>
      </x:c>
      <x:c r="C111" s="17" t="str">
        <x:v>line</x:v>
      </x:c>
      <x:c r="D111" s="17" t="str">
        <x:v>Csv_9</x:v>
      </x:c>
      <x:c r="E111" s="32" t="n">
        <x:v>0.9722</x:v>
      </x:c>
      <x:c r="F111" s="32" t="n">
        <x:v>0.6111</x:v>
      </x:c>
      <x:c r="G111" s="32" t="n">
        <x:v>1</x:v>
      </x:c>
      <x:c r="H111" s="32" t="n">
        <x:v>1</x:v>
      </x:c>
      <x:c r="I111" s="40" t="n">
        <x:v>2</x:v>
      </x:c>
      <x:c r="J111" s="40" t="n">
        <x:v>2</x:v>
      </x:c>
      <x:c r="K111" s="40" t="n">
        <x:v>2</x:v>
      </x:c>
      <x:c r="L111" s="40" t="n">
        <x:v>1</x:v>
      </x:c>
    </x:row>
    <x:row r="112" ht="23" customHeight="1">
      <x:c r="B112" s="17" t="str">
        <x:v>All rounds</x:v>
      </x:c>
      <x:c r="C112" s="17" t="str">
        <x:v>line</x:v>
      </x:c>
      <x:c r="D112" s="17" t="str">
        <x:v>Gson_1</x:v>
      </x:c>
      <x:c r="E112" s="32" t="n">
        <x:v>0.0625</x:v>
      </x:c>
      <x:c r="F112" s="32" t="n">
        <x:v>0.0625</x:v>
      </x:c>
      <x:c r="G112" s="32" t="n">
        <x:v>0.6383</x:v>
      </x:c>
      <x:c r="H112" s="32" t="n">
        <x:v>0.9792000000000001</x:v>
      </x:c>
      <x:c r="I112" s="40" t="n">
        <x:v>2</x:v>
      </x:c>
      <x:c r="J112" s="40" t="n">
        <x:v>2</x:v>
      </x:c>
      <x:c r="K112" s="40" t="n">
        <x:v>2</x:v>
      </x:c>
      <x:c r="L112" s="40" t="n">
        <x:v>1</x:v>
      </x:c>
    </x:row>
    <x:row r="113" ht="23" customHeight="1">
      <x:c r="B113" s="17" t="str">
        <x:v>All rounds</x:v>
      </x:c>
      <x:c r="C113" s="17" t="str">
        <x:v>line</x:v>
      </x:c>
      <x:c r="D113" s="17" t="str">
        <x:v>Gson_12</x:v>
      </x:c>
      <x:c r="E113" s="32" t="n">
        <x:v>0.8095</x:v>
      </x:c>
      <x:c r="F113" s="32" t="n">
        <x:v>0.2768</x:v>
      </x:c>
      <x:c r="G113" s="32" t="n">
        <x:v>0.875</x:v>
      </x:c>
      <x:c r="H113" s="32" t="n">
        <x:v>0.9523999999999999</x:v>
      </x:c>
      <x:c r="I113" s="40" t="n">
        <x:v>2</x:v>
      </x:c>
      <x:c r="J113" s="40" t="n">
        <x:v>2</x:v>
      </x:c>
      <x:c r="K113" s="40" t="n">
        <x:v>1</x:v>
      </x:c>
      <x:c r="L113" s="40" t="n">
        <x:v>1</x:v>
      </x:c>
    </x:row>
    <x:row r="114" ht="23" customHeight="1">
      <x:c r="B114" s="17" t="str">
        <x:v>All rounds</x:v>
      </x:c>
      <x:c r="C114" s="17" t="str">
        <x:v>line</x:v>
      </x:c>
      <x:c r="D114" s="17" t="str">
        <x:v>Gson_14</x:v>
      </x:c>
      <x:c r="E114" s="32" t="n">
        <x:v>0</x:v>
      </x:c>
      <x:c r="F114" s="32" t="n">
        <x:v>0.0040999999999999995</x:v>
      </x:c>
      <x:c r="G114" s="32" t="n">
        <x:v>0.7940999999999999</x:v>
      </x:c>
      <x:c r="H114" s="32" t="n">
        <x:v>0.9753000000000001</x:v>
      </x:c>
      <x:c r="I114" s="40" t="n">
        <x:v>2</x:v>
      </x:c>
      <x:c r="J114" s="40" t="n">
        <x:v>2</x:v>
      </x:c>
      <x:c r="K114" s="40" t="n">
        <x:v>1</x:v>
      </x:c>
      <x:c r="L114" s="40" t="n">
        <x:v>1</x:v>
      </x:c>
    </x:row>
    <x:row r="115" ht="23" customHeight="1">
      <x:c r="B115" s="17" t="str">
        <x:v>All rounds</x:v>
      </x:c>
      <x:c r="C115" s="17" t="str">
        <x:v>line</x:v>
      </x:c>
      <x:c r="D115" s="17" t="str">
        <x:v>Gson_15</x:v>
      </x:c>
      <x:c r="E115" s="32" t="n">
        <x:v>0.9495</x:v>
      </x:c>
      <x:c r="F115" s="32" t="n">
        <x:v>0.1414</x:v>
      </x:c>
      <x:c r="G115" s="32" t="n">
        <x:v>0.7828</x:v>
      </x:c>
      <x:c r="H115" s="32" t="n">
        <x:v>0.9948999999999999</x:v>
      </x:c>
      <x:c r="I115" s="40" t="n">
        <x:v>2</x:v>
      </x:c>
      <x:c r="J115" s="40" t="n">
        <x:v>2</x:v>
      </x:c>
      <x:c r="K115" s="40" t="n">
        <x:v>1</x:v>
      </x:c>
      <x:c r="L115" s="40" t="n">
        <x:v>1</x:v>
      </x:c>
    </x:row>
    <x:row r="116" ht="23" customHeight="1">
      <x:c r="B116" s="17" t="str">
        <x:v>All rounds</x:v>
      </x:c>
      <x:c r="C116" s="17" t="str">
        <x:v>line</x:v>
      </x:c>
      <x:c r="D116" s="17" t="str">
        <x:v>Gson_16</x:v>
      </x:c>
      <x:c r="E116" s="32" t="n">
        <x:v>0</x:v>
      </x:c>
      <x:c r="F116" s="32" t="n">
        <x:v>0.004</x:v>
      </x:c>
      <x:c r="G116" s="32" t="n">
        <x:v>0.8354</x:v>
      </x:c>
      <x:c r="H116" s="32" t="n">
        <x:v>0.9597</x:v>
      </x:c>
      <x:c r="I116" s="40" t="n">
        <x:v>2</x:v>
      </x:c>
      <x:c r="J116" s="40" t="n">
        <x:v>2</x:v>
      </x:c>
      <x:c r="K116" s="40" t="n">
        <x:v>1</x:v>
      </x:c>
      <x:c r="L116" s="40" t="n">
        <x:v>1</x:v>
      </x:c>
    </x:row>
    <x:row r="117" ht="23" customHeight="1">
      <x:c r="B117" s="17" t="str">
        <x:v>All rounds</x:v>
      </x:c>
      <x:c r="C117" s="17" t="str">
        <x:v>line</x:v>
      </x:c>
      <x:c r="D117" s="17" t="str">
        <x:v>Gson_3</x:v>
      </x:c>
      <x:c r="E117" s="32" t="n">
        <x:v>0</x:v>
      </x:c>
      <x:c r="F117" s="32" t="n">
        <x:v>0</x:v>
      </x:c>
      <x:c r="G117" s="32" t="n">
        <x:v>0.7093</x:v>
      </x:c>
      <x:c r="H117" s="32" t="n">
        <x:v>0.9767</x:v>
      </x:c>
      <x:c r="I117" s="40" t="n">
        <x:v>2</x:v>
      </x:c>
      <x:c r="J117" s="40" t="n">
        <x:v>2</x:v>
      </x:c>
      <x:c r="K117" s="40" t="n">
        <x:v>2</x:v>
      </x:c>
      <x:c r="L117" s="40" t="n">
        <x:v>1</x:v>
      </x:c>
    </x:row>
    <x:row r="118" ht="23" customHeight="1">
      <x:c r="B118" s="17" t="str">
        <x:v>All rounds</x:v>
      </x:c>
      <x:c r="C118" s="17" t="str">
        <x:v>line</x:v>
      </x:c>
      <x:c r="D118" s="17" t="str">
        <x:v>Gson_4</x:v>
      </x:c>
      <x:c r="E118" s="32" t="n">
        <x:v>0.5578</x:v>
      </x:c>
      <x:c r="F118" s="32" t="n">
        <x:v>0.0533</x:v>
      </x:c>
      <x:c r="G118" s="32" t="n">
        <x:v>0.6247</x:v>
      </x:c>
      <x:c r="H118" s="32" t="n">
        <x:v>0.9127</x:v>
      </x:c>
      <x:c r="I118" s="40" t="n">
        <x:v>2</x:v>
      </x:c>
      <x:c r="J118" s="40" t="n">
        <x:v>2</x:v>
      </x:c>
      <x:c r="K118" s="40" t="n">
        <x:v>1</x:v>
      </x:c>
      <x:c r="L118" s="40" t="n">
        <x:v>1</x:v>
      </x:c>
    </x:row>
    <x:row r="119" ht="23" customHeight="1">
      <x:c r="B119" s="17" t="str">
        <x:v>All rounds</x:v>
      </x:c>
      <x:c r="C119" s="17" t="str">
        <x:v>line</x:v>
      </x:c>
      <x:c r="D119" s="17" t="str">
        <x:v>Gson_5</x:v>
      </x:c>
      <x:c r="E119" s="32" t="n">
        <x:v>0.88</x:v>
      </x:c>
      <x:c r="F119" s="32" t="n">
        <x:v>0.0533</x:v>
      </x:c>
      <x:c r="G119" s="32" t="n">
        <x:v>0.9</x:v>
      </x:c>
      <x:c r="H119" s="32" t="n">
        <x:v>0.9933</x:v>
      </x:c>
      <x:c r="I119" s="40" t="n">
        <x:v>2</x:v>
      </x:c>
      <x:c r="J119" s="40" t="n">
        <x:v>2</x:v>
      </x:c>
      <x:c r="K119" s="40" t="n">
        <x:v>2</x:v>
      </x:c>
      <x:c r="L119" s="40" t="n">
        <x:v>1</x:v>
      </x:c>
    </x:row>
    <x:row r="120" ht="23" customHeight="1">
      <x:c r="B120" s="17" t="str">
        <x:v>All rounds</x:v>
      </x:c>
      <x:c r="C120" s="17" t="str">
        <x:v>line</x:v>
      </x:c>
      <x:c r="D120" s="17" t="str">
        <x:v>Gson_7</x:v>
      </x:c>
      <x:c r="E120" s="32" t="n">
        <x:v>0.4474</x:v>
      </x:c>
      <x:c r="F120" s="32" t="n">
        <x:v>0.0278</x:v>
      </x:c>
      <x:c r="G120" s="32" t="n">
        <x:v>0.6681</x:v>
      </x:c>
      <x:c r="H120" s="32" t="n">
        <x:v>0.9006000000000001</x:v>
      </x:c>
      <x:c r="I120" s="40" t="n">
        <x:v>2</x:v>
      </x:c>
      <x:c r="J120" s="40" t="n">
        <x:v>2</x:v>
      </x:c>
      <x:c r="K120" s="40" t="n">
        <x:v>1</x:v>
      </x:c>
      <x:c r="L120" s="40" t="n">
        <x:v>1</x:v>
      </x:c>
    </x:row>
    <x:row r="121" ht="23" customHeight="1">
      <x:c r="B121" s="17" t="str">
        <x:v>All rounds</x:v>
      </x:c>
      <x:c r="C121" s="17" t="str">
        <x:v>line</x:v>
      </x:c>
      <x:c r="D121" s="17" t="str">
        <x:v>JacksonCore_10</x:v>
      </x:c>
      <x:c r="E121" s="32" t="n">
        <x:v>0.6881999999999999</x:v>
      </x:c>
      <x:c r="F121" s="32" t="n">
        <x:v>0.4086</x:v>
      </x:c>
      <x:c r="G121" s="32" t="n">
        <x:v>0.5484</x:v>
      </x:c>
      <x:c r="H121" s="32" t="n">
        <x:v>0.9011</x:v>
      </x:c>
      <x:c r="I121" s="40" t="n">
        <x:v>2</x:v>
      </x:c>
      <x:c r="J121" s="40" t="n">
        <x:v>2</x:v>
      </x:c>
      <x:c r="K121" s="40" t="n">
        <x:v>1</x:v>
      </x:c>
      <x:c r="L121" s="40" t="n">
        <x:v>1</x:v>
      </x:c>
    </x:row>
    <x:row r="122" ht="23" customHeight="1">
      <x:c r="B122" s="17" t="str">
        <x:v>All rounds</x:v>
      </x:c>
      <x:c r="C122" s="17" t="str">
        <x:v>line</x:v>
      </x:c>
      <x:c r="D122" s="17" t="str">
        <x:v>JacksonCore_2</x:v>
      </x:c>
      <x:c r="E122" s="32" t="n">
        <x:v>0.28300000000000003</x:v>
      </x:c>
      <x:c r="F122" s="32" t="n">
        <x:v>0.0039000000000000003</x:v>
      </x:c>
      <x:c r="G122" s="32" t="n">
        <x:v>0.4531</x:v>
      </x:c>
      <x:c r="H122" s="32" t="n">
        <x:v>0.21559999999999999</x:v>
      </x:c>
      <x:c r="I122" s="40" t="n">
        <x:v>2</x:v>
      </x:c>
      <x:c r="J122" s="40" t="n">
        <x:v>2</x:v>
      </x:c>
      <x:c r="K122" s="40" t="n">
        <x:v>1</x:v>
      </x:c>
      <x:c r="L122" s="40" t="n">
        <x:v>1</x:v>
      </x:c>
    </x:row>
    <x:row r="123" ht="23" customHeight="1">
      <x:c r="B123" s="17" t="str">
        <x:v>All rounds</x:v>
      </x:c>
      <x:c r="C123" s="17" t="str">
        <x:v>line</x:v>
      </x:c>
      <x:c r="D123" s="17" t="str">
        <x:v>JacksonCore_21</x:v>
      </x:c>
      <x:c r="E123" s="32" t="n">
        <x:v>0.3221</x:v>
      </x:c>
      <x:c r="F123" s="32" t="n">
        <x:v>0.13895</x:v>
      </x:c>
      <x:c r="G123" s="32" t="n">
        <x:v>0.1143</x:v>
      </x:c>
      <x:c r="H123" s="32" t="n">
        <x:v>0.23379999999999998</x:v>
      </x:c>
      <x:c r="I123" s="40" t="n">
        <x:v>2</x:v>
      </x:c>
      <x:c r="J123" s="40" t="n">
        <x:v>2</x:v>
      </x:c>
      <x:c r="K123" s="40" t="n">
        <x:v>1</x:v>
      </x:c>
      <x:c r="L123" s="40" t="n">
        <x:v>1</x:v>
      </x:c>
    </x:row>
    <x:row r="124" ht="23" customHeight="1">
      <x:c r="B124" s="17" t="str">
        <x:v>All rounds</x:v>
      </x:c>
      <x:c r="C124" s="17" t="str">
        <x:v>line</x:v>
      </x:c>
      <x:c r="D124" s="17" t="str">
        <x:v>JacksonCore_22</x:v>
      </x:c>
      <x:c r="E124" s="32" t="n">
        <x:v>0.2887</x:v>
      </x:c>
      <x:c r="F124" s="32" t="n">
        <x:v>0.14045</x:v>
      </x:c>
      <x:c r="G124" s="32" t="n">
        <x:v>0.4068</x:v>
      </x:c>
      <x:c r="H124" s="32" t="n">
        <x:v>0.231</x:v>
      </x:c>
      <x:c r="I124" s="40" t="n">
        <x:v>2</x:v>
      </x:c>
      <x:c r="J124" s="40" t="n">
        <x:v>2</x:v>
      </x:c>
      <x:c r="K124" s="40" t="n">
        <x:v>1</x:v>
      </x:c>
      <x:c r="L124" s="40" t="n">
        <x:v>1</x:v>
      </x:c>
    </x:row>
    <x:row r="125" ht="23" customHeight="1">
      <x:c r="B125" s="17" t="str">
        <x:v>All rounds</x:v>
      </x:c>
      <x:c r="C125" s="17" t="str">
        <x:v>line</x:v>
      </x:c>
      <x:c r="D125" s="17" t="str">
        <x:v>JacksonCore_26</x:v>
      </x:c>
      <x:c r="E125" s="32" t="n">
        <x:v>0.18489999999999998</x:v>
      </x:c>
      <x:c r="F125" s="32" t="n">
        <x:v>0.0067</x:v>
      </x:c>
      <x:c r="G125" s="32" t="n">
        <x:v>0.1404</x:v>
      </x:c>
      <x:c r="H125" s="32" t="n">
        <x:v>0.1208</x:v>
      </x:c>
      <x:c r="I125" s="40" t="n">
        <x:v>2</x:v>
      </x:c>
      <x:c r="J125" s="40" t="n">
        <x:v>2</x:v>
      </x:c>
      <x:c r="K125" s="40" t="n">
        <x:v>2</x:v>
      </x:c>
      <x:c r="L125" s="40" t="n">
        <x:v>1</x:v>
      </x:c>
    </x:row>
    <x:row r="126" ht="23" customHeight="1">
      <x:c r="B126" s="17" t="str">
        <x:v>All rounds</x:v>
      </x:c>
      <x:c r="C126" s="17" t="str">
        <x:v>line</x:v>
      </x:c>
      <x:c r="D126" s="17" t="str">
        <x:v>JacksonCore_5</x:v>
      </x:c>
      <x:c r="E126" s="32" t="n">
        <x:v>0.9523999999999999</x:v>
      </x:c>
      <x:c r="F126" s="32" t="n">
        <x:v>0.7143</x:v>
      </x:c>
      <x:c r="G126" s="32" t="n">
        <x:v>0.9762000000000001</x:v>
      </x:c>
      <x:c r="H126" s="32" t="n">
        <x:v>0.9167000000000001</x:v>
      </x:c>
      <x:c r="I126" s="40" t="n">
        <x:v>2</x:v>
      </x:c>
      <x:c r="J126" s="40" t="n">
        <x:v>2</x:v>
      </x:c>
      <x:c r="K126" s="40" t="n">
        <x:v>1</x:v>
      </x:c>
      <x:c r="L126" s="40" t="n">
        <x:v>1</x:v>
      </x:c>
    </x:row>
    <x:row r="127" ht="23" customHeight="1">
      <x:c r="B127" s="17" t="str">
        <x:v>All rounds</x:v>
      </x:c>
      <x:c r="C127" s="17" t="str">
        <x:v>line</x:v>
      </x:c>
      <x:c r="D127" s="17" t="str">
        <x:v>JacksonCore_6</x:v>
      </x:c>
      <x:c r="E127" s="32" t="n">
        <x:v>0.9643</x:v>
      </x:c>
      <x:c r="F127" s="32" t="n">
        <x:v>0.7143</x:v>
      </x:c>
      <x:c r="G127" s="32" t="n">
        <x:v>0.9523999999999999</x:v>
      </x:c>
      <x:c r="H127" s="32" t="n">
        <x:v>0.9167000000000001</x:v>
      </x:c>
      <x:c r="I127" s="40" t="n">
        <x:v>2</x:v>
      </x:c>
      <x:c r="J127" s="40" t="n">
        <x:v>2</x:v>
      </x:c>
      <x:c r="K127" s="40" t="n">
        <x:v>2</x:v>
      </x:c>
      <x:c r="L127" s="40" t="n">
        <x:v>1</x:v>
      </x:c>
    </x:row>
    <x:row r="128" ht="23" customHeight="1">
      <x:c r="B128" s="17" t="str">
        <x:v>All rounds</x:v>
      </x:c>
      <x:c r="C128" s="17" t="str">
        <x:v>line</x:v>
      </x:c>
      <x:c r="D128" s="17" t="str">
        <x:v>JacksonCore_8</x:v>
      </x:c>
      <x:c r="E128" s="32" t="n">
        <x:v>0.9852</x:v>
      </x:c>
      <x:c r="F128" s="32" t="n">
        <x:v>0.6476</x:v>
      </x:c>
      <x:c r="G128" s="32" t="n">
        <x:v>0.6052000000000001</x:v>
      </x:c>
      <x:c r="H128" s="32" t="n">
        <x:v>0.9815</x:v>
      </x:c>
      <x:c r="I128" s="40" t="n">
        <x:v>2</x:v>
      </x:c>
      <x:c r="J128" s="40" t="n">
        <x:v>2</x:v>
      </x:c>
      <x:c r="K128" s="40" t="n">
        <x:v>2</x:v>
      </x:c>
      <x:c r="L128" s="40" t="n">
        <x:v>1</x:v>
      </x:c>
    </x:row>
    <x:row r="129" ht="23" customHeight="1">
      <x:c r="B129" s="17" t="str">
        <x:v>All rounds</x:v>
      </x:c>
      <x:c r="C129" s="17" t="str">
        <x:v>line</x:v>
      </x:c>
      <x:c r="D129" s="17" t="str">
        <x:v>JacksonDatabind_105</x:v>
      </x:c>
      <x:c r="E129" s="32" t="n">
        <x:v>0.7895</x:v>
      </x:c>
      <x:c r="F129" s="32" t="n">
        <x:v>0.31579999999999997</x:v>
      </x:c>
      <x:c r="G129" s="32" t="n">
        <x:v>0.8946999999999999</x:v>
      </x:c>
      <x:c r="H129" s="32" t="n">
        <x:v>1</x:v>
      </x:c>
      <x:c r="I129" s="40" t="n">
        <x:v>2</x:v>
      </x:c>
      <x:c r="J129" s="40" t="n">
        <x:v>2</x:v>
      </x:c>
      <x:c r="K129" s="40" t="n">
        <x:v>2</x:v>
      </x:c>
      <x:c r="L129" s="40" t="n">
        <x:v>1</x:v>
      </x:c>
    </x:row>
    <x:row r="130" ht="23" customHeight="1">
      <x:c r="B130" s="17" t="str">
        <x:v>All rounds</x:v>
      </x:c>
      <x:c r="C130" s="17" t="str">
        <x:v>line</x:v>
      </x:c>
      <x:c r="D130" s="17" t="str">
        <x:v>JacksonDatabind_108</x:v>
      </x:c>
      <x:c r="E130" s="32" t="n">
        <x:v>0.679</x:v>
      </x:c>
      <x:c r="F130" s="32" t="n">
        <x:v>0.0346</x:v>
      </x:c>
      <x:c r="G130" s="32" t="n">
        <x:v>0.4514</x:v>
      </x:c>
      <x:c r="H130" s="32" t="n">
        <x:v>0.0023</x:v>
      </x:c>
      <x:c r="I130" s="40" t="n">
        <x:v>2</x:v>
      </x:c>
      <x:c r="J130" s="40" t="n">
        <x:v>2</x:v>
      </x:c>
      <x:c r="K130" s="40" t="n">
        <x:v>1</x:v>
      </x:c>
      <x:c r="L130" s="40" t="n">
        <x:v>1</x:v>
      </x:c>
    </x:row>
    <x:row r="131" ht="23" customHeight="1">
      <x:c r="B131" s="17" t="str">
        <x:v>All rounds</x:v>
      </x:c>
      <x:c r="C131" s="17" t="str">
        <x:v>line</x:v>
      </x:c>
      <x:c r="D131" s="17" t="str">
        <x:v>JacksonDatabind_11</x:v>
      </x:c>
      <x:c r="E131" s="32" t="n">
        <x:v>0.7687999999999999</x:v>
      </x:c>
      <x:c r="F131" s="32" t="n">
        <x:v>0.19219999999999998</x:v>
      </x:c>
      <x:c r="G131" s="32" t="n">
        <x:v>0.5625</x:v>
      </x:c>
      <x:c r="H131" s="32" t="n">
        <x:v>0.0344</x:v>
      </x:c>
      <x:c r="I131" s="40" t="n">
        <x:v>2</x:v>
      </x:c>
      <x:c r="J131" s="40" t="n">
        <x:v>2</x:v>
      </x:c>
      <x:c r="K131" s="40" t="n">
        <x:v>1</x:v>
      </x:c>
      <x:c r="L131" s="40" t="n">
        <x:v>1</x:v>
      </x:c>
    </x:row>
    <x:row r="132" ht="23" customHeight="1">
      <x:c r="B132" s="17" t="str">
        <x:v>All rounds</x:v>
      </x:c>
      <x:c r="C132" s="17" t="str">
        <x:v>line</x:v>
      </x:c>
      <x:c r="D132" s="17" t="str">
        <x:v>JacksonDatabind_16</x:v>
      </x:c>
      <x:c r="E132" s="32" t="n">
        <x:v>0.4571</x:v>
      </x:c>
      <x:c r="F132" s="32" t="n">
        <x:v>0.4</x:v>
      </x:c>
      <x:c r="G132" s="32" t="n">
        <x:v>1</x:v>
      </x:c>
      <x:c r="H132" s="32" t="n">
        <x:v>1</x:v>
      </x:c>
      <x:c r="I132" s="40" t="n">
        <x:v>2</x:v>
      </x:c>
      <x:c r="J132" s="40" t="n">
        <x:v>2</x:v>
      </x:c>
      <x:c r="K132" s="40" t="n">
        <x:v>2</x:v>
      </x:c>
      <x:c r="L132" s="40" t="n">
        <x:v>1</x:v>
      </x:c>
    </x:row>
    <x:row r="133" ht="23" customHeight="1">
      <x:c r="B133" s="17" t="str">
        <x:v>All rounds</x:v>
      </x:c>
      <x:c r="C133" s="17" t="str">
        <x:v>line</x:v>
      </x:c>
      <x:c r="D133" s="17" t="str">
        <x:v>JacksonDatabind_36</x:v>
      </x:c>
      <x:c r="E133" s="32" t="n">
        <x:v>0.9481999999999999</x:v>
      </x:c>
      <x:c r="F133" s="32" t="n">
        <x:v>0.8834000000000001</x:v>
      </x:c>
      <x:c r="G133" s="32" t="n">
        <x:v>0.8445999999999999</x:v>
      </x:c>
      <x:c r="H133" s="32" t="n">
        <x:v>0.07769999999999999</x:v>
      </x:c>
      <x:c r="I133" s="40" t="n">
        <x:v>2</x:v>
      </x:c>
      <x:c r="J133" s="40" t="n">
        <x:v>2</x:v>
      </x:c>
      <x:c r="K133" s="40" t="n">
        <x:v>2</x:v>
      </x:c>
      <x:c r="L133" s="40" t="n">
        <x:v>1</x:v>
      </x:c>
    </x:row>
    <x:row r="134" ht="23" customHeight="1">
      <x:c r="B134" s="17" t="str">
        <x:v>All rounds</x:v>
      </x:c>
      <x:c r="C134" s="17" t="str">
        <x:v>line</x:v>
      </x:c>
      <x:c r="D134" s="17" t="str">
        <x:v>JacksonDatabind_37</x:v>
      </x:c>
      <x:c r="E134" s="32" t="n">
        <x:v>0.9851000000000001</x:v>
      </x:c>
      <x:c r="F134" s="32" t="n">
        <x:v>0.00745</x:v>
      </x:c>
      <x:c r="G134" s="32" t="n">
        <x:v>0.7164</x:v>
      </x:c>
      <x:c r="H134" s="32" t="n">
        <x:v>0</x:v>
      </x:c>
      <x:c r="I134" s="40" t="n">
        <x:v>2</x:v>
      </x:c>
      <x:c r="J134" s="40" t="n">
        <x:v>2</x:v>
      </x:c>
      <x:c r="K134" s="40" t="n">
        <x:v>1</x:v>
      </x:c>
      <x:c r="L134" s="40" t="n">
        <x:v>1</x:v>
      </x:c>
    </x:row>
    <x:row r="135" ht="23" customHeight="1">
      <x:c r="B135" s="17" t="str">
        <x:v>All rounds</x:v>
      </x:c>
      <x:c r="C135" s="17" t="str">
        <x:v>line</x:v>
      </x:c>
      <x:c r="D135" s="17" t="str">
        <x:v>JacksonDatabind_39</x:v>
      </x:c>
      <x:c r="E135" s="32" t="n">
        <x:v>0.8571</x:v>
      </x:c>
      <x:c r="F135" s="32" t="n">
        <x:v>0.42855000000000004</x:v>
      </x:c>
      <x:c r="G135" s="32" t="n">
        <x:v>1</x:v>
      </x:c>
      <x:c r="H135" s="32" t="n">
        <x:v>1</x:v>
      </x:c>
      <x:c r="I135" s="40" t="n">
        <x:v>2</x:v>
      </x:c>
      <x:c r="J135" s="40" t="n">
        <x:v>2</x:v>
      </x:c>
      <x:c r="K135" s="40" t="n">
        <x:v>2</x:v>
      </x:c>
      <x:c r="L135" s="40" t="n">
        <x:v>1</x:v>
      </x:c>
    </x:row>
    <x:row r="136" ht="23" customHeight="1">
      <x:c r="B136" s="17" t="str">
        <x:v>All rounds</x:v>
      </x:c>
      <x:c r="C136" s="17" t="str">
        <x:v>line</x:v>
      </x:c>
      <x:c r="D136" s="17" t="str">
        <x:v>JacksonDatabind_40</x:v>
      </x:c>
      <x:c r="E136" s="32" t="n">
        <x:v>0.45659999999999995</x:v>
      </x:c>
      <x:c r="F136" s="32" t="n">
        <x:v>0.3196</x:v>
      </x:c>
      <x:c r="G136" s="32" t="n">
        <x:v>0.6804000000000001</x:v>
      </x:c>
      <x:c r="H136" s="32" t="n">
        <x:v>0.022799999999999997</x:v>
      </x:c>
      <x:c r="I136" s="40" t="n">
        <x:v>2</x:v>
      </x:c>
      <x:c r="J136" s="40" t="n">
        <x:v>2</x:v>
      </x:c>
      <x:c r="K136" s="40" t="n">
        <x:v>2</x:v>
      </x:c>
      <x:c r="L136" s="40" t="n">
        <x:v>1</x:v>
      </x:c>
    </x:row>
    <x:row r="137" ht="23" customHeight="1">
      <x:c r="B137" s="17" t="str">
        <x:v>All rounds</x:v>
      </x:c>
      <x:c r="C137" s="17" t="str">
        <x:v>line</x:v>
      </x:c>
      <x:c r="D137" s="17" t="str">
        <x:v>JacksonDatabind_42</x:v>
      </x:c>
      <x:c r="E137" s="32" t="n">
        <x:v>0.6</x:v>
      </x:c>
      <x:c r="F137" s="32" t="n">
        <x:v>0.0091</x:v>
      </x:c>
      <x:c r="G137" s="32" t="n">
        <x:v>0.8818</x:v>
      </x:c>
      <x:c r="H137" s="32" t="n">
        <x:v>0</x:v>
      </x:c>
      <x:c r="I137" s="40" t="n">
        <x:v>2</x:v>
      </x:c>
      <x:c r="J137" s="40" t="n">
        <x:v>2</x:v>
      </x:c>
      <x:c r="K137" s="40" t="n">
        <x:v>1</x:v>
      </x:c>
      <x:c r="L137" s="40" t="n">
        <x:v>1</x:v>
      </x:c>
    </x:row>
    <x:row r="138" ht="23" customHeight="1">
      <x:c r="B138" s="17" t="str">
        <x:v>All rounds</x:v>
      </x:c>
      <x:c r="C138" s="17" t="str">
        <x:v>line</x:v>
      </x:c>
      <x:c r="D138" s="17" t="str">
        <x:v>JacksonDatabind_44</x:v>
      </x:c>
      <x:c r="E138" s="32" t="n">
        <x:v>0.9732999999999999</x:v>
      </x:c>
      <x:c r="F138" s="32" t="n">
        <x:v>0.0066500000000000005</x:v>
      </x:c>
      <x:c r="G138" s="32" t="n">
        <x:v>0.8533</x:v>
      </x:c>
      <x:c r="H138" s="32" t="n">
        <x:v>0</x:v>
      </x:c>
      <x:c r="I138" s="40" t="n">
        <x:v>2</x:v>
      </x:c>
      <x:c r="J138" s="40" t="n">
        <x:v>2</x:v>
      </x:c>
      <x:c r="K138" s="40" t="n">
        <x:v>2</x:v>
      </x:c>
      <x:c r="L138" s="40" t="n">
        <x:v>1</x:v>
      </x:c>
    </x:row>
    <x:row r="139" ht="23" customHeight="1">
      <x:c r="B139" s="17" t="str">
        <x:v>All rounds</x:v>
      </x:c>
      <x:c r="C139" s="17" t="str">
        <x:v>line</x:v>
      </x:c>
      <x:c r="D139" s="17" t="str">
        <x:v>JacksonDatabind_5</x:v>
      </x:c>
      <x:c r="E139" s="32" t="n">
        <x:v>0.8055</x:v>
      </x:c>
      <x:c r="F139" s="32" t="n">
        <x:v>0</x:v>
      </x:c>
      <x:c r="G139" s="32" t="n">
        <x:v>0.5233</x:v>
      </x:c>
      <x:c r="H139" s="32" t="n">
        <x:v>0.0027</x:v>
      </x:c>
      <x:c r="I139" s="40" t="n">
        <x:v>2</x:v>
      </x:c>
      <x:c r="J139" s="40" t="n">
        <x:v>2</x:v>
      </x:c>
      <x:c r="K139" s="40" t="n">
        <x:v>2</x:v>
      </x:c>
      <x:c r="L139" s="40" t="n">
        <x:v>1</x:v>
      </x:c>
    </x:row>
    <x:row r="140" ht="23" customHeight="1">
      <x:c r="B140" s="17" t="str">
        <x:v>All rounds</x:v>
      </x:c>
      <x:c r="C140" s="17" t="str">
        <x:v>line</x:v>
      </x:c>
      <x:c r="D140" s="17" t="str">
        <x:v>JacksonDatabind_53</x:v>
      </x:c>
      <x:c r="E140" s="32" t="n">
        <x:v>0.8693000000000001</x:v>
      </x:c>
      <x:c r="F140" s="32" t="n">
        <x:v>0.40695</x:v>
      </x:c>
      <x:c r="G140" s="32" t="n">
        <x:v>0.7931999999999999</x:v>
      </x:c>
      <x:c r="H140" s="32" t="n">
        <x:v>0.07519999999999999</x:v>
      </x:c>
      <x:c r="I140" s="40" t="n">
        <x:v>2</x:v>
      </x:c>
      <x:c r="J140" s="40" t="n">
        <x:v>2</x:v>
      </x:c>
      <x:c r="K140" s="40" t="n">
        <x:v>2</x:v>
      </x:c>
      <x:c r="L140" s="40" t="n">
        <x:v>1</x:v>
      </x:c>
    </x:row>
    <x:row r="141" ht="23" customHeight="1">
      <x:c r="B141" s="17" t="str">
        <x:v>All rounds</x:v>
      </x:c>
      <x:c r="C141" s="17" t="str">
        <x:v>line</x:v>
      </x:c>
      <x:c r="D141" s="17" t="str">
        <x:v>JacksonDatabind_55</x:v>
      </x:c>
      <x:c r="E141" s="32" t="n">
        <x:v>0.8689</x:v>
      </x:c>
      <x:c r="F141" s="32" t="n">
        <x:v>0.2787</x:v>
      </x:c>
      <x:c r="G141" s="32" t="n">
        <x:v>0.7868999999999999</x:v>
      </x:c>
      <x:c r="H141" s="32" t="n">
        <x:v>0.0492</x:v>
      </x:c>
      <x:c r="I141" s="40" t="n">
        <x:v>2</x:v>
      </x:c>
      <x:c r="J141" s="40" t="n">
        <x:v>2</x:v>
      </x:c>
      <x:c r="K141" s="40" t="n">
        <x:v>2</x:v>
      </x:c>
      <x:c r="L141" s="40" t="n">
        <x:v>1</x:v>
      </x:c>
    </x:row>
    <x:row r="142" ht="23" customHeight="1">
      <x:c r="B142" s="17" t="str">
        <x:v>All rounds</x:v>
      </x:c>
      <x:c r="C142" s="17" t="str">
        <x:v>line</x:v>
      </x:c>
      <x:c r="D142" s="17" t="str">
        <x:v>JacksonDatabind_56</x:v>
      </x:c>
      <x:c r="E142" s="32" t="n">
        <x:v>0.4911</x:v>
      </x:c>
      <x:c r="F142" s="32" t="n">
        <x:v>0.0089</x:v>
      </x:c>
      <x:c r="G142" s="32" t="n">
        <x:v>0.9464</x:v>
      </x:c>
      <x:c r="H142" s="32" t="n">
        <x:v>0</x:v>
      </x:c>
      <x:c r="I142" s="40" t="n">
        <x:v>2</x:v>
      </x:c>
      <x:c r="J142" s="40" t="n">
        <x:v>2</x:v>
      </x:c>
      <x:c r="K142" s="40" t="n">
        <x:v>1</x:v>
      </x:c>
      <x:c r="L142" s="40" t="n">
        <x:v>1</x:v>
      </x:c>
    </x:row>
    <x:row r="143" ht="23" customHeight="1">
      <x:c r="B143" s="17" t="str">
        <x:v>All rounds</x:v>
      </x:c>
      <x:c r="C143" s="17" t="str">
        <x:v>line</x:v>
      </x:c>
      <x:c r="D143" s="17" t="str">
        <x:v>JacksonDatabind_57</x:v>
      </x:c>
      <x:c r="E143" s="32" t="n">
        <x:v>0.7598</x:v>
      </x:c>
      <x:c r="F143" s="32" t="n">
        <x:v>0.0368</x:v>
      </x:c>
      <x:c r="G143" s="32" t="n">
        <x:v>0.5528</x:v>
      </x:c>
      <x:c r="H143" s="32" t="n">
        <x:v>0.0025</x:v>
      </x:c>
      <x:c r="I143" s="40" t="n">
        <x:v>2</x:v>
      </x:c>
      <x:c r="J143" s="40" t="n">
        <x:v>2</x:v>
      </x:c>
      <x:c r="K143" s="40" t="n">
        <x:v>2</x:v>
      </x:c>
      <x:c r="L143" s="40" t="n">
        <x:v>1</x:v>
      </x:c>
    </x:row>
    <x:row r="144" ht="23" customHeight="1">
      <x:c r="B144" s="17" t="str">
        <x:v>All rounds</x:v>
      </x:c>
      <x:c r="C144" s="17" t="str">
        <x:v>line</x:v>
      </x:c>
      <x:c r="D144" s="17" t="str">
        <x:v>JacksonDatabind_6</x:v>
      </x:c>
      <x:c r="E144" s="32" t="n">
        <x:v>0.953</x:v>
      </x:c>
      <x:c r="F144" s="32" t="n">
        <x:v>0.8859</x:v>
      </x:c>
      <x:c r="G144" s="32" t="n">
        <x:v>0.8926000000000001</x:v>
      </x:c>
      <x:c r="H144" s="32" t="n">
        <x:v>0.1007</x:v>
      </x:c>
      <x:c r="I144" s="40" t="n">
        <x:v>2</x:v>
      </x:c>
      <x:c r="J144" s="40" t="n">
        <x:v>2</x:v>
      </x:c>
      <x:c r="K144" s="40" t="n">
        <x:v>2</x:v>
      </x:c>
      <x:c r="L144" s="40" t="n">
        <x:v>1</x:v>
      </x:c>
    </x:row>
    <x:row r="145" ht="23" customHeight="1">
      <x:c r="B145" s="17" t="str">
        <x:v>All rounds</x:v>
      </x:c>
      <x:c r="C145" s="17" t="str">
        <x:v>line</x:v>
      </x:c>
      <x:c r="D145" s="17" t="str">
        <x:v>JacksonDatabind_68</x:v>
      </x:c>
      <x:c r="E145" s="32" t="n">
        <x:v>0.0068000000000000005</x:v>
      </x:c>
      <x:c r="F145" s="32" t="n">
        <x:v>0.0017000000000000001</x:v>
      </x:c>
      <x:c r="G145" s="32" t="n">
        <x:v>0.0017000000000000001</x:v>
      </x:c>
      <x:c r="H145" s="32" t="n">
        <x:v>0.0017000000000000001</x:v>
      </x:c>
      <x:c r="I145" s="40" t="n">
        <x:v>2</x:v>
      </x:c>
      <x:c r="J145" s="40" t="n">
        <x:v>2</x:v>
      </x:c>
      <x:c r="K145" s="40" t="n">
        <x:v>2</x:v>
      </x:c>
      <x:c r="L145" s="40" t="n">
        <x:v>1</x:v>
      </x:c>
    </x:row>
    <x:row r="146" ht="23" customHeight="1">
      <x:c r="B146" s="17" t="str">
        <x:v>All rounds</x:v>
      </x:c>
      <x:c r="C146" s="17" t="str">
        <x:v>line</x:v>
      </x:c>
      <x:c r="D146" s="17" t="str">
        <x:v>JacksonDatabind_73</x:v>
      </x:c>
      <x:c r="E146" s="32" t="n">
        <x:v>0.0625</x:v>
      </x:c>
      <x:c r="F146" s="32" t="n">
        <x:v>0.049049999999999996</x:v>
      </x:c>
      <x:c r="G146" s="32" t="n">
        <x:v>0.6831999999999999</x:v>
      </x:c>
      <x:c r="H146" s="32" t="n">
        <x:v>0</x:v>
      </x:c>
      <x:c r="I146" s="40" t="n">
        <x:v>2</x:v>
      </x:c>
      <x:c r="J146" s="40" t="n">
        <x:v>2</x:v>
      </x:c>
      <x:c r="K146" s="40" t="n">
        <x:v>2</x:v>
      </x:c>
      <x:c r="L146" s="40" t="n">
        <x:v>1</x:v>
      </x:c>
    </x:row>
    <x:row r="147" ht="23" customHeight="1">
      <x:c r="B147" s="17" t="str">
        <x:v>All rounds</x:v>
      </x:c>
      <x:c r="C147" s="17" t="str">
        <x:v>line</x:v>
      </x:c>
      <x:c r="D147" s="17" t="str">
        <x:v>JacksonDatabind_83</x:v>
      </x:c>
      <x:c r="E147" s="32" t="n">
        <x:v>0.6148</x:v>
      </x:c>
      <x:c r="F147" s="32" t="n">
        <x:v>0.008199999999999999</x:v>
      </x:c>
      <x:c r="G147" s="32" t="n">
        <x:v>0.8197</x:v>
      </x:c>
      <x:c r="H147" s="32" t="n">
        <x:v>0</x:v>
      </x:c>
      <x:c r="I147" s="40" t="n">
        <x:v>2</x:v>
      </x:c>
      <x:c r="J147" s="40" t="n">
        <x:v>2</x:v>
      </x:c>
      <x:c r="K147" s="40" t="n">
        <x:v>2</x:v>
      </x:c>
      <x:c r="L147" s="40" t="n">
        <x:v>1</x:v>
      </x:c>
    </x:row>
    <x:row r="148" ht="23" customHeight="1">
      <x:c r="B148" s="17" t="str">
        <x:v>All rounds</x:v>
      </x:c>
      <x:c r="C148" s="17" t="str">
        <x:v>line</x:v>
      </x:c>
      <x:c r="D148" s="17" t="str">
        <x:v>JacksonDatabind_84</x:v>
      </x:c>
      <x:c r="E148" s="32" t="n">
        <x:v>1</x:v>
      </x:c>
      <x:c r="F148" s="32" t="n">
        <x:v>0</x:v>
      </x:c>
      <x:c r="G148" s="32" t="n">
        <x:v>0.9667</x:v>
      </x:c>
      <x:c r="H148" s="32" t="n">
        <x:v>1</x:v>
      </x:c>
      <x:c r="I148" s="40" t="n">
        <x:v>2</x:v>
      </x:c>
      <x:c r="J148" s="40" t="n">
        <x:v>2</x:v>
      </x:c>
      <x:c r="K148" s="40" t="n">
        <x:v>2</x:v>
      </x:c>
      <x:c r="L148" s="40" t="n">
        <x:v>1</x:v>
      </x:c>
    </x:row>
    <x:row r="149" ht="23" customHeight="1">
      <x:c r="B149" s="17" t="str">
        <x:v>All rounds</x:v>
      </x:c>
      <x:c r="C149" s="17" t="str">
        <x:v>line</x:v>
      </x:c>
      <x:c r="D149" s="17" t="str">
        <x:v>JacksonDatabind_86</x:v>
      </x:c>
      <x:c r="E149" s="32" t="n">
        <x:v>1</x:v>
      </x:c>
      <x:c r="F149" s="32" t="n">
        <x:v>0</x:v>
      </x:c>
      <x:c r="G149" s="32" t="n">
        <x:v>0.9667</x:v>
      </x:c>
      <x:c r="H149" s="32" t="n">
        <x:v>1</x:v>
      </x:c>
      <x:c r="I149" s="40" t="n">
        <x:v>2</x:v>
      </x:c>
      <x:c r="J149" s="40" t="n">
        <x:v>2</x:v>
      </x:c>
      <x:c r="K149" s="40" t="n">
        <x:v>2</x:v>
      </x:c>
      <x:c r="L149" s="40" t="n">
        <x:v>1</x:v>
      </x:c>
    </x:row>
    <x:row r="150" ht="23" customHeight="1">
      <x:c r="B150" s="17" t="str">
        <x:v>All rounds</x:v>
      </x:c>
      <x:c r="C150" s="17" t="str">
        <x:v>line</x:v>
      </x:c>
      <x:c r="D150" s="17" t="str">
        <x:v>JacksonDatabind_87</x:v>
      </x:c>
      <x:c r="E150" s="32" t="n">
        <x:v>0.9505</x:v>
      </x:c>
      <x:c r="F150" s="32" t="n">
        <x:v>0.7723</x:v>
      </x:c>
      <x:c r="G150" s="32" t="n">
        <x:v>0.8564</x:v>
      </x:c>
      <x:c r="H150" s="32" t="n">
        <x:v>0.07429999999999999</x:v>
      </x:c>
      <x:c r="I150" s="40" t="n">
        <x:v>2</x:v>
      </x:c>
      <x:c r="J150" s="40" t="n">
        <x:v>1</x:v>
      </x:c>
      <x:c r="K150" s="40" t="n">
        <x:v>2</x:v>
      </x:c>
      <x:c r="L150" s="40" t="n">
        <x:v>1</x:v>
      </x:c>
    </x:row>
    <x:row r="151" ht="23" customHeight="1">
      <x:c r="B151" s="17" t="str">
        <x:v>All rounds</x:v>
      </x:c>
      <x:c r="C151" s="17" t="str">
        <x:v>line</x:v>
      </x:c>
      <x:c r="D151" s="17" t="str">
        <x:v>JacksonDatabind_93</x:v>
      </x:c>
      <x:c r="E151" s="32" t="n">
        <x:v>0.7778</x:v>
      </x:c>
      <x:c r="F151" s="32" t="n">
        <x:v>0.6667000000000001</x:v>
      </x:c>
      <x:c r="G151" s="32" t="n">
        <x:v>0.8611</x:v>
      </x:c>
      <x:c r="H151" s="32" t="n">
        <x:v>1</x:v>
      </x:c>
      <x:c r="I151" s="40" t="n">
        <x:v>2</x:v>
      </x:c>
      <x:c r="J151" s="40" t="n">
        <x:v>2</x:v>
      </x:c>
      <x:c r="K151" s="40" t="n">
        <x:v>1</x:v>
      </x:c>
      <x:c r="L151" s="40" t="n">
        <x:v>1</x:v>
      </x:c>
    </x:row>
    <x:row r="152" ht="23" customHeight="1">
      <x:c r="B152" s="17" t="str">
        <x:v>All rounds</x:v>
      </x:c>
      <x:c r="C152" s="17" t="str">
        <x:v>line</x:v>
      </x:c>
      <x:c r="D152" s="17" t="str">
        <x:v>JacksonDatabind_94</x:v>
      </x:c>
      <x:c r="E152" s="32" t="n">
        <x:v>0.7714</x:v>
      </x:c>
      <x:c r="F152" s="32" t="n">
        <x:v>0.6286</x:v>
      </x:c>
      <x:c r="G152" s="32" t="n">
        <x:v>0.8571</x:v>
      </x:c>
      <x:c r="H152" s="32" t="n">
        <x:v>1</x:v>
      </x:c>
      <x:c r="I152" s="40" t="n">
        <x:v>2</x:v>
      </x:c>
      <x:c r="J152" s="40" t="n">
        <x:v>2</x:v>
      </x:c>
      <x:c r="K152" s="40" t="n">
        <x:v>2</x:v>
      </x:c>
      <x:c r="L152" s="40" t="n">
        <x:v>1</x:v>
      </x:c>
    </x:row>
    <x:row r="153" ht="23" customHeight="1">
      <x:c r="B153" s="17" t="str">
        <x:v>All rounds</x:v>
      </x:c>
      <x:c r="C153" s="17" t="str">
        <x:v>line</x:v>
      </x:c>
      <x:c r="D153" s="17" t="str">
        <x:v>JacksonDatabind_98</x:v>
      </x:c>
      <x:c r="E153" s="32" t="n">
        <x:v>0.39130000000000004</x:v>
      </x:c>
      <x:c r="F153" s="32" t="n">
        <x:v>0.22219999999999998</x:v>
      </x:c>
      <x:c r="G153" s="32" t="n">
        <x:v>0.5121</x:v>
      </x:c>
      <x:c r="H153" s="32" t="n">
        <x:v>0</x:v>
      </x:c>
      <x:c r="I153" s="40" t="n">
        <x:v>2</x:v>
      </x:c>
      <x:c r="J153" s="40" t="n">
        <x:v>2</x:v>
      </x:c>
      <x:c r="K153" s="40" t="n">
        <x:v>1</x:v>
      </x:c>
      <x:c r="L153" s="40" t="n">
        <x:v>1</x:v>
      </x:c>
    </x:row>
    <x:row r="154" ht="23" customHeight="1">
      <x:c r="B154" s="17" t="str">
        <x:v>All rounds</x:v>
      </x:c>
      <x:c r="C154" s="17" t="str">
        <x:v>line</x:v>
      </x:c>
      <x:c r="D154" s="17" t="str">
        <x:v>Jsoup_1</x:v>
      </x:c>
      <x:c r="E154" s="32" t="n">
        <x:v>1</x:v>
      </x:c>
      <x:c r="F154" s="32" t="n">
        <x:v>1</x:v>
      </x:c>
      <x:c r="G154" s="32" t="n">
        <x:v>0.9783</x:v>
      </x:c>
      <x:c r="H154" s="32" t="n">
        <x:v>1</x:v>
      </x:c>
      <x:c r="I154" s="40" t="n">
        <x:v>2</x:v>
      </x:c>
      <x:c r="J154" s="40" t="n">
        <x:v>2</x:v>
      </x:c>
      <x:c r="K154" s="40" t="n">
        <x:v>2</x:v>
      </x:c>
      <x:c r="L154" s="40" t="n">
        <x:v>1</x:v>
      </x:c>
    </x:row>
    <x:row r="155" ht="23" customHeight="1">
      <x:c r="B155" s="17" t="str">
        <x:v>All rounds</x:v>
      </x:c>
      <x:c r="C155" s="17" t="str">
        <x:v>line</x:v>
      </x:c>
      <x:c r="D155" s="17" t="str">
        <x:v>Jsoup_11</x:v>
      </x:c>
      <x:c r="E155" s="32" t="n">
        <x:v>0.6667000000000001</x:v>
      </x:c>
      <x:c r="F155" s="32" t="n">
        <x:v>0.0556</x:v>
      </x:c>
      <x:c r="G155" s="32" t="n">
        <x:v>0.8131</x:v>
      </x:c>
      <x:c r="H155" s="32" t="n">
        <x:v>0.9747</x:v>
      </x:c>
      <x:c r="I155" s="40" t="n">
        <x:v>2</x:v>
      </x:c>
      <x:c r="J155" s="40" t="n">
        <x:v>2</x:v>
      </x:c>
      <x:c r="K155" s="40" t="n">
        <x:v>2</x:v>
      </x:c>
      <x:c r="L155" s="40" t="n">
        <x:v>1</x:v>
      </x:c>
    </x:row>
    <x:row r="156" ht="23" customHeight="1">
      <x:c r="B156" s="17" t="str">
        <x:v>All rounds</x:v>
      </x:c>
      <x:c r="C156" s="17" t="str">
        <x:v>line</x:v>
      </x:c>
      <x:c r="D156" s="17" t="str">
        <x:v>Jsoup_12</x:v>
      </x:c>
      <x:c r="E156" s="32" t="n">
        <x:v>0.7064</x:v>
      </x:c>
      <x:c r="F156" s="32" t="n">
        <x:v>0.078</x:v>
      </x:c>
      <x:c r="G156" s="32" t="n">
        <x:v>0.9495</x:v>
      </x:c>
      <x:c r="H156" s="32" t="n">
        <x:v>0.9771</x:v>
      </x:c>
      <x:c r="I156" s="40" t="n">
        <x:v>2</x:v>
      </x:c>
      <x:c r="J156" s="40" t="n">
        <x:v>2</x:v>
      </x:c>
      <x:c r="K156" s="40" t="n">
        <x:v>2</x:v>
      </x:c>
      <x:c r="L156" s="40" t="n">
        <x:v>1</x:v>
      </x:c>
    </x:row>
    <x:row r="157" ht="23" customHeight="1">
      <x:c r="B157" s="17" t="str">
        <x:v>All rounds</x:v>
      </x:c>
      <x:c r="C157" s="17" t="str">
        <x:v>line</x:v>
      </x:c>
      <x:c r="D157" s="17" t="str">
        <x:v>Jsoup_16</x:v>
      </x:c>
      <x:c r="E157" s="32" t="n">
        <x:v>1</x:v>
      </x:c>
      <x:c r="F157" s="32" t="n">
        <x:v>0.9643</x:v>
      </x:c>
      <x:c r="G157" s="32" t="n">
        <x:v>1</x:v>
      </x:c>
      <x:c r="H157" s="32" t="n">
        <x:v>1</x:v>
      </x:c>
      <x:c r="I157" s="40" t="n">
        <x:v>2</x:v>
      </x:c>
      <x:c r="J157" s="40" t="n">
        <x:v>2</x:v>
      </x:c>
      <x:c r="K157" s="40" t="n">
        <x:v>2</x:v>
      </x:c>
      <x:c r="L157" s="40" t="n">
        <x:v>1</x:v>
      </x:c>
    </x:row>
    <x:row r="158" ht="23" customHeight="1">
      <x:c r="B158" s="17" t="str">
        <x:v>All rounds</x:v>
      </x:c>
      <x:c r="C158" s="17" t="str">
        <x:v>line</x:v>
      </x:c>
      <x:c r="D158" s="17" t="str">
        <x:v>Jsoup_18</x:v>
      </x:c>
      <x:c r="E158" s="32" t="n">
        <x:v>1</x:v>
      </x:c>
      <x:c r="F158" s="32" t="n">
        <x:v>0.88145</x:v>
      </x:c>
      <x:c r="G158" s="32" t="n">
        <x:v>0.9897</x:v>
      </x:c>
      <x:c r="H158" s="32" t="n">
        <x:v>1</x:v>
      </x:c>
      <x:c r="I158" s="40" t="n">
        <x:v>2</x:v>
      </x:c>
      <x:c r="J158" s="40" t="n">
        <x:v>2</x:v>
      </x:c>
      <x:c r="K158" s="40" t="n">
        <x:v>2</x:v>
      </x:c>
      <x:c r="L158" s="40" t="n">
        <x:v>1</x:v>
      </x:c>
    </x:row>
    <x:row r="159" ht="23" customHeight="1">
      <x:c r="B159" s="17" t="str">
        <x:v>All rounds</x:v>
      </x:c>
      <x:c r="C159" s="17" t="str">
        <x:v>line</x:v>
      </x:c>
      <x:c r="D159" s="17" t="str">
        <x:v>Jsoup_20</x:v>
      </x:c>
      <x:c r="E159" s="32" t="n">
        <x:v>0.7955</x:v>
      </x:c>
      <x:c r="F159" s="32" t="n">
        <x:v>0.40909999999999996</x:v>
      </x:c>
      <x:c r="G159" s="32" t="n">
        <x:v>0.9773000000000001</x:v>
      </x:c>
      <x:c r="H159" s="32" t="n">
        <x:v>1</x:v>
      </x:c>
      <x:c r="I159" s="40" t="n">
        <x:v>2</x:v>
      </x:c>
      <x:c r="J159" s="40" t="n">
        <x:v>2</x:v>
      </x:c>
      <x:c r="K159" s="40" t="n">
        <x:v>2</x:v>
      </x:c>
      <x:c r="L159" s="40" t="n">
        <x:v>1</x:v>
      </x:c>
    </x:row>
    <x:row r="160" ht="23" customHeight="1">
      <x:c r="B160" s="17" t="str">
        <x:v>All rounds</x:v>
      </x:c>
      <x:c r="C160" s="17" t="str">
        <x:v>line</x:v>
      </x:c>
      <x:c r="D160" s="17" t="str">
        <x:v>Jsoup_21</x:v>
      </x:c>
      <x:c r="E160" s="32" t="n">
        <x:v>0.9577</x:v>
      </x:c>
      <x:c r="F160" s="32" t="n">
        <x:v>0.35185</x:v>
      </x:c>
      <x:c r="G160" s="32" t="n">
        <x:v>0.9947</x:v>
      </x:c>
      <x:c r="H160" s="32" t="n">
        <x:v>0.9734999999999999</x:v>
      </x:c>
      <x:c r="I160" s="40" t="n">
        <x:v>2</x:v>
      </x:c>
      <x:c r="J160" s="40" t="n">
        <x:v>2</x:v>
      </x:c>
      <x:c r="K160" s="40" t="n">
        <x:v>1</x:v>
      </x:c>
      <x:c r="L160" s="40" t="n">
        <x:v>1</x:v>
      </x:c>
    </x:row>
    <x:row r="161" ht="23" customHeight="1">
      <x:c r="B161" s="17" t="str">
        <x:v>All rounds</x:v>
      </x:c>
      <x:c r="C161" s="17" t="str">
        <x:v>line</x:v>
      </x:c>
      <x:c r="D161" s="17" t="str">
        <x:v>Jsoup_30</x:v>
      </x:c>
      <x:c r="E161" s="32" t="n">
        <x:v>0.44</x:v>
      </x:c>
      <x:c r="F161" s="32" t="n">
        <x:v>0.04</x:v>
      </x:c>
      <x:c r="G161" s="32" t="n">
        <x:v>1</x:v>
      </x:c>
      <x:c r="H161" s="32" t="n">
        <x:v>1</x:v>
      </x:c>
      <x:c r="I161" s="40" t="n">
        <x:v>2</x:v>
      </x:c>
      <x:c r="J161" s="40" t="n">
        <x:v>2</x:v>
      </x:c>
      <x:c r="K161" s="40" t="n">
        <x:v>1</x:v>
      </x:c>
      <x:c r="L161" s="40" t="n">
        <x:v>1</x:v>
      </x:c>
    </x:row>
    <x:row r="162" ht="23" customHeight="1">
      <x:c r="B162" s="17" t="str">
        <x:v>All rounds</x:v>
      </x:c>
      <x:c r="C162" s="17" t="str">
        <x:v>line</x:v>
      </x:c>
      <x:c r="D162" s="17" t="str">
        <x:v>Jsoup_32</x:v>
      </x:c>
      <x:c r="E162" s="32" t="n">
        <x:v>0.5644</x:v>
      </x:c>
      <x:c r="F162" s="32" t="n">
        <x:v>0.009899999999999999</x:v>
      </x:c>
      <x:c r="G162" s="32" t="n">
        <x:v>0.7558</x:v>
      </x:c>
      <x:c r="H162" s="32" t="n">
        <x:v>0.9637</x:v>
      </x:c>
      <x:c r="I162" s="40" t="n">
        <x:v>2</x:v>
      </x:c>
      <x:c r="J162" s="40" t="n">
        <x:v>2</x:v>
      </x:c>
      <x:c r="K162" s="40" t="n">
        <x:v>1</x:v>
      </x:c>
      <x:c r="L162" s="40" t="n">
        <x:v>1</x:v>
      </x:c>
    </x:row>
    <x:row r="163" ht="23" customHeight="1">
      <x:c r="B163" s="17" t="str">
        <x:v>All rounds</x:v>
      </x:c>
      <x:c r="C163" s="17" t="str">
        <x:v>line</x:v>
      </x:c>
      <x:c r="D163" s="17" t="str">
        <x:v>Jsoup_37</x:v>
      </x:c>
      <x:c r="E163" s="32" t="n">
        <x:v>0.5472</x:v>
      </x:c>
      <x:c r="F163" s="32" t="n">
        <x:v>0.0163</x:v>
      </x:c>
      <x:c r="G163" s="32" t="n">
        <x:v>0.7883</x:v>
      </x:c>
      <x:c r="H163" s="32" t="n">
        <x:v>0.9609000000000001</x:v>
      </x:c>
      <x:c r="I163" s="40" t="n">
        <x:v>2</x:v>
      </x:c>
      <x:c r="J163" s="40" t="n">
        <x:v>2</x:v>
      </x:c>
      <x:c r="K163" s="40" t="n">
        <x:v>1</x:v>
      </x:c>
      <x:c r="L163" s="40" t="n">
        <x:v>1</x:v>
      </x:c>
    </x:row>
    <x:row r="164" ht="23" customHeight="1">
      <x:c r="B164" s="17" t="str">
        <x:v>All rounds</x:v>
      </x:c>
      <x:c r="C164" s="17" t="str">
        <x:v>line</x:v>
      </x:c>
      <x:c r="D164" s="17" t="str">
        <x:v>Jsoup_39</x:v>
      </x:c>
      <x:c r="E164" s="32" t="n">
        <x:v>0.6533</x:v>
      </x:c>
      <x:c r="F164" s="32" t="n">
        <x:v>0.2933</x:v>
      </x:c>
      <x:c r="G164" s="32" t="n">
        <x:v>0.88</x:v>
      </x:c>
      <x:c r="H164" s="32" t="n">
        <x:v>0.9732999999999999</x:v>
      </x:c>
      <x:c r="I164" s="40" t="n">
        <x:v>2</x:v>
      </x:c>
      <x:c r="J164" s="40" t="n">
        <x:v>2</x:v>
      </x:c>
      <x:c r="K164" s="40" t="n">
        <x:v>2</x:v>
      </x:c>
      <x:c r="L164" s="40" t="n">
        <x:v>1</x:v>
      </x:c>
    </x:row>
    <x:row r="165" ht="23" customHeight="1">
      <x:c r="B165" s="17" t="str">
        <x:v>All rounds</x:v>
      </x:c>
      <x:c r="C165" s="17" t="str">
        <x:v>line</x:v>
      </x:c>
      <x:c r="D165" s="17" t="str">
        <x:v>Jsoup_40</x:v>
      </x:c>
      <x:c r="E165" s="32" t="n">
        <x:v>1</x:v>
      </x:c>
      <x:c r="F165" s="32" t="n">
        <x:v>0.9706</x:v>
      </x:c>
      <x:c r="G165" s="32" t="n">
        <x:v>1</x:v>
      </x:c>
      <x:c r="H165" s="32" t="n">
        <x:v>1</x:v>
      </x:c>
      <x:c r="I165" s="40" t="n">
        <x:v>2</x:v>
      </x:c>
      <x:c r="J165" s="40" t="n">
        <x:v>2</x:v>
      </x:c>
      <x:c r="K165" s="40" t="n">
        <x:v>2</x:v>
      </x:c>
      <x:c r="L165" s="40" t="n">
        <x:v>1</x:v>
      </x:c>
    </x:row>
    <x:row r="166" ht="23" customHeight="1">
      <x:c r="B166" s="17" t="str">
        <x:v>All rounds</x:v>
      </x:c>
      <x:c r="C166" s="17" t="str">
        <x:v>line</x:v>
      </x:c>
      <x:c r="D166" s="17" t="str">
        <x:v>Jsoup_46</x:v>
      </x:c>
      <x:c r="E166" s="32" t="n">
        <x:v>0.9068</x:v>
      </x:c>
      <x:c r="F166" s="32" t="n">
        <x:v>0.48310000000000003</x:v>
      </x:c>
      <x:c r="G166" s="32" t="n">
        <x:v>0.7966</x:v>
      </x:c>
      <x:c r="H166" s="32" t="n">
        <x:v>0.9831</x:v>
      </x:c>
      <x:c r="I166" s="40" t="n">
        <x:v>2</x:v>
      </x:c>
      <x:c r="J166" s="40" t="n">
        <x:v>2</x:v>
      </x:c>
      <x:c r="K166" s="40" t="n">
        <x:v>2</x:v>
      </x:c>
      <x:c r="L166" s="40" t="n">
        <x:v>1</x:v>
      </x:c>
    </x:row>
    <x:row r="167" ht="23" customHeight="1">
      <x:c r="B167" s="17" t="str">
        <x:v>All rounds</x:v>
      </x:c>
      <x:c r="C167" s="17" t="str">
        <x:v>line</x:v>
      </x:c>
      <x:c r="D167" s="17" t="str">
        <x:v>Jsoup_47</x:v>
      </x:c>
      <x:c r="E167" s="32" t="n">
        <x:v>0.8559</x:v>
      </x:c>
      <x:c r="F167" s="32" t="n">
        <x:v>0.48310000000000003</x:v>
      </x:c>
      <x:c r="G167" s="32" t="n">
        <x:v>0.9661</x:v>
      </x:c>
      <x:c r="H167" s="32" t="n">
        <x:v>0.9745999999999999</x:v>
      </x:c>
      <x:c r="I167" s="40" t="n">
        <x:v>2</x:v>
      </x:c>
      <x:c r="J167" s="40" t="n">
        <x:v>2</x:v>
      </x:c>
      <x:c r="K167" s="40" t="n">
        <x:v>1</x:v>
      </x:c>
      <x:c r="L167" s="40" t="n">
        <x:v>1</x:v>
      </x:c>
    </x:row>
    <x:row r="168" ht="23" customHeight="1">
      <x:c r="B168" s="17" t="str">
        <x:v>All rounds</x:v>
      </x:c>
      <x:c r="C168" s="17" t="str">
        <x:v>line</x:v>
      </x:c>
      <x:c r="D168" s="17" t="str">
        <x:v>Jsoup_5</x:v>
      </x:c>
      <x:c r="E168" s="32" t="n">
        <x:v>0.8371999999999999</x:v>
      </x:c>
      <x:c r="F168" s="32" t="n">
        <x:v>0.2267</x:v>
      </x:c>
      <x:c r="G168" s="32" t="n">
        <x:v>0.6453</x:v>
      </x:c>
      <x:c r="H168" s="32" t="n">
        <x:v>0.9884000000000001</x:v>
      </x:c>
      <x:c r="I168" s="40" t="n">
        <x:v>2</x:v>
      </x:c>
      <x:c r="J168" s="40" t="n">
        <x:v>2</x:v>
      </x:c>
      <x:c r="K168" s="40" t="n">
        <x:v>2</x:v>
      </x:c>
      <x:c r="L168" s="40" t="n">
        <x:v>1</x:v>
      </x:c>
    </x:row>
    <x:row r="169" ht="23" customHeight="1">
      <x:c r="B169" s="17" t="str">
        <x:v>All rounds</x:v>
      </x:c>
      <x:c r="C169" s="17" t="str">
        <x:v>line</x:v>
      </x:c>
      <x:c r="D169" s="17" t="str">
        <x:v>Jsoup_51</x:v>
      </x:c>
      <x:c r="E169" s="32" t="n">
        <x:v>0.9897</x:v>
      </x:c>
      <x:c r="F169" s="32" t="n">
        <x:v>0.9333</x:v>
      </x:c>
      <x:c r="G169" s="32" t="n">
        <x:v>0.9641</x:v>
      </x:c>
      <x:c r="H169" s="32" t="n">
        <x:v>1</x:v>
      </x:c>
      <x:c r="I169" s="40" t="n">
        <x:v>2</x:v>
      </x:c>
      <x:c r="J169" s="40" t="n">
        <x:v>2</x:v>
      </x:c>
      <x:c r="K169" s="40" t="n">
        <x:v>2</x:v>
      </x:c>
      <x:c r="L169" s="40" t="n">
        <x:v>1</x:v>
      </x:c>
    </x:row>
    <x:row r="170" ht="23" customHeight="1">
      <x:c r="B170" s="17" t="str">
        <x:v>All rounds</x:v>
      </x:c>
      <x:c r="C170" s="17" t="str">
        <x:v>line</x:v>
      </x:c>
      <x:c r="D170" s="17" t="str">
        <x:v>Jsoup_53</x:v>
      </x:c>
      <x:c r="E170" s="32" t="n">
        <x:v>0.9845999999999999</x:v>
      </x:c>
      <x:c r="F170" s="32" t="n">
        <x:v>0.9730500000000001</x:v>
      </x:c>
      <x:c r="G170" s="32" t="n">
        <x:v>0.9</x:v>
      </x:c>
      <x:c r="H170" s="32" t="n">
        <x:v>0.9923000000000001</x:v>
      </x:c>
      <x:c r="I170" s="40" t="n">
        <x:v>2</x:v>
      </x:c>
      <x:c r="J170" s="40" t="n">
        <x:v>2</x:v>
      </x:c>
      <x:c r="K170" s="40" t="n">
        <x:v>2</x:v>
      </x:c>
      <x:c r="L170" s="40" t="n">
        <x:v>1</x:v>
      </x:c>
    </x:row>
    <x:row r="171" ht="23" customHeight="1">
      <x:c r="B171" s="17" t="str">
        <x:v>All rounds</x:v>
      </x:c>
      <x:c r="C171" s="17" t="str">
        <x:v>line</x:v>
      </x:c>
      <x:c r="D171" s="17" t="str">
        <x:v>Jsoup_57</x:v>
      </x:c>
      <x:c r="E171" s="32" t="n">
        <x:v>0.8819</x:v>
      </x:c>
      <x:c r="F171" s="32" t="n">
        <x:v>0.7756000000000001</x:v>
      </x:c>
      <x:c r="G171" s="32" t="n">
        <x:v>0.9449</x:v>
      </x:c>
      <x:c r="H171" s="32" t="n">
        <x:v>0.9684999999999999</x:v>
      </x:c>
      <x:c r="I171" s="40" t="n">
        <x:v>2</x:v>
      </x:c>
      <x:c r="J171" s="40" t="n">
        <x:v>2</x:v>
      </x:c>
      <x:c r="K171" s="40" t="n">
        <x:v>2</x:v>
      </x:c>
      <x:c r="L171" s="40" t="n">
        <x:v>1</x:v>
      </x:c>
    </x:row>
    <x:row r="172" ht="23" customHeight="1">
      <x:c r="B172" s="17" t="str">
        <x:v>All rounds</x:v>
      </x:c>
      <x:c r="C172" s="17" t="str">
        <x:v>line</x:v>
      </x:c>
      <x:c r="D172" s="17" t="str">
        <x:v>Jsoup_58</x:v>
      </x:c>
      <x:c r="E172" s="32" t="n">
        <x:v>0.7559</x:v>
      </x:c>
      <x:c r="F172" s="32" t="n">
        <x:v>0.4094</x:v>
      </x:c>
      <x:c r="G172" s="32" t="n">
        <x:v>0.9684999999999999</x:v>
      </x:c>
      <x:c r="H172" s="32" t="n">
        <x:v>1</x:v>
      </x:c>
      <x:c r="I172" s="40" t="n">
        <x:v>2</x:v>
      </x:c>
      <x:c r="J172" s="40" t="n">
        <x:v>2</x:v>
      </x:c>
      <x:c r="K172" s="40" t="n">
        <x:v>2</x:v>
      </x:c>
      <x:c r="L172" s="40" t="n">
        <x:v>1</x:v>
      </x:c>
    </x:row>
    <x:row r="173" ht="23" customHeight="1">
      <x:c r="B173" s="17" t="str">
        <x:v>All rounds</x:v>
      </x:c>
      <x:c r="C173" s="17" t="str">
        <x:v>line</x:v>
      </x:c>
      <x:c r="D173" s="17" t="str">
        <x:v>Jsoup_59</x:v>
      </x:c>
      <x:c r="E173" s="32" t="n">
        <x:v>0.9937999999999999</x:v>
      </x:c>
      <x:c r="F173" s="32" t="n">
        <x:v>0.9906</x:v>
      </x:c>
      <x:c r="G173" s="32" t="n">
        <x:v>0.9875</x:v>
      </x:c>
      <x:c r="H173" s="32" t="n">
        <x:v>0.9125</x:v>
      </x:c>
      <x:c r="I173" s="40" t="n">
        <x:v>2</x:v>
      </x:c>
      <x:c r="J173" s="40" t="n">
        <x:v>2</x:v>
      </x:c>
      <x:c r="K173" s="40" t="n">
        <x:v>1</x:v>
      </x:c>
      <x:c r="L173" s="40" t="n">
        <x:v>1</x:v>
      </x:c>
    </x:row>
    <x:row r="174" ht="23" customHeight="1">
      <x:c r="B174" s="17" t="str">
        <x:v>All rounds</x:v>
      </x:c>
      <x:c r="C174" s="17" t="str">
        <x:v>line</x:v>
      </x:c>
      <x:c r="D174" s="17" t="str">
        <x:v>Jsoup_60</x:v>
      </x:c>
      <x:c r="E174" s="32" t="n">
        <x:v>0.8959</x:v>
      </x:c>
      <x:c r="F174" s="32" t="n">
        <x:v>0.54245</x:v>
      </x:c>
      <x:c r="G174" s="32" t="n">
        <x:v>0.7615999999999999</x:v>
      </x:c>
      <x:c r="H174" s="32" t="n">
        <x:v>0.9890000000000001</x:v>
      </x:c>
      <x:c r="I174" s="40" t="n">
        <x:v>2</x:v>
      </x:c>
      <x:c r="J174" s="40" t="n">
        <x:v>2</x:v>
      </x:c>
      <x:c r="K174" s="40" t="n">
        <x:v>1</x:v>
      </x:c>
      <x:c r="L174" s="40" t="n">
        <x:v>1</x:v>
      </x:c>
    </x:row>
    <x:row r="175" ht="23" customHeight="1">
      <x:c r="B175" s="17" t="str">
        <x:v>All rounds</x:v>
      </x:c>
      <x:c r="C175" s="17" t="str">
        <x:v>line</x:v>
      </x:c>
      <x:c r="D175" s="17" t="str">
        <x:v>Jsoup_69</x:v>
      </x:c>
      <x:c r="E175" s="32" t="n">
        <x:v>0.4359</x:v>
      </x:c>
      <x:c r="F175" s="32" t="n">
        <x:v>0.0256</x:v>
      </x:c>
      <x:c r="G175" s="32" t="n">
        <x:v>0.9211</x:v>
      </x:c>
      <x:c r="H175" s="32" t="n">
        <x:v>1</x:v>
      </x:c>
      <x:c r="I175" s="40" t="n">
        <x:v>2</x:v>
      </x:c>
      <x:c r="J175" s="40" t="n">
        <x:v>2</x:v>
      </x:c>
      <x:c r="K175" s="40" t="n">
        <x:v>2</x:v>
      </x:c>
      <x:c r="L175" s="40" t="n">
        <x:v>1</x:v>
      </x:c>
    </x:row>
    <x:row r="176" ht="23" customHeight="1">
      <x:c r="B176" s="17" t="str">
        <x:v>All rounds</x:v>
      </x:c>
      <x:c r="C176" s="17" t="str">
        <x:v>line</x:v>
      </x:c>
      <x:c r="D176" s="17" t="str">
        <x:v>Jsoup_72</x:v>
      </x:c>
      <x:c r="E176" s="32" t="n">
        <x:v>0.9912000000000001</x:v>
      </x:c>
      <x:c r="F176" s="32" t="n">
        <x:v>0.9364</x:v>
      </x:c>
      <x:c r="G176" s="32" t="n">
        <x:v>0.9473999999999999</x:v>
      </x:c>
      <x:c r="H176" s="32" t="n">
        <x:v>0.9868000000000001</x:v>
      </x:c>
      <x:c r="I176" s="40" t="n">
        <x:v>2</x:v>
      </x:c>
      <x:c r="J176" s="40" t="n">
        <x:v>2</x:v>
      </x:c>
      <x:c r="K176" s="40" t="n">
        <x:v>2</x:v>
      </x:c>
      <x:c r="L176" s="40" t="n">
        <x:v>1</x:v>
      </x:c>
    </x:row>
    <x:row r="177" ht="23" customHeight="1">
      <x:c r="B177" s="17" t="str">
        <x:v>All rounds</x:v>
      </x:c>
      <x:c r="C177" s="17" t="str">
        <x:v>line</x:v>
      </x:c>
      <x:c r="D177" s="17" t="str">
        <x:v>Jsoup_74</x:v>
      </x:c>
      <x:c r="E177" s="32" t="n">
        <x:v>0.9398000000000001</x:v>
      </x:c>
      <x:c r="F177" s="32" t="n">
        <x:v>0.8916</x:v>
      </x:c>
      <x:c r="G177" s="32" t="n">
        <x:v>0.9157</x:v>
      </x:c>
      <x:c r="H177" s="32" t="n">
        <x:v>1</x:v>
      </x:c>
      <x:c r="I177" s="40" t="n">
        <x:v>2</x:v>
      </x:c>
      <x:c r="J177" s="40" t="n">
        <x:v>2</x:v>
      </x:c>
      <x:c r="K177" s="40" t="n">
        <x:v>2</x:v>
      </x:c>
      <x:c r="L177" s="40" t="n">
        <x:v>1</x:v>
      </x:c>
    </x:row>
    <x:row r="178" ht="23" customHeight="1">
      <x:c r="B178" s="17" t="str">
        <x:v>All rounds</x:v>
      </x:c>
      <x:c r="C178" s="17" t="str">
        <x:v>line</x:v>
      </x:c>
      <x:c r="D178" s="17" t="str">
        <x:v>Jsoup_75</x:v>
      </x:c>
      <x:c r="E178" s="32" t="n">
        <x:v>0.8332999999999999</x:v>
      </x:c>
      <x:c r="F178" s="32" t="n">
        <x:v>0.8036</x:v>
      </x:c>
      <x:c r="G178" s="32" t="n">
        <x:v>0.9699</x:v>
      </x:c>
      <x:c r="H178" s="32" t="n">
        <x:v>0.9702</x:v>
      </x:c>
      <x:c r="I178" s="40" t="n">
        <x:v>2</x:v>
      </x:c>
      <x:c r="J178" s="40" t="n">
        <x:v>2</x:v>
      </x:c>
      <x:c r="K178" s="40" t="n">
        <x:v>2</x:v>
      </x:c>
      <x:c r="L178" s="40" t="n">
        <x:v>1</x:v>
      </x:c>
    </x:row>
    <x:row r="179" ht="23" customHeight="1">
      <x:c r="B179" s="17" t="str">
        <x:v>All rounds</x:v>
      </x:c>
      <x:c r="C179" s="17" t="str">
        <x:v>line</x:v>
      </x:c>
      <x:c r="D179" s="17" t="str">
        <x:v>Jsoup_78</x:v>
      </x:c>
      <x:c r="E179" s="32" t="n">
        <x:v>0.6697</x:v>
      </x:c>
      <x:c r="F179" s="32" t="n">
        <x:v>0.2569</x:v>
      </x:c>
      <x:c r="G179" s="32" t="n">
        <x:v>0.7523000000000001</x:v>
      </x:c>
      <x:c r="H179" s="32" t="n">
        <x:v>0.9725</x:v>
      </x:c>
      <x:c r="I179" s="40" t="n">
        <x:v>2</x:v>
      </x:c>
      <x:c r="J179" s="40" t="n">
        <x:v>2</x:v>
      </x:c>
      <x:c r="K179" s="40" t="n">
        <x:v>2</x:v>
      </x:c>
      <x:c r="L179" s="40" t="n">
        <x:v>1</x:v>
      </x:c>
    </x:row>
    <x:row r="180" ht="23" customHeight="1">
      <x:c r="B180" s="17" t="str">
        <x:v>All rounds</x:v>
      </x:c>
      <x:c r="C180" s="17" t="str">
        <x:v>line</x:v>
      </x:c>
      <x:c r="D180" s="17" t="str">
        <x:v>Jsoup_81</x:v>
      </x:c>
      <x:c r="E180" s="32" t="n">
        <x:v>0.7009000000000001</x:v>
      </x:c>
      <x:c r="F180" s="32" t="n">
        <x:v>0.23929999999999998</x:v>
      </x:c>
      <x:c r="G180" s="32" t="n">
        <x:v>0.8889</x:v>
      </x:c>
      <x:c r="H180" s="32" t="n">
        <x:v>0.9573</x:v>
      </x:c>
      <x:c r="I180" s="40" t="n">
        <x:v>2</x:v>
      </x:c>
      <x:c r="J180" s="40" t="n">
        <x:v>2</x:v>
      </x:c>
      <x:c r="K180" s="40" t="n">
        <x:v>1</x:v>
      </x:c>
      <x:c r="L180" s="40" t="n">
        <x:v>1</x:v>
      </x:c>
    </x:row>
    <x:row r="181" ht="23" customHeight="1">
      <x:c r="B181" s="17" t="str">
        <x:v>All rounds</x:v>
      </x:c>
      <x:c r="C181" s="17" t="str">
        <x:v>line</x:v>
      </x:c>
      <x:c r="D181" s="17" t="str">
        <x:v>Jsoup_82</x:v>
      </x:c>
      <x:c r="E181" s="32" t="n">
        <x:v>0.4336</x:v>
      </x:c>
      <x:c r="F181" s="32" t="n">
        <x:v>0.20350000000000001</x:v>
      </x:c>
      <x:c r="G181" s="32" t="n">
        <x:v>0.7965000000000001</x:v>
      </x:c>
      <x:c r="H181" s="32" t="n">
        <x:v>0.9645999999999999</x:v>
      </x:c>
      <x:c r="I181" s="40" t="n">
        <x:v>2</x:v>
      </x:c>
      <x:c r="J181" s="40" t="n">
        <x:v>2</x:v>
      </x:c>
      <x:c r="K181" s="40" t="n">
        <x:v>2</x:v>
      </x:c>
      <x:c r="L181" s="40" t="n">
        <x:v>1</x:v>
      </x:c>
    </x:row>
    <x:row r="182" ht="23" customHeight="1">
      <x:c r="B182" s="17" t="str">
        <x:v>All rounds</x:v>
      </x:c>
      <x:c r="C182" s="17" t="str">
        <x:v>line</x:v>
      </x:c>
      <x:c r="D182" s="17" t="str">
        <x:v>Jsoup_84</x:v>
      </x:c>
      <x:c r="E182" s="32" t="n">
        <x:v>0.8946999999999999</x:v>
      </x:c>
      <x:c r="F182" s="32" t="n">
        <x:v>0.2895</x:v>
      </x:c>
      <x:c r="G182" s="32" t="n">
        <x:v>0.9342</x:v>
      </x:c>
      <x:c r="H182" s="32" t="n">
        <x:v>0.9737</x:v>
      </x:c>
      <x:c r="I182" s="40" t="n">
        <x:v>2</x:v>
      </x:c>
      <x:c r="J182" s="40" t="n">
        <x:v>2</x:v>
      </x:c>
      <x:c r="K182" s="40" t="n">
        <x:v>1</x:v>
      </x:c>
      <x:c r="L182" s="40" t="n">
        <x:v>1</x:v>
      </x:c>
    </x:row>
    <x:row r="183" ht="23" customHeight="1">
      <x:c r="B183" s="17" t="str">
        <x:v>All rounds</x:v>
      </x:c>
      <x:c r="C183" s="17" t="str">
        <x:v>line</x:v>
      </x:c>
      <x:c r="D183" s="17" t="str">
        <x:v>Jsoup_85</x:v>
      </x:c>
      <x:c r="E183" s="32" t="n">
        <x:v>0.9231</x:v>
      </x:c>
      <x:c r="F183" s="32" t="n">
        <x:v>0.7384999999999999</x:v>
      </x:c>
      <x:c r="G183" s="32" t="n">
        <x:v>0.9077</x:v>
      </x:c>
      <x:c r="H183" s="32" t="n">
        <x:v>0.8923000000000001</x:v>
      </x:c>
      <x:c r="I183" s="40" t="n">
        <x:v>2</x:v>
      </x:c>
      <x:c r="J183" s="40" t="n">
        <x:v>2</x:v>
      </x:c>
      <x:c r="K183" s="40" t="n">
        <x:v>2</x:v>
      </x:c>
      <x:c r="L183" s="40" t="n">
        <x:v>1</x:v>
      </x:c>
    </x:row>
    <x:row r="184" ht="23" customHeight="1">
      <x:c r="B184" s="17" t="str">
        <x:v>All rounds</x:v>
      </x:c>
      <x:c r="C184" s="17" t="str">
        <x:v>line</x:v>
      </x:c>
      <x:c r="D184" s="17" t="str">
        <x:v>Jsoup_88</x:v>
      </x:c>
      <x:c r="E184" s="32" t="n">
        <x:v>0.9242</x:v>
      </x:c>
      <x:c r="F184" s="32" t="n">
        <x:v>0.7424</x:v>
      </x:c>
      <x:c r="G184" s="32" t="n">
        <x:v>0.8787999999999999</x:v>
      </x:c>
      <x:c r="H184" s="32" t="n">
        <x:v>0.8939</x:v>
      </x:c>
      <x:c r="I184" s="40" t="n">
        <x:v>2</x:v>
      </x:c>
      <x:c r="J184" s="40" t="n">
        <x:v>2</x:v>
      </x:c>
      <x:c r="K184" s="40" t="n">
        <x:v>2</x:v>
      </x:c>
      <x:c r="L184" s="40" t="n">
        <x:v>1</x:v>
      </x:c>
    </x:row>
    <x:row r="185" ht="23" customHeight="1">
      <x:c r="B185" s="17" t="str">
        <x:v>All rounds</x:v>
      </x:c>
      <x:c r="C185" s="17" t="str">
        <x:v>line</x:v>
      </x:c>
      <x:c r="D185" s="17" t="str">
        <x:v>Jsoup_89</x:v>
      </x:c>
      <x:c r="E185" s="32" t="n">
        <x:v>0.9242</x:v>
      </x:c>
      <x:c r="F185" s="32" t="n">
        <x:v>0.7424</x:v>
      </x:c>
      <x:c r="G185" s="32" t="n">
        <x:v>0.8939</x:v>
      </x:c>
      <x:c r="H185" s="32" t="n">
        <x:v>0.8939</x:v>
      </x:c>
      <x:c r="I185" s="40" t="n">
        <x:v>2</x:v>
      </x:c>
      <x:c r="J185" s="40" t="n">
        <x:v>2</x:v>
      </x:c>
      <x:c r="K185" s="40" t="n">
        <x:v>2</x:v>
      </x:c>
      <x:c r="L185" s="40" t="n">
        <x:v>1</x:v>
      </x:c>
    </x:row>
    <x:row r="186" ht="23" customHeight="1">
      <x:c r="B186" s="17" t="str">
        <x:v>All rounds</x:v>
      </x:c>
      <x:c r="C186" s="17" t="str">
        <x:v>line</x:v>
      </x:c>
      <x:c r="D186" s="17" t="str">
        <x:v>Jsoup_91</x:v>
      </x:c>
      <x:c r="E186" s="32" t="n">
        <x:v>0.992</x:v>
      </x:c>
      <x:c r="F186" s="32" t="n">
        <x:v>0.3233</x:v>
      </x:c>
      <x:c r="G186" s="32" t="n">
        <x:v>0.9478</x:v>
      </x:c>
      <x:c r="H186" s="32" t="n">
        <x:v>0.992</x:v>
      </x:c>
      <x:c r="I186" s="40" t="n">
        <x:v>2</x:v>
      </x:c>
      <x:c r="J186" s="40" t="n">
        <x:v>2</x:v>
      </x:c>
      <x:c r="K186" s="40" t="n">
        <x:v>1</x:v>
      </x:c>
      <x:c r="L186" s="40" t="n">
        <x:v>1</x:v>
      </x:c>
    </x:row>
    <x:row r="187" ht="23" customHeight="1">
      <x:c r="B187" s="17" t="str">
        <x:v>All rounds</x:v>
      </x:c>
      <x:c r="C187" s="17" t="str">
        <x:v>line</x:v>
      </x:c>
      <x:c r="D187" s="17" t="str">
        <x:v>Jsoup_93</x:v>
      </x:c>
      <x:c r="E187" s="32" t="n">
        <x:v>0.5</x:v>
      </x:c>
      <x:c r="F187" s="32" t="n">
        <x:v>0.023799999999999998</x:v>
      </x:c>
      <x:c r="G187" s="32" t="n">
        <x:v>0.9268000000000001</x:v>
      </x:c>
      <x:c r="H187" s="32" t="n">
        <x:v>1</x:v>
      </x:c>
      <x:c r="I187" s="40" t="n">
        <x:v>2</x:v>
      </x:c>
      <x:c r="J187" s="40" t="n">
        <x:v>2</x:v>
      </x:c>
      <x:c r="K187" s="40" t="n">
        <x:v>1</x:v>
      </x:c>
      <x:c r="L187" s="40" t="n">
        <x:v>1</x:v>
      </x:c>
    </x:row>
    <x:row r="188" ht="23" customHeight="1">
      <x:c r="B188" s="17" t="str">
        <x:v>All rounds</x:v>
      </x:c>
      <x:c r="C188" s="17" t="str">
        <x:v>line</x:v>
      </x:c>
      <x:c r="D188" s="17" t="str">
        <x:v>Lang_1</x:v>
      </x:c>
      <x:c r="E188" s="32" t="n">
        <x:v>0.9467</x:v>
      </x:c>
      <x:c r="F188" s="32" t="n">
        <x:v>0.65735</x:v>
      </x:c>
      <x:c r="G188" s="32" t="n">
        <x:v>0.8027</x:v>
      </x:c>
      <x:c r="H188" s="32" t="n">
        <x:v>0.9732999999999999</x:v>
      </x:c>
      <x:c r="I188" s="40" t="n">
        <x:v>2</x:v>
      </x:c>
      <x:c r="J188" s="40" t="n">
        <x:v>2</x:v>
      </x:c>
      <x:c r="K188" s="40" t="n">
        <x:v>1</x:v>
      </x:c>
      <x:c r="L188" s="40" t="n">
        <x:v>1</x:v>
      </x:c>
    </x:row>
    <x:row r="189" ht="23" customHeight="1">
      <x:c r="B189" s="17" t="str">
        <x:v>All rounds</x:v>
      </x:c>
      <x:c r="C189" s="17" t="str">
        <x:v>line</x:v>
      </x:c>
      <x:c r="D189" s="17" t="str">
        <x:v>Lang_13</x:v>
      </x:c>
      <x:c r="E189" s="32" t="n">
        <x:v>0.7812</x:v>
      </x:c>
      <x:c r="F189" s="32" t="n">
        <x:v>0.7343999999999999</x:v>
      </x:c>
      <x:c r="G189" s="32" t="n">
        <x:v>0.6875</x:v>
      </x:c>
      <x:c r="H189" s="32" t="n">
        <x:v>0.9688</x:v>
      </x:c>
      <x:c r="I189" s="40" t="n">
        <x:v>2</x:v>
      </x:c>
      <x:c r="J189" s="40" t="n">
        <x:v>2</x:v>
      </x:c>
      <x:c r="K189" s="40" t="n">
        <x:v>2</x:v>
      </x:c>
      <x:c r="L189" s="40" t="n">
        <x:v>1</x:v>
      </x:c>
    </x:row>
    <x:row r="190" ht="23" customHeight="1">
      <x:c r="B190" s="17" t="str">
        <x:v>All rounds</x:v>
      </x:c>
      <x:c r="C190" s="17" t="str">
        <x:v>line</x:v>
      </x:c>
      <x:c r="D190" s="17" t="str">
        <x:v>Lang_14</x:v>
      </x:c>
      <x:c r="E190" s="32" t="n">
        <x:v>0.9296</x:v>
      </x:c>
      <x:c r="F190" s="32" t="n">
        <x:v>0.8723000000000001</x:v>
      </x:c>
      <x:c r="G190" s="32" t="n">
        <x:v>0.7624</x:v>
      </x:c>
      <x:c r="H190" s="32" t="n">
        <x:v>0.8429000000000001</x:v>
      </x:c>
      <x:c r="I190" s="40" t="n">
        <x:v>2</x:v>
      </x:c>
      <x:c r="J190" s="40" t="n">
        <x:v>2</x:v>
      </x:c>
      <x:c r="K190" s="40" t="n">
        <x:v>1</x:v>
      </x:c>
      <x:c r="L190" s="40" t="n">
        <x:v>1</x:v>
      </x:c>
    </x:row>
    <x:row r="191" ht="23" customHeight="1">
      <x:c r="B191" s="17" t="str">
        <x:v>All rounds</x:v>
      </x:c>
      <x:c r="C191" s="17" t="str">
        <x:v>line</x:v>
      </x:c>
      <x:c r="D191" s="17" t="str">
        <x:v>Lang_15</x:v>
      </x:c>
      <x:c r="E191" s="32" t="n">
        <x:v>0.3746</x:v>
      </x:c>
      <x:c r="F191" s="32" t="n">
        <x:v>0.13215</x:v>
      </x:c>
      <x:c r="G191" s="32" t="n">
        <x:v>0.5892000000000001</x:v>
      </x:c>
      <x:c r="H191" s="32" t="n">
        <x:v>0.8863</x:v>
      </x:c>
      <x:c r="I191" s="40" t="n">
        <x:v>2</x:v>
      </x:c>
      <x:c r="J191" s="40" t="n">
        <x:v>2</x:v>
      </x:c>
      <x:c r="K191" s="40" t="n">
        <x:v>1</x:v>
      </x:c>
      <x:c r="L191" s="40" t="n">
        <x:v>1</x:v>
      </x:c>
    </x:row>
    <x:row r="192" ht="23" customHeight="1">
      <x:c r="B192" s="17" t="str">
        <x:v>All rounds</x:v>
      </x:c>
      <x:c r="C192" s="17" t="str">
        <x:v>line</x:v>
      </x:c>
      <x:c r="D192" s="17" t="str">
        <x:v>Lang_19</x:v>
      </x:c>
      <x:c r="E192" s="32" t="n">
        <x:v>0.7037</x:v>
      </x:c>
      <x:c r="F192" s="32" t="n">
        <x:v>0.1481</x:v>
      </x:c>
      <x:c r="G192" s="32" t="n">
        <x:v>1</x:v>
      </x:c>
      <x:c r="H192" s="32" t="n">
        <x:v>1</x:v>
      </x:c>
      <x:c r="I192" s="40" t="n">
        <x:v>2</x:v>
      </x:c>
      <x:c r="J192" s="40" t="n">
        <x:v>2</x:v>
      </x:c>
      <x:c r="K192" s="40" t="n">
        <x:v>2</x:v>
      </x:c>
      <x:c r="L192" s="40" t="n">
        <x:v>1</x:v>
      </x:c>
    </x:row>
    <x:row r="193" ht="23" customHeight="1">
      <x:c r="B193" s="17" t="str">
        <x:v>All rounds</x:v>
      </x:c>
      <x:c r="C193" s="17" t="str">
        <x:v>line</x:v>
      </x:c>
      <x:c r="D193" s="17" t="str">
        <x:v>Lang_20</x:v>
      </x:c>
      <x:c r="E193" s="32" t="n">
        <x:v>0.9329999999999999</x:v>
      </x:c>
      <x:c r="F193" s="32" t="n">
        <x:v>0.8752000000000001</x:v>
      </x:c>
      <x:c r="G193" s="32" t="n">
        <x:v>0.4384</x:v>
      </x:c>
      <x:c r="H193" s="32" t="n">
        <x:v>0.9145</x:v>
      </x:c>
      <x:c r="I193" s="40" t="n">
        <x:v>2</x:v>
      </x:c>
      <x:c r="J193" s="40" t="n">
        <x:v>2</x:v>
      </x:c>
      <x:c r="K193" s="40" t="n">
        <x:v>1</x:v>
      </x:c>
      <x:c r="L193" s="40" t="n">
        <x:v>1</x:v>
      </x:c>
    </x:row>
    <x:row r="194" ht="23" customHeight="1">
      <x:c r="B194" s="17" t="str">
        <x:v>All rounds</x:v>
      </x:c>
      <x:c r="C194" s="17" t="str">
        <x:v>line</x:v>
      </x:c>
      <x:c r="D194" s="17" t="str">
        <x:v>Lang_23</x:v>
      </x:c>
      <x:c r="E194" s="32" t="n">
        <x:v>0.4251</x:v>
      </x:c>
      <x:c r="F194" s="32" t="n">
        <x:v>0.10779999999999999</x:v>
      </x:c>
      <x:c r="G194" s="32" t="n">
        <x:v>0.521</x:v>
      </x:c>
      <x:c r="H194" s="32" t="n">
        <x:v>0.9340999999999999</x:v>
      </x:c>
      <x:c r="I194" s="40" t="n">
        <x:v>2</x:v>
      </x:c>
      <x:c r="J194" s="40" t="n">
        <x:v>2</x:v>
      </x:c>
      <x:c r="K194" s="40" t="n">
        <x:v>2</x:v>
      </x:c>
      <x:c r="L194" s="40" t="n">
        <x:v>1</x:v>
      </x:c>
    </x:row>
    <x:row r="195" ht="23" customHeight="1">
      <x:c r="B195" s="17" t="str">
        <x:v>All rounds</x:v>
      </x:c>
      <x:c r="C195" s="17" t="str">
        <x:v>line</x:v>
      </x:c>
      <x:c r="D195" s="17" t="str">
        <x:v>Lang_24</x:v>
      </x:c>
      <x:c r="E195" s="32" t="n">
        <x:v>0.9388</x:v>
      </x:c>
      <x:c r="F195" s="32" t="n">
        <x:v>0.6941499999999999</x:v>
      </x:c>
      <x:c r="G195" s="32" t="n">
        <x:v>0.6489</x:v>
      </x:c>
      <x:c r="H195" s="32" t="n">
        <x:v>0.9814</x:v>
      </x:c>
      <x:c r="I195" s="40" t="n">
        <x:v>2</x:v>
      </x:c>
      <x:c r="J195" s="40" t="n">
        <x:v>2</x:v>
      </x:c>
      <x:c r="K195" s="40" t="n">
        <x:v>2</x:v>
      </x:c>
      <x:c r="L195" s="40" t="n">
        <x:v>1</x:v>
      </x:c>
    </x:row>
    <x:row r="196" ht="23" customHeight="1">
      <x:c r="B196" s="17" t="str">
        <x:v>All rounds</x:v>
      </x:c>
      <x:c r="C196" s="17" t="str">
        <x:v>line</x:v>
      </x:c>
      <x:c r="D196" s="17" t="str">
        <x:v>Lang_27</x:v>
      </x:c>
      <x:c r="E196" s="32" t="n">
        <x:v>0.9358</x:v>
      </x:c>
      <x:c r="F196" s="32" t="n">
        <x:v>0.69785</x:v>
      </x:c>
      <x:c r="G196" s="32" t="n">
        <x:v>0.7086</x:v>
      </x:c>
      <x:c r="H196" s="32" t="n">
        <x:v>0.9599</x:v>
      </x:c>
      <x:c r="I196" s="40" t="n">
        <x:v>2</x:v>
      </x:c>
      <x:c r="J196" s="40" t="n">
        <x:v>2</x:v>
      </x:c>
      <x:c r="K196" s="40" t="n">
        <x:v>2</x:v>
      </x:c>
      <x:c r="L196" s="40" t="n">
        <x:v>1</x:v>
      </x:c>
    </x:row>
    <x:row r="197" ht="23" customHeight="1">
      <x:c r="B197" s="17" t="str">
        <x:v>All rounds</x:v>
      </x:c>
      <x:c r="C197" s="17" t="str">
        <x:v>line</x:v>
      </x:c>
      <x:c r="D197" s="17" t="str">
        <x:v>Lang_28</x:v>
      </x:c>
      <x:c r="E197" s="32" t="n">
        <x:v>0.15</x:v>
      </x:c>
      <x:c r="F197" s="32" t="n">
        <x:v>0.15</x:v>
      </x:c>
      <x:c r="G197" s="32" t="n">
        <x:v>0.95</x:v>
      </x:c>
      <x:c r="H197" s="32" t="n">
        <x:v>1</x:v>
      </x:c>
      <x:c r="I197" s="40" t="n">
        <x:v>2</x:v>
      </x:c>
      <x:c r="J197" s="40" t="n">
        <x:v>2</x:v>
      </x:c>
      <x:c r="K197" s="40" t="n">
        <x:v>2</x:v>
      </x:c>
      <x:c r="L197" s="40" t="n">
        <x:v>1</x:v>
      </x:c>
    </x:row>
    <x:row r="198" ht="23" customHeight="1">
      <x:c r="B198" s="17" t="str">
        <x:v>All rounds</x:v>
      </x:c>
      <x:c r="C198" s="17" t="str">
        <x:v>line</x:v>
      </x:c>
      <x:c r="D198" s="17" t="str">
        <x:v>Lang_3</x:v>
      </x:c>
      <x:c r="E198" s="32" t="n">
        <x:v>0.9437000000000001</x:v>
      </x:c>
      <x:c r="F198" s="32" t="n">
        <x:v>0.66085</x:v>
      </x:c>
      <x:c r="G198" s="32" t="n">
        <x:v>0.6568</x:v>
      </x:c>
      <x:c r="H198" s="32" t="n">
        <x:v>0.9490999999999999</x:v>
      </x:c>
      <x:c r="I198" s="40" t="n">
        <x:v>2</x:v>
      </x:c>
      <x:c r="J198" s="40" t="n">
        <x:v>2</x:v>
      </x:c>
      <x:c r="K198" s="40" t="n">
        <x:v>1</x:v>
      </x:c>
      <x:c r="L198" s="40" t="n">
        <x:v>1</x:v>
      </x:c>
    </x:row>
    <x:row r="199" ht="23" customHeight="1">
      <x:c r="B199" s="17" t="str">
        <x:v>All rounds</x:v>
      </x:c>
      <x:c r="C199" s="17" t="str">
        <x:v>line</x:v>
      </x:c>
      <x:c r="D199" s="17" t="str">
        <x:v>Lang_32</x:v>
      </x:c>
      <x:c r="E199" s="32" t="n">
        <x:v>0.8973</x:v>
      </x:c>
      <x:c r="F199" s="32" t="n">
        <x:v>0.9486500000000001</x:v>
      </x:c>
      <x:c r="G199" s="32" t="n">
        <x:v>0.8219</x:v>
      </x:c>
      <x:c r="H199" s="32" t="n">
        <x:v>0.4384</x:v>
      </x:c>
      <x:c r="I199" s="40" t="n">
        <x:v>2</x:v>
      </x:c>
      <x:c r="J199" s="40" t="n">
        <x:v>2</x:v>
      </x:c>
      <x:c r="K199" s="40" t="n">
        <x:v>1</x:v>
      </x:c>
      <x:c r="L199" s="40" t="n">
        <x:v>1</x:v>
      </x:c>
    </x:row>
    <x:row r="200" ht="23" customHeight="1">
      <x:c r="B200" s="17" t="str">
        <x:v>All rounds</x:v>
      </x:c>
      <x:c r="C200" s="17" t="str">
        <x:v>line</x:v>
      </x:c>
      <x:c r="D200" s="17" t="str">
        <x:v>Lang_34</x:v>
      </x:c>
      <x:c r="E200" s="32" t="n">
        <x:v>0</x:v>
      </x:c>
      <x:c r="F200" s="32" t="n">
        <x:v>0.59515</x:v>
      </x:c>
      <x:c r="G200" s="32" t="n">
        <x:v>0.8776999999999999</x:v>
      </x:c>
      <x:c r="H200" s="32" t="n">
        <x:v>0.3262</x:v>
      </x:c>
      <x:c r="I200" s="40" t="n">
        <x:v>2</x:v>
      </x:c>
      <x:c r="J200" s="40" t="n">
        <x:v>2</x:v>
      </x:c>
      <x:c r="K200" s="40" t="n">
        <x:v>1</x:v>
      </x:c>
      <x:c r="L200" s="40" t="n">
        <x:v>1</x:v>
      </x:c>
    </x:row>
    <x:row r="201" ht="23" customHeight="1">
      <x:c r="B201" s="17" t="str">
        <x:v>All rounds</x:v>
      </x:c>
      <x:c r="C201" s="17" t="str">
        <x:v>line</x:v>
      </x:c>
      <x:c r="D201" s="17" t="str">
        <x:v>Lang_35</x:v>
      </x:c>
      <x:c r="E201" s="32" t="n">
        <x:v>0.9834</x:v>
      </x:c>
      <x:c r="F201" s="32" t="n">
        <x:v>0.98705</x:v>
      </x:c>
      <x:c r="G201" s="32" t="n">
        <x:v>0.166</x:v>
      </x:c>
      <x:c r="H201" s="32" t="n">
        <x:v>0.0757</x:v>
      </x:c>
      <x:c r="I201" s="40" t="n">
        <x:v>2</x:v>
      </x:c>
      <x:c r="J201" s="40" t="n">
        <x:v>2</x:v>
      </x:c>
      <x:c r="K201" s="40" t="n">
        <x:v>1</x:v>
      </x:c>
      <x:c r="L201" s="40" t="n">
        <x:v>1</x:v>
      </x:c>
    </x:row>
    <x:row r="202" ht="23" customHeight="1">
      <x:c r="B202" s="17" t="str">
        <x:v>All rounds</x:v>
      </x:c>
      <x:c r="C202" s="17" t="str">
        <x:v>line</x:v>
      </x:c>
      <x:c r="D202" s="17" t="str">
        <x:v>Lang_37</x:v>
      </x:c>
      <x:c r="E202" s="32" t="n">
        <x:v>0.9895</x:v>
      </x:c>
      <x:c r="F202" s="32" t="n">
        <x:v>0.9847499999999999</x:v>
      </x:c>
      <x:c r="G202" s="32" t="n">
        <x:v>0.225</x:v>
      </x:c>
      <x:c r="H202" s="32" t="n">
        <x:v>0.0747</x:v>
      </x:c>
      <x:c r="I202" s="40" t="n">
        <x:v>2</x:v>
      </x:c>
      <x:c r="J202" s="40" t="n">
        <x:v>2</x:v>
      </x:c>
      <x:c r="K202" s="40" t="n">
        <x:v>1</x:v>
      </x:c>
      <x:c r="L202" s="40" t="n">
        <x:v>1</x:v>
      </x:c>
    </x:row>
    <x:row r="203" ht="23" customHeight="1">
      <x:c r="B203" s="17" t="str">
        <x:v>All rounds</x:v>
      </x:c>
      <x:c r="C203" s="17" t="str">
        <x:v>line</x:v>
      </x:c>
      <x:c r="D203" s="17" t="str">
        <x:v>Lang_4</x:v>
      </x:c>
      <x:c r="E203" s="32" t="n">
        <x:v>1</x:v>
      </x:c>
      <x:c r="F203" s="32" t="n">
        <x:v>1</x:v>
      </x:c>
      <x:c r="G203" s="32" t="n">
        <x:v>1</x:v>
      </x:c>
      <x:c r="H203" s="32" t="n">
        <x:v>1</x:v>
      </x:c>
      <x:c r="I203" s="40" t="n">
        <x:v>2</x:v>
      </x:c>
      <x:c r="J203" s="40" t="n">
        <x:v>2</x:v>
      </x:c>
      <x:c r="K203" s="40" t="n">
        <x:v>2</x:v>
      </x:c>
      <x:c r="L203" s="40" t="n">
        <x:v>1</x:v>
      </x:c>
    </x:row>
    <x:row r="204" ht="23" customHeight="1">
      <x:c r="B204" s="17" t="str">
        <x:v>All rounds</x:v>
      </x:c>
      <x:c r="C204" s="17" t="str">
        <x:v>line</x:v>
      </x:c>
      <x:c r="D204" s="17" t="str">
        <x:v>Lang_40</x:v>
      </x:c>
      <x:c r="E204" s="32" t="n">
        <x:v>0.9544</x:v>
      </x:c>
      <x:c r="F204" s="32" t="n">
        <x:v>0.8754500000000001</x:v>
      </x:c>
      <x:c r="G204" s="32" t="n">
        <x:v>0.25</x:v>
      </x:c>
      <x:c r="H204" s="32" t="n">
        <x:v>0.0602</x:v>
      </x:c>
      <x:c r="I204" s="40" t="n">
        <x:v>2</x:v>
      </x:c>
      <x:c r="J204" s="40" t="n">
        <x:v>2</x:v>
      </x:c>
      <x:c r="K204" s="40" t="n">
        <x:v>1</x:v>
      </x:c>
      <x:c r="L204" s="40" t="n">
        <x:v>1</x:v>
      </x:c>
    </x:row>
    <x:row r="205" ht="23" customHeight="1">
      <x:c r="B205" s="17" t="str">
        <x:v>All rounds</x:v>
      </x:c>
      <x:c r="C205" s="17" t="str">
        <x:v>line</x:v>
      </x:c>
      <x:c r="D205" s="17" t="str">
        <x:v>Lang_42</x:v>
      </x:c>
      <x:c r="E205" s="32" t="n">
        <x:v>0.8986</x:v>
      </x:c>
      <x:c r="F205" s="32" t="n">
        <x:v>0.715</x:v>
      </x:c>
      <x:c r="G205" s="32" t="n">
        <x:v>0.5652</x:v>
      </x:c>
      <x:c r="H205" s="32" t="n">
        <x:v>0.4396</x:v>
      </x:c>
      <x:c r="I205" s="40" t="n">
        <x:v>2</x:v>
      </x:c>
      <x:c r="J205" s="40" t="n">
        <x:v>2</x:v>
      </x:c>
      <x:c r="K205" s="40" t="n">
        <x:v>1</x:v>
      </x:c>
      <x:c r="L205" s="40" t="n">
        <x:v>1</x:v>
      </x:c>
    </x:row>
    <x:row r="206" ht="23" customHeight="1">
      <x:c r="B206" s="17" t="str">
        <x:v>All rounds</x:v>
      </x:c>
      <x:c r="C206" s="17" t="str">
        <x:v>line</x:v>
      </x:c>
      <x:c r="D206" s="17" t="str">
        <x:v>Lang_44</x:v>
      </x:c>
      <x:c r="E206" s="32" t="n">
        <x:v>0.8684000000000001</x:v>
      </x:c>
      <x:c r="F206" s="32" t="n">
        <x:v>0.5</x:v>
      </x:c>
      <x:c r="G206" s="32" t="n">
        <x:v>0.6526000000000001</x:v>
      </x:c>
      <x:c r="H206" s="32" t="n">
        <x:v>0.4</x:v>
      </x:c>
      <x:c r="I206" s="40" t="n">
        <x:v>2</x:v>
      </x:c>
      <x:c r="J206" s="40" t="n">
        <x:v>2</x:v>
      </x:c>
      <x:c r="K206" s="40" t="n">
        <x:v>2</x:v>
      </x:c>
      <x:c r="L206" s="40" t="n">
        <x:v>1</x:v>
      </x:c>
    </x:row>
    <x:row r="207" ht="23" customHeight="1">
      <x:c r="B207" s="17" t="str">
        <x:v>All rounds</x:v>
      </x:c>
      <x:c r="C207" s="17" t="str">
        <x:v>line</x:v>
      </x:c>
      <x:c r="D207" s="17" t="str">
        <x:v>Lang_49</x:v>
      </x:c>
      <x:c r="E207" s="32" t="n">
        <x:v>0.9783</x:v>
      </x:c>
      <x:c r="F207" s="32" t="n">
        <x:v>0.92755</x:v>
      </x:c>
      <x:c r="G207" s="32" t="n">
        <x:v>0.9348000000000001</x:v>
      </x:c>
      <x:c r="H207" s="32" t="n">
        <x:v>0.3442</x:v>
      </x:c>
      <x:c r="I207" s="40" t="n">
        <x:v>2</x:v>
      </x:c>
      <x:c r="J207" s="40" t="n">
        <x:v>2</x:v>
      </x:c>
      <x:c r="K207" s="40" t="n">
        <x:v>2</x:v>
      </x:c>
      <x:c r="L207" s="40" t="n">
        <x:v>1</x:v>
      </x:c>
    </x:row>
    <x:row r="208" ht="23" customHeight="1">
      <x:c r="B208" s="17" t="str">
        <x:v>All rounds</x:v>
      </x:c>
      <x:c r="C208" s="17" t="str">
        <x:v>line</x:v>
      </x:c>
      <x:c r="D208" s="17" t="str">
        <x:v>Lang_5</x:v>
      </x:c>
      <x:c r="E208" s="32" t="n">
        <x:v>0.8170999999999999</x:v>
      </x:c>
      <x:c r="F208" s="32" t="n">
        <x:v>0.6463</x:v>
      </x:c>
      <x:c r="G208" s="32" t="n">
        <x:v>0.9390000000000001</x:v>
      </x:c>
      <x:c r="H208" s="32" t="n">
        <x:v>1</x:v>
      </x:c>
      <x:c r="I208" s="40" t="n">
        <x:v>2</x:v>
      </x:c>
      <x:c r="J208" s="40" t="n">
        <x:v>2</x:v>
      </x:c>
      <x:c r="K208" s="40" t="n">
        <x:v>2</x:v>
      </x:c>
      <x:c r="L208" s="40" t="n">
        <x:v>1</x:v>
      </x:c>
    </x:row>
    <x:row r="209" ht="23" customHeight="1">
      <x:c r="B209" s="17" t="str">
        <x:v>All rounds</x:v>
      </x:c>
      <x:c r="C209" s="17" t="str">
        <x:v>line</x:v>
      </x:c>
      <x:c r="D209" s="17" t="str">
        <x:v>Lang_51</x:v>
      </x:c>
      <x:c r="E209" s="32" t="n">
        <x:v>0.9708</x:v>
      </x:c>
      <x:c r="F209" s="32" t="n">
        <x:v>0.7426999999999999</x:v>
      </x:c>
      <x:c r="G209" s="32" t="n">
        <x:v>0.9064</x:v>
      </x:c>
      <x:c r="H209" s="32" t="n">
        <x:v>0.152</x:v>
      </x:c>
      <x:c r="I209" s="40" t="n">
        <x:v>2</x:v>
      </x:c>
      <x:c r="J209" s="40" t="n">
        <x:v>2</x:v>
      </x:c>
      <x:c r="K209" s="40" t="n">
        <x:v>2</x:v>
      </x:c>
      <x:c r="L209" s="40" t="n">
        <x:v>1</x:v>
      </x:c>
    </x:row>
    <x:row r="210" ht="23" customHeight="1">
      <x:c r="B210" s="17" t="str">
        <x:v>All rounds</x:v>
      </x:c>
      <x:c r="C210" s="17" t="str">
        <x:v>line</x:v>
      </x:c>
      <x:c r="D210" s="17" t="str">
        <x:v>Lang_54</x:v>
      </x:c>
      <x:c r="E210" s="32" t="n">
        <x:v>0.8861</x:v>
      </x:c>
      <x:c r="F210" s="32" t="n">
        <x:v>0.6329</x:v>
      </x:c>
      <x:c r="G210" s="32" t="n">
        <x:v>0.9494</x:v>
      </x:c>
      <x:c r="H210" s="32" t="n">
        <x:v>0.4304</x:v>
      </x:c>
      <x:c r="I210" s="40" t="n">
        <x:v>2</x:v>
      </x:c>
      <x:c r="J210" s="40" t="n">
        <x:v>2</x:v>
      </x:c>
      <x:c r="K210" s="40" t="n">
        <x:v>2</x:v>
      </x:c>
      <x:c r="L210" s="40" t="n">
        <x:v>1</x:v>
      </x:c>
    </x:row>
    <x:row r="211" ht="23" customHeight="1">
      <x:c r="B211" s="17" t="str">
        <x:v>All rounds</x:v>
      </x:c>
      <x:c r="C211" s="17" t="str">
        <x:v>line</x:v>
      </x:c>
      <x:c r="D211" s="17" t="str">
        <x:v>Lang_55</x:v>
      </x:c>
      <x:c r="E211" s="32" t="n">
        <x:v>0.9825</x:v>
      </x:c>
      <x:c r="F211" s="32" t="n">
        <x:v>0.9825</x:v>
      </x:c>
      <x:c r="G211" s="32" t="n">
        <x:v>0.9298000000000001</x:v>
      </x:c>
      <x:c r="H211" s="32" t="n">
        <x:v>0.7719</x:v>
      </x:c>
      <x:c r="I211" s="40" t="n">
        <x:v>2</x:v>
      </x:c>
      <x:c r="J211" s="40" t="n">
        <x:v>2</x:v>
      </x:c>
      <x:c r="K211" s="40" t="n">
        <x:v>2</x:v>
      </x:c>
      <x:c r="L211" s="40" t="n">
        <x:v>1</x:v>
      </x:c>
    </x:row>
    <x:row r="212" ht="23" customHeight="1">
      <x:c r="B212" s="17" t="str">
        <x:v>All rounds</x:v>
      </x:c>
      <x:c r="C212" s="17" t="str">
        <x:v>line</x:v>
      </x:c>
      <x:c r="D212" s="17" t="str">
        <x:v>Lang_57</x:v>
      </x:c>
      <x:c r="E212" s="32" t="n">
        <x:v>0.8861</x:v>
      </x:c>
      <x:c r="F212" s="32" t="n">
        <x:v>0.6265999999999999</x:v>
      </x:c>
      <x:c r="G212" s="32" t="n">
        <x:v>0.9747</x:v>
      </x:c>
      <x:c r="H212" s="32" t="n">
        <x:v>0.4177</x:v>
      </x:c>
      <x:c r="I212" s="40" t="n">
        <x:v>2</x:v>
      </x:c>
      <x:c r="J212" s="40" t="n">
        <x:v>2</x:v>
      </x:c>
      <x:c r="K212" s="40" t="n">
        <x:v>2</x:v>
      </x:c>
      <x:c r="L212" s="40" t="n">
        <x:v>1</x:v>
      </x:c>
    </x:row>
    <x:row r="213" ht="23" customHeight="1">
      <x:c r="B213" s="17" t="str">
        <x:v>All rounds</x:v>
      </x:c>
      <x:c r="C213" s="17" t="str">
        <x:v>line</x:v>
      </x:c>
      <x:c r="D213" s="17" t="str">
        <x:v>Lang_58</x:v>
      </x:c>
      <x:c r="E213" s="32" t="n">
        <x:v>0.9287000000000001</x:v>
      </x:c>
      <x:c r="F213" s="32" t="n">
        <x:v>0.7344499999999999</x:v>
      </x:c>
      <x:c r="G213" s="32" t="n">
        <x:v>0.8069</x:v>
      </x:c>
      <x:c r="H213" s="32" t="n">
        <x:v>0.2345</x:v>
      </x:c>
      <x:c r="I213" s="40" t="n">
        <x:v>2</x:v>
      </x:c>
      <x:c r="J213" s="40" t="n">
        <x:v>2</x:v>
      </x:c>
      <x:c r="K213" s="40" t="n">
        <x:v>2</x:v>
      </x:c>
      <x:c r="L213" s="40" t="n">
        <x:v>1</x:v>
      </x:c>
    </x:row>
    <x:row r="214" ht="23" customHeight="1">
      <x:c r="B214" s="17" t="str">
        <x:v>All rounds</x:v>
      </x:c>
      <x:c r="C214" s="17" t="str">
        <x:v>line</x:v>
      </x:c>
      <x:c r="D214" s="17" t="str">
        <x:v>Lang_6</x:v>
      </x:c>
      <x:c r="E214" s="32" t="n">
        <x:v>0.9333</x:v>
      </x:c>
      <x:c r="F214" s="32" t="n">
        <x:v>0.0333</x:v>
      </x:c>
      <x:c r="G214" s="32" t="n">
        <x:v>1</x:v>
      </x:c>
      <x:c r="H214" s="32" t="n">
        <x:v>1</x:v>
      </x:c>
      <x:c r="I214" s="40" t="n">
        <x:v>2</x:v>
      </x:c>
      <x:c r="J214" s="40" t="n">
        <x:v>2</x:v>
      </x:c>
      <x:c r="K214" s="40" t="n">
        <x:v>2</x:v>
      </x:c>
      <x:c r="L214" s="40" t="n">
        <x:v>1</x:v>
      </x:c>
    </x:row>
    <x:row r="215" ht="23" customHeight="1">
      <x:c r="B215" s="17" t="str">
        <x:v>All rounds</x:v>
      </x:c>
      <x:c r="C215" s="17" t="str">
        <x:v>line</x:v>
      </x:c>
      <x:c r="D215" s="17" t="str">
        <x:v>Lang_62</x:v>
      </x:c>
      <x:c r="E215" s="32" t="n">
        <x:v>0.8548</x:v>
      </x:c>
      <x:c r="F215" s="32" t="n">
        <x:v>0.6265999999999999</x:v>
      </x:c>
      <x:c r="G215" s="32" t="n">
        <x:v>0.6017</x:v>
      </x:c>
      <x:c r="H215" s="32" t="n">
        <x:v>0.32780000000000004</x:v>
      </x:c>
      <x:c r="I215" s="40" t="n">
        <x:v>2</x:v>
      </x:c>
      <x:c r="J215" s="40" t="n">
        <x:v>2</x:v>
      </x:c>
      <x:c r="K215" s="40" t="n">
        <x:v>1</x:v>
      </x:c>
      <x:c r="L215" s="40" t="n">
        <x:v>1</x:v>
      </x:c>
    </x:row>
    <x:row r="216" ht="23" customHeight="1">
      <x:c r="B216" s="17" t="str">
        <x:v>All rounds</x:v>
      </x:c>
      <x:c r="C216" s="17" t="str">
        <x:v>line</x:v>
      </x:c>
      <x:c r="D216" s="17" t="str">
        <x:v>Lang_63</x:v>
      </x:c>
      <x:c r="E216" s="32" t="n">
        <x:v>0.9286</x:v>
      </x:c>
      <x:c r="F216" s="32" t="n">
        <x:v>0.7242000000000001</x:v>
      </x:c>
      <x:c r="G216" s="32" t="n">
        <x:v>0.6349</x:v>
      </x:c>
      <x:c r="H216" s="32" t="n">
        <x:v>0.5317000000000001</x:v>
      </x:c>
      <x:c r="I216" s="40" t="n">
        <x:v>2</x:v>
      </x:c>
      <x:c r="J216" s="40" t="n">
        <x:v>2</x:v>
      </x:c>
      <x:c r="K216" s="40" t="n">
        <x:v>2</x:v>
      </x:c>
      <x:c r="L216" s="40" t="n">
        <x:v>1</x:v>
      </x:c>
    </x:row>
    <x:row r="217" ht="23" customHeight="1">
      <x:c r="B217" s="17" t="str">
        <x:v>All rounds</x:v>
      </x:c>
      <x:c r="C217" s="17" t="str">
        <x:v>line</x:v>
      </x:c>
      <x:c r="D217" s="17" t="str">
        <x:v>Lang_64</x:v>
      </x:c>
      <x:c r="E217" s="32" t="n">
        <x:v>0.16670000000000001</x:v>
      </x:c>
      <x:c r="F217" s="32" t="n">
        <x:v>0.16670000000000001</x:v>
      </x:c>
      <x:c r="G217" s="32" t="n">
        <x:v>0.22219999999999998</x:v>
      </x:c>
      <x:c r="H217" s="32" t="n">
        <x:v>0.6667000000000001</x:v>
      </x:c>
      <x:c r="I217" s="40" t="n">
        <x:v>2</x:v>
      </x:c>
      <x:c r="J217" s="40" t="n">
        <x:v>2</x:v>
      </x:c>
      <x:c r="K217" s="40" t="n">
        <x:v>2</x:v>
      </x:c>
      <x:c r="L217" s="40" t="n">
        <x:v>1</x:v>
      </x:c>
    </x:row>
    <x:row r="218" ht="23" customHeight="1">
      <x:c r="B218" s="17" t="str">
        <x:v>All rounds</x:v>
      </x:c>
      <x:c r="C218" s="17" t="str">
        <x:v>line</x:v>
      </x:c>
      <x:c r="D218" s="17" t="str">
        <x:v>Lang_7</x:v>
      </x:c>
      <x:c r="E218" s="32" t="n">
        <x:v>0.9526</x:v>
      </x:c>
      <x:c r="F218" s="32" t="n">
        <x:v>0.6842</x:v>
      </x:c>
      <x:c r="G218" s="32" t="n">
        <x:v>0.7237</x:v>
      </x:c>
      <x:c r="H218" s="32" t="n">
        <x:v>0.9553</x:v>
      </x:c>
      <x:c r="I218" s="40" t="n">
        <x:v>2</x:v>
      </x:c>
      <x:c r="J218" s="40" t="n">
        <x:v>2</x:v>
      </x:c>
      <x:c r="K218" s="40" t="n">
        <x:v>2</x:v>
      </x:c>
      <x:c r="L218" s="40" t="n">
        <x:v>1</x:v>
      </x:c>
    </x:row>
    <x:row r="219" ht="23" customHeight="1">
      <x:c r="B219" s="17" t="str">
        <x:v>All rounds</x:v>
      </x:c>
      <x:c r="C219" s="17" t="str">
        <x:v>line</x:v>
      </x:c>
      <x:c r="D219" s="17" t="str">
        <x:v>Lang_8</x:v>
      </x:c>
      <x:c r="E219" s="32" t="n">
        <x:v>0.8665</x:v>
      </x:c>
      <x:c r="F219" s="32" t="n">
        <x:v>0.053399999999999996</x:v>
      </x:c>
      <x:c r="G219" s="32" t="n">
        <x:v>0.6291</x:v>
      </x:c>
      <x:c r="H219" s="32" t="n">
        <x:v>0.9732999999999999</x:v>
      </x:c>
      <x:c r="I219" s="40" t="n">
        <x:v>2</x:v>
      </x:c>
      <x:c r="J219" s="40" t="n">
        <x:v>2</x:v>
      </x:c>
      <x:c r="K219" s="40" t="n">
        <x:v>2</x:v>
      </x:c>
      <x:c r="L219" s="40" t="n">
        <x:v>1</x:v>
      </x:c>
    </x:row>
    <x:row r="220" ht="23" customHeight="1">
      <x:c r="B220" s="17" t="str">
        <x:v>All rounds</x:v>
      </x:c>
      <x:c r="C220" s="17" t="str">
        <x:v>line</x:v>
      </x:c>
      <x:c r="D220" s="17" t="str">
        <x:v>Math_1</x:v>
      </x:c>
      <x:c r="E220" s="32" t="n">
        <x:v>0.9718000000000001</x:v>
      </x:c>
      <x:c r="F220" s="32" t="n">
        <x:v>0.91645</x:v>
      </x:c>
      <x:c r="G220" s="32" t="n">
        <x:v>0.8493999999999999</x:v>
      </x:c>
      <x:c r="H220" s="32" t="n">
        <x:v>0.3718</x:v>
      </x:c>
      <x:c r="I220" s="40" t="n">
        <x:v>2</x:v>
      </x:c>
      <x:c r="J220" s="40" t="n">
        <x:v>2</x:v>
      </x:c>
      <x:c r="K220" s="40" t="n">
        <x:v>2</x:v>
      </x:c>
      <x:c r="L220" s="40" t="n">
        <x:v>1</x:v>
      </x:c>
    </x:row>
    <x:row r="221" ht="23" customHeight="1">
      <x:c r="B221" s="17" t="str">
        <x:v>All rounds</x:v>
      </x:c>
      <x:c r="C221" s="17" t="str">
        <x:v>line</x:v>
      </x:c>
      <x:c r="D221" s="17" t="str">
        <x:v>Math_10</x:v>
      </x:c>
      <x:c r="E221" s="32" t="n">
        <x:v>0.8065000000000001</x:v>
      </x:c>
      <x:c r="F221" s="32" t="n">
        <x:v>0.45844999999999997</x:v>
      </x:c>
      <x:c r="G221" s="32" t="n">
        <x:v>0.8170000000000001</x:v>
      </x:c>
      <x:c r="H221" s="32" t="n">
        <x:v>0.0018</x:v>
      </x:c>
      <x:c r="I221" s="40" t="n">
        <x:v>2</x:v>
      </x:c>
      <x:c r="J221" s="40" t="n">
        <x:v>2</x:v>
      </x:c>
      <x:c r="K221" s="40" t="n">
        <x:v>2</x:v>
      </x:c>
      <x:c r="L221" s="40" t="n">
        <x:v>1</x:v>
      </x:c>
    </x:row>
    <x:row r="222" ht="23" customHeight="1">
      <x:c r="B222" s="17" t="str">
        <x:v>All rounds</x:v>
      </x:c>
      <x:c r="C222" s="17" t="str">
        <x:v>line</x:v>
      </x:c>
      <x:c r="D222" s="17" t="str">
        <x:v>Math_101</x:v>
      </x:c>
      <x:c r="E222" s="32" t="n">
        <x:v>0.993</x:v>
      </x:c>
      <x:c r="F222" s="32" t="n">
        <x:v>0.7413</x:v>
      </x:c>
      <x:c r="G222" s="32" t="n">
        <x:v>0.951</x:v>
      </x:c>
      <x:c r="H222" s="32" t="n">
        <x:v>0</x:v>
      </x:c>
      <x:c r="I222" s="40" t="n">
        <x:v>2</x:v>
      </x:c>
      <x:c r="J222" s="40" t="n">
        <x:v>2</x:v>
      </x:c>
      <x:c r="K222" s="40" t="n">
        <x:v>2</x:v>
      </x:c>
      <x:c r="L222" s="40" t="n">
        <x:v>1</x:v>
      </x:c>
    </x:row>
    <x:row r="223" ht="23" customHeight="1">
      <x:c r="B223" s="17" t="str">
        <x:v>All rounds</x:v>
      </x:c>
      <x:c r="C223" s="17" t="str">
        <x:v>line</x:v>
      </x:c>
      <x:c r="D223" s="17" t="str">
        <x:v>Math_102</x:v>
      </x:c>
      <x:c r="E223" s="32" t="n">
        <x:v>1</x:v>
      </x:c>
      <x:c r="F223" s="32" t="n">
        <x:v>0.9594499999999999</x:v>
      </x:c>
      <x:c r="G223" s="32" t="n">
        <x:v>0.991</x:v>
      </x:c>
      <x:c r="H223" s="32" t="n">
        <x:v>0</x:v>
      </x:c>
      <x:c r="I223" s="40" t="n">
        <x:v>2</x:v>
      </x:c>
      <x:c r="J223" s="40" t="n">
        <x:v>2</x:v>
      </x:c>
      <x:c r="K223" s="40" t="n">
        <x:v>1</x:v>
      </x:c>
      <x:c r="L223" s="40" t="n">
        <x:v>1</x:v>
      </x:c>
    </x:row>
    <x:row r="224" ht="23" customHeight="1">
      <x:c r="B224" s="17" t="str">
        <x:v>All rounds</x:v>
      </x:c>
      <x:c r="C224" s="17" t="str">
        <x:v>line</x:v>
      </x:c>
      <x:c r="D224" s="17" t="str">
        <x:v>Math_104</x:v>
      </x:c>
      <x:c r="E224" s="32" t="n">
        <x:v>0.9573999999999999</x:v>
      </x:c>
      <x:c r="F224" s="32" t="n">
        <x:v>0.9573999999999999</x:v>
      </x:c>
      <x:c r="G224" s="32" t="n">
        <x:v>0.8936</x:v>
      </x:c>
      <x:c r="H224" s="32" t="n">
        <x:v>0.7659999999999999</x:v>
      </x:c>
      <x:c r="I224" s="40" t="n">
        <x:v>2</x:v>
      </x:c>
      <x:c r="J224" s="40" t="n">
        <x:v>2</x:v>
      </x:c>
      <x:c r="K224" s="40" t="n">
        <x:v>2</x:v>
      </x:c>
      <x:c r="L224" s="40" t="n">
        <x:v>1</x:v>
      </x:c>
    </x:row>
    <x:row r="225" ht="23" customHeight="1">
      <x:c r="B225" s="17" t="str">
        <x:v>All rounds</x:v>
      </x:c>
      <x:c r="C225" s="17" t="str">
        <x:v>line</x:v>
      </x:c>
      <x:c r="D225" s="17" t="str">
        <x:v>Math_105</x:v>
      </x:c>
      <x:c r="E225" s="32" t="n">
        <x:v>1</x:v>
      </x:c>
      <x:c r="F225" s="32" t="n">
        <x:v>0.9788499999999999</x:v>
      </x:c>
      <x:c r="G225" s="32" t="n">
        <x:v>1</x:v>
      </x:c>
      <x:c r="H225" s="32" t="n">
        <x:v>0.7323999999999999</x:v>
      </x:c>
      <x:c r="I225" s="40" t="n">
        <x:v>2</x:v>
      </x:c>
      <x:c r="J225" s="40" t="n">
        <x:v>2</x:v>
      </x:c>
      <x:c r="K225" s="40" t="n">
        <x:v>2</x:v>
      </x:c>
      <x:c r="L225" s="40" t="n">
        <x:v>1</x:v>
      </x:c>
    </x:row>
    <x:row r="226" ht="23" customHeight="1">
      <x:c r="B226" s="17" t="str">
        <x:v>All rounds</x:v>
      </x:c>
      <x:c r="C226" s="17" t="str">
        <x:v>line</x:v>
      </x:c>
      <x:c r="D226" s="17" t="str">
        <x:v>Math_106</x:v>
      </x:c>
      <x:c r="E226" s="32" t="n">
        <x:v>1</x:v>
      </x:c>
      <x:c r="F226" s="32" t="n">
        <x:v>0.8595999999999999</x:v>
      </x:c>
      <x:c r="G226" s="32" t="n">
        <x:v>0.8946999999999999</x:v>
      </x:c>
      <x:c r="H226" s="32" t="n">
        <x:v>0.807</x:v>
      </x:c>
      <x:c r="I226" s="40" t="n">
        <x:v>2</x:v>
      </x:c>
      <x:c r="J226" s="40" t="n">
        <x:v>2</x:v>
      </x:c>
      <x:c r="K226" s="40" t="n">
        <x:v>2</x:v>
      </x:c>
      <x:c r="L226" s="40" t="n">
        <x:v>1</x:v>
      </x:c>
    </x:row>
    <x:row r="227" ht="23" customHeight="1">
      <x:c r="B227" s="17" t="str">
        <x:v>All rounds</x:v>
      </x:c>
      <x:c r="C227" s="17" t="str">
        <x:v>line</x:v>
      </x:c>
      <x:c r="D227" s="17" t="str">
        <x:v>Math_11</x:v>
      </x:c>
      <x:c r="E227" s="32" t="n">
        <x:v>1</x:v>
      </x:c>
      <x:c r="F227" s="32" t="n">
        <x:v>1</x:v>
      </x:c>
      <x:c r="G227" s="32" t="n">
        <x:v>1</x:v>
      </x:c>
      <x:c r="H227" s="32" t="n">
        <x:v>0</x:v>
      </x:c>
      <x:c r="I227" s="40" t="n">
        <x:v>2</x:v>
      </x:c>
      <x:c r="J227" s="40" t="n">
        <x:v>2</x:v>
      </x:c>
      <x:c r="K227" s="40" t="n">
        <x:v>1</x:v>
      </x:c>
      <x:c r="L227" s="40" t="n">
        <x:v>1</x:v>
      </x:c>
    </x:row>
    <x:row r="228" ht="23" customHeight="1">
      <x:c r="B228" s="17" t="str">
        <x:v>All rounds</x:v>
      </x:c>
      <x:c r="C228" s="17" t="str">
        <x:v>line</x:v>
      </x:c>
      <x:c r="D228" s="17" t="str">
        <x:v>Math_12</x:v>
      </x:c>
      <x:c r="E228" s="32" t="n">
        <x:v>1</x:v>
      </x:c>
      <x:c r="F228" s="32" t="n">
        <x:v>0</x:v>
      </x:c>
      <x:c r="G228" s="32" t="n">
        <x:v>0.9582999999999999</x:v>
      </x:c>
      <x:c r="H228" s="32" t="n">
        <x:v>1</x:v>
      </x:c>
      <x:c r="I228" s="40" t="n">
        <x:v>2</x:v>
      </x:c>
      <x:c r="J228" s="40" t="n">
        <x:v>2</x:v>
      </x:c>
      <x:c r="K228" s="40" t="n">
        <x:v>2</x:v>
      </x:c>
      <x:c r="L228" s="40" t="n">
        <x:v>1</x:v>
      </x:c>
    </x:row>
    <x:row r="229" ht="23" customHeight="1">
      <x:c r="B229" s="17" t="str">
        <x:v>All rounds</x:v>
      </x:c>
      <x:c r="C229" s="17" t="str">
        <x:v>line</x:v>
      </x:c>
      <x:c r="D229" s="17" t="str">
        <x:v>Math_14</x:v>
      </x:c>
      <x:c r="E229" s="32" t="n">
        <x:v>0.7254999999999999</x:v>
      </x:c>
      <x:c r="F229" s="32" t="n">
        <x:v>0.2157</x:v>
      </x:c>
      <x:c r="G229" s="32" t="n">
        <x:v>0.9804</x:v>
      </x:c>
      <x:c r="H229" s="32" t="n">
        <x:v>0.25489999999999996</x:v>
      </x:c>
      <x:c r="I229" s="40" t="n">
        <x:v>2</x:v>
      </x:c>
      <x:c r="J229" s="40" t="n">
        <x:v>2</x:v>
      </x:c>
      <x:c r="K229" s="40" t="n">
        <x:v>1</x:v>
      </x:c>
      <x:c r="L229" s="40" t="n">
        <x:v>1</x:v>
      </x:c>
    </x:row>
    <x:row r="230" ht="23" customHeight="1">
      <x:c r="B230" s="17" t="str">
        <x:v>All rounds</x:v>
      </x:c>
      <x:c r="C230" s="17" t="str">
        <x:v>line</x:v>
      </x:c>
      <x:c r="D230" s="17" t="str">
        <x:v>Math_15</x:v>
      </x:c>
      <x:c r="E230" s="32" t="n">
        <x:v>0.9299</x:v>
      </x:c>
      <x:c r="F230" s="32" t="n">
        <x:v>0.9118</x:v>
      </x:c>
      <x:c r="G230" s="32" t="n">
        <x:v>0.5317000000000001</x:v>
      </x:c>
      <x:c r="H230" s="32" t="n">
        <x:v>0.0087</x:v>
      </x:c>
      <x:c r="I230" s="40" t="n">
        <x:v>2</x:v>
      </x:c>
      <x:c r="J230" s="40" t="n">
        <x:v>1</x:v>
      </x:c>
      <x:c r="K230" s="40" t="n">
        <x:v>2</x:v>
      </x:c>
      <x:c r="L230" s="40" t="n">
        <x:v>1</x:v>
      </x:c>
    </x:row>
    <x:row r="231" ht="23" customHeight="1">
      <x:c r="B231" s="17" t="str">
        <x:v>All rounds</x:v>
      </x:c>
      <x:c r="C231" s="17" t="str">
        <x:v>line</x:v>
      </x:c>
      <x:c r="D231" s="17" t="str">
        <x:v>Math_16</x:v>
      </x:c>
      <x:c r="E231" s="32" t="n">
        <x:v>0.9245</x:v>
      </x:c>
      <x:c r="F231" s="32" t="n">
        <x:v>0.59705</x:v>
      </x:c>
      <x:c r="G231" s="32" t="n">
        <x:v>0.564</x:v>
      </x:c>
      <x:c r="H231" s="32" t="n">
        <x:v>0.008100000000000001</x:v>
      </x:c>
      <x:c r="I231" s="40" t="n">
        <x:v>2</x:v>
      </x:c>
      <x:c r="J231" s="40" t="n">
        <x:v>2</x:v>
      </x:c>
      <x:c r="K231" s="40" t="n">
        <x:v>2</x:v>
      </x:c>
      <x:c r="L231" s="40" t="n">
        <x:v>1</x:v>
      </x:c>
    </x:row>
    <x:row r="232" ht="23" customHeight="1">
      <x:c r="B232" s="17" t="str">
        <x:v>All rounds</x:v>
      </x:c>
      <x:c r="C232" s="17" t="str">
        <x:v>line</x:v>
      </x:c>
      <x:c r="D232" s="17" t="str">
        <x:v>Math_17</x:v>
      </x:c>
      <x:c r="E232" s="32" t="n">
        <x:v>0.2575</x:v>
      </x:c>
      <x:c r="F232" s="32" t="n">
        <x:v>0.0155</x:v>
      </x:c>
      <x:c r="G232" s="32" t="n">
        <x:v>0.62</x:v>
      </x:c>
      <x:c r="H232" s="32" t="n">
        <x:v>0</x:v>
      </x:c>
      <x:c r="I232" s="40" t="n">
        <x:v>2</x:v>
      </x:c>
      <x:c r="J232" s="40" t="n">
        <x:v>2</x:v>
      </x:c>
      <x:c r="K232" s="40" t="n">
        <x:v>1</x:v>
      </x:c>
      <x:c r="L232" s="40" t="n">
        <x:v>1</x:v>
      </x:c>
    </x:row>
    <x:row r="233" ht="23" customHeight="1">
      <x:c r="B233" s="17" t="str">
        <x:v>All rounds</x:v>
      </x:c>
      <x:c r="C233" s="17" t="str">
        <x:v>line</x:v>
      </x:c>
      <x:c r="D233" s="17" t="str">
        <x:v>Math_18</x:v>
      </x:c>
      <x:c r="E233" s="32" t="n">
        <x:v>0.6548999999999999</x:v>
      </x:c>
      <x:c r="F233" s="32" t="n">
        <x:v>0.0647</x:v>
      </x:c>
      <x:c r="G233" s="32" t="n">
        <x:v>0.8521</x:v>
      </x:c>
      <x:c r="H233" s="32" t="n">
        <x:v>0.002</x:v>
      </x:c>
      <x:c r="I233" s="40" t="n">
        <x:v>2</x:v>
      </x:c>
      <x:c r="J233" s="40" t="n">
        <x:v>2</x:v>
      </x:c>
      <x:c r="K233" s="40" t="n">
        <x:v>1</x:v>
      </x:c>
      <x:c r="L233" s="40" t="n">
        <x:v>1</x:v>
      </x:c>
    </x:row>
    <x:row r="234" ht="23" customHeight="1">
      <x:c r="B234" s="17" t="str">
        <x:v>All rounds</x:v>
      </x:c>
      <x:c r="C234" s="17" t="str">
        <x:v>line</x:v>
      </x:c>
      <x:c r="D234" s="17" t="str">
        <x:v>Math_19</x:v>
      </x:c>
      <x:c r="E234" s="32" t="n">
        <x:v>0.6627</x:v>
      </x:c>
      <x:c r="F234" s="32" t="n">
        <x:v>0.0659</x:v>
      </x:c>
      <x:c r="G234" s="32" t="n">
        <x:v>0.9056000000000001</x:v>
      </x:c>
      <x:c r="H234" s="32" t="n">
        <x:v>0.002</x:v>
      </x:c>
      <x:c r="I234" s="40" t="n">
        <x:v>2</x:v>
      </x:c>
      <x:c r="J234" s="40" t="n">
        <x:v>2</x:v>
      </x:c>
      <x:c r="K234" s="40" t="n">
        <x:v>1</x:v>
      </x:c>
      <x:c r="L234" s="40" t="n">
        <x:v>1</x:v>
      </x:c>
    </x:row>
    <x:row r="235" ht="23" customHeight="1">
      <x:c r="B235" s="17" t="str">
        <x:v>All rounds</x:v>
      </x:c>
      <x:c r="C235" s="17" t="str">
        <x:v>line</x:v>
      </x:c>
      <x:c r="D235" s="17" t="str">
        <x:v>Math_2</x:v>
      </x:c>
      <x:c r="E235" s="32" t="n">
        <x:v>1</x:v>
      </x:c>
      <x:c r="F235" s="32" t="n">
        <x:v>1</x:v>
      </x:c>
      <x:c r="G235" s="32" t="n">
        <x:v>0.9865</x:v>
      </x:c>
      <x:c r="H235" s="32" t="n">
        <x:v>0.7027</x:v>
      </x:c>
      <x:c r="I235" s="40" t="n">
        <x:v>2</x:v>
      </x:c>
      <x:c r="J235" s="40" t="n">
        <x:v>2</x:v>
      </x:c>
      <x:c r="K235" s="40" t="n">
        <x:v>2</x:v>
      </x:c>
      <x:c r="L235" s="40" t="n">
        <x:v>1</x:v>
      </x:c>
    </x:row>
    <x:row r="236" ht="23" customHeight="1">
      <x:c r="B236" s="17" t="str">
        <x:v>All rounds</x:v>
      </x:c>
      <x:c r="C236" s="17" t="str">
        <x:v>line</x:v>
      </x:c>
      <x:c r="D236" s="17" t="str">
        <x:v>Math_20</x:v>
      </x:c>
      <x:c r="E236" s="32" t="n">
        <x:v>0.662</x:v>
      </x:c>
      <x:c r="F236" s="32" t="n">
        <x:v>0.066</x:v>
      </x:c>
      <x:c r="G236" s="32" t="n">
        <x:v>0.8612000000000001</x:v>
      </x:c>
      <x:c r="H236" s="32" t="n">
        <x:v>0.002</x:v>
      </x:c>
      <x:c r="I236" s="40" t="n">
        <x:v>2</x:v>
      </x:c>
      <x:c r="J236" s="40" t="n">
        <x:v>2</x:v>
      </x:c>
      <x:c r="K236" s="40" t="n">
        <x:v>1</x:v>
      </x:c>
      <x:c r="L236" s="40" t="n">
        <x:v>1</x:v>
      </x:c>
    </x:row>
    <x:row r="237" ht="23" customHeight="1">
      <x:c r="B237" s="17" t="str">
        <x:v>All rounds</x:v>
      </x:c>
      <x:c r="C237" s="17" t="str">
        <x:v>line</x:v>
      </x:c>
      <x:c r="D237" s="17" t="str">
        <x:v>Math_21</x:v>
      </x:c>
      <x:c r="E237" s="32" t="n">
        <x:v>1</x:v>
      </x:c>
      <x:c r="F237" s="32" t="n">
        <x:v>0.0385</x:v>
      </x:c>
      <x:c r="G237" s="32" t="n">
        <x:v>1</x:v>
      </x:c>
      <x:c r="H237" s="32" t="n">
        <x:v>1</x:v>
      </x:c>
      <x:c r="I237" s="40" t="n">
        <x:v>2</x:v>
      </x:c>
      <x:c r="J237" s="40" t="n">
        <x:v>2</x:v>
      </x:c>
      <x:c r="K237" s="40" t="n">
        <x:v>2</x:v>
      </x:c>
      <x:c r="L237" s="40" t="n">
        <x:v>1</x:v>
      </x:c>
    </x:row>
    <x:row r="238" ht="23" customHeight="1">
      <x:c r="B238" s="17" t="str">
        <x:v>All rounds</x:v>
      </x:c>
      <x:c r="C238" s="17" t="str">
        <x:v>line</x:v>
      </x:c>
      <x:c r="D238" s="17" t="str">
        <x:v>Math_22</x:v>
      </x:c>
      <x:c r="E238" s="32" t="n">
        <x:v>1</x:v>
      </x:c>
      <x:c r="F238" s="32" t="n">
        <x:v>1</x:v>
      </x:c>
      <x:c r="G238" s="32" t="n">
        <x:v>1</x:v>
      </x:c>
      <x:c r="H238" s="32" t="n">
        <x:v>0.3837</x:v>
      </x:c>
      <x:c r="I238" s="40" t="n">
        <x:v>2</x:v>
      </x:c>
      <x:c r="J238" s="40" t="n">
        <x:v>1</x:v>
      </x:c>
      <x:c r="K238" s="40" t="n">
        <x:v>1</x:v>
      </x:c>
      <x:c r="L238" s="40" t="n">
        <x:v>1</x:v>
      </x:c>
    </x:row>
    <x:row r="239" ht="23" customHeight="1">
      <x:c r="B239" s="17" t="str">
        <x:v>All rounds</x:v>
      </x:c>
      <x:c r="C239" s="17" t="str">
        <x:v>line</x:v>
      </x:c>
      <x:c r="D239" s="17" t="str">
        <x:v>Math_23</x:v>
      </x:c>
      <x:c r="E239" s="32" t="n">
        <x:v>0.9752</x:v>
      </x:c>
      <x:c r="F239" s="32" t="n">
        <x:v>0.2231</x:v>
      </x:c>
      <x:c r="G239" s="32" t="n">
        <x:v>0.925</x:v>
      </x:c>
      <x:c r="H239" s="32" t="n">
        <x:v>0.0165</x:v>
      </x:c>
      <x:c r="I239" s="40" t="n">
        <x:v>2</x:v>
      </x:c>
      <x:c r="J239" s="40" t="n">
        <x:v>2</x:v>
      </x:c>
      <x:c r="K239" s="40" t="n">
        <x:v>1</x:v>
      </x:c>
      <x:c r="L239" s="40" t="n">
        <x:v>1</x:v>
      </x:c>
    </x:row>
    <x:row r="240" ht="23" customHeight="1">
      <x:c r="B240" s="17" t="str">
        <x:v>All rounds</x:v>
      </x:c>
      <x:c r="C240" s="17" t="str">
        <x:v>line</x:v>
      </x:c>
      <x:c r="D240" s="17" t="str">
        <x:v>Math_24</x:v>
      </x:c>
      <x:c r="E240" s="32" t="n">
        <x:v>0.925</x:v>
      </x:c>
      <x:c r="F240" s="32" t="n">
        <x:v>0.225</x:v>
      </x:c>
      <x:c r="G240" s="32" t="n">
        <x:v>0.8571</x:v>
      </x:c>
      <x:c r="H240" s="32" t="n">
        <x:v>0.0167</x:v>
      </x:c>
      <x:c r="I240" s="40" t="n">
        <x:v>1</x:v>
      </x:c>
      <x:c r="J240" s="40" t="n">
        <x:v>2</x:v>
      </x:c>
      <x:c r="K240" s="40" t="n">
        <x:v>1</x:v>
      </x:c>
      <x:c r="L240" s="40" t="n">
        <x:v>1</x:v>
      </x:c>
    </x:row>
    <x:row r="241" ht="23" customHeight="1">
      <x:c r="B241" s="17" t="str">
        <x:v>All rounds</x:v>
      </x:c>
      <x:c r="C241" s="17" t="str">
        <x:v>line</x:v>
      </x:c>
      <x:c r="D241" s="17" t="str">
        <x:v>Math_25</x:v>
      </x:c>
      <x:c r="E241" s="32" t="n">
        <x:v>0.9894</x:v>
      </x:c>
      <x:c r="F241" s="32" t="n">
        <x:v>0.9894</x:v>
      </x:c>
      <x:c r="G241" s="32" t="n">
        <x:v>0.9468000000000001</x:v>
      </x:c>
      <x:c r="H241" s="32" t="n">
        <x:v>0</x:v>
      </x:c>
      <x:c r="I241" s="40" t="n">
        <x:v>1</x:v>
      </x:c>
      <x:c r="J241" s="40" t="n">
        <x:v>2</x:v>
      </x:c>
      <x:c r="K241" s="40" t="n">
        <x:v>2</x:v>
      </x:c>
      <x:c r="L241" s="40" t="n">
        <x:v>1</x:v>
      </x:c>
    </x:row>
    <x:row r="242" ht="23" customHeight="1">
      <x:c r="B242" s="17" t="str">
        <x:v>All rounds</x:v>
      </x:c>
      <x:c r="C242" s="17" t="str">
        <x:v>line</x:v>
      </x:c>
      <x:c r="D242" s="17" t="str">
        <x:v>Math_29</x:v>
      </x:c>
      <x:c r="E242" s="32" t="n">
        <x:v>1</x:v>
      </x:c>
      <x:c r="F242" s="32" t="n">
        <x:v>0.9688499999999999</x:v>
      </x:c>
      <x:c r="G242" s="32" t="n">
        <x:v>0.8349</x:v>
      </x:c>
      <x:c r="H242" s="32" t="n">
        <x:v>0</x:v>
      </x:c>
      <x:c r="I242" s="40" t="n">
        <x:v>1</x:v>
      </x:c>
      <x:c r="J242" s="40" t="n">
        <x:v>2</x:v>
      </x:c>
      <x:c r="K242" s="40" t="n">
        <x:v>2</x:v>
      </x:c>
      <x:c r="L242" s="40" t="n">
        <x:v>1</x:v>
      </x:c>
    </x:row>
    <x:row r="243" ht="23" customHeight="1">
      <x:c r="B243" s="17" t="str">
        <x:v>All rounds</x:v>
      </x:c>
      <x:c r="C243" s="17" t="str">
        <x:v>line</x:v>
      </x:c>
      <x:c r="D243" s="17" t="str">
        <x:v>Math_30</x:v>
      </x:c>
      <x:c r="E243" s="32" t="n">
        <x:v>1</x:v>
      </x:c>
      <x:c r="F243" s="32" t="n">
        <x:v>1</x:v>
      </x:c>
      <x:c r="G243" s="32" t="n">
        <x:v>1</x:v>
      </x:c>
      <x:c r="H243" s="32" t="n">
        <x:v>0</x:v>
      </x:c>
      <x:c r="I243" s="40" t="n">
        <x:v>1</x:v>
      </x:c>
      <x:c r="J243" s="40" t="n">
        <x:v>2</x:v>
      </x:c>
      <x:c r="K243" s="40" t="n">
        <x:v>2</x:v>
      </x:c>
      <x:c r="L243" s="40" t="n">
        <x:v>1</x:v>
      </x:c>
    </x:row>
    <x:row r="244" ht="23" customHeight="1">
      <x:c r="B244" s="17" t="str">
        <x:v>All rounds</x:v>
      </x:c>
      <x:c r="C244" s="17" t="str">
        <x:v>line</x:v>
      </x:c>
      <x:c r="D244" s="17" t="str">
        <x:v>Math_31</x:v>
      </x:c>
      <x:c r="E244" s="32" t="n">
        <x:v>0</x:v>
      </x:c>
      <x:c r="F244" s="32" t="n">
        <x:v>0</x:v>
      </x:c>
      <x:c r="G244" s="32" t="n">
        <x:v>0.9322</x:v>
      </x:c>
      <x:c r="H244" s="32" t="n">
        <x:v>0</x:v>
      </x:c>
      <x:c r="I244" s="40" t="n">
        <x:v>1</x:v>
      </x:c>
      <x:c r="J244" s="40" t="n">
        <x:v>2</x:v>
      </x:c>
      <x:c r="K244" s="40" t="n">
        <x:v>2</x:v>
      </x:c>
      <x:c r="L244" s="40" t="n">
        <x:v>1</x:v>
      </x:c>
    </x:row>
    <x:row r="245" ht="23" customHeight="1">
      <x:c r="B245" s="17" t="str">
        <x:v>All rounds</x:v>
      </x:c>
      <x:c r="C245" s="17" t="str">
        <x:v>line</x:v>
      </x:c>
      <x:c r="D245" s="17" t="str">
        <x:v>Math_37</x:v>
      </x:c>
      <x:c r="E245" s="32" t="n">
        <x:v>0.9591</x:v>
      </x:c>
      <x:c r="F245" s="32" t="n">
        <x:v>0.9841</x:v>
      </x:c>
      <x:c r="G245" s="32" t="n">
        <x:v>0.8864</x:v>
      </x:c>
      <x:c r="H245" s="32" t="n">
        <x:v>0.0545</x:v>
      </x:c>
      <x:c r="I245" s="40" t="n">
        <x:v>2</x:v>
      </x:c>
      <x:c r="J245" s="40" t="n">
        <x:v>2</x:v>
      </x:c>
      <x:c r="K245" s="40" t="n">
        <x:v>1</x:v>
      </x:c>
      <x:c r="L245" s="40" t="n">
        <x:v>1</x:v>
      </x:c>
    </x:row>
    <x:row r="246" ht="23" customHeight="1">
      <x:c r="B246" s="17" t="str">
        <x:v>All rounds</x:v>
      </x:c>
      <x:c r="C246" s="17" t="str">
        <x:v>line</x:v>
      </x:c>
      <x:c r="D246" s="17" t="str">
        <x:v>Math_39</x:v>
      </x:c>
      <x:c r="E246" s="32" t="n">
        <x:v>0.9439</x:v>
      </x:c>
      <x:c r="F246" s="32" t="n">
        <x:v>0</x:v>
      </x:c>
      <x:c r="G246" s="32" t="n">
        <x:v>0.9906999999999999</x:v>
      </x:c>
      <x:c r="H246" s="32" t="n">
        <x:v>0</x:v>
      </x:c>
      <x:c r="I246" s="40" t="n">
        <x:v>2</x:v>
      </x:c>
      <x:c r="J246" s="40" t="n">
        <x:v>2</x:v>
      </x:c>
      <x:c r="K246" s="40" t="n">
        <x:v>1</x:v>
      </x:c>
      <x:c r="L246" s="40" t="n">
        <x:v>1</x:v>
      </x:c>
    </x:row>
    <x:row r="247" ht="23" customHeight="1">
      <x:c r="B247" s="17" t="str">
        <x:v>All rounds</x:v>
      </x:c>
      <x:c r="C247" s="17" t="str">
        <x:v>line</x:v>
      </x:c>
      <x:c r="D247" s="17" t="str">
        <x:v>Math_40</x:v>
      </x:c>
      <x:c r="E247" s="32" t="n">
        <x:v>0.9921</x:v>
      </x:c>
      <x:c r="F247" s="32" t="n">
        <x:v>0.24600000000000002</x:v>
      </x:c>
      <x:c r="G247" s="32" t="n">
        <x:v>0.8016</x:v>
      </x:c>
      <x:c r="H247" s="32" t="n">
        <x:v>0</x:v>
      </x:c>
      <x:c r="I247" s="40" t="n">
        <x:v>2</x:v>
      </x:c>
      <x:c r="J247" s="40" t="n">
        <x:v>2</x:v>
      </x:c>
      <x:c r="K247" s="40" t="n">
        <x:v>2</x:v>
      </x:c>
      <x:c r="L247" s="40" t="n">
        <x:v>1</x:v>
      </x:c>
    </x:row>
    <x:row r="248" ht="23" customHeight="1">
      <x:c r="B248" s="17" t="str">
        <x:v>All rounds</x:v>
      </x:c>
      <x:c r="C248" s="17" t="str">
        <x:v>line</x:v>
      </x:c>
      <x:c r="D248" s="17" t="str">
        <x:v>Math_41</x:v>
      </x:c>
      <x:c r="E248" s="32" t="n">
        <x:v>0.9911</x:v>
      </x:c>
      <x:c r="F248" s="32" t="n">
        <x:v>0.8036</x:v>
      </x:c>
      <x:c r="G248" s="32" t="n">
        <x:v>0.9196</x:v>
      </x:c>
      <x:c r="H248" s="32" t="n">
        <x:v>0</x:v>
      </x:c>
      <x:c r="I248" s="40" t="n">
        <x:v>2</x:v>
      </x:c>
      <x:c r="J248" s="40" t="n">
        <x:v>2</x:v>
      </x:c>
      <x:c r="K248" s="40" t="n">
        <x:v>2</x:v>
      </x:c>
      <x:c r="L248" s="40" t="n">
        <x:v>1</x:v>
      </x:c>
    </x:row>
    <x:row r="249" ht="23" customHeight="1">
      <x:c r="B249" s="17" t="str">
        <x:v>All rounds</x:v>
      </x:c>
      <x:c r="C249" s="17" t="str">
        <x:v>line</x:v>
      </x:c>
      <x:c r="D249" s="17" t="str">
        <x:v>Math_42</x:v>
      </x:c>
      <x:c r="E249" s="32" t="n">
        <x:v>0.9508</x:v>
      </x:c>
      <x:c r="F249" s="32" t="n">
        <x:v>0.0765</x:v>
      </x:c>
      <x:c r="G249" s="32" t="n">
        <x:v>0.7143</x:v>
      </x:c>
      <x:c r="H249" s="32" t="n">
        <x:v>0</x:v>
      </x:c>
      <x:c r="I249" s="40" t="n">
        <x:v>2</x:v>
      </x:c>
      <x:c r="J249" s="40" t="n">
        <x:v>2</x:v>
      </x:c>
      <x:c r="K249" s="40" t="n">
        <x:v>2</x:v>
      </x:c>
      <x:c r="L249" s="40" t="n">
        <x:v>1</x:v>
      </x:c>
    </x:row>
    <x:row r="250" ht="23" customHeight="1">
      <x:c r="B250" s="17" t="str">
        <x:v>All rounds</x:v>
      </x:c>
      <x:c r="C250" s="17" t="str">
        <x:v>line</x:v>
      </x:c>
      <x:c r="D250" s="17" t="str">
        <x:v>Math_43</x:v>
      </x:c>
      <x:c r="E250" s="32" t="n">
        <x:v>1</x:v>
      </x:c>
      <x:c r="F250" s="32" t="n">
        <x:v>0.9427</x:v>
      </x:c>
      <x:c r="G250" s="32" t="n">
        <x:v>0.8957999999999999</x:v>
      </x:c>
      <x:c r="H250" s="32" t="n">
        <x:v>0</x:v>
      </x:c>
      <x:c r="I250" s="40" t="n">
        <x:v>2</x:v>
      </x:c>
      <x:c r="J250" s="40" t="n">
        <x:v>2</x:v>
      </x:c>
      <x:c r="K250" s="40" t="n">
        <x:v>2</x:v>
      </x:c>
      <x:c r="L250" s="40" t="n">
        <x:v>1</x:v>
      </x:c>
    </x:row>
    <x:row r="251" ht="23" customHeight="1">
      <x:c r="B251" s="17" t="str">
        <x:v>All rounds</x:v>
      </x:c>
      <x:c r="C251" s="17" t="str">
        <x:v>line</x:v>
      </x:c>
      <x:c r="D251" s="17" t="str">
        <x:v>Math_45</x:v>
      </x:c>
      <x:c r="E251" s="32" t="n">
        <x:v>0.6701</x:v>
      </x:c>
      <x:c r="F251" s="32" t="n">
        <x:v>0.6700999999999999</x:v>
      </x:c>
      <x:c r="G251" s="32" t="n">
        <x:v>0.9588</x:v>
      </x:c>
      <x:c r="H251" s="32" t="n">
        <x:v>0</x:v>
      </x:c>
      <x:c r="I251" s="40" t="n">
        <x:v>2</x:v>
      </x:c>
      <x:c r="J251" s="40" t="n">
        <x:v>2</x:v>
      </x:c>
      <x:c r="K251" s="40" t="n">
        <x:v>2</x:v>
      </x:c>
      <x:c r="L251" s="40" t="n">
        <x:v>1</x:v>
      </x:c>
    </x:row>
    <x:row r="252" ht="23" customHeight="1">
      <x:c r="B252" s="17" t="str">
        <x:v>All rounds</x:v>
      </x:c>
      <x:c r="C252" s="17" t="str">
        <x:v>line</x:v>
      </x:c>
      <x:c r="D252" s="17" t="str">
        <x:v>Math_46</x:v>
      </x:c>
      <x:c r="E252" s="32" t="n">
        <x:v>0.9802</x:v>
      </x:c>
      <x:c r="F252" s="32" t="n">
        <x:v>0.98015</x:v>
      </x:c>
      <x:c r="G252" s="32" t="n">
        <x:v>0.7822</x:v>
      </x:c>
      <x:c r="H252" s="32" t="n">
        <x:v>0.0644</x:v>
      </x:c>
      <x:c r="I252" s="40" t="n">
        <x:v>2</x:v>
      </x:c>
      <x:c r="J252" s="40" t="n">
        <x:v>2</x:v>
      </x:c>
      <x:c r="K252" s="40" t="n">
        <x:v>1</x:v>
      </x:c>
      <x:c r="L252" s="40" t="n">
        <x:v>1</x:v>
      </x:c>
    </x:row>
    <x:row r="253" ht="23" customHeight="1">
      <x:c r="B253" s="17" t="str">
        <x:v>All rounds</x:v>
      </x:c>
      <x:c r="C253" s="17" t="str">
        <x:v>line</x:v>
      </x:c>
      <x:c r="D253" s="17" t="str">
        <x:v>Math_47</x:v>
      </x:c>
      <x:c r="E253" s="32" t="n">
        <x:v>0.9652</x:v>
      </x:c>
      <x:c r="F253" s="32" t="n">
        <x:v>0.9801000000000001</x:v>
      </x:c>
      <x:c r="G253" s="32" t="n">
        <x:v>0.8059999999999999</x:v>
      </x:c>
      <x:c r="H253" s="32" t="n">
        <x:v>0.059699999999999996</x:v>
      </x:c>
      <x:c r="I253" s="40" t="n">
        <x:v>2</x:v>
      </x:c>
      <x:c r="J253" s="40" t="n">
        <x:v>2</x:v>
      </x:c>
      <x:c r="K253" s="40" t="n">
        <x:v>1</x:v>
      </x:c>
      <x:c r="L253" s="40" t="n">
        <x:v>1</x:v>
      </x:c>
    </x:row>
    <x:row r="254" ht="23" customHeight="1">
      <x:c r="B254" s="17" t="str">
        <x:v>All rounds</x:v>
      </x:c>
      <x:c r="C254" s="17" t="str">
        <x:v>line</x:v>
      </x:c>
      <x:c r="D254" s="17" t="str">
        <x:v>Math_48</x:v>
      </x:c>
      <x:c r="E254" s="32" t="n">
        <x:v>0.9589</x:v>
      </x:c>
      <x:c r="F254" s="32" t="n">
        <x:v>0.0548</x:v>
      </x:c>
      <x:c r="G254" s="32" t="n">
        <x:v>0.7670999999999999</x:v>
      </x:c>
      <x:c r="H254" s="32" t="n">
        <x:v>0</x:v>
      </x:c>
      <x:c r="I254" s="40" t="n">
        <x:v>2</x:v>
      </x:c>
      <x:c r="J254" s="40" t="n">
        <x:v>2</x:v>
      </x:c>
      <x:c r="K254" s="40" t="n">
        <x:v>1</x:v>
      </x:c>
      <x:c r="L254" s="40" t="n">
        <x:v>1</x:v>
      </x:c>
    </x:row>
    <x:row r="255" ht="23" customHeight="1">
      <x:c r="B255" s="17" t="str">
        <x:v>All rounds</x:v>
      </x:c>
      <x:c r="C255" s="17" t="str">
        <x:v>line</x:v>
      </x:c>
      <x:c r="D255" s="17" t="str">
        <x:v>Math_49</x:v>
      </x:c>
      <x:c r="E255" s="32" t="n">
        <x:v>1</x:v>
      </x:c>
      <x:c r="F255" s="32" t="n">
        <x:v>0.7738499999999999</x:v>
      </x:c>
      <x:c r="G255" s="32" t="n">
        <x:v>0.9365000000000001</x:v>
      </x:c>
      <x:c r="H255" s="32" t="n">
        <x:v>0</x:v>
      </x:c>
      <x:c r="I255" s="40" t="n">
        <x:v>2</x:v>
      </x:c>
      <x:c r="J255" s="40" t="n">
        <x:v>2</x:v>
      </x:c>
      <x:c r="K255" s="40" t="n">
        <x:v>1</x:v>
      </x:c>
      <x:c r="L255" s="40" t="n">
        <x:v>1</x:v>
      </x:c>
    </x:row>
    <x:row r="256" ht="23" customHeight="1">
      <x:c r="B256" s="17" t="str">
        <x:v>All rounds</x:v>
      </x:c>
      <x:c r="C256" s="17" t="str">
        <x:v>line</x:v>
      </x:c>
      <x:c r="D256" s="17" t="str">
        <x:v>Math_5</x:v>
      </x:c>
      <x:c r="E256" s="32" t="n">
        <x:v>0.9867</x:v>
      </x:c>
      <x:c r="F256" s="32" t="n">
        <x:v>0.9867</x:v>
      </x:c>
      <x:c r="G256" s="32" t="n">
        <x:v>0.6416</x:v>
      </x:c>
      <x:c r="H256" s="32" t="n">
        <x:v>0.053099999999999994</x:v>
      </x:c>
      <x:c r="I256" s="40" t="n">
        <x:v>2</x:v>
      </x:c>
      <x:c r="J256" s="40" t="n">
        <x:v>2</x:v>
      </x:c>
      <x:c r="K256" s="40" t="n">
        <x:v>1</x:v>
      </x:c>
      <x:c r="L256" s="40" t="n">
        <x:v>1</x:v>
      </x:c>
    </x:row>
    <x:row r="257" ht="23" customHeight="1">
      <x:c r="B257" s="17" t="str">
        <x:v>All rounds</x:v>
      </x:c>
      <x:c r="C257" s="17" t="str">
        <x:v>line</x:v>
      </x:c>
      <x:c r="D257" s="17" t="str">
        <x:v>Math_50</x:v>
      </x:c>
      <x:c r="E257" s="32" t="n">
        <x:v>0.9333</x:v>
      </x:c>
      <x:c r="F257" s="32" t="n">
        <x:v>0.0533</x:v>
      </x:c>
      <x:c r="G257" s="32" t="n">
        <x:v>0.7867000000000001</x:v>
      </x:c>
      <x:c r="H257" s="32" t="n">
        <x:v>0</x:v>
      </x:c>
      <x:c r="I257" s="40" t="n">
        <x:v>2</x:v>
      </x:c>
      <x:c r="J257" s="40" t="n">
        <x:v>2</x:v>
      </x:c>
      <x:c r="K257" s="40" t="n">
        <x:v>1</x:v>
      </x:c>
      <x:c r="L257" s="40" t="n">
        <x:v>1</x:v>
      </x:c>
    </x:row>
    <x:row r="258" ht="23" customHeight="1">
      <x:c r="B258" s="17" t="str">
        <x:v>All rounds</x:v>
      </x:c>
      <x:c r="C258" s="17" t="str">
        <x:v>line</x:v>
      </x:c>
      <x:c r="D258" s="17" t="str">
        <x:v>Math_51</x:v>
      </x:c>
      <x:c r="E258" s="32" t="n">
        <x:v>0.9718000000000001</x:v>
      </x:c>
      <x:c r="F258" s="32" t="n">
        <x:v>0.056299999999999996</x:v>
      </x:c>
      <x:c r="G258" s="32" t="n">
        <x:v>0.8028</x:v>
      </x:c>
      <x:c r="H258" s="32" t="n">
        <x:v>0</x:v>
      </x:c>
      <x:c r="I258" s="40" t="n">
        <x:v>2</x:v>
      </x:c>
      <x:c r="J258" s="40" t="n">
        <x:v>2</x:v>
      </x:c>
      <x:c r="K258" s="40" t="n">
        <x:v>1</x:v>
      </x:c>
      <x:c r="L258" s="40" t="n">
        <x:v>1</x:v>
      </x:c>
    </x:row>
    <x:row r="259" ht="23" customHeight="1">
      <x:c r="B259" s="17" t="str">
        <x:v>All rounds</x:v>
      </x:c>
      <x:c r="C259" s="17" t="str">
        <x:v>line</x:v>
      </x:c>
      <x:c r="D259" s="17" t="str">
        <x:v>Math_52</x:v>
      </x:c>
      <x:c r="E259" s="32" t="n">
        <x:v>0.9564</x:v>
      </x:c>
      <x:c r="F259" s="32" t="n">
        <x:v>0.6812</x:v>
      </x:c>
      <x:c r="G259" s="32" t="n">
        <x:v>0.9292</x:v>
      </x:c>
      <x:c r="H259" s="32" t="n">
        <x:v>0.0218</x:v>
      </x:c>
      <x:c r="I259" s="40" t="n">
        <x:v>2</x:v>
      </x:c>
      <x:c r="J259" s="40" t="n">
        <x:v>2</x:v>
      </x:c>
      <x:c r="K259" s="40" t="n">
        <x:v>1</x:v>
      </x:c>
      <x:c r="L259" s="40" t="n">
        <x:v>1</x:v>
      </x:c>
    </x:row>
    <x:row r="260" ht="23" customHeight="1">
      <x:c r="B260" s="17" t="str">
        <x:v>All rounds</x:v>
      </x:c>
      <x:c r="C260" s="17" t="str">
        <x:v>line</x:v>
      </x:c>
      <x:c r="D260" s="17" t="str">
        <x:v>Math_53</x:v>
      </x:c>
      <x:c r="E260" s="32" t="n">
        <x:v>0.9647</x:v>
      </x:c>
      <x:c r="F260" s="32" t="n">
        <x:v>0.9823999999999999</x:v>
      </x:c>
      <x:c r="G260" s="32" t="n">
        <x:v>0.9823999999999999</x:v>
      </x:c>
      <x:c r="H260" s="32" t="n">
        <x:v>0.0706</x:v>
      </x:c>
      <x:c r="I260" s="40" t="n">
        <x:v>2</x:v>
      </x:c>
      <x:c r="J260" s="40" t="n">
        <x:v>2</x:v>
      </x:c>
      <x:c r="K260" s="40" t="n">
        <x:v>1</x:v>
      </x:c>
      <x:c r="L260" s="40" t="n">
        <x:v>1</x:v>
      </x:c>
    </x:row>
    <x:row r="261" ht="23" customHeight="1">
      <x:c r="B261" s="17" t="str">
        <x:v>All rounds</x:v>
      </x:c>
      <x:c r="C261" s="17" t="str">
        <x:v>line</x:v>
      </x:c>
      <x:c r="D261" s="17" t="str">
        <x:v>Math_54</x:v>
      </x:c>
      <x:c r="E261" s="32" t="n">
        <x:v>0.2651</x:v>
      </x:c>
      <x:c r="F261" s="32" t="n">
        <x:v>0.0161</x:v>
      </x:c>
      <x:c r="G261" s="32" t="n">
        <x:v>0.74</x:v>
      </x:c>
      <x:c r="H261" s="32" t="n">
        <x:v>0</x:v>
      </x:c>
      <x:c r="I261" s="40" t="n">
        <x:v>2</x:v>
      </x:c>
      <x:c r="J261" s="40" t="n">
        <x:v>2</x:v>
      </x:c>
      <x:c r="K261" s="40" t="n">
        <x:v>1</x:v>
      </x:c>
      <x:c r="L261" s="40" t="n">
        <x:v>1</x:v>
      </x:c>
    </x:row>
    <x:row r="262" ht="23" customHeight="1">
      <x:c r="B262" s="17" t="str">
        <x:v>All rounds</x:v>
      </x:c>
      <x:c r="C262" s="17" t="str">
        <x:v>line</x:v>
      </x:c>
      <x:c r="D262" s="17" t="str">
        <x:v>Math_55</x:v>
      </x:c>
      <x:c r="E262" s="32" t="n">
        <x:v>0.9741</x:v>
      </x:c>
      <x:c r="F262" s="32" t="n">
        <x:v>0.97845</x:v>
      </x:c>
      <x:c r="G262" s="32" t="n">
        <x:v>1</x:v>
      </x:c>
      <x:c r="H262" s="32" t="n">
        <x:v>0.1466</x:v>
      </x:c>
      <x:c r="I262" s="40" t="n">
        <x:v>2</x:v>
      </x:c>
      <x:c r="J262" s="40" t="n">
        <x:v>2</x:v>
      </x:c>
      <x:c r="K262" s="40" t="n">
        <x:v>1</x:v>
      </x:c>
      <x:c r="L262" s="40" t="n">
        <x:v>1</x:v>
      </x:c>
    </x:row>
    <x:row r="263" ht="23" customHeight="1">
      <x:c r="B263" s="17" t="str">
        <x:v>All rounds</x:v>
      </x:c>
      <x:c r="C263" s="17" t="str">
        <x:v>line</x:v>
      </x:c>
      <x:c r="D263" s="17" t="str">
        <x:v>Math_56</x:v>
      </x:c>
      <x:c r="E263" s="32" t="n">
        <x:v>1</x:v>
      </x:c>
      <x:c r="F263" s="32" t="n">
        <x:v>0.96</x:v>
      </x:c>
      <x:c r="G263" s="32" t="n">
        <x:v>0.9867</x:v>
      </x:c>
      <x:c r="H263" s="32" t="n">
        <x:v>0</x:v>
      </x:c>
      <x:c r="I263" s="40" t="n">
        <x:v>2</x:v>
      </x:c>
      <x:c r="J263" s="40" t="n">
        <x:v>2</x:v>
      </x:c>
      <x:c r="K263" s="40" t="n">
        <x:v>2</x:v>
      </x:c>
      <x:c r="L263" s="40" t="n">
        <x:v>1</x:v>
      </x:c>
    </x:row>
    <x:row r="264" ht="23" customHeight="1">
      <x:c r="B264" s="17" t="str">
        <x:v>All rounds</x:v>
      </x:c>
      <x:c r="C264" s="17" t="str">
        <x:v>line</x:v>
      </x:c>
      <x:c r="D264" s="17" t="str">
        <x:v>Math_57</x:v>
      </x:c>
      <x:c r="E264" s="32" t="n">
        <x:v>0.975</x:v>
      </x:c>
      <x:c r="F264" s="32" t="n">
        <x:v>0.0417</x:v>
      </x:c>
      <x:c r="G264" s="32" t="n">
        <x:v>0.975</x:v>
      </x:c>
      <x:c r="H264" s="32" t="n">
        <x:v>0</x:v>
      </x:c>
      <x:c r="I264" s="40" t="n">
        <x:v>2</x:v>
      </x:c>
      <x:c r="J264" s="40" t="n">
        <x:v>2</x:v>
      </x:c>
      <x:c r="K264" s="40" t="n">
        <x:v>1</x:v>
      </x:c>
      <x:c r="L264" s="40" t="n">
        <x:v>1</x:v>
      </x:c>
    </x:row>
    <x:row r="265" ht="23" customHeight="1">
      <x:c r="B265" s="17" t="str">
        <x:v>All rounds</x:v>
      </x:c>
      <x:c r="C265" s="17" t="str">
        <x:v>line</x:v>
      </x:c>
      <x:c r="D265" s="17" t="str">
        <x:v>Math_58</x:v>
      </x:c>
      <x:c r="E265" s="32" t="n">
        <x:v>0.875</x:v>
      </x:c>
      <x:c r="F265" s="32" t="n">
        <x:v>0.875</x:v>
      </x:c>
      <x:c r="G265" s="32" t="n">
        <x:v>0.6809000000000001</x:v>
      </x:c>
      <x:c r="H265" s="32" t="n">
        <x:v>0</x:v>
      </x:c>
      <x:c r="I265" s="40" t="n">
        <x:v>2</x:v>
      </x:c>
      <x:c r="J265" s="40" t="n">
        <x:v>2</x:v>
      </x:c>
      <x:c r="K265" s="40" t="n">
        <x:v>1</x:v>
      </x:c>
      <x:c r="L265" s="40" t="n">
        <x:v>1</x:v>
      </x:c>
    </x:row>
    <x:row r="266" ht="23" customHeight="1">
      <x:c r="B266" s="17" t="str">
        <x:v>All rounds</x:v>
      </x:c>
      <x:c r="C266" s="17" t="str">
        <x:v>line</x:v>
      </x:c>
      <x:c r="D266" s="17" t="str">
        <x:v>Math_59</x:v>
      </x:c>
      <x:c r="E266" s="32" t="n">
        <x:v>0.9425</x:v>
      </x:c>
      <x:c r="F266" s="32" t="n">
        <x:v>0.93545</x:v>
      </x:c>
      <x:c r="G266" s="32" t="n">
        <x:v>0.7037</x:v>
      </x:c>
      <x:c r="H266" s="32" t="n">
        <x:v>0.184</x:v>
      </x:c>
      <x:c r="I266" s="40" t="n">
        <x:v>2</x:v>
      </x:c>
      <x:c r="J266" s="40" t="n">
        <x:v>2</x:v>
      </x:c>
      <x:c r="K266" s="40" t="n">
        <x:v>2</x:v>
      </x:c>
      <x:c r="L266" s="40" t="n">
        <x:v>1</x:v>
      </x:c>
    </x:row>
    <x:row r="267" ht="23" customHeight="1">
      <x:c r="B267" s="17" t="str">
        <x:v>All rounds</x:v>
      </x:c>
      <x:c r="C267" s="17" t="str">
        <x:v>line</x:v>
      </x:c>
      <x:c r="D267" s="17" t="str">
        <x:v>Math_61</x:v>
      </x:c>
      <x:c r="E267" s="32" t="n">
        <x:v>1</x:v>
      </x:c>
      <x:c r="F267" s="32" t="n">
        <x:v>0.9559000000000001</x:v>
      </x:c>
      <x:c r="G267" s="32" t="n">
        <x:v>0.8234999999999999</x:v>
      </x:c>
      <x:c r="H267" s="32" t="n">
        <x:v>0</x:v>
      </x:c>
      <x:c r="I267" s="40" t="n">
        <x:v>2</x:v>
      </x:c>
      <x:c r="J267" s="40" t="n">
        <x:v>2</x:v>
      </x:c>
      <x:c r="K267" s="40" t="n">
        <x:v>2</x:v>
      </x:c>
      <x:c r="L267" s="40" t="n">
        <x:v>1</x:v>
      </x:c>
    </x:row>
    <x:row r="268" ht="23" customHeight="1">
      <x:c r="B268" s="17" t="str">
        <x:v>All rounds</x:v>
      </x:c>
      <x:c r="C268" s="17" t="str">
        <x:v>line</x:v>
      </x:c>
      <x:c r="D268" s="17" t="str">
        <x:v>Math_62</x:v>
      </x:c>
      <x:c r="E268" s="32" t="n">
        <x:v>0.8936</x:v>
      </x:c>
      <x:c r="F268" s="32" t="n">
        <x:v>0</x:v>
      </x:c>
      <x:c r="G268" s="32" t="n">
        <x:v>0.9787</x:v>
      </x:c>
      <x:c r="H268" s="32" t="n">
        <x:v>0</x:v>
      </x:c>
      <x:c r="I268" s="40" t="n">
        <x:v>2</x:v>
      </x:c>
      <x:c r="J268" s="40" t="n">
        <x:v>2</x:v>
      </x:c>
      <x:c r="K268" s="40" t="n">
        <x:v>1</x:v>
      </x:c>
      <x:c r="L268" s="40" t="n">
        <x:v>1</x:v>
      </x:c>
    </x:row>
    <x:row r="269" ht="23" customHeight="1">
      <x:c r="B269" s="17" t="str">
        <x:v>All rounds</x:v>
      </x:c>
      <x:c r="C269" s="17" t="str">
        <x:v>line</x:v>
      </x:c>
      <x:c r="D269" s="17" t="str">
        <x:v>Math_63</x:v>
      </x:c>
      <x:c r="E269" s="32" t="n">
        <x:v>0.9131</x:v>
      </x:c>
      <x:c r="F269" s="32" t="n">
        <x:v>0.8089</x:v>
      </x:c>
      <x:c r="G269" s="32" t="n">
        <x:v>0.6139</x:v>
      </x:c>
      <x:c r="H269" s="32" t="n">
        <x:v>0.0039000000000000003</x:v>
      </x:c>
      <x:c r="I269" s="40" t="n">
        <x:v>2</x:v>
      </x:c>
      <x:c r="J269" s="40" t="n">
        <x:v>1</x:v>
      </x:c>
      <x:c r="K269" s="40" t="n">
        <x:v>2</x:v>
      </x:c>
      <x:c r="L269" s="40" t="n">
        <x:v>1</x:v>
      </x:c>
    </x:row>
    <x:row r="270" ht="23" customHeight="1">
      <x:c r="B270" s="17" t="str">
        <x:v>All rounds</x:v>
      </x:c>
      <x:c r="C270" s="17" t="str">
        <x:v>line</x:v>
      </x:c>
      <x:c r="D270" s="17" t="str">
        <x:v>Math_64</x:v>
      </x:c>
      <x:c r="E270" s="32" t="n">
        <x:v>0.09939999999999999</x:v>
      </x:c>
      <x:c r="F270" s="32" t="n">
        <x:v>0.09939999999999999</x:v>
      </x:c>
      <x:c r="G270" s="32" t="n">
        <x:v>0.5731</x:v>
      </x:c>
      <x:c r="H270" s="32" t="n">
        <x:v>0</x:v>
      </x:c>
      <x:c r="I270" s="40" t="n">
        <x:v>2</x:v>
      </x:c>
      <x:c r="J270" s="40" t="n">
        <x:v>2</x:v>
      </x:c>
      <x:c r="K270" s="40" t="n">
        <x:v>1</x:v>
      </x:c>
      <x:c r="L270" s="40" t="n">
        <x:v>1</x:v>
      </x:c>
    </x:row>
    <x:row r="271" ht="23" customHeight="1">
      <x:c r="B271" s="17" t="str">
        <x:v>All rounds</x:v>
      </x:c>
      <x:c r="C271" s="17" t="str">
        <x:v>line</x:v>
      </x:c>
      <x:c r="D271" s="17" t="str">
        <x:v>Math_66</x:v>
      </x:c>
      <x:c r="E271" s="32" t="n">
        <x:v>1</x:v>
      </x:c>
      <x:c r="F271" s="32" t="n">
        <x:v>0.2647</x:v>
      </x:c>
      <x:c r="G271" s="32" t="n">
        <x:v>1</x:v>
      </x:c>
      <x:c r="H271" s="32" t="n">
        <x:v>0.0098</x:v>
      </x:c>
      <x:c r="I271" s="40" t="n">
        <x:v>2</x:v>
      </x:c>
      <x:c r="J271" s="40" t="n">
        <x:v>2</x:v>
      </x:c>
      <x:c r="K271" s="40" t="n">
        <x:v>2</x:v>
      </x:c>
      <x:c r="L271" s="40" t="n">
        <x:v>1</x:v>
      </x:c>
    </x:row>
    <x:row r="272" ht="23" customHeight="1">
      <x:c r="B272" s="17" t="str">
        <x:v>All rounds</x:v>
      </x:c>
      <x:c r="C272" s="17" t="str">
        <x:v>line</x:v>
      </x:c>
      <x:c r="D272" s="17" t="str">
        <x:v>Math_67</x:v>
      </x:c>
      <x:c r="E272" s="32" t="n">
        <x:v>0.871</x:v>
      </x:c>
      <x:c r="F272" s="32" t="n">
        <x:v>0.4946</x:v>
      </x:c>
      <x:c r="G272" s="32" t="n">
        <x:v>0.8172</x:v>
      </x:c>
      <x:c r="H272" s="32" t="n">
        <x:v>0</x:v>
      </x:c>
      <x:c r="I272" s="40" t="n">
        <x:v>2</x:v>
      </x:c>
      <x:c r="J272" s="40" t="n">
        <x:v>2</x:v>
      </x:c>
      <x:c r="K272" s="40" t="n">
        <x:v>2</x:v>
      </x:c>
      <x:c r="L272" s="40" t="n">
        <x:v>1</x:v>
      </x:c>
    </x:row>
    <x:row r="273" ht="23" customHeight="1">
      <x:c r="B273" s="17" t="str">
        <x:v>All rounds</x:v>
      </x:c>
      <x:c r="C273" s="17" t="str">
        <x:v>line</x:v>
      </x:c>
      <x:c r="D273" s="17" t="str">
        <x:v>Math_68</x:v>
      </x:c>
      <x:c r="E273" s="32" t="n">
        <x:v>0.0904</x:v>
      </x:c>
      <x:c r="F273" s="32" t="n">
        <x:v>0.0904</x:v>
      </x:c>
      <x:c r="G273" s="32" t="n">
        <x:v>0.5633</x:v>
      </x:c>
      <x:c r="H273" s="32" t="n">
        <x:v>0</x:v>
      </x:c>
      <x:c r="I273" s="40" t="n">
        <x:v>2</x:v>
      </x:c>
      <x:c r="J273" s="40" t="n">
        <x:v>2</x:v>
      </x:c>
      <x:c r="K273" s="40" t="n">
        <x:v>1</x:v>
      </x:c>
      <x:c r="L273" s="40" t="n">
        <x:v>1</x:v>
      </x:c>
    </x:row>
    <x:row r="274" ht="23" customHeight="1">
      <x:c r="B274" s="17" t="str">
        <x:v>All rounds</x:v>
      </x:c>
      <x:c r="C274" s="17" t="str">
        <x:v>line</x:v>
      </x:c>
      <x:c r="D274" s="17" t="str">
        <x:v>Math_69</x:v>
      </x:c>
      <x:c r="E274" s="32" t="n">
        <x:v>1</x:v>
      </x:c>
      <x:c r="F274" s="32" t="n">
        <x:v>0.9333</x:v>
      </x:c>
      <x:c r="G274" s="32" t="n">
        <x:v>0.92</x:v>
      </x:c>
      <x:c r="H274" s="32" t="n">
        <x:v>0</x:v>
      </x:c>
      <x:c r="I274" s="40" t="n">
        <x:v>2</x:v>
      </x:c>
      <x:c r="J274" s="40" t="n">
        <x:v>2</x:v>
      </x:c>
      <x:c r="K274" s="40" t="n">
        <x:v>2</x:v>
      </x:c>
      <x:c r="L274" s="40" t="n">
        <x:v>1</x:v>
      </x:c>
    </x:row>
    <x:row r="275" ht="23" customHeight="1">
      <x:c r="B275" s="17" t="str">
        <x:v>All rounds</x:v>
      </x:c>
      <x:c r="C275" s="17" t="str">
        <x:v>line</x:v>
      </x:c>
      <x:c r="D275" s="17" t="str">
        <x:v>Math_7</x:v>
      </x:c>
      <x:c r="E275" s="32" t="n">
        <x:v>0.6846</x:v>
      </x:c>
      <x:c r="F275" s="32" t="n">
        <x:v>0</x:v>
      </x:c>
      <x:c r="G275" s="32" t="n">
        <x:v>0.5307999999999999</x:v>
      </x:c>
      <x:c r="H275" s="32" t="n">
        <x:v>0</x:v>
      </x:c>
      <x:c r="I275" s="40" t="n">
        <x:v>2</x:v>
      </x:c>
      <x:c r="J275" s="40" t="n">
        <x:v>2</x:v>
      </x:c>
      <x:c r="K275" s="40" t="n">
        <x:v>1</x:v>
      </x:c>
      <x:c r="L275" s="40" t="n">
        <x:v>1</x:v>
      </x:c>
    </x:row>
    <x:row r="276" ht="23" customHeight="1">
      <x:c r="B276" s="17" t="str">
        <x:v>All rounds</x:v>
      </x:c>
      <x:c r="C276" s="17" t="str">
        <x:v>line</x:v>
      </x:c>
      <x:c r="D276" s="17" t="str">
        <x:v>Math_71</x:v>
      </x:c>
      <x:c r="E276" s="32" t="n">
        <x:v>0.9898</x:v>
      </x:c>
      <x:c r="F276" s="32" t="n">
        <x:v>0</x:v>
      </x:c>
      <x:c r="G276" s="32" t="n">
        <x:v>0.9036</x:v>
      </x:c>
      <x:c r="H276" s="32" t="n">
        <x:v>0</x:v>
      </x:c>
      <x:c r="I276" s="40" t="n">
        <x:v>2</x:v>
      </x:c>
      <x:c r="J276" s="40" t="n">
        <x:v>2</x:v>
      </x:c>
      <x:c r="K276" s="40" t="n">
        <x:v>1</x:v>
      </x:c>
      <x:c r="L276" s="40" t="n">
        <x:v>1</x:v>
      </x:c>
    </x:row>
    <x:row r="277" ht="23" customHeight="1">
      <x:c r="B277" s="17" t="str">
        <x:v>All rounds</x:v>
      </x:c>
      <x:c r="C277" s="17" t="str">
        <x:v>line</x:v>
      </x:c>
      <x:c r="D277" s="17" t="str">
        <x:v>Math_72</x:v>
      </x:c>
      <x:c r="E277" s="32" t="n">
        <x:v>1</x:v>
      </x:c>
      <x:c r="F277" s="32" t="n">
        <x:v>0.1121</x:v>
      </x:c>
      <x:c r="G277" s="32" t="n">
        <x:v>0.8598</x:v>
      </x:c>
      <x:c r="H277" s="32" t="n">
        <x:v>0</x:v>
      </x:c>
      <x:c r="I277" s="40" t="n">
        <x:v>2</x:v>
      </x:c>
      <x:c r="J277" s="40" t="n">
        <x:v>2</x:v>
      </x:c>
      <x:c r="K277" s="40" t="n">
        <x:v>2</x:v>
      </x:c>
      <x:c r="L277" s="40" t="n">
        <x:v>1</x:v>
      </x:c>
    </x:row>
    <x:row r="278" ht="23" customHeight="1">
      <x:c r="B278" s="17" t="str">
        <x:v>All rounds</x:v>
      </x:c>
      <x:c r="C278" s="17" t="str">
        <x:v>line</x:v>
      </x:c>
      <x:c r="D278" s="17" t="str">
        <x:v>Math_73</x:v>
      </x:c>
      <x:c r="E278" s="32" t="n">
        <x:v>1</x:v>
      </x:c>
      <x:c r="F278" s="32" t="n">
        <x:v>0.11539999999999999</x:v>
      </x:c>
      <x:c r="G278" s="32" t="n">
        <x:v>0.8462000000000001</x:v>
      </x:c>
      <x:c r="H278" s="32" t="n">
        <x:v>0</x:v>
      </x:c>
      <x:c r="I278" s="40" t="n">
        <x:v>2</x:v>
      </x:c>
      <x:c r="J278" s="40" t="n">
        <x:v>2</x:v>
      </x:c>
      <x:c r="K278" s="40" t="n">
        <x:v>2</x:v>
      </x:c>
      <x:c r="L278" s="40" t="n">
        <x:v>1</x:v>
      </x:c>
    </x:row>
    <x:row r="279" ht="23" customHeight="1">
      <x:c r="B279" s="17" t="str">
        <x:v>All rounds</x:v>
      </x:c>
      <x:c r="C279" s="17" t="str">
        <x:v>line</x:v>
      </x:c>
      <x:c r="D279" s="17" t="str">
        <x:v>Math_74</x:v>
      </x:c>
      <x:c r="E279" s="32" t="n">
        <x:v>0.6311</x:v>
      </x:c>
      <x:c r="F279" s="32" t="n">
        <x:v>0</x:v>
      </x:c>
      <x:c r="G279" s="32" t="n">
        <x:v>0.9179999999999999</x:v>
      </x:c>
      <x:c r="H279" s="32" t="n">
        <x:v>0</x:v>
      </x:c>
      <x:c r="I279" s="40" t="n">
        <x:v>2</x:v>
      </x:c>
      <x:c r="J279" s="40" t="n">
        <x:v>2</x:v>
      </x:c>
      <x:c r="K279" s="40" t="n">
        <x:v>1</x:v>
      </x:c>
      <x:c r="L279" s="40" t="n">
        <x:v>1</x:v>
      </x:c>
    </x:row>
    <x:row r="280" ht="23" customHeight="1">
      <x:c r="B280" s="17" t="str">
        <x:v>All rounds</x:v>
      </x:c>
      <x:c r="C280" s="17" t="str">
        <x:v>line</x:v>
      </x:c>
      <x:c r="D280" s="17" t="str">
        <x:v>Math_75</x:v>
      </x:c>
      <x:c r="E280" s="32" t="n">
        <x:v>0.9776</x:v>
      </x:c>
      <x:c r="F280" s="32" t="n">
        <x:v>0.9104000000000001</x:v>
      </x:c>
      <x:c r="G280" s="32" t="n">
        <x:v>0.8506999999999999</x:v>
      </x:c>
      <x:c r="H280" s="32" t="n">
        <x:v>0</x:v>
      </x:c>
      <x:c r="I280" s="40" t="n">
        <x:v>2</x:v>
      </x:c>
      <x:c r="J280" s="40" t="n">
        <x:v>2</x:v>
      </x:c>
      <x:c r="K280" s="40" t="n">
        <x:v>2</x:v>
      </x:c>
      <x:c r="L280" s="40" t="n">
        <x:v>1</x:v>
      </x:c>
    </x:row>
    <x:row r="281" ht="23" customHeight="1">
      <x:c r="B281" s="17" t="str">
        <x:v>All rounds</x:v>
      </x:c>
      <x:c r="C281" s="17" t="str">
        <x:v>line</x:v>
      </x:c>
      <x:c r="D281" s="17" t="str">
        <x:v>Math_76</x:v>
      </x:c>
      <x:c r="E281" s="32" t="n">
        <x:v>0.9701000000000001</x:v>
      </x:c>
      <x:c r="F281" s="32" t="n">
        <x:v>0.022400000000000003</x:v>
      </x:c>
      <x:c r="G281" s="32" t="n">
        <x:v>0.7985</x:v>
      </x:c>
      <x:c r="H281" s="32" t="n">
        <x:v>0</x:v>
      </x:c>
      <x:c r="I281" s="40" t="n">
        <x:v>2</x:v>
      </x:c>
      <x:c r="J281" s="40" t="n">
        <x:v>2</x:v>
      </x:c>
      <x:c r="K281" s="40" t="n">
        <x:v>2</x:v>
      </x:c>
      <x:c r="L281" s="40" t="n">
        <x:v>1</x:v>
      </x:c>
    </x:row>
    <x:row r="282" ht="23" customHeight="1">
      <x:c r="B282" s="17" t="str">
        <x:v>All rounds</x:v>
      </x:c>
      <x:c r="C282" s="17" t="str">
        <x:v>line</x:v>
      </x:c>
      <x:c r="D282" s="17" t="str">
        <x:v>Math_77</x:v>
      </x:c>
      <x:c r="E282" s="32" t="n">
        <x:v>0.9987</x:v>
      </x:c>
      <x:c r="F282" s="32" t="n">
        <x:v>0.8360499999999998</x:v>
      </x:c>
      <x:c r="G282" s="32" t="n">
        <x:v>0.7309</x:v>
      </x:c>
      <x:c r="H282" s="32" t="n">
        <x:v>0.0025</x:v>
      </x:c>
      <x:c r="I282" s="40" t="n">
        <x:v>2</x:v>
      </x:c>
      <x:c r="J282" s="40" t="n">
        <x:v>2</x:v>
      </x:c>
      <x:c r="K282" s="40" t="n">
        <x:v>1</x:v>
      </x:c>
      <x:c r="L282" s="40" t="n">
        <x:v>1</x:v>
      </x:c>
    </x:row>
    <x:row r="283" ht="23" customHeight="1">
      <x:c r="B283" s="17" t="str">
        <x:v>All rounds</x:v>
      </x:c>
      <x:c r="C283" s="17" t="str">
        <x:v>line</x:v>
      </x:c>
      <x:c r="D283" s="17" t="str">
        <x:v>Math_79</x:v>
      </x:c>
      <x:c r="E283" s="32" t="n">
        <x:v>0.9405</x:v>
      </x:c>
      <x:c r="F283" s="32" t="n">
        <x:v>0.5857</x:v>
      </x:c>
      <x:c r="G283" s="32" t="n">
        <x:v>0.6333</x:v>
      </x:c>
      <x:c r="H283" s="32" t="n">
        <x:v>0.0048</x:v>
      </x:c>
      <x:c r="I283" s="40" t="n">
        <x:v>2</x:v>
      </x:c>
      <x:c r="J283" s="40" t="n">
        <x:v>2</x:v>
      </x:c>
      <x:c r="K283" s="40" t="n">
        <x:v>2</x:v>
      </x:c>
      <x:c r="L283" s="40" t="n">
        <x:v>1</x:v>
      </x:c>
    </x:row>
    <x:row r="284" ht="23" customHeight="1">
      <x:c r="B284" s="17" t="str">
        <x:v>All rounds</x:v>
      </x:c>
      <x:c r="C284" s="17" t="str">
        <x:v>line</x:v>
      </x:c>
      <x:c r="D284" s="17" t="str">
        <x:v>Math_8</x:v>
      </x:c>
      <x:c r="E284" s="32" t="n">
        <x:v>0.975</x:v>
      </x:c>
      <x:c r="F284" s="32" t="n">
        <x:v>0.175</x:v>
      </x:c>
      <x:c r="G284" s="32" t="n">
        <x:v>0.9875</x:v>
      </x:c>
      <x:c r="H284" s="32" t="n">
        <x:v>0</x:v>
      </x:c>
      <x:c r="I284" s="40" t="n">
        <x:v>2</x:v>
      </x:c>
      <x:c r="J284" s="40" t="n">
        <x:v>2</x:v>
      </x:c>
      <x:c r="K284" s="40" t="n">
        <x:v>2</x:v>
      </x:c>
      <x:c r="L284" s="40" t="n">
        <x:v>1</x:v>
      </x:c>
    </x:row>
    <x:row r="285" ht="23" customHeight="1">
      <x:c r="B285" s="17" t="str">
        <x:v>All rounds</x:v>
      </x:c>
      <x:c r="C285" s="17" t="str">
        <x:v>line</x:v>
      </x:c>
      <x:c r="D285" s="17" t="str">
        <x:v>Math_80</x:v>
      </x:c>
      <x:c r="E285" s="32" t="n">
        <x:v>0.8327</x:v>
      </x:c>
      <x:c r="F285" s="32" t="n">
        <x:v>0.23509999999999998</x:v>
      </x:c>
      <x:c r="G285" s="32" t="n">
        <x:v>0.33020000000000005</x:v>
      </x:c>
      <x:c r="H285" s="32" t="n">
        <x:v>0</x:v>
      </x:c>
      <x:c r="I285" s="40" t="n">
        <x:v>2</x:v>
      </x:c>
      <x:c r="J285" s="40" t="n">
        <x:v>2</x:v>
      </x:c>
      <x:c r="K285" s="40" t="n">
        <x:v>2</x:v>
      </x:c>
      <x:c r="L285" s="40" t="n">
        <x:v>1</x:v>
      </x:c>
    </x:row>
    <x:row r="286" ht="23" customHeight="1">
      <x:c r="B286" s="17" t="str">
        <x:v>All rounds</x:v>
      </x:c>
      <x:c r="C286" s="17" t="str">
        <x:v>line</x:v>
      </x:c>
      <x:c r="D286" s="17" t="str">
        <x:v>Math_81</x:v>
      </x:c>
      <x:c r="E286" s="32" t="n">
        <x:v>0.8419</x:v>
      </x:c>
      <x:c r="F286" s="32" t="n">
        <x:v>0.23420000000000002</x:v>
      </x:c>
      <x:c r="G286" s="32" t="n">
        <x:v>0.3353</x:v>
      </x:c>
      <x:c r="H286" s="32" t="n">
        <x:v>0</x:v>
      </x:c>
      <x:c r="I286" s="40" t="n">
        <x:v>2</x:v>
      </x:c>
      <x:c r="J286" s="40" t="n">
        <x:v>2</x:v>
      </x:c>
      <x:c r="K286" s="40" t="n">
        <x:v>2</x:v>
      </x:c>
      <x:c r="L286" s="40" t="n">
        <x:v>1</x:v>
      </x:c>
    </x:row>
    <x:row r="287" ht="23" customHeight="1">
      <x:c r="B287" s="17" t="str">
        <x:v>All rounds</x:v>
      </x:c>
      <x:c r="C287" s="17" t="str">
        <x:v>line</x:v>
      </x:c>
      <x:c r="D287" s="17" t="str">
        <x:v>Math_82</x:v>
      </x:c>
      <x:c r="E287" s="32" t="n">
        <x:v>0.9833</x:v>
      </x:c>
      <x:c r="F287" s="32" t="n">
        <x:v>0.2167</x:v>
      </x:c>
      <x:c r="G287" s="32" t="n">
        <x:v>0.9667</x:v>
      </x:c>
      <x:c r="H287" s="32" t="n">
        <x:v>0</x:v>
      </x:c>
      <x:c r="I287" s="40" t="n">
        <x:v>2</x:v>
      </x:c>
      <x:c r="J287" s="40" t="n">
        <x:v>2</x:v>
      </x:c>
      <x:c r="K287" s="40" t="n">
        <x:v>1</x:v>
      </x:c>
      <x:c r="L287" s="40" t="n">
        <x:v>1</x:v>
      </x:c>
    </x:row>
    <x:row r="288" ht="23" customHeight="1">
      <x:c r="B288" s="17" t="str">
        <x:v>All rounds</x:v>
      </x:c>
      <x:c r="C288" s="17" t="str">
        <x:v>line</x:v>
      </x:c>
      <x:c r="D288" s="17" t="str">
        <x:v>Math_83</x:v>
      </x:c>
      <x:c r="E288" s="32" t="n">
        <x:v>0.071</x:v>
      </x:c>
      <x:c r="F288" s="32" t="n">
        <x:v>0.0387</x:v>
      </x:c>
      <x:c r="G288" s="32" t="n">
        <x:v>0.071</x:v>
      </x:c>
      <x:c r="H288" s="32" t="n">
        <x:v>0</x:v>
      </x:c>
      <x:c r="I288" s="40" t="n">
        <x:v>2</x:v>
      </x:c>
      <x:c r="J288" s="40" t="n">
        <x:v>2</x:v>
      </x:c>
      <x:c r="K288" s="40" t="n">
        <x:v>1</x:v>
      </x:c>
      <x:c r="L288" s="40" t="n">
        <x:v>1</x:v>
      </x:c>
    </x:row>
    <x:row r="289" ht="23" customHeight="1">
      <x:c r="B289" s="17" t="str">
        <x:v>All rounds</x:v>
      </x:c>
      <x:c r="C289" s="17" t="str">
        <x:v>line</x:v>
      </x:c>
      <x:c r="D289" s="17" t="str">
        <x:v>Math_85</x:v>
      </x:c>
      <x:c r="E289" s="32" t="n">
        <x:v>0.9473999999999999</x:v>
      </x:c>
      <x:c r="F289" s="32" t="n">
        <x:v>0.21050000000000002</x:v>
      </x:c>
      <x:c r="G289" s="32" t="n">
        <x:v>0.9211</x:v>
      </x:c>
      <x:c r="H289" s="32" t="n">
        <x:v>0</x:v>
      </x:c>
      <x:c r="I289" s="40" t="n">
        <x:v>2</x:v>
      </x:c>
      <x:c r="J289" s="40" t="n">
        <x:v>2</x:v>
      </x:c>
      <x:c r="K289" s="40" t="n">
        <x:v>2</x:v>
      </x:c>
      <x:c r="L289" s="40" t="n">
        <x:v>1</x:v>
      </x:c>
    </x:row>
    <x:row r="290" ht="23" customHeight="1">
      <x:c r="B290" s="17" t="str">
        <x:v>All rounds</x:v>
      </x:c>
      <x:c r="C290" s="17" t="str">
        <x:v>line</x:v>
      </x:c>
      <x:c r="D290" s="17" t="str">
        <x:v>Math_86</x:v>
      </x:c>
      <x:c r="E290" s="32" t="n">
        <x:v>0.4224</x:v>
      </x:c>
      <x:c r="F290" s="32" t="n">
        <x:v>0.0259</x:v>
      </x:c>
      <x:c r="G290" s="32" t="n">
        <x:v>0.8448</x:v>
      </x:c>
      <x:c r="H290" s="32" t="n">
        <x:v>0</x:v>
      </x:c>
      <x:c r="I290" s="40" t="n">
        <x:v>2</x:v>
      </x:c>
      <x:c r="J290" s="40" t="n">
        <x:v>2</x:v>
      </x:c>
      <x:c r="K290" s="40" t="n">
        <x:v>1</x:v>
      </x:c>
      <x:c r="L290" s="40" t="n">
        <x:v>1</x:v>
      </x:c>
    </x:row>
    <x:row r="291" ht="23" customHeight="1">
      <x:c r="B291" s="17" t="str">
        <x:v>All rounds</x:v>
      </x:c>
      <x:c r="C291" s="17" t="str">
        <x:v>line</x:v>
      </x:c>
      <x:c r="D291" s="17" t="str">
        <x:v>Math_87</x:v>
      </x:c>
      <x:c r="E291" s="32" t="n">
        <x:v>0.0724</x:v>
      </x:c>
      <x:c r="F291" s="32" t="n">
        <x:v>0.0395</x:v>
      </x:c>
      <x:c r="G291" s="32" t="n">
        <x:v>0.0724</x:v>
      </x:c>
      <x:c r="H291" s="32" t="n">
        <x:v>0</x:v>
      </x:c>
      <x:c r="I291" s="40" t="n">
        <x:v>2</x:v>
      </x:c>
      <x:c r="J291" s="40" t="n">
        <x:v>2</x:v>
      </x:c>
      <x:c r="K291" s="40" t="n">
        <x:v>2</x:v>
      </x:c>
      <x:c r="L291" s="40" t="n">
        <x:v>1</x:v>
      </x:c>
    </x:row>
    <x:row r="292" ht="23" customHeight="1">
      <x:c r="B292" s="17" t="str">
        <x:v>All rounds</x:v>
      </x:c>
      <x:c r="C292" s="17" t="str">
        <x:v>line</x:v>
      </x:c>
      <x:c r="D292" s="17" t="str">
        <x:v>Math_88</x:v>
      </x:c>
      <x:c r="E292" s="32" t="n">
        <x:v>0.0724</x:v>
      </x:c>
      <x:c r="F292" s="32" t="n">
        <x:v>0.0395</x:v>
      </x:c>
      <x:c r="G292" s="32" t="n">
        <x:v>0.0724</x:v>
      </x:c>
      <x:c r="H292" s="32" t="n">
        <x:v>0</x:v>
      </x:c>
      <x:c r="I292" s="40" t="n">
        <x:v>2</x:v>
      </x:c>
      <x:c r="J292" s="40" t="n">
        <x:v>2</x:v>
      </x:c>
      <x:c r="K292" s="40" t="n">
        <x:v>1</x:v>
      </x:c>
      <x:c r="L292" s="40" t="n">
        <x:v>1</x:v>
      </x:c>
    </x:row>
    <x:row r="293" ht="23" customHeight="1">
      <x:c r="B293" s="17" t="str">
        <x:v>All rounds</x:v>
      </x:c>
      <x:c r="C293" s="17" t="str">
        <x:v>line</x:v>
      </x:c>
      <x:c r="D293" s="17" t="str">
        <x:v>Math_89</x:v>
      </x:c>
      <x:c r="E293" s="32" t="n">
        <x:v>1</x:v>
      </x:c>
      <x:c r="F293" s="32" t="n">
        <x:v>0.9906999999999999</x:v>
      </x:c>
      <x:c r="G293" s="32" t="n">
        <x:v>0.8981</x:v>
      </x:c>
      <x:c r="H293" s="32" t="n">
        <x:v>0</x:v>
      </x:c>
      <x:c r="I293" s="40" t="n">
        <x:v>2</x:v>
      </x:c>
      <x:c r="J293" s="40" t="n">
        <x:v>2</x:v>
      </x:c>
      <x:c r="K293" s="40" t="n">
        <x:v>2</x:v>
      </x:c>
      <x:c r="L293" s="40" t="n">
        <x:v>1</x:v>
      </x:c>
    </x:row>
    <x:row r="294" ht="23" customHeight="1">
      <x:c r="B294" s="17" t="str">
        <x:v>All rounds</x:v>
      </x:c>
      <x:c r="C294" s="17" t="str">
        <x:v>line</x:v>
      </x:c>
      <x:c r="D294" s="17" t="str">
        <x:v>Math_9</x:v>
      </x:c>
      <x:c r="E294" s="32" t="n">
        <x:v>0.9783</x:v>
      </x:c>
      <x:c r="F294" s="32" t="n">
        <x:v>0.10869999999999999</x:v>
      </x:c>
      <x:c r="G294" s="32" t="n">
        <x:v>0.9783</x:v>
      </x:c>
      <x:c r="H294" s="32" t="n">
        <x:v>0</x:v>
      </x:c>
      <x:c r="I294" s="40" t="n">
        <x:v>2</x:v>
      </x:c>
      <x:c r="J294" s="40" t="n">
        <x:v>2</x:v>
      </x:c>
      <x:c r="K294" s="40" t="n">
        <x:v>1</x:v>
      </x:c>
      <x:c r="L294" s="40" t="n">
        <x:v>1</x:v>
      </x:c>
    </x:row>
    <x:row r="295" ht="23" customHeight="1">
      <x:c r="B295" s="17" t="str">
        <x:v>All rounds</x:v>
      </x:c>
      <x:c r="C295" s="17" t="str">
        <x:v>line</x:v>
      </x:c>
      <x:c r="D295" s="17" t="str">
        <x:v>Math_90</x:v>
      </x:c>
      <x:c r="E295" s="32" t="n">
        <x:v>0.9906</x:v>
      </x:c>
      <x:c r="F295" s="32" t="n">
        <x:v>0.9906</x:v>
      </x:c>
      <x:c r="G295" s="32" t="n">
        <x:v>0.8208</x:v>
      </x:c>
      <x:c r="H295" s="32" t="n">
        <x:v>0</x:v>
      </x:c>
      <x:c r="I295" s="40" t="n">
        <x:v>2</x:v>
      </x:c>
      <x:c r="J295" s="40" t="n">
        <x:v>2</x:v>
      </x:c>
      <x:c r="K295" s="40" t="n">
        <x:v>2</x:v>
      </x:c>
      <x:c r="L295" s="40" t="n">
        <x:v>1</x:v>
      </x:c>
    </x:row>
    <x:row r="296" ht="23" customHeight="1">
      <x:c r="B296" s="17" t="str">
        <x:v>All rounds</x:v>
      </x:c>
      <x:c r="C296" s="17" t="str">
        <x:v>line</x:v>
      </x:c>
      <x:c r="D296" s="17" t="str">
        <x:v>Math_92</x:v>
      </x:c>
      <x:c r="E296" s="32" t="n">
        <x:v>0.8658</x:v>
      </x:c>
      <x:c r="F296" s="32" t="n">
        <x:v>0.645</x:v>
      </x:c>
      <x:c r="G296" s="32" t="n">
        <x:v>0.7965000000000001</x:v>
      </x:c>
      <x:c r="H296" s="32" t="n">
        <x:v>0.0043</x:v>
      </x:c>
      <x:c r="I296" s="40" t="n">
        <x:v>2</x:v>
      </x:c>
      <x:c r="J296" s="40" t="n">
        <x:v>2</x:v>
      </x:c>
      <x:c r="K296" s="40" t="n">
        <x:v>2</x:v>
      </x:c>
      <x:c r="L296" s="40" t="n">
        <x:v>1</x:v>
      </x:c>
    </x:row>
    <x:row r="297" ht="23" customHeight="1">
      <x:c r="B297" s="17" t="str">
        <x:v>All rounds</x:v>
      </x:c>
      <x:c r="C297" s="17" t="str">
        <x:v>line</x:v>
      </x:c>
      <x:c r="D297" s="17" t="str">
        <x:v>Math_93</x:v>
      </x:c>
      <x:c r="E297" s="32" t="n">
        <x:v>0.8673000000000001</x:v>
      </x:c>
      <x:c r="F297" s="32" t="n">
        <x:v>0.6416</x:v>
      </x:c>
      <x:c r="G297" s="32" t="n">
        <x:v>0.9336</x:v>
      </x:c>
      <x:c r="H297" s="32" t="n">
        <x:v>0.0044</x:v>
      </x:c>
      <x:c r="I297" s="40" t="n">
        <x:v>2</x:v>
      </x:c>
      <x:c r="J297" s="40" t="n">
        <x:v>2</x:v>
      </x:c>
      <x:c r="K297" s="40" t="n">
        <x:v>2</x:v>
      </x:c>
      <x:c r="L297" s="40" t="n">
        <x:v>1</x:v>
      </x:c>
    </x:row>
    <x:row r="298" ht="23" customHeight="1">
      <x:c r="B298" s="17" t="str">
        <x:v>All rounds</x:v>
      </x:c>
      <x:c r="C298" s="17" t="str">
        <x:v>line</x:v>
      </x:c>
      <x:c r="D298" s="17" t="str">
        <x:v>Math_94</x:v>
      </x:c>
      <x:c r="E298" s="32" t="n">
        <x:v>0.9111</x:v>
      </x:c>
      <x:c r="F298" s="32" t="n">
        <x:v>0.64</x:v>
      </x:c>
      <x:c r="G298" s="32" t="n">
        <x:v>0.8</x:v>
      </x:c>
      <x:c r="H298" s="32" t="n">
        <x:v>0</x:v>
      </x:c>
      <x:c r="I298" s="40" t="n">
        <x:v>2</x:v>
      </x:c>
      <x:c r="J298" s="40" t="n">
        <x:v>2</x:v>
      </x:c>
      <x:c r="K298" s="40" t="n">
        <x:v>2</x:v>
      </x:c>
      <x:c r="L298" s="40" t="n">
        <x:v>1</x:v>
      </x:c>
    </x:row>
    <x:row r="299" ht="23" customHeight="1">
      <x:c r="B299" s="17" t="str">
        <x:v>All rounds</x:v>
      </x:c>
      <x:c r="C299" s="17" t="str">
        <x:v>line</x:v>
      </x:c>
      <x:c r="D299" s="17" t="str">
        <x:v>Math_95</x:v>
      </x:c>
      <x:c r="E299" s="32" t="n">
        <x:v>1</x:v>
      </x:c>
      <x:c r="F299" s="32" t="n">
        <x:v>1</x:v>
      </x:c>
      <x:c r="G299" s="32" t="n">
        <x:v>1</x:v>
      </x:c>
      <x:c r="H299" s="32" t="n">
        <x:v>1</x:v>
      </x:c>
      <x:c r="I299" s="40" t="n">
        <x:v>2</x:v>
      </x:c>
      <x:c r="J299" s="40" t="n">
        <x:v>2</x:v>
      </x:c>
      <x:c r="K299" s="40" t="n">
        <x:v>2</x:v>
      </x:c>
      <x:c r="L299" s="40" t="n">
        <x:v>1</x:v>
      </x:c>
    </x:row>
    <x:row r="300" ht="23" customHeight="1">
      <x:c r="B300" s="17" t="str">
        <x:v>All rounds</x:v>
      </x:c>
      <x:c r="C300" s="17" t="str">
        <x:v>line</x:v>
      </x:c>
      <x:c r="D300" s="17" t="str">
        <x:v>Math_96</x:v>
      </x:c>
      <x:c r="E300" s="32" t="n">
        <x:v>0.9648</x:v>
      </x:c>
      <x:c r="F300" s="32" t="n">
        <x:v>0.9506999999999999</x:v>
      </x:c>
      <x:c r="G300" s="32" t="n">
        <x:v>0.9789</x:v>
      </x:c>
      <x:c r="H300" s="32" t="n">
        <x:v>0.0634</x:v>
      </x:c>
      <x:c r="I300" s="40" t="n">
        <x:v>2</x:v>
      </x:c>
      <x:c r="J300" s="40" t="n">
        <x:v>2</x:v>
      </x:c>
      <x:c r="K300" s="40" t="n">
        <x:v>2</x:v>
      </x:c>
      <x:c r="L300" s="40" t="n">
        <x:v>1</x:v>
      </x:c>
    </x:row>
    <x:row r="301" ht="23" customHeight="1">
      <x:c r="B301" s="17" t="str">
        <x:v>All rounds</x:v>
      </x:c>
      <x:c r="C301" s="17" t="str">
        <x:v>line</x:v>
      </x:c>
      <x:c r="D301" s="17" t="str">
        <x:v>Math_97</x:v>
      </x:c>
      <x:c r="E301" s="32" t="n">
        <x:v>1</x:v>
      </x:c>
      <x:c r="F301" s="32" t="n">
        <x:v>0.011200000000000002</x:v>
      </x:c>
      <x:c r="G301" s="32" t="n">
        <x:v>0.9775</x:v>
      </x:c>
      <x:c r="H301" s="32" t="n">
        <x:v>0</x:v>
      </x:c>
      <x:c r="I301" s="40" t="n">
        <x:v>2</x:v>
      </x:c>
      <x:c r="J301" s="40" t="n">
        <x:v>2</x:v>
      </x:c>
      <x:c r="K301" s="40" t="n">
        <x:v>2</x:v>
      </x:c>
      <x:c r="L301" s="40" t="n">
        <x:v>1</x:v>
      </x:c>
    </x:row>
    <x:row r="302" ht="23" customHeight="1">
      <x:c r="B302" s="17" t="str">
        <x:v>All rounds</x:v>
      </x:c>
      <x:c r="C302" s="17" t="str">
        <x:v>line</x:v>
      </x:c>
      <x:c r="D302" s="17" t="str">
        <x:v>Math_98</x:v>
      </x:c>
      <x:c r="E302" s="32" t="n">
        <x:v>0.8758</x:v>
      </x:c>
      <x:c r="F302" s="32" t="n">
        <x:v>0.7646999999999999</x:v>
      </x:c>
      <x:c r="G302" s="32" t="n">
        <x:v>0.8420000000000001</x:v>
      </x:c>
      <x:c r="H302" s="32" t="n">
        <x:v>0.0033</x:v>
      </x:c>
      <x:c r="I302" s="40" t="n">
        <x:v>2</x:v>
      </x:c>
      <x:c r="J302" s="40" t="n">
        <x:v>2</x:v>
      </x:c>
      <x:c r="K302" s="40" t="n">
        <x:v>2</x:v>
      </x:c>
      <x:c r="L302" s="40" t="n">
        <x:v>1</x:v>
      </x:c>
    </x:row>
    <x:row r="303" ht="23" customHeight="1">
      <x:c r="B303" s="17" t="str">
        <x:v>All rounds</x:v>
      </x:c>
      <x:c r="C303" s="17" t="str">
        <x:v>line</x:v>
      </x:c>
      <x:c r="D303" s="17" t="str">
        <x:v>Math_99</x:v>
      </x:c>
      <x:c r="E303" s="32" t="n">
        <x:v>0.9218999999999999</x:v>
      </x:c>
      <x:c r="F303" s="32" t="n">
        <x:v>0.7713999999999999</x:v>
      </x:c>
      <x:c r="G303" s="32" t="n">
        <x:v>0.9257</x:v>
      </x:c>
      <x:c r="H303" s="32" t="n">
        <x:v>0.0037</x:v>
      </x:c>
      <x:c r="I303" s="40" t="n">
        <x:v>2</x:v>
      </x:c>
      <x:c r="J303" s="40" t="n">
        <x:v>2</x:v>
      </x:c>
      <x:c r="K303" s="40" t="n">
        <x:v>2</x:v>
      </x:c>
      <x:c r="L303" s="40" t="n">
        <x:v>1</x:v>
      </x:c>
    </x:row>
    <x:row r="304" ht="23" customHeight="1">
      <x:c r="B304" s="17" t="str">
        <x:v>All rounds</x:v>
      </x:c>
      <x:c r="C304" s="17" t="str">
        <x:v>line</x:v>
      </x:c>
      <x:c r="D304" s="17" t="str">
        <x:v>Mockito_11</x:v>
      </x:c>
      <x:c r="E304" s="32" t="n">
        <x:v>0.35710000000000003</x:v>
      </x:c>
      <x:c r="F304" s="32" t="n">
        <x:v>0</x:v>
      </x:c>
      <x:c r="G304" s="32" t="n">
        <x:v>1</x:v>
      </x:c>
      <x:c r="H304" s="32" t="n">
        <x:v>1</x:v>
      </x:c>
      <x:c r="I304" s="40" t="n">
        <x:v>2</x:v>
      </x:c>
      <x:c r="J304" s="40" t="n">
        <x:v>2</x:v>
      </x:c>
      <x:c r="K304" s="40" t="n">
        <x:v>2</x:v>
      </x:c>
      <x:c r="L304" s="40" t="n">
        <x:v>1</x:v>
      </x:c>
    </x:row>
    <x:row r="305" ht="23" customHeight="1">
      <x:c r="B305" s="17" t="str">
        <x:v>All rounds</x:v>
      </x:c>
      <x:c r="C305" s="17" t="str">
        <x:v>line</x:v>
      </x:c>
      <x:c r="D305" s="17" t="str">
        <x:v>Mockito_12</x:v>
      </x:c>
      <x:c r="E305" s="32" t="n">
        <x:v>0.3333</x:v>
      </x:c>
      <x:c r="F305" s="32" t="n">
        <x:v>0.3333</x:v>
      </x:c>
      <x:c r="G305" s="32" t="n">
        <x:v>1</x:v>
      </x:c>
      <x:c r="H305" s="32" t="n">
        <x:v>1</x:v>
      </x:c>
      <x:c r="I305" s="40" t="n">
        <x:v>2</x:v>
      </x:c>
      <x:c r="J305" s="40" t="n">
        <x:v>2</x:v>
      </x:c>
      <x:c r="K305" s="40" t="n">
        <x:v>2</x:v>
      </x:c>
      <x:c r="L305" s="40" t="n">
        <x:v>1</x:v>
      </x:c>
    </x:row>
    <x:row r="306" ht="23" customHeight="1">
      <x:c r="B306" s="17" t="str">
        <x:v>All rounds</x:v>
      </x:c>
      <x:c r="C306" s="17" t="str">
        <x:v>line</x:v>
      </x:c>
      <x:c r="D306" s="17" t="str">
        <x:v>Mockito_15</x:v>
      </x:c>
      <x:c r="E306" s="32" t="n">
        <x:v>0.5385</x:v>
      </x:c>
      <x:c r="F306" s="32" t="n">
        <x:v>0.3077</x:v>
      </x:c>
      <x:c r="G306" s="32" t="n">
        <x:v>1</x:v>
      </x:c>
      <x:c r="H306" s="32" t="n">
        <x:v>1</x:v>
      </x:c>
      <x:c r="I306" s="40" t="n">
        <x:v>2</x:v>
      </x:c>
      <x:c r="J306" s="40" t="n">
        <x:v>2</x:v>
      </x:c>
      <x:c r="K306" s="40" t="n">
        <x:v>2</x:v>
      </x:c>
      <x:c r="L306" s="40" t="n">
        <x:v>1</x:v>
      </x:c>
    </x:row>
    <x:row r="307" ht="23" customHeight="1">
      <x:c r="B307" s="17" t="str">
        <x:v>All rounds</x:v>
      </x:c>
      <x:c r="C307" s="17" t="str">
        <x:v>line</x:v>
      </x:c>
      <x:c r="D307" s="17" t="str">
        <x:v>Mockito_21</x:v>
      </x:c>
      <x:c r="E307" s="32" t="n">
        <x:v>0.9375</x:v>
      </x:c>
      <x:c r="F307" s="32" t="n">
        <x:v>0.1875</x:v>
      </x:c>
      <x:c r="G307" s="32" t="n">
        <x:v>1</x:v>
      </x:c>
      <x:c r="H307" s="32" t="n">
        <x:v>1</x:v>
      </x:c>
      <x:c r="I307" s="40" t="n">
        <x:v>2</x:v>
      </x:c>
      <x:c r="J307" s="40" t="n">
        <x:v>2</x:v>
      </x:c>
      <x:c r="K307" s="40" t="n">
        <x:v>2</x:v>
      </x:c>
      <x:c r="L307" s="40" t="n">
        <x:v>1</x:v>
      </x:c>
    </x:row>
    <x:row r="308" ht="23" customHeight="1">
      <x:c r="B308" s="17" t="str">
        <x:v>All rounds</x:v>
      </x:c>
      <x:c r="C308" s="17" t="str">
        <x:v>line</x:v>
      </x:c>
      <x:c r="D308" s="17" t="str">
        <x:v>Mockito_22</x:v>
      </x:c>
      <x:c r="E308" s="32" t="n">
        <x:v>0.6923</x:v>
      </x:c>
      <x:c r="F308" s="32" t="n">
        <x:v>0.6923</x:v>
      </x:c>
      <x:c r="G308" s="32" t="n">
        <x:v>0.9231</x:v>
      </x:c>
      <x:c r="H308" s="32" t="n">
        <x:v>1</x:v>
      </x:c>
      <x:c r="I308" s="40" t="n">
        <x:v>2</x:v>
      </x:c>
      <x:c r="J308" s="40" t="n">
        <x:v>2</x:v>
      </x:c>
      <x:c r="K308" s="40" t="n">
        <x:v>2</x:v>
      </x:c>
      <x:c r="L308" s="40" t="n">
        <x:v>1</x:v>
      </x:c>
    </x:row>
    <x:row r="309" ht="23" customHeight="1">
      <x:c r="B309" s="17" t="str">
        <x:v>All rounds</x:v>
      </x:c>
      <x:c r="C309" s="17" t="str">
        <x:v>line</x:v>
      </x:c>
      <x:c r="D309" s="17" t="str">
        <x:v>Mockito_25</x:v>
      </x:c>
      <x:c r="E309" s="32" t="n">
        <x:v>0.21739999999999998</x:v>
      </x:c>
      <x:c r="F309" s="32" t="n">
        <x:v>0.21739999999999998</x:v>
      </x:c>
      <x:c r="G309" s="32" t="n">
        <x:v>0.9565</x:v>
      </x:c>
      <x:c r="H309" s="32" t="n">
        <x:v>0.3478</x:v>
      </x:c>
      <x:c r="I309" s="40" t="n">
        <x:v>2</x:v>
      </x:c>
      <x:c r="J309" s="40" t="n">
        <x:v>2</x:v>
      </x:c>
      <x:c r="K309" s="40" t="n">
        <x:v>1</x:v>
      </x:c>
      <x:c r="L309" s="40" t="n">
        <x:v>1</x:v>
      </x:c>
    </x:row>
    <x:row r="310" ht="23" customHeight="1">
      <x:c r="B310" s="17" t="str">
        <x:v>All rounds</x:v>
      </x:c>
      <x:c r="C310" s="17" t="str">
        <x:v>line</x:v>
      </x:c>
      <x:c r="D310" s="17" t="str">
        <x:v>Mockito_26</x:v>
      </x:c>
      <x:c r="E310" s="32" t="n">
        <x:v>1</x:v>
      </x:c>
      <x:c r="F310" s="32" t="n">
        <x:v>0.8332999999999999</x:v>
      </x:c>
      <x:c r="G310" s="32" t="n">
        <x:v>0.9722</x:v>
      </x:c>
      <x:c r="H310" s="32" t="n">
        <x:v>1</x:v>
      </x:c>
      <x:c r="I310" s="40" t="n">
        <x:v>2</x:v>
      </x:c>
      <x:c r="J310" s="40" t="n">
        <x:v>2</x:v>
      </x:c>
      <x:c r="K310" s="40" t="n">
        <x:v>1</x:v>
      </x:c>
      <x:c r="L310" s="40" t="n">
        <x:v>1</x:v>
      </x:c>
    </x:row>
    <x:row r="311" ht="23" customHeight="1">
      <x:c r="B311" s="17" t="str">
        <x:v>All rounds</x:v>
      </x:c>
      <x:c r="C311" s="17" t="str">
        <x:v>line</x:v>
      </x:c>
      <x:c r="D311" s="17" t="str">
        <x:v>Mockito_28</x:v>
      </x:c>
      <x:c r="E311" s="32" t="n">
        <x:v>0.3</x:v>
      </x:c>
      <x:c r="F311" s="32" t="n">
        <x:v>0.2</x:v>
      </x:c>
      <x:c r="G311" s="32" t="n">
        <x:v>0.9333</x:v>
      </x:c>
      <x:c r="H311" s="32" t="n">
        <x:v>1</x:v>
      </x:c>
      <x:c r="I311" s="40" t="n">
        <x:v>2</x:v>
      </x:c>
      <x:c r="J311" s="40" t="n">
        <x:v>2</x:v>
      </x:c>
      <x:c r="K311" s="40" t="n">
        <x:v>1</x:v>
      </x:c>
      <x:c r="L311" s="40" t="n">
        <x:v>1</x:v>
      </x:c>
    </x:row>
    <x:row r="312" ht="23" customHeight="1">
      <x:c r="B312" s="17" t="str">
        <x:v>All rounds</x:v>
      </x:c>
      <x:c r="C312" s="17" t="str">
        <x:v>line</x:v>
      </x:c>
      <x:c r="D312" s="17" t="str">
        <x:v>Mockito_30</x:v>
      </x:c>
      <x:c r="E312" s="32" t="n">
        <x:v>0.6964</x:v>
      </x:c>
      <x:c r="F312" s="32" t="n">
        <x:v>0.5536</x:v>
      </x:c>
      <x:c r="G312" s="32" t="n">
        <x:v>0.7768</x:v>
      </x:c>
      <x:c r="H312" s="32" t="n">
        <x:v>0.1875</x:v>
      </x:c>
      <x:c r="I312" s="40" t="n">
        <x:v>2</x:v>
      </x:c>
      <x:c r="J312" s="40" t="n">
        <x:v>2</x:v>
      </x:c>
      <x:c r="K312" s="40" t="n">
        <x:v>1</x:v>
      </x:c>
      <x:c r="L312" s="40" t="n">
        <x:v>1</x:v>
      </x:c>
    </x:row>
    <x:row r="313" ht="23" customHeight="1">
      <x:c r="B313" s="17" t="str">
        <x:v>All rounds</x:v>
      </x:c>
      <x:c r="C313" s="17" t="str">
        <x:v>line</x:v>
      </x:c>
      <x:c r="D313" s="17" t="str">
        <x:v>Mockito_31</x:v>
      </x:c>
      <x:c r="E313" s="32" t="n">
        <x:v>0.15789999999999998</x:v>
      </x:c>
      <x:c r="F313" s="32" t="n">
        <x:v>0.15789999999999998</x:v>
      </x:c>
      <x:c r="G313" s="32" t="n">
        <x:v>0.9473999999999999</x:v>
      </x:c>
      <x:c r="H313" s="32" t="n">
        <x:v>0.9473999999999999</x:v>
      </x:c>
      <x:c r="I313" s="40" t="n">
        <x:v>2</x:v>
      </x:c>
      <x:c r="J313" s="40" t="n">
        <x:v>2</x:v>
      </x:c>
      <x:c r="K313" s="40" t="n">
        <x:v>1</x:v>
      </x:c>
      <x:c r="L313" s="40" t="n">
        <x:v>1</x:v>
      </x:c>
    </x:row>
    <x:row r="314" ht="23" customHeight="1">
      <x:c r="B314" s="17" t="str">
        <x:v>All rounds</x:v>
      </x:c>
      <x:c r="C314" s="17" t="str">
        <x:v>line</x:v>
      </x:c>
      <x:c r="D314" s="17" t="str">
        <x:v>Mockito_35</x:v>
      </x:c>
      <x:c r="E314" s="32" t="n">
        <x:v>1</x:v>
      </x:c>
      <x:c r="F314" s="32" t="n">
        <x:v>0.8824</x:v>
      </x:c>
      <x:c r="G314" s="32" t="n">
        <x:v>0.9804</x:v>
      </x:c>
      <x:c r="H314" s="32" t="n">
        <x:v>1</x:v>
      </x:c>
      <x:c r="I314" s="40" t="n">
        <x:v>2</x:v>
      </x:c>
      <x:c r="J314" s="40" t="n">
        <x:v>2</x:v>
      </x:c>
      <x:c r="K314" s="40" t="n">
        <x:v>1</x:v>
      </x:c>
      <x:c r="L314" s="40" t="n">
        <x:v>1</x:v>
      </x:c>
    </x:row>
    <x:row r="315" ht="23" customHeight="1">
      <x:c r="B315" s="17" t="str">
        <x:v>All rounds</x:v>
      </x:c>
      <x:c r="C315" s="17" t="str">
        <x:v>line</x:v>
      </x:c>
      <x:c r="D315" s="17" t="str">
        <x:v>Mockito_37</x:v>
      </x:c>
      <x:c r="E315" s="32" t="n">
        <x:v>0.6296</x:v>
      </x:c>
      <x:c r="F315" s="32" t="n">
        <x:v>0.0741</x:v>
      </x:c>
      <x:c r="G315" s="32" t="n">
        <x:v>1</x:v>
      </x:c>
      <x:c r="H315" s="32" t="n">
        <x:v>1</x:v>
      </x:c>
      <x:c r="I315" s="40" t="n">
        <x:v>2</x:v>
      </x:c>
      <x:c r="J315" s="40" t="n">
        <x:v>2</x:v>
      </x:c>
      <x:c r="K315" s="40" t="n">
        <x:v>2</x:v>
      </x:c>
      <x:c r="L315" s="40" t="n">
        <x:v>1</x:v>
      </x:c>
    </x:row>
    <x:row r="316" ht="23" customHeight="1">
      <x:c r="B316" s="17" t="str">
        <x:v>All rounds</x:v>
      </x:c>
      <x:c r="C316" s="17" t="str">
        <x:v>line</x:v>
      </x:c>
      <x:c r="D316" s="17" t="str">
        <x:v>Time_10</x:v>
      </x:c>
      <x:c r="E316" s="32" t="n">
        <x:v>0.9437000000000001</x:v>
      </x:c>
      <x:c r="F316" s="32" t="n">
        <x:v>0.08449999999999999</x:v>
      </x:c>
      <x:c r="G316" s="32" t="n">
        <x:v>0.9296</x:v>
      </x:c>
      <x:c r="H316" s="32" t="n">
        <x:v>0.9859</x:v>
      </x:c>
      <x:c r="I316" s="40" t="n">
        <x:v>2</x:v>
      </x:c>
      <x:c r="J316" s="40" t="n">
        <x:v>2</x:v>
      </x:c>
      <x:c r="K316" s="40" t="n">
        <x:v>1</x:v>
      </x:c>
      <x:c r="L316" s="40" t="n">
        <x:v>1</x:v>
      </x:c>
    </x:row>
    <x:row r="317" ht="23" customHeight="1">
      <x:c r="B317" s="17" t="str">
        <x:v>All rounds</x:v>
      </x:c>
      <x:c r="C317" s="17" t="str">
        <x:v>line</x:v>
      </x:c>
      <x:c r="D317" s="17" t="str">
        <x:v>Time_11</x:v>
      </x:c>
      <x:c r="E317" s="32" t="n">
        <x:v>0.44530000000000003</x:v>
      </x:c>
      <x:c r="F317" s="32" t="n">
        <x:v>0.18195</x:v>
      </x:c>
      <x:c r="G317" s="32" t="n">
        <x:v>0.1628</x:v>
      </x:c>
      <x:c r="H317" s="32" t="n">
        <x:v>0.9159999999999999</x:v>
      </x:c>
      <x:c r="I317" s="40" t="n">
        <x:v>2</x:v>
      </x:c>
      <x:c r="J317" s="40" t="n">
        <x:v>2</x:v>
      </x:c>
      <x:c r="K317" s="40" t="n">
        <x:v>1</x:v>
      </x:c>
      <x:c r="L317" s="40" t="n">
        <x:v>1</x:v>
      </x:c>
    </x:row>
    <x:row r="318" ht="23" customHeight="1">
      <x:c r="B318" s="17" t="str">
        <x:v>All rounds</x:v>
      </x:c>
      <x:c r="C318" s="17" t="str">
        <x:v>line</x:v>
      </x:c>
      <x:c r="D318" s="17" t="str">
        <x:v>Time_15</x:v>
      </x:c>
      <x:c r="E318" s="32" t="n">
        <x:v>0.9732999999999999</x:v>
      </x:c>
      <x:c r="F318" s="32" t="n">
        <x:v>0.83335</x:v>
      </x:c>
      <x:c r="G318" s="32" t="n">
        <x:v>0.7467</x:v>
      </x:c>
      <x:c r="H318" s="32" t="n">
        <x:v>0.9333</x:v>
      </x:c>
      <x:c r="I318" s="40" t="n">
        <x:v>2</x:v>
      </x:c>
      <x:c r="J318" s="40" t="n">
        <x:v>2</x:v>
      </x:c>
      <x:c r="K318" s="40" t="n">
        <x:v>1</x:v>
      </x:c>
      <x:c r="L318" s="40" t="n">
        <x:v>1</x:v>
      </x:c>
    </x:row>
    <x:row r="319" ht="23" customHeight="1">
      <x:c r="B319" s="17" t="str">
        <x:v>All rounds</x:v>
      </x:c>
      <x:c r="C319" s="17" t="str">
        <x:v>line</x:v>
      </x:c>
      <x:c r="D319" s="17" t="str">
        <x:v>Time_16</x:v>
      </x:c>
      <x:c r="E319" s="32" t="n">
        <x:v>0.8937</x:v>
      </x:c>
      <x:c r="F319" s="32" t="n">
        <x:v>0.35025</x:v>
      </x:c>
      <x:c r="G319" s="32" t="n">
        <x:v>0.715</x:v>
      </x:c>
      <x:c r="H319" s="32" t="n">
        <x:v>1</x:v>
      </x:c>
      <x:c r="I319" s="40" t="n">
        <x:v>2</x:v>
      </x:c>
      <x:c r="J319" s="40" t="n">
        <x:v>2</x:v>
      </x:c>
      <x:c r="K319" s="40" t="n">
        <x:v>1</x:v>
      </x:c>
      <x:c r="L319" s="40" t="n">
        <x:v>1</x:v>
      </x:c>
    </x:row>
    <x:row r="320" ht="23" customHeight="1">
      <x:c r="B320" s="17" t="str">
        <x:v>All rounds</x:v>
      </x:c>
      <x:c r="C320" s="17" t="str">
        <x:v>line</x:v>
      </x:c>
      <x:c r="D320" s="17" t="str">
        <x:v>Time_20</x:v>
      </x:c>
      <x:c r="E320" s="32" t="n">
        <x:v>0.6776000000000001</x:v>
      </x:c>
      <x:c r="F320" s="32" t="n">
        <x:v>0.304</x:v>
      </x:c>
      <x:c r="G320" s="32" t="n">
        <x:v>0.1655</x:v>
      </x:c>
      <x:c r="H320" s="32" t="n">
        <x:v>0.8025</x:v>
      </x:c>
      <x:c r="I320" s="40" t="n">
        <x:v>2</x:v>
      </x:c>
      <x:c r="J320" s="40" t="n">
        <x:v>2</x:v>
      </x:c>
      <x:c r="K320" s="40" t="n">
        <x:v>1</x:v>
      </x:c>
      <x:c r="L320" s="40" t="n">
        <x:v>1</x:v>
      </x:c>
    </x:row>
    <x:row r="321" ht="23" customHeight="1">
      <x:c r="B321" s="17" t="str">
        <x:v>All rounds</x:v>
      </x:c>
      <x:c r="C321" s="17" t="str">
        <x:v>condition</x:v>
      </x:c>
      <x:c r="D321" s="17" t="str">
        <x:v>Chart_16</x:v>
      </x:c>
      <x:c r="E321" s="32" t="n">
        <x:v>0.8438</x:v>
      </x:c>
      <x:c r="F321" s="32" t="n">
        <x:v>0.8281000000000001</x:v>
      </x:c>
      <x:c r="G321" s="32" t="n">
        <x:v>0.8828</x:v>
      </x:c>
      <x:c r="H321" s="32" t="n">
        <x:v>0.1562</x:v>
      </x:c>
      <x:c r="I321" s="40" t="n">
        <x:v>2</x:v>
      </x:c>
      <x:c r="J321" s="40" t="n">
        <x:v>2</x:v>
      </x:c>
      <x:c r="K321" s="40" t="n">
        <x:v>1</x:v>
      </x:c>
      <x:c r="L321" s="40" t="n">
        <x:v>1</x:v>
      </x:c>
    </x:row>
    <x:row r="322" ht="23" customHeight="1">
      <x:c r="B322" s="17" t="str">
        <x:v>All rounds</x:v>
      </x:c>
      <x:c r="C322" s="17" t="str">
        <x:v>condition</x:v>
      </x:c>
      <x:c r="D322" s="17" t="str">
        <x:v>Chart_18</x:v>
      </x:c>
      <x:c r="E322" s="32" t="n">
        <x:v>0.9672</x:v>
      </x:c>
      <x:c r="F322" s="32" t="n">
        <x:v>0.7336</x:v>
      </x:c>
      <x:c r="G322" s="32" t="n">
        <x:v>0.8361</x:v>
      </x:c>
      <x:c r="H322" s="32" t="n">
        <x:v>0.1311</x:v>
      </x:c>
      <x:c r="I322" s="40" t="n">
        <x:v>2</x:v>
      </x:c>
      <x:c r="J322" s="40" t="n">
        <x:v>2</x:v>
      </x:c>
      <x:c r="K322" s="40" t="n">
        <x:v>2</x:v>
      </x:c>
      <x:c r="L322" s="40" t="n">
        <x:v>1</x:v>
      </x:c>
    </x:row>
    <x:row r="323" ht="23" customHeight="1">
      <x:c r="B323" s="17" t="str">
        <x:v>All rounds</x:v>
      </x:c>
      <x:c r="C323" s="17" t="str">
        <x:v>condition</x:v>
      </x:c>
      <x:c r="D323" s="17" t="str">
        <x:v>Chart_20</x:v>
      </x:c>
      <x:c r="E323" s="32" t="n">
        <x:v>0.875</x:v>
      </x:c>
      <x:c r="F323" s="32" t="n">
        <x:v>0.75</x:v>
      </x:c>
      <x:c r="G323" s="32" t="n">
        <x:v>0.875</x:v>
      </x:c>
      <x:c r="H323" s="32" t="n">
        <x:v>0.875</x:v>
      </x:c>
      <x:c r="I323" s="40" t="n">
        <x:v>2</x:v>
      </x:c>
      <x:c r="J323" s="40" t="n">
        <x:v>2</x:v>
      </x:c>
      <x:c r="K323" s="40" t="n">
        <x:v>1</x:v>
      </x:c>
      <x:c r="L323" s="40" t="n">
        <x:v>1</x:v>
      </x:c>
    </x:row>
    <x:row r="324" ht="23" customHeight="1">
      <x:c r="B324" s="17" t="str">
        <x:v>All rounds</x:v>
      </x:c>
      <x:c r="C324" s="17" t="str">
        <x:v>condition</x:v>
      </x:c>
      <x:c r="D324" s="17" t="str">
        <x:v>Chart_21</x:v>
      </x:c>
      <x:c r="E324" s="32" t="n">
        <x:v>0.7333</x:v>
      </x:c>
      <x:c r="F324" s="32" t="n">
        <x:v>0.15</x:v>
      </x:c>
      <x:c r="G324" s="32" t="n">
        <x:v>0.4</x:v>
      </x:c>
      <x:c r="H324" s="32" t="n">
        <x:v>0.1</x:v>
      </x:c>
      <x:c r="I324" s="40" t="n">
        <x:v>2</x:v>
      </x:c>
      <x:c r="J324" s="40" t="n">
        <x:v>2</x:v>
      </x:c>
      <x:c r="K324" s="40" t="n">
        <x:v>2</x:v>
      </x:c>
      <x:c r="L324" s="40" t="n">
        <x:v>1</x:v>
      </x:c>
    </x:row>
    <x:row r="325" ht="23" customHeight="1">
      <x:c r="B325" s="17" t="str">
        <x:v>All rounds</x:v>
      </x:c>
      <x:c r="C325" s="17" t="str">
        <x:v>condition</x:v>
      </x:c>
      <x:c r="D325" s="17" t="str">
        <x:v>Chart_22</x:v>
      </x:c>
      <x:c r="E325" s="32" t="n">
        <x:v>0.8966</x:v>
      </x:c>
      <x:c r="F325" s="32" t="n">
        <x:v>0.8448</x:v>
      </x:c>
      <x:c r="G325" s="32" t="n">
        <x:v>0.8103</x:v>
      </x:c>
      <x:c r="H325" s="32" t="n">
        <x:v>0.1552</x:v>
      </x:c>
      <x:c r="I325" s="40" t="n">
        <x:v>2</x:v>
      </x:c>
      <x:c r="J325" s="40" t="n">
        <x:v>2</x:v>
      </x:c>
      <x:c r="K325" s="40" t="n">
        <x:v>2</x:v>
      </x:c>
      <x:c r="L325" s="40" t="n">
        <x:v>1</x:v>
      </x:c>
    </x:row>
    <x:row r="326" ht="23" customHeight="1">
      <x:c r="B326" s="17" t="str">
        <x:v>All rounds</x:v>
      </x:c>
      <x:c r="C326" s="17" t="str">
        <x:v>condition</x:v>
      </x:c>
      <x:c r="D326" s="17" t="str">
        <x:v>Chart_23</x:v>
      </x:c>
      <x:c r="E326" s="32" t="n">
        <x:v>0.2609</x:v>
      </x:c>
      <x:c r="F326" s="32" t="n">
        <x:v>0.22824999999999998</x:v>
      </x:c>
      <x:c r="G326" s="32" t="n">
        <x:v>0.2609</x:v>
      </x:c>
      <x:c r="H326" s="32" t="n">
        <x:v>0.8913</x:v>
      </x:c>
      <x:c r="I326" s="40" t="n">
        <x:v>2</x:v>
      </x:c>
      <x:c r="J326" s="40" t="n">
        <x:v>2</x:v>
      </x:c>
      <x:c r="K326" s="40" t="n">
        <x:v>1</x:v>
      </x:c>
      <x:c r="L326" s="40" t="n">
        <x:v>1</x:v>
      </x:c>
    </x:row>
    <x:row r="327" ht="23" customHeight="1">
      <x:c r="B327" s="17" t="str">
        <x:v>All rounds</x:v>
      </x:c>
      <x:c r="C327" s="17" t="str">
        <x:v>condition</x:v>
      </x:c>
      <x:c r="D327" s="17" t="str">
        <x:v>Chart_24</x:v>
      </x:c>
      <x:c r="E327" s="32" t="n">
        <x:v>1</x:v>
      </x:c>
      <x:c r="F327" s="32" t="n">
        <x:v>0.9</x:v>
      </x:c>
      <x:c r="G327" s="32" t="n">
        <x:v>1</x:v>
      </x:c>
      <x:c r="H327" s="32" t="n">
        <x:v>1</x:v>
      </x:c>
      <x:c r="I327" s="40" t="n">
        <x:v>2</x:v>
      </x:c>
      <x:c r="J327" s="40" t="n">
        <x:v>2</x:v>
      </x:c>
      <x:c r="K327" s="40" t="n">
        <x:v>2</x:v>
      </x:c>
      <x:c r="L327" s="40" t="n">
        <x:v>1</x:v>
      </x:c>
    </x:row>
    <x:row r="328" ht="23" customHeight="1">
      <x:c r="B328" s="17" t="str">
        <x:v>All rounds</x:v>
      </x:c>
      <x:c r="C328" s="17" t="str">
        <x:v>condition</x:v>
      </x:c>
      <x:c r="D328" s="17" t="str">
        <x:v>Chart_26</x:v>
      </x:c>
      <x:c r="E328" s="32" t="n">
        <x:v>0.8359000000000001</x:v>
      </x:c>
      <x:c r="F328" s="32" t="n">
        <x:v>0</x:v>
      </x:c>
      <x:c r="G328" s="32" t="n">
        <x:v>0.5078</x:v>
      </x:c>
      <x:c r="H328" s="32" t="n">
        <x:v>0.9688</x:v>
      </x:c>
      <x:c r="I328" s="40" t="n">
        <x:v>2</x:v>
      </x:c>
      <x:c r="J328" s="40" t="n">
        <x:v>2</x:v>
      </x:c>
      <x:c r="K328" s="40" t="n">
        <x:v>1</x:v>
      </x:c>
      <x:c r="L328" s="40" t="n">
        <x:v>1</x:v>
      </x:c>
    </x:row>
    <x:row r="329" ht="23" customHeight="1">
      <x:c r="B329" s="17" t="str">
        <x:v>All rounds</x:v>
      </x:c>
      <x:c r="C329" s="17" t="str">
        <x:v>condition</x:v>
      </x:c>
      <x:c r="D329" s="17" t="str">
        <x:v>Chart_5</x:v>
      </x:c>
      <x:c r="E329" s="32" t="n">
        <x:v>1</x:v>
      </x:c>
      <x:c r="F329" s="32" t="n">
        <x:v>0.80625</x:v>
      </x:c>
      <x:c r="G329" s="32" t="n">
        <x:v>0.8625</x:v>
      </x:c>
      <x:c r="H329" s="32" t="n">
        <x:v>0.5625</x:v>
      </x:c>
      <x:c r="I329" s="40" t="n">
        <x:v>2</x:v>
      </x:c>
      <x:c r="J329" s="40" t="n">
        <x:v>2</x:v>
      </x:c>
      <x:c r="K329" s="40" t="n">
        <x:v>1</x:v>
      </x:c>
      <x:c r="L329" s="40" t="n">
        <x:v>1</x:v>
      </x:c>
    </x:row>
    <x:row r="330" ht="23" customHeight="1">
      <x:c r="B330" s="17" t="str">
        <x:v>All rounds</x:v>
      </x:c>
      <x:c r="C330" s="17" t="str">
        <x:v>condition</x:v>
      </x:c>
      <x:c r="D330" s="17" t="str">
        <x:v>Chart_8</x:v>
      </x:c>
      <x:c r="E330" s="32" t="n">
        <x:v>0.8088</x:v>
      </x:c>
      <x:c r="F330" s="32" t="n">
        <x:v>0.7646999999999999</x:v>
      </x:c>
      <x:c r="G330" s="32" t="n">
        <x:v>0.5146999999999999</x:v>
      </x:c>
      <x:c r="H330" s="32" t="n">
        <x:v>0.0588</x:v>
      </x:c>
      <x:c r="I330" s="40" t="n">
        <x:v>2</x:v>
      </x:c>
      <x:c r="J330" s="40" t="n">
        <x:v>2</x:v>
      </x:c>
      <x:c r="K330" s="40" t="n">
        <x:v>2</x:v>
      </x:c>
      <x:c r="L330" s="40" t="n">
        <x:v>1</x:v>
      </x:c>
    </x:row>
    <x:row r="331" ht="23" customHeight="1">
      <x:c r="B331" s="17" t="str">
        <x:v>All rounds</x:v>
      </x:c>
      <x:c r="C331" s="17" t="str">
        <x:v>condition</x:v>
      </x:c>
      <x:c r="D331" s="17" t="str">
        <x:v>Cli_1</x:v>
      </x:c>
      <x:c r="E331" s="32" t="n">
        <x:v>0</x:v>
      </x:c>
      <x:c r="F331" s="32" t="n">
        <x:v>0</x:v>
      </x:c>
      <x:c r="G331" s="32" t="n">
        <x:v>0</x:v>
      </x:c>
      <x:c r="H331" s="32" t="n">
        <x:v>0</x:v>
      </x:c>
      <x:c r="I331" s="40" t="n">
        <x:v>2</x:v>
      </x:c>
      <x:c r="J331" s="40" t="n">
        <x:v>2</x:v>
      </x:c>
      <x:c r="K331" s="40" t="n">
        <x:v>1</x:v>
      </x:c>
      <x:c r="L331" s="40" t="n">
        <x:v>1</x:v>
      </x:c>
    </x:row>
    <x:row r="332" ht="23" customHeight="1">
      <x:c r="B332" s="17" t="str">
        <x:v>All rounds</x:v>
      </x:c>
      <x:c r="C332" s="17" t="str">
        <x:v>condition</x:v>
      </x:c>
      <x:c r="D332" s="17" t="str">
        <x:v>Cli_11</x:v>
      </x:c>
      <x:c r="E332" s="32" t="n">
        <x:v>0</x:v>
      </x:c>
      <x:c r="F332" s="32" t="n">
        <x:v>0</x:v>
      </x:c>
      <x:c r="G332" s="32" t="n">
        <x:v>0</x:v>
      </x:c>
      <x:c r="H332" s="32" t="n">
        <x:v>0</x:v>
      </x:c>
      <x:c r="I332" s="40" t="n">
        <x:v>2</x:v>
      </x:c>
      <x:c r="J332" s="40" t="n">
        <x:v>2</x:v>
      </x:c>
      <x:c r="K332" s="40" t="n">
        <x:v>1</x:v>
      </x:c>
      <x:c r="L332" s="40" t="n">
        <x:v>1</x:v>
      </x:c>
    </x:row>
    <x:row r="333" ht="23" customHeight="1">
      <x:c r="B333" s="17" t="str">
        <x:v>All rounds</x:v>
      </x:c>
      <x:c r="C333" s="17" t="str">
        <x:v>condition</x:v>
      </x:c>
      <x:c r="D333" s="17" t="str">
        <x:v>Cli_17</x:v>
      </x:c>
      <x:c r="E333" s="32" t="n">
        <x:v>0</x:v>
      </x:c>
      <x:c r="F333" s="32" t="n">
        <x:v>0</x:v>
      </x:c>
      <x:c r="G333" s="32" t="n">
        <x:v>0</x:v>
      </x:c>
      <x:c r="H333" s="32" t="n">
        <x:v>0</x:v>
      </x:c>
      <x:c r="I333" s="40" t="n">
        <x:v>2</x:v>
      </x:c>
      <x:c r="J333" s="40" t="n">
        <x:v>2</x:v>
      </x:c>
      <x:c r="K333" s="40" t="n">
        <x:v>1</x:v>
      </x:c>
      <x:c r="L333" s="40" t="n">
        <x:v>1</x:v>
      </x:c>
    </x:row>
    <x:row r="334" ht="23" customHeight="1">
      <x:c r="B334" s="17" t="str">
        <x:v>All rounds</x:v>
      </x:c>
      <x:c r="C334" s="17" t="str">
        <x:v>condition</x:v>
      </x:c>
      <x:c r="D334" s="17" t="str">
        <x:v>Cli_18</x:v>
      </x:c>
      <x:c r="E334" s="32" t="n">
        <x:v>0</x:v>
      </x:c>
      <x:c r="F334" s="32" t="n">
        <x:v>0</x:v>
      </x:c>
      <x:c r="G334" s="32" t="n">
        <x:v>0</x:v>
      </x:c>
      <x:c r="H334" s="32" t="n">
        <x:v>0</x:v>
      </x:c>
      <x:c r="I334" s="40" t="n">
        <x:v>2</x:v>
      </x:c>
      <x:c r="J334" s="40" t="n">
        <x:v>2</x:v>
      </x:c>
      <x:c r="K334" s="40" t="n">
        <x:v>2</x:v>
      </x:c>
      <x:c r="L334" s="40" t="n">
        <x:v>1</x:v>
      </x:c>
    </x:row>
    <x:row r="335" ht="23" customHeight="1">
      <x:c r="B335" s="17" t="str">
        <x:v>All rounds</x:v>
      </x:c>
      <x:c r="C335" s="17" t="str">
        <x:v>condition</x:v>
      </x:c>
      <x:c r="D335" s="17" t="str">
        <x:v>Cli_19</x:v>
      </x:c>
      <x:c r="E335" s="32" t="n">
        <x:v>0</x:v>
      </x:c>
      <x:c r="F335" s="32" t="n">
        <x:v>0</x:v>
      </x:c>
      <x:c r="G335" s="32" t="n">
        <x:v>0</x:v>
      </x:c>
      <x:c r="H335" s="32" t="n">
        <x:v>0</x:v>
      </x:c>
      <x:c r="I335" s="40" t="n">
        <x:v>2</x:v>
      </x:c>
      <x:c r="J335" s="40" t="n">
        <x:v>2</x:v>
      </x:c>
      <x:c r="K335" s="40" t="n">
        <x:v>2</x:v>
      </x:c>
      <x:c r="L335" s="40" t="n">
        <x:v>1</x:v>
      </x:c>
    </x:row>
    <x:row r="336" ht="23" customHeight="1">
      <x:c r="B336" s="17" t="str">
        <x:v>All rounds</x:v>
      </x:c>
      <x:c r="C336" s="17" t="str">
        <x:v>condition</x:v>
      </x:c>
      <x:c r="D336" s="17" t="str">
        <x:v>Cli_2</x:v>
      </x:c>
      <x:c r="E336" s="32" t="n">
        <x:v>0</x:v>
      </x:c>
      <x:c r="F336" s="32" t="n">
        <x:v>0</x:v>
      </x:c>
      <x:c r="G336" s="32" t="n">
        <x:v>0</x:v>
      </x:c>
      <x:c r="H336" s="32" t="n">
        <x:v>0</x:v>
      </x:c>
      <x:c r="I336" s="40" t="n">
        <x:v>2</x:v>
      </x:c>
      <x:c r="J336" s="40" t="n">
        <x:v>2</x:v>
      </x:c>
      <x:c r="K336" s="40" t="n">
        <x:v>2</x:v>
      </x:c>
      <x:c r="L336" s="40" t="n">
        <x:v>1</x:v>
      </x:c>
    </x:row>
    <x:row r="337" ht="23" customHeight="1">
      <x:c r="B337" s="17" t="str">
        <x:v>All rounds</x:v>
      </x:c>
      <x:c r="C337" s="17" t="str">
        <x:v>condition</x:v>
      </x:c>
      <x:c r="D337" s="17" t="str">
        <x:v>Cli_20</x:v>
      </x:c>
      <x:c r="E337" s="32" t="n">
        <x:v>0</x:v>
      </x:c>
      <x:c r="F337" s="32" t="n">
        <x:v>0</x:v>
      </x:c>
      <x:c r="G337" s="32" t="n">
        <x:v>0</x:v>
      </x:c>
      <x:c r="H337" s="32" t="n">
        <x:v>0</x:v>
      </x:c>
      <x:c r="I337" s="40" t="n">
        <x:v>2</x:v>
      </x:c>
      <x:c r="J337" s="40" t="n">
        <x:v>2</x:v>
      </x:c>
      <x:c r="K337" s="40" t="n">
        <x:v>1</x:v>
      </x:c>
      <x:c r="L337" s="40" t="n">
        <x:v>1</x:v>
      </x:c>
    </x:row>
    <x:row r="338" ht="23" customHeight="1">
      <x:c r="B338" s="17" t="str">
        <x:v>All rounds</x:v>
      </x:c>
      <x:c r="C338" s="17" t="str">
        <x:v>condition</x:v>
      </x:c>
      <x:c r="D338" s="17" t="str">
        <x:v>Cli_22</x:v>
      </x:c>
      <x:c r="E338" s="32" t="n">
        <x:v>0</x:v>
      </x:c>
      <x:c r="F338" s="32" t="n">
        <x:v>0</x:v>
      </x:c>
      <x:c r="G338" s="32" t="n">
        <x:v>0</x:v>
      </x:c>
      <x:c r="H338" s="32" t="n">
        <x:v>0</x:v>
      </x:c>
      <x:c r="I338" s="40" t="n">
        <x:v>2</x:v>
      </x:c>
      <x:c r="J338" s="40" t="n">
        <x:v>2</x:v>
      </x:c>
      <x:c r="K338" s="40" t="n">
        <x:v>2</x:v>
      </x:c>
      <x:c r="L338" s="40" t="n">
        <x:v>1</x:v>
      </x:c>
    </x:row>
    <x:row r="339" ht="23" customHeight="1">
      <x:c r="B339" s="17" t="str">
        <x:v>All rounds</x:v>
      </x:c>
      <x:c r="C339" s="17" t="str">
        <x:v>condition</x:v>
      </x:c>
      <x:c r="D339" s="17" t="str">
        <x:v>Cli_23</x:v>
      </x:c>
      <x:c r="E339" s="32" t="n">
        <x:v>0</x:v>
      </x:c>
      <x:c r="F339" s="32" t="n">
        <x:v>0</x:v>
      </x:c>
      <x:c r="G339" s="32" t="n">
        <x:v>0</x:v>
      </x:c>
      <x:c r="H339" s="32" t="n">
        <x:v>0</x:v>
      </x:c>
      <x:c r="I339" s="40" t="n">
        <x:v>2</x:v>
      </x:c>
      <x:c r="J339" s="40" t="n">
        <x:v>2</x:v>
      </x:c>
      <x:c r="K339" s="40" t="n">
        <x:v>1</x:v>
      </x:c>
      <x:c r="L339" s="40" t="n">
        <x:v>1</x:v>
      </x:c>
    </x:row>
    <x:row r="340" ht="23" customHeight="1">
      <x:c r="B340" s="17" t="str">
        <x:v>All rounds</x:v>
      </x:c>
      <x:c r="C340" s="17" t="str">
        <x:v>condition</x:v>
      </x:c>
      <x:c r="D340" s="17" t="str">
        <x:v>Cli_24</x:v>
      </x:c>
      <x:c r="E340" s="32" t="n">
        <x:v>0</x:v>
      </x:c>
      <x:c r="F340" s="32" t="n">
        <x:v>0</x:v>
      </x:c>
      <x:c r="G340" s="32" t="n">
        <x:v>0</x:v>
      </x:c>
      <x:c r="H340" s="32" t="n">
        <x:v>0</x:v>
      </x:c>
      <x:c r="I340" s="40" t="n">
        <x:v>2</x:v>
      </x:c>
      <x:c r="J340" s="40" t="n">
        <x:v>2</x:v>
      </x:c>
      <x:c r="K340" s="40" t="n">
        <x:v>2</x:v>
      </x:c>
      <x:c r="L340" s="40" t="n">
        <x:v>1</x:v>
      </x:c>
    </x:row>
    <x:row r="341" ht="23" customHeight="1">
      <x:c r="B341" s="17" t="str">
        <x:v>All rounds</x:v>
      </x:c>
      <x:c r="C341" s="17" t="str">
        <x:v>condition</x:v>
      </x:c>
      <x:c r="D341" s="17" t="str">
        <x:v>Cli_25</x:v>
      </x:c>
      <x:c r="E341" s="32" t="n">
        <x:v>0</x:v>
      </x:c>
      <x:c r="F341" s="32" t="n">
        <x:v>0</x:v>
      </x:c>
      <x:c r="G341" s="32" t="n">
        <x:v>0</x:v>
      </x:c>
      <x:c r="H341" s="32" t="n">
        <x:v>0</x:v>
      </x:c>
      <x:c r="I341" s="40" t="n">
        <x:v>2</x:v>
      </x:c>
      <x:c r="J341" s="40" t="n">
        <x:v>2</x:v>
      </x:c>
      <x:c r="K341" s="40" t="n">
        <x:v>1</x:v>
      </x:c>
      <x:c r="L341" s="40" t="n">
        <x:v>1</x:v>
      </x:c>
    </x:row>
    <x:row r="342" ht="23" customHeight="1">
      <x:c r="B342" s="17" t="str">
        <x:v>All rounds</x:v>
      </x:c>
      <x:c r="C342" s="17" t="str">
        <x:v>condition</x:v>
      </x:c>
      <x:c r="D342" s="17" t="str">
        <x:v>Cli_27</x:v>
      </x:c>
      <x:c r="E342" s="32" t="n">
        <x:v>0</x:v>
      </x:c>
      <x:c r="F342" s="32" t="n">
        <x:v>0</x:v>
      </x:c>
      <x:c r="G342" s="32" t="n">
        <x:v>0</x:v>
      </x:c>
      <x:c r="H342" s="32" t="n">
        <x:v>0</x:v>
      </x:c>
      <x:c r="I342" s="40" t="n">
        <x:v>2</x:v>
      </x:c>
      <x:c r="J342" s="40" t="n">
        <x:v>2</x:v>
      </x:c>
      <x:c r="K342" s="40" t="n">
        <x:v>2</x:v>
      </x:c>
      <x:c r="L342" s="40" t="n">
        <x:v>1</x:v>
      </x:c>
    </x:row>
    <x:row r="343" ht="23" customHeight="1">
      <x:c r="B343" s="17" t="str">
        <x:v>All rounds</x:v>
      </x:c>
      <x:c r="C343" s="17" t="str">
        <x:v>condition</x:v>
      </x:c>
      <x:c r="D343" s="17" t="str">
        <x:v>Cli_28</x:v>
      </x:c>
      <x:c r="E343" s="32" t="n">
        <x:v>0</x:v>
      </x:c>
      <x:c r="F343" s="32" t="n">
        <x:v>0</x:v>
      </x:c>
      <x:c r="G343" s="32" t="n">
        <x:v>0</x:v>
      </x:c>
      <x:c r="H343" s="32" t="n">
        <x:v>0</x:v>
      </x:c>
      <x:c r="I343" s="40" t="n">
        <x:v>2</x:v>
      </x:c>
      <x:c r="J343" s="40" t="n">
        <x:v>2</x:v>
      </x:c>
      <x:c r="K343" s="40" t="n">
        <x:v>1</x:v>
      </x:c>
      <x:c r="L343" s="40" t="n">
        <x:v>1</x:v>
      </x:c>
    </x:row>
    <x:row r="344" ht="23" customHeight="1">
      <x:c r="B344" s="17" t="str">
        <x:v>All rounds</x:v>
      </x:c>
      <x:c r="C344" s="17" t="str">
        <x:v>condition</x:v>
      </x:c>
      <x:c r="D344" s="17" t="str">
        <x:v>Cli_29</x:v>
      </x:c>
      <x:c r="E344" s="32" t="n">
        <x:v>0</x:v>
      </x:c>
      <x:c r="F344" s="32" t="n">
        <x:v>0</x:v>
      </x:c>
      <x:c r="G344" s="32" t="n">
        <x:v>0</x:v>
      </x:c>
      <x:c r="H344" s="32" t="n">
        <x:v>0</x:v>
      </x:c>
      <x:c r="I344" s="40" t="n">
        <x:v>2</x:v>
      </x:c>
      <x:c r="J344" s="40" t="n">
        <x:v>2</x:v>
      </x:c>
      <x:c r="K344" s="40" t="n">
        <x:v>2</x:v>
      </x:c>
      <x:c r="L344" s="40" t="n">
        <x:v>1</x:v>
      </x:c>
    </x:row>
    <x:row r="345" ht="23" customHeight="1">
      <x:c r="B345" s="17" t="str">
        <x:v>All rounds</x:v>
      </x:c>
      <x:c r="C345" s="17" t="str">
        <x:v>condition</x:v>
      </x:c>
      <x:c r="D345" s="17" t="str">
        <x:v>Cli_3</x:v>
      </x:c>
      <x:c r="E345" s="32" t="n">
        <x:v>0</x:v>
      </x:c>
      <x:c r="F345" s="32" t="n">
        <x:v>0</x:v>
      </x:c>
      <x:c r="G345" s="32" t="n">
        <x:v>0</x:v>
      </x:c>
      <x:c r="H345" s="32" t="n">
        <x:v>0</x:v>
      </x:c>
      <x:c r="I345" s="40" t="n">
        <x:v>2</x:v>
      </x:c>
      <x:c r="J345" s="40" t="n">
        <x:v>2</x:v>
      </x:c>
      <x:c r="K345" s="40" t="n">
        <x:v>2</x:v>
      </x:c>
      <x:c r="L345" s="40" t="n">
        <x:v>1</x:v>
      </x:c>
    </x:row>
    <x:row r="346" ht="23" customHeight="1">
      <x:c r="B346" s="17" t="str">
        <x:v>All rounds</x:v>
      </x:c>
      <x:c r="C346" s="17" t="str">
        <x:v>condition</x:v>
      </x:c>
      <x:c r="D346" s="17" t="str">
        <x:v>Cli_30</x:v>
      </x:c>
      <x:c r="E346" s="32" t="n">
        <x:v>0</x:v>
      </x:c>
      <x:c r="F346" s="32" t="n">
        <x:v>0</x:v>
      </x:c>
      <x:c r="G346" s="32" t="n">
        <x:v>0</x:v>
      </x:c>
      <x:c r="H346" s="32" t="n">
        <x:v>0</x:v>
      </x:c>
      <x:c r="I346" s="40" t="n">
        <x:v>2</x:v>
      </x:c>
      <x:c r="J346" s="40" t="n">
        <x:v>2</x:v>
      </x:c>
      <x:c r="K346" s="40" t="n">
        <x:v>1</x:v>
      </x:c>
      <x:c r="L346" s="40" t="n">
        <x:v>1</x:v>
      </x:c>
    </x:row>
    <x:row r="347" ht="23" customHeight="1">
      <x:c r="B347" s="17" t="str">
        <x:v>All rounds</x:v>
      </x:c>
      <x:c r="C347" s="17" t="str">
        <x:v>condition</x:v>
      </x:c>
      <x:c r="D347" s="17" t="str">
        <x:v>Cli_32</x:v>
      </x:c>
      <x:c r="E347" s="32" t="n">
        <x:v>0</x:v>
      </x:c>
      <x:c r="F347" s="32" t="n">
        <x:v>0</x:v>
      </x:c>
      <x:c r="G347" s="32" t="n">
        <x:v>0</x:v>
      </x:c>
      <x:c r="H347" s="32" t="n">
        <x:v>0</x:v>
      </x:c>
      <x:c r="I347" s="40" t="n">
        <x:v>2</x:v>
      </x:c>
      <x:c r="J347" s="40" t="n">
        <x:v>2</x:v>
      </x:c>
      <x:c r="K347" s="40" t="n">
        <x:v>1</x:v>
      </x:c>
      <x:c r="L347" s="40" t="n">
        <x:v>1</x:v>
      </x:c>
    </x:row>
    <x:row r="348" ht="23" customHeight="1">
      <x:c r="B348" s="17" t="str">
        <x:v>All rounds</x:v>
      </x:c>
      <x:c r="C348" s="17" t="str">
        <x:v>condition</x:v>
      </x:c>
      <x:c r="D348" s="17" t="str">
        <x:v>Cli_33</x:v>
      </x:c>
      <x:c r="E348" s="32" t="n">
        <x:v>0</x:v>
      </x:c>
      <x:c r="F348" s="32" t="n">
        <x:v>0</x:v>
      </x:c>
      <x:c r="G348" s="32" t="n">
        <x:v>0</x:v>
      </x:c>
      <x:c r="H348" s="32" t="n">
        <x:v>0</x:v>
      </x:c>
      <x:c r="I348" s="40" t="n">
        <x:v>2</x:v>
      </x:c>
      <x:c r="J348" s="40" t="n">
        <x:v>2</x:v>
      </x:c>
      <x:c r="K348" s="40" t="n">
        <x:v>2</x:v>
      </x:c>
      <x:c r="L348" s="40" t="n">
        <x:v>1</x:v>
      </x:c>
    </x:row>
    <x:row r="349" ht="23" customHeight="1">
      <x:c r="B349" s="17" t="str">
        <x:v>All rounds</x:v>
      </x:c>
      <x:c r="C349" s="17" t="str">
        <x:v>condition</x:v>
      </x:c>
      <x:c r="D349" s="17" t="str">
        <x:v>Cli_35</x:v>
      </x:c>
      <x:c r="E349" s="32" t="n">
        <x:v>1</x:v>
      </x:c>
      <x:c r="F349" s="32" t="n">
        <x:v>0.625</x:v>
      </x:c>
      <x:c r="G349" s="32" t="n">
        <x:v>0.95</x:v>
      </x:c>
      <x:c r="H349" s="32" t="n">
        <x:v>1</x:v>
      </x:c>
      <x:c r="I349" s="40" t="n">
        <x:v>2</x:v>
      </x:c>
      <x:c r="J349" s="40" t="n">
        <x:v>2</x:v>
      </x:c>
      <x:c r="K349" s="40" t="n">
        <x:v>2</x:v>
      </x:c>
      <x:c r="L349" s="40" t="n">
        <x:v>1</x:v>
      </x:c>
    </x:row>
    <x:row r="350" ht="23" customHeight="1">
      <x:c r="B350" s="17" t="str">
        <x:v>All rounds</x:v>
      </x:c>
      <x:c r="C350" s="17" t="str">
        <x:v>condition</x:v>
      </x:c>
      <x:c r="D350" s="17" t="str">
        <x:v>Cli_37</x:v>
      </x:c>
      <x:c r="E350" s="32" t="n">
        <x:v>0.6139</x:v>
      </x:c>
      <x:c r="F350" s="32" t="n">
        <x:v>0.0127</x:v>
      </x:c>
      <x:c r="G350" s="32" t="n">
        <x:v>0.6456000000000001</x:v>
      </x:c>
      <x:c r="H350" s="32" t="n">
        <x:v>0.8418000000000001</x:v>
      </x:c>
      <x:c r="I350" s="40" t="n">
        <x:v>2</x:v>
      </x:c>
      <x:c r="J350" s="40" t="n">
        <x:v>2</x:v>
      </x:c>
      <x:c r="K350" s="40" t="n">
        <x:v>1</x:v>
      </x:c>
      <x:c r="L350" s="40" t="n">
        <x:v>1</x:v>
      </x:c>
    </x:row>
    <x:row r="351" ht="23" customHeight="1">
      <x:c r="B351" s="17" t="str">
        <x:v>All rounds</x:v>
      </x:c>
      <x:c r="C351" s="17" t="str">
        <x:v>condition</x:v>
      </x:c>
      <x:c r="D351" s="17" t="str">
        <x:v>Cli_38</x:v>
      </x:c>
      <x:c r="E351" s="32" t="n">
        <x:v>0.48100000000000004</x:v>
      </x:c>
      <x:c r="F351" s="32" t="n">
        <x:v>0.0127</x:v>
      </x:c>
      <x:c r="G351" s="32" t="n">
        <x:v>0.6392</x:v>
      </x:c>
      <x:c r="H351" s="32" t="n">
        <x:v>0.8354</x:v>
      </x:c>
      <x:c r="I351" s="40" t="n">
        <x:v>2</x:v>
      </x:c>
      <x:c r="J351" s="40" t="n">
        <x:v>2</x:v>
      </x:c>
      <x:c r="K351" s="40" t="n">
        <x:v>1</x:v>
      </x:c>
      <x:c r="L351" s="40" t="n">
        <x:v>1</x:v>
      </x:c>
    </x:row>
    <x:row r="352" ht="23" customHeight="1">
      <x:c r="B352" s="17" t="str">
        <x:v>All rounds</x:v>
      </x:c>
      <x:c r="C352" s="17" t="str">
        <x:v>condition</x:v>
      </x:c>
      <x:c r="D352" s="17" t="str">
        <x:v>Cli_39</x:v>
      </x:c>
      <x:c r="E352" s="32" t="n">
        <x:v>1</x:v>
      </x:c>
      <x:c r="F352" s="32" t="n">
        <x:v>0.55</x:v>
      </x:c>
      <x:c r="G352" s="32" t="n">
        <x:v>0.8</x:v>
      </x:c>
      <x:c r="H352" s="32" t="n">
        <x:v>1</x:v>
      </x:c>
      <x:c r="I352" s="40" t="n">
        <x:v>2</x:v>
      </x:c>
      <x:c r="J352" s="40" t="n">
        <x:v>2</x:v>
      </x:c>
      <x:c r="K352" s="40" t="n">
        <x:v>2</x:v>
      </x:c>
      <x:c r="L352" s="40" t="n">
        <x:v>1</x:v>
      </x:c>
    </x:row>
    <x:row r="353" ht="23" customHeight="1">
      <x:c r="B353" s="17" t="str">
        <x:v>All rounds</x:v>
      </x:c>
      <x:c r="C353" s="17" t="str">
        <x:v>condition</x:v>
      </x:c>
      <x:c r="D353" s="17" t="str">
        <x:v>Cli_4</x:v>
      </x:c>
      <x:c r="E353" s="32" t="n">
        <x:v>0</x:v>
      </x:c>
      <x:c r="F353" s="32" t="n">
        <x:v>0</x:v>
      </x:c>
      <x:c r="G353" s="32" t="n">
        <x:v>0</x:v>
      </x:c>
      <x:c r="H353" s="32" t="n">
        <x:v>0</x:v>
      </x:c>
      <x:c r="I353" s="40" t="n">
        <x:v>2</x:v>
      </x:c>
      <x:c r="J353" s="40" t="n">
        <x:v>2</x:v>
      </x:c>
      <x:c r="K353" s="40" t="n">
        <x:v>2</x:v>
      </x:c>
      <x:c r="L353" s="40" t="n">
        <x:v>1</x:v>
      </x:c>
    </x:row>
    <x:row r="354" ht="23" customHeight="1">
      <x:c r="B354" s="17" t="str">
        <x:v>All rounds</x:v>
      </x:c>
      <x:c r="C354" s="17" t="str">
        <x:v>condition</x:v>
      </x:c>
      <x:c r="D354" s="17" t="str">
        <x:v>Cli_5</x:v>
      </x:c>
      <x:c r="E354" s="32" t="n">
        <x:v>0</x:v>
      </x:c>
      <x:c r="F354" s="32" t="n">
        <x:v>0</x:v>
      </x:c>
      <x:c r="G354" s="32" t="n">
        <x:v>0</x:v>
      </x:c>
      <x:c r="H354" s="32" t="n">
        <x:v>0</x:v>
      </x:c>
      <x:c r="I354" s="40" t="n">
        <x:v>2</x:v>
      </x:c>
      <x:c r="J354" s="40" t="n">
        <x:v>2</x:v>
      </x:c>
      <x:c r="K354" s="40" t="n">
        <x:v>2</x:v>
      </x:c>
      <x:c r="L354" s="40" t="n">
        <x:v>1</x:v>
      </x:c>
    </x:row>
    <x:row r="355" ht="23" customHeight="1">
      <x:c r="B355" s="17" t="str">
        <x:v>All rounds</x:v>
      </x:c>
      <x:c r="C355" s="17" t="str">
        <x:v>condition</x:v>
      </x:c>
      <x:c r="D355" s="17" t="str">
        <x:v>Cli_8</x:v>
      </x:c>
      <x:c r="E355" s="32" t="n">
        <x:v>0</x:v>
      </x:c>
      <x:c r="F355" s="32" t="n">
        <x:v>0</x:v>
      </x:c>
      <x:c r="G355" s="32" t="n">
        <x:v>0</x:v>
      </x:c>
      <x:c r="H355" s="32" t="n">
        <x:v>0</x:v>
      </x:c>
      <x:c r="I355" s="40" t="n">
        <x:v>2</x:v>
      </x:c>
      <x:c r="J355" s="40" t="n">
        <x:v>2</x:v>
      </x:c>
      <x:c r="K355" s="40" t="n">
        <x:v>2</x:v>
      </x:c>
      <x:c r="L355" s="40" t="n">
        <x:v>1</x:v>
      </x:c>
    </x:row>
    <x:row r="356" ht="23" customHeight="1">
      <x:c r="B356" s="17" t="str">
        <x:v>All rounds</x:v>
      </x:c>
      <x:c r="C356" s="17" t="str">
        <x:v>condition</x:v>
      </x:c>
      <x:c r="D356" s="17" t="str">
        <x:v>Closure_121</x:v>
      </x:c>
      <x:c r="E356" s="32" t="n">
        <x:v>0.0127</x:v>
      </x:c>
      <x:c r="F356" s="32" t="n">
        <x:v>0.0127</x:v>
      </x:c>
      <x:c r="G356" s="32" t="n">
        <x:v>0.4619</x:v>
      </x:c>
      <x:c r="H356" s="32" t="n">
        <x:v>0.0127</x:v>
      </x:c>
      <x:c r="I356" s="40" t="n">
        <x:v>2</x:v>
      </x:c>
      <x:c r="J356" s="40" t="n">
        <x:v>2</x:v>
      </x:c>
      <x:c r="K356" s="40" t="n">
        <x:v>1</x:v>
      </x:c>
      <x:c r="L356" s="40" t="n">
        <x:v>1</x:v>
      </x:c>
    </x:row>
    <x:row r="357" ht="23" customHeight="1">
      <x:c r="B357" s="17" t="str">
        <x:v>All rounds</x:v>
      </x:c>
      <x:c r="C357" s="17" t="str">
        <x:v>condition</x:v>
      </x:c>
      <x:c r="D357" s="17" t="str">
        <x:v>Closure_131</x:v>
      </x:c>
      <x:c r="E357" s="32" t="n">
        <x:v>0.6909000000000001</x:v>
      </x:c>
      <x:c r="F357" s="32" t="n">
        <x:v>0.060599999999999994</x:v>
      </x:c>
      <x:c r="G357" s="32" t="n">
        <x:v>0.8364</x:v>
      </x:c>
      <x:c r="H357" s="32" t="n">
        <x:v>0.8364</x:v>
      </x:c>
      <x:c r="I357" s="40" t="n">
        <x:v>2</x:v>
      </x:c>
      <x:c r="J357" s="40" t="n">
        <x:v>2</x:v>
      </x:c>
      <x:c r="K357" s="40" t="n">
        <x:v>2</x:v>
      </x:c>
      <x:c r="L357" s="40" t="n">
        <x:v>1</x:v>
      </x:c>
    </x:row>
    <x:row r="358" ht="23" customHeight="1">
      <x:c r="B358" s="17" t="str">
        <x:v>All rounds</x:v>
      </x:c>
      <x:c r="C358" s="17" t="str">
        <x:v>condition</x:v>
      </x:c>
      <x:c r="D358" s="17" t="str">
        <x:v>Closure_172</x:v>
      </x:c>
      <x:c r="E358" s="32" t="n">
        <x:v>0.0381</x:v>
      </x:c>
      <x:c r="F358" s="32" t="n">
        <x:v>0</x:v>
      </x:c>
      <x:c r="G358" s="32" t="n">
        <x:v>0</x:v>
      </x:c>
      <x:c r="H358" s="32" t="n">
        <x:v>0</x:v>
      </x:c>
      <x:c r="I358" s="40" t="n">
        <x:v>2</x:v>
      </x:c>
      <x:c r="J358" s="40" t="n">
        <x:v>2</x:v>
      </x:c>
      <x:c r="K358" s="40" t="n">
        <x:v>2</x:v>
      </x:c>
      <x:c r="L358" s="40" t="n">
        <x:v>1</x:v>
      </x:c>
    </x:row>
    <x:row r="359" ht="23" customHeight="1">
      <x:c r="B359" s="17" t="str">
        <x:v>All rounds</x:v>
      </x:c>
      <x:c r="C359" s="17" t="str">
        <x:v>condition</x:v>
      </x:c>
      <x:c r="D359" s="17" t="str">
        <x:v>Closure_20</x:v>
      </x:c>
      <x:c r="E359" s="32" t="n">
        <x:v>0.0665</x:v>
      </x:c>
      <x:c r="F359" s="32" t="n">
        <x:v>0.005699999999999999</x:v>
      </x:c>
      <x:c r="G359" s="32" t="n">
        <x:v>0.0608</x:v>
      </x:c>
      <x:c r="H359" s="32" t="n">
        <x:v>0.0608</x:v>
      </x:c>
      <x:c r="I359" s="40" t="n">
        <x:v>2</x:v>
      </x:c>
      <x:c r="J359" s="40" t="n">
        <x:v>2</x:v>
      </x:c>
      <x:c r="K359" s="40" t="n">
        <x:v>2</x:v>
      </x:c>
      <x:c r="L359" s="40" t="n">
        <x:v>1</x:v>
      </x:c>
    </x:row>
    <x:row r="360" ht="23" customHeight="1">
      <x:c r="B360" s="17" t="str">
        <x:v>All rounds</x:v>
      </x:c>
      <x:c r="C360" s="17" t="str">
        <x:v>condition</x:v>
      </x:c>
      <x:c r="D360" s="17" t="str">
        <x:v>Closure_38</x:v>
      </x:c>
      <x:c r="E360" s="32" t="n">
        <x:v>0.1406</x:v>
      </x:c>
      <x:c r="F360" s="32" t="n">
        <x:v>0.1094</x:v>
      </x:c>
      <x:c r="G360" s="32" t="n">
        <x:v>0.6718999999999999</x:v>
      </x:c>
      <x:c r="H360" s="32" t="n">
        <x:v>0.6718999999999999</x:v>
      </x:c>
      <x:c r="I360" s="40" t="n">
        <x:v>2</x:v>
      </x:c>
      <x:c r="J360" s="40" t="n">
        <x:v>2</x:v>
      </x:c>
      <x:c r="K360" s="40" t="n">
        <x:v>2</x:v>
      </x:c>
      <x:c r="L360" s="40" t="n">
        <x:v>1</x:v>
      </x:c>
    </x:row>
    <x:row r="361" ht="23" customHeight="1">
      <x:c r="B361" s="17" t="str">
        <x:v>All rounds</x:v>
      </x:c>
      <x:c r="C361" s="17" t="str">
        <x:v>condition</x:v>
      </x:c>
      <x:c r="D361" s="17" t="str">
        <x:v>Closure_44</x:v>
      </x:c>
      <x:c r="E361" s="32" t="n">
        <x:v>0.15</x:v>
      </x:c>
      <x:c r="F361" s="32" t="n">
        <x:v>0.1167</x:v>
      </x:c>
      <x:c r="G361" s="32" t="n">
        <x:v>0.8833</x:v>
      </x:c>
      <x:c r="H361" s="32" t="n">
        <x:v>0.8833</x:v>
      </x:c>
      <x:c r="I361" s="40" t="n">
        <x:v>2</x:v>
      </x:c>
      <x:c r="J361" s="40" t="n">
        <x:v>2</x:v>
      </x:c>
      <x:c r="K361" s="40" t="n">
        <x:v>2</x:v>
      </x:c>
      <x:c r="L361" s="40" t="n">
        <x:v>1</x:v>
      </x:c>
    </x:row>
    <x:row r="362" ht="23" customHeight="1">
      <x:c r="B362" s="17" t="str">
        <x:v>All rounds</x:v>
      </x:c>
      <x:c r="C362" s="17" t="str">
        <x:v>condition</x:v>
      </x:c>
      <x:c r="D362" s="17" t="str">
        <x:v>Codec_1</x:v>
      </x:c>
      <x:c r="E362" s="32" t="n">
        <x:v>0.8859</x:v>
      </x:c>
      <x:c r="F362" s="32" t="n">
        <x:v>0.2989</x:v>
      </x:c>
      <x:c r="G362" s="32" t="n">
        <x:v>0.5326</x:v>
      </x:c>
      <x:c r="H362" s="32" t="n">
        <x:v>0.5598</x:v>
      </x:c>
      <x:c r="I362" s="40" t="n">
        <x:v>2</x:v>
      </x:c>
      <x:c r="J362" s="40" t="n">
        <x:v>2</x:v>
      </x:c>
      <x:c r="K362" s="40" t="n">
        <x:v>1</x:v>
      </x:c>
      <x:c r="L362" s="40" t="n">
        <x:v>1</x:v>
      </x:c>
    </x:row>
    <x:row r="363" ht="23" customHeight="1">
      <x:c r="B363" s="17" t="str">
        <x:v>All rounds</x:v>
      </x:c>
      <x:c r="C363" s="17" t="str">
        <x:v>condition</x:v>
      </x:c>
      <x:c r="D363" s="17" t="str">
        <x:v>Codec_10</x:v>
      </x:c>
      <x:c r="E363" s="32" t="n">
        <x:v>1</x:v>
      </x:c>
      <x:c r="F363" s="32" t="n">
        <x:v>0.8332999999999999</x:v>
      </x:c>
      <x:c r="G363" s="32" t="n">
        <x:v>0.91665</x:v>
      </x:c>
      <x:c r="H363" s="32" t="n">
        <x:v>1</x:v>
      </x:c>
      <x:c r="I363" s="40" t="n">
        <x:v>2</x:v>
      </x:c>
      <x:c r="J363" s="40" t="n">
        <x:v>2</x:v>
      </x:c>
      <x:c r="K363" s="40" t="n">
        <x:v>2</x:v>
      </x:c>
      <x:c r="L363" s="40" t="n">
        <x:v>1</x:v>
      </x:c>
    </x:row>
    <x:row r="364" ht="23" customHeight="1">
      <x:c r="B364" s="17" t="str">
        <x:v>All rounds</x:v>
      </x:c>
      <x:c r="C364" s="17" t="str">
        <x:v>condition</x:v>
      </x:c>
      <x:c r="D364" s="17" t="str">
        <x:v>Codec_11</x:v>
      </x:c>
      <x:c r="E364" s="32" t="n">
        <x:v>0.9444</x:v>
      </x:c>
      <x:c r="F364" s="32" t="n">
        <x:v>0.8055500000000001</x:v>
      </x:c>
      <x:c r="G364" s="32" t="n">
        <x:v>0.9444</x:v>
      </x:c>
      <x:c r="H364" s="32" t="n">
        <x:v>0.6944</x:v>
      </x:c>
      <x:c r="I364" s="40" t="n">
        <x:v>2</x:v>
      </x:c>
      <x:c r="J364" s="40" t="n">
        <x:v>2</x:v>
      </x:c>
      <x:c r="K364" s="40" t="n">
        <x:v>1</x:v>
      </x:c>
      <x:c r="L364" s="40" t="n">
        <x:v>1</x:v>
      </x:c>
    </x:row>
    <x:row r="365" ht="23" customHeight="1">
      <x:c r="B365" s="17" t="str">
        <x:v>All rounds</x:v>
      </x:c>
      <x:c r="C365" s="17" t="str">
        <x:v>condition</x:v>
      </x:c>
      <x:c r="D365" s="17" t="str">
        <x:v>Codec_12</x:v>
      </x:c>
      <x:c r="E365" s="32" t="n">
        <x:v>0.9231</x:v>
      </x:c>
      <x:c r="F365" s="32" t="n">
        <x:v>0.5</x:v>
      </x:c>
      <x:c r="G365" s="32" t="n">
        <x:v>0.9615</x:v>
      </x:c>
      <x:c r="H365" s="32" t="n">
        <x:v>0.9615</x:v>
      </x:c>
      <x:c r="I365" s="40" t="n">
        <x:v>2</x:v>
      </x:c>
      <x:c r="J365" s="40" t="n">
        <x:v>2</x:v>
      </x:c>
      <x:c r="K365" s="40" t="n">
        <x:v>1</x:v>
      </x:c>
      <x:c r="L365" s="40" t="n">
        <x:v>1</x:v>
      </x:c>
    </x:row>
    <x:row r="366" ht="23" customHeight="1">
      <x:c r="B366" s="17" t="str">
        <x:v>All rounds</x:v>
      </x:c>
      <x:c r="C366" s="17" t="str">
        <x:v>condition</x:v>
      </x:c>
      <x:c r="D366" s="17" t="str">
        <x:v>Codec_16</x:v>
      </x:c>
      <x:c r="E366" s="32" t="n">
        <x:v>1</x:v>
      </x:c>
      <x:c r="F366" s="32" t="n">
        <x:v>0.8533</x:v>
      </x:c>
      <x:c r="G366" s="32" t="n">
        <x:v>0.8</x:v>
      </x:c>
      <x:c r="H366" s="32" t="n">
        <x:v>0.56</x:v>
      </x:c>
      <x:c r="I366" s="40" t="n">
        <x:v>2</x:v>
      </x:c>
      <x:c r="J366" s="40" t="n">
        <x:v>2</x:v>
      </x:c>
      <x:c r="K366" s="40" t="n">
        <x:v>1</x:v>
      </x:c>
      <x:c r="L366" s="40" t="n">
        <x:v>1</x:v>
      </x:c>
    </x:row>
    <x:row r="367" ht="23" customHeight="1">
      <x:c r="B367" s="17" t="str">
        <x:v>All rounds</x:v>
      </x:c>
      <x:c r="C367" s="17" t="str">
        <x:v>condition</x:v>
      </x:c>
      <x:c r="D367" s="17" t="str">
        <x:v>Codec_18</x:v>
      </x:c>
      <x:c r="E367" s="32" t="n">
        <x:v>1</x:v>
      </x:c>
      <x:c r="F367" s="32" t="n">
        <x:v>0.7</x:v>
      </x:c>
      <x:c r="G367" s="32" t="n">
        <x:v>0.95</x:v>
      </x:c>
      <x:c r="H367" s="32" t="n">
        <x:v>0.8</x:v>
      </x:c>
      <x:c r="I367" s="40" t="n">
        <x:v>2</x:v>
      </x:c>
      <x:c r="J367" s="40" t="n">
        <x:v>2</x:v>
      </x:c>
      <x:c r="K367" s="40" t="n">
        <x:v>1</x:v>
      </x:c>
      <x:c r="L367" s="40" t="n">
        <x:v>1</x:v>
      </x:c>
    </x:row>
    <x:row r="368" ht="23" customHeight="1">
      <x:c r="B368" s="17" t="str">
        <x:v>All rounds</x:v>
      </x:c>
      <x:c r="C368" s="17" t="str">
        <x:v>condition</x:v>
      </x:c>
      <x:c r="D368" s="17" t="str">
        <x:v>Codec_3</x:v>
      </x:c>
      <x:c r="E368" s="32" t="n">
        <x:v>0.7733</x:v>
      </x:c>
      <x:c r="F368" s="32" t="n">
        <x:v>0.11780000000000002</x:v>
      </x:c>
      <x:c r="G368" s="32" t="n">
        <x:v>0.8089</x:v>
      </x:c>
      <x:c r="H368" s="32" t="n">
        <x:v>0.74</x:v>
      </x:c>
      <x:c r="I368" s="40" t="n">
        <x:v>2</x:v>
      </x:c>
      <x:c r="J368" s="40" t="n">
        <x:v>2</x:v>
      </x:c>
      <x:c r="K368" s="40" t="n">
        <x:v>1</x:v>
      </x:c>
      <x:c r="L368" s="40" t="n">
        <x:v>1</x:v>
      </x:c>
    </x:row>
    <x:row r="369" ht="23" customHeight="1">
      <x:c r="B369" s="17" t="str">
        <x:v>All rounds</x:v>
      </x:c>
      <x:c r="C369" s="17" t="str">
        <x:v>condition</x:v>
      </x:c>
      <x:c r="D369" s="17" t="str">
        <x:v>Codec_6</x:v>
      </x:c>
      <x:c r="E369" s="32" t="n">
        <x:v>1</x:v>
      </x:c>
      <x:c r="F369" s="32" t="n">
        <x:v>0.6071500000000001</x:v>
      </x:c>
      <x:c r="G369" s="32" t="n">
        <x:v>0.9286</x:v>
      </x:c>
      <x:c r="H369" s="32" t="n">
        <x:v>0.75</x:v>
      </x:c>
      <x:c r="I369" s="40" t="n">
        <x:v>2</x:v>
      </x:c>
      <x:c r="J369" s="40" t="n">
        <x:v>2</x:v>
      </x:c>
      <x:c r="K369" s="40" t="n">
        <x:v>1</x:v>
      </x:c>
      <x:c r="L369" s="40" t="n">
        <x:v>1</x:v>
      </x:c>
    </x:row>
    <x:row r="370" ht="23" customHeight="1">
      <x:c r="B370" s="17" t="str">
        <x:v>All rounds</x:v>
      </x:c>
      <x:c r="C370" s="17" t="str">
        <x:v>condition</x:v>
      </x:c>
      <x:c r="D370" s="17" t="str">
        <x:v>Collections_1</x:v>
      </x:c>
      <x:c r="E370" s="32" t="n">
        <x:v>0.6596</x:v>
      </x:c>
      <x:c r="F370" s="32" t="n">
        <x:v>0.23405</x:v>
      </x:c>
      <x:c r="G370" s="32" t="n">
        <x:v>0.4255</x:v>
      </x:c>
      <x:c r="H370" s="32" t="n">
        <x:v>0.2553</x:v>
      </x:c>
      <x:c r="I370" s="40" t="n">
        <x:v>2</x:v>
      </x:c>
      <x:c r="J370" s="40" t="n">
        <x:v>2</x:v>
      </x:c>
      <x:c r="K370" s="40" t="n">
        <x:v>1</x:v>
      </x:c>
      <x:c r="L370" s="40" t="n">
        <x:v>1</x:v>
      </x:c>
    </x:row>
    <x:row r="371" ht="23" customHeight="1">
      <x:c r="B371" s="17" t="str">
        <x:v>All rounds</x:v>
      </x:c>
      <x:c r="C371" s="17" t="str">
        <x:v>condition</x:v>
      </x:c>
      <x:c r="D371" s="17" t="str">
        <x:v>Collections_10</x:v>
      </x:c>
      <x:c r="E371" s="32" t="n">
        <x:v>0.875</x:v>
      </x:c>
      <x:c r="F371" s="32" t="n">
        <x:v>0.46875</x:v>
      </x:c>
      <x:c r="G371" s="32" t="n">
        <x:v>0.8332999999999999</x:v>
      </x:c>
      <x:c r="H371" s="32" t="n">
        <x:v>0.375</x:v>
      </x:c>
      <x:c r="I371" s="40" t="n">
        <x:v>2</x:v>
      </x:c>
      <x:c r="J371" s="40" t="n">
        <x:v>2</x:v>
      </x:c>
      <x:c r="K371" s="40" t="n">
        <x:v>2</x:v>
      </x:c>
      <x:c r="L371" s="40" t="n">
        <x:v>1</x:v>
      </x:c>
    </x:row>
    <x:row r="372" ht="23" customHeight="1">
      <x:c r="B372" s="17" t="str">
        <x:v>All rounds</x:v>
      </x:c>
      <x:c r="C372" s="17" t="str">
        <x:v>condition</x:v>
      </x:c>
      <x:c r="D372" s="17" t="str">
        <x:v>Collections_11</x:v>
      </x:c>
      <x:c r="E372" s="32" t="n">
        <x:v>1</x:v>
      </x:c>
      <x:c r="F372" s="32" t="n">
        <x:v>0.9167000000000001</x:v>
      </x:c>
      <x:c r="G372" s="32" t="n">
        <x:v>1</x:v>
      </x:c>
      <x:c r="H372" s="32" t="n">
        <x:v>0.75</x:v>
      </x:c>
      <x:c r="I372" s="40" t="n">
        <x:v>2</x:v>
      </x:c>
      <x:c r="J372" s="40" t="n">
        <x:v>2</x:v>
      </x:c>
      <x:c r="K372" s="40" t="n">
        <x:v>2</x:v>
      </x:c>
      <x:c r="L372" s="40" t="n">
        <x:v>1</x:v>
      </x:c>
    </x:row>
    <x:row r="373" ht="23" customHeight="1">
      <x:c r="B373" s="17" t="str">
        <x:v>All rounds</x:v>
      </x:c>
      <x:c r="C373" s="17" t="str">
        <x:v>condition</x:v>
      </x:c>
      <x:c r="D373" s="17" t="str">
        <x:v>Collections_14</x:v>
      </x:c>
      <x:c r="E373" s="32" t="n">
        <x:v>1</x:v>
      </x:c>
      <x:c r="F373" s="32" t="n">
        <x:v>0.75</x:v>
      </x:c>
      <x:c r="G373" s="32" t="n">
        <x:v>1</x:v>
      </x:c>
      <x:c r="H373" s="32" t="n">
        <x:v>1</x:v>
      </x:c>
      <x:c r="I373" s="40" t="n">
        <x:v>2</x:v>
      </x:c>
      <x:c r="J373" s="40" t="n">
        <x:v>2</x:v>
      </x:c>
      <x:c r="K373" s="40" t="n">
        <x:v>1</x:v>
      </x:c>
      <x:c r="L373" s="40" t="n">
        <x:v>1</x:v>
      </x:c>
    </x:row>
    <x:row r="374" ht="23" customHeight="1">
      <x:c r="B374" s="17" t="str">
        <x:v>All rounds</x:v>
      </x:c>
      <x:c r="C374" s="17" t="str">
        <x:v>condition</x:v>
      </x:c>
      <x:c r="D374" s="17" t="str">
        <x:v>Collections_15</x:v>
      </x:c>
      <x:c r="E374" s="32" t="n">
        <x:v>1</x:v>
      </x:c>
      <x:c r="F374" s="32" t="n">
        <x:v>0.0455</x:v>
      </x:c>
      <x:c r="G374" s="32" t="n">
        <x:v>1</x:v>
      </x:c>
      <x:c r="H374" s="32" t="n">
        <x:v>1</x:v>
      </x:c>
      <x:c r="I374" s="40" t="n">
        <x:v>2</x:v>
      </x:c>
      <x:c r="J374" s="40" t="n">
        <x:v>2</x:v>
      </x:c>
      <x:c r="K374" s="40" t="n">
        <x:v>1</x:v>
      </x:c>
      <x:c r="L374" s="40" t="n">
        <x:v>1</x:v>
      </x:c>
    </x:row>
    <x:row r="375" ht="23" customHeight="1">
      <x:c r="B375" s="17" t="str">
        <x:v>All rounds</x:v>
      </x:c>
      <x:c r="C375" s="17" t="str">
        <x:v>condition</x:v>
      </x:c>
      <x:c r="D375" s="17" t="str">
        <x:v>Collections_18</x:v>
      </x:c>
      <x:c r="E375" s="32" t="n">
        <x:v>1</x:v>
      </x:c>
      <x:c r="F375" s="32" t="n">
        <x:v>0.8055500000000001</x:v>
      </x:c>
      <x:c r="G375" s="32" t="n">
        <x:v>0.9444</x:v>
      </x:c>
      <x:c r="H375" s="32" t="n">
        <x:v>1</x:v>
      </x:c>
      <x:c r="I375" s="40" t="n">
        <x:v>2</x:v>
      </x:c>
      <x:c r="J375" s="40" t="n">
        <x:v>2</x:v>
      </x:c>
      <x:c r="K375" s="40" t="n">
        <x:v>1</x:v>
      </x:c>
      <x:c r="L375" s="40" t="n">
        <x:v>1</x:v>
      </x:c>
    </x:row>
    <x:row r="376" ht="23" customHeight="1">
      <x:c r="B376" s="17" t="str">
        <x:v>All rounds</x:v>
      </x:c>
      <x:c r="C376" s="17" t="str">
        <x:v>condition</x:v>
      </x:c>
      <x:c r="D376" s="17" t="str">
        <x:v>Collections_19</x:v>
      </x:c>
      <x:c r="E376" s="32" t="n">
        <x:v>0.9211</x:v>
      </x:c>
      <x:c r="F376" s="32" t="n">
        <x:v>0.6315999999999999</x:v>
      </x:c>
      <x:c r="G376" s="32" t="n">
        <x:v>0.9211</x:v>
      </x:c>
      <x:c r="H376" s="32" t="n">
        <x:v>1</x:v>
      </x:c>
      <x:c r="I376" s="40" t="n">
        <x:v>2</x:v>
      </x:c>
      <x:c r="J376" s="40" t="n">
        <x:v>2</x:v>
      </x:c>
      <x:c r="K376" s="40" t="n">
        <x:v>1</x:v>
      </x:c>
      <x:c r="L376" s="40" t="n">
        <x:v>1</x:v>
      </x:c>
    </x:row>
    <x:row r="377" ht="23" customHeight="1">
      <x:c r="B377" s="17" t="str">
        <x:v>All rounds</x:v>
      </x:c>
      <x:c r="C377" s="17" t="str">
        <x:v>condition</x:v>
      </x:c>
      <x:c r="D377" s="17" t="str">
        <x:v>Collections_20</x:v>
      </x:c>
      <x:c r="E377" s="32" t="n">
        <x:v>0.8896</x:v>
      </x:c>
      <x:c r="F377" s="32" t="n">
        <x:v>0.59415</x:v>
      </x:c>
      <x:c r="G377" s="32" t="n">
        <x:v>0.6883</x:v>
      </x:c>
      <x:c r="H377" s="32" t="n">
        <x:v>0.8831</x:v>
      </x:c>
      <x:c r="I377" s="40" t="n">
        <x:v>2</x:v>
      </x:c>
      <x:c r="J377" s="40" t="n">
        <x:v>2</x:v>
      </x:c>
      <x:c r="K377" s="40" t="n">
        <x:v>2</x:v>
      </x:c>
      <x:c r="L377" s="40" t="n">
        <x:v>1</x:v>
      </x:c>
    </x:row>
    <x:row r="378" ht="23" customHeight="1">
      <x:c r="B378" s="17" t="str">
        <x:v>All rounds</x:v>
      </x:c>
      <x:c r="C378" s="17" t="str">
        <x:v>condition</x:v>
      </x:c>
      <x:c r="D378" s="17" t="str">
        <x:v>Collections_21</x:v>
      </x:c>
      <x:c r="E378" s="32" t="n">
        <x:v>0.9211</x:v>
      </x:c>
      <x:c r="F378" s="32" t="n">
        <x:v>0.6315999999999999</x:v>
      </x:c>
      <x:c r="G378" s="32" t="n">
        <x:v>0.9473999999999999</x:v>
      </x:c>
      <x:c r="H378" s="32" t="n">
        <x:v>1</x:v>
      </x:c>
      <x:c r="I378" s="40" t="n">
        <x:v>2</x:v>
      </x:c>
      <x:c r="J378" s="40" t="n">
        <x:v>2</x:v>
      </x:c>
      <x:c r="K378" s="40" t="n">
        <x:v>2</x:v>
      </x:c>
      <x:c r="L378" s="40" t="n">
        <x:v>1</x:v>
      </x:c>
    </x:row>
    <x:row r="379" ht="23" customHeight="1">
      <x:c r="B379" s="17" t="str">
        <x:v>All rounds</x:v>
      </x:c>
      <x:c r="C379" s="17" t="str">
        <x:v>condition</x:v>
      </x:c>
      <x:c r="D379" s="17" t="str">
        <x:v>Collections_24</x:v>
      </x:c>
      <x:c r="E379" s="32" t="n">
        <x:v>1</x:v>
      </x:c>
      <x:c r="F379" s="32" t="n">
        <x:v>0</x:v>
      </x:c>
      <x:c r="G379" s="32" t="n">
        <x:v>1</x:v>
      </x:c>
      <x:c r="H379" s="32" t="n">
        <x:v>1</x:v>
      </x:c>
      <x:c r="I379" s="40" t="n">
        <x:v>2</x:v>
      </x:c>
      <x:c r="J379" s="40" t="n">
        <x:v>2</x:v>
      </x:c>
      <x:c r="K379" s="40" t="n">
        <x:v>2</x:v>
      </x:c>
      <x:c r="L379" s="40" t="n">
        <x:v>1</x:v>
      </x:c>
    </x:row>
    <x:row r="380" ht="23" customHeight="1">
      <x:c r="B380" s="17" t="str">
        <x:v>All rounds</x:v>
      </x:c>
      <x:c r="C380" s="17" t="str">
        <x:v>condition</x:v>
      </x:c>
      <x:c r="D380" s="17" t="str">
        <x:v>Collections_26</x:v>
      </x:c>
      <x:c r="E380" s="32" t="n">
        <x:v>1</x:v>
      </x:c>
      <x:c r="F380" s="32" t="n">
        <x:v>0.9167000000000001</x:v>
      </x:c>
      <x:c r="G380" s="32" t="n">
        <x:v>1</x:v>
      </x:c>
      <x:c r="H380" s="32" t="n">
        <x:v>0.75</x:v>
      </x:c>
      <x:c r="I380" s="40" t="n">
        <x:v>2</x:v>
      </x:c>
      <x:c r="J380" s="40" t="n">
        <x:v>2</x:v>
      </x:c>
      <x:c r="K380" s="40" t="n">
        <x:v>2</x:v>
      </x:c>
      <x:c r="L380" s="40" t="n">
        <x:v>1</x:v>
      </x:c>
    </x:row>
    <x:row r="381" ht="23" customHeight="1">
      <x:c r="B381" s="17" t="str">
        <x:v>All rounds</x:v>
      </x:c>
      <x:c r="C381" s="17" t="str">
        <x:v>condition</x:v>
      </x:c>
      <x:c r="D381" s="17" t="str">
        <x:v>Collections_27</x:v>
      </x:c>
      <x:c r="E381" s="32" t="n">
        <x:v>0.78</x:v>
      </x:c>
      <x:c r="F381" s="32" t="n">
        <x:v>0.48</x:v>
      </x:c>
      <x:c r="G381" s="32" t="n">
        <x:v>0.82</x:v>
      </x:c>
      <x:c r="H381" s="32" t="n">
        <x:v>0.44</x:v>
      </x:c>
      <x:c r="I381" s="40" t="n">
        <x:v>2</x:v>
      </x:c>
      <x:c r="J381" s="40" t="n">
        <x:v>2</x:v>
      </x:c>
      <x:c r="K381" s="40" t="n">
        <x:v>2</x:v>
      </x:c>
      <x:c r="L381" s="40" t="n">
        <x:v>1</x:v>
      </x:c>
    </x:row>
    <x:row r="382" ht="23" customHeight="1">
      <x:c r="B382" s="17" t="str">
        <x:v>All rounds</x:v>
      </x:c>
      <x:c r="C382" s="17" t="str">
        <x:v>condition</x:v>
      </x:c>
      <x:c r="D382" s="17" t="str">
        <x:v>Collections_4</x:v>
      </x:c>
      <x:c r="E382" s="32" t="n">
        <x:v>0.8957999999999999</x:v>
      </x:c>
      <x:c r="F382" s="32" t="n">
        <x:v>0.46875</x:v>
      </x:c>
      <x:c r="G382" s="32" t="n">
        <x:v>0.8542000000000001</x:v>
      </x:c>
      <x:c r="H382" s="32" t="n">
        <x:v>0.3958</x:v>
      </x:c>
      <x:c r="I382" s="40" t="n">
        <x:v>2</x:v>
      </x:c>
      <x:c r="J382" s="40" t="n">
        <x:v>2</x:v>
      </x:c>
      <x:c r="K382" s="40" t="n">
        <x:v>1</x:v>
      </x:c>
      <x:c r="L382" s="40" t="n">
        <x:v>1</x:v>
      </x:c>
    </x:row>
    <x:row r="383" ht="23" customHeight="1">
      <x:c r="B383" s="17" t="str">
        <x:v>All rounds</x:v>
      </x:c>
      <x:c r="C383" s="17" t="str">
        <x:v>condition</x:v>
      </x:c>
      <x:c r="D383" s="17" t="str">
        <x:v>Collections_5</x:v>
      </x:c>
      <x:c r="E383" s="32" t="n">
        <x:v>1</x:v>
      </x:c>
      <x:c r="F383" s="32" t="n">
        <x:v>0.05</x:v>
      </x:c>
      <x:c r="G383" s="32" t="n">
        <x:v>0.95</x:v>
      </x:c>
      <x:c r="H383" s="32" t="n">
        <x:v>0.6</x:v>
      </x:c>
      <x:c r="I383" s="40" t="n">
        <x:v>2</x:v>
      </x:c>
      <x:c r="J383" s="40" t="n">
        <x:v>2</x:v>
      </x:c>
      <x:c r="K383" s="40" t="n">
        <x:v>2</x:v>
      </x:c>
      <x:c r="L383" s="40" t="n">
        <x:v>1</x:v>
      </x:c>
    </x:row>
    <x:row r="384" ht="23" customHeight="1">
      <x:c r="B384" s="17" t="str">
        <x:v>All rounds</x:v>
      </x:c>
      <x:c r="C384" s="17" t="str">
        <x:v>condition</x:v>
      </x:c>
      <x:c r="D384" s="17" t="str">
        <x:v>Collections_6</x:v>
      </x:c>
      <x:c r="E384" s="32" t="n">
        <x:v>0.5771000000000001</x:v>
      </x:c>
      <x:c r="F384" s="32" t="n">
        <x:v>0.23405</x:v>
      </x:c>
      <x:c r="G384" s="32" t="n">
        <x:v>0.5133</x:v>
      </x:c>
      <x:c r="H384" s="32" t="n">
        <x:v>0.2553</x:v>
      </x:c>
      <x:c r="I384" s="40" t="n">
        <x:v>2</x:v>
      </x:c>
      <x:c r="J384" s="40" t="n">
        <x:v>2</x:v>
      </x:c>
      <x:c r="K384" s="40" t="n">
        <x:v>2</x:v>
      </x:c>
      <x:c r="L384" s="40" t="n">
        <x:v>1</x:v>
      </x:c>
    </x:row>
    <x:row r="385" ht="23" customHeight="1">
      <x:c r="B385" s="17" t="str">
        <x:v>All rounds</x:v>
      </x:c>
      <x:c r="C385" s="17" t="str">
        <x:v>condition</x:v>
      </x:c>
      <x:c r="D385" s="17" t="str">
        <x:v>Collections_8</x:v>
      </x:c>
      <x:c r="E385" s="32" t="n">
        <x:v>0.8332999999999999</x:v>
      </x:c>
      <x:c r="F385" s="32" t="n">
        <x:v>0.625</x:v>
      </x:c>
      <x:c r="G385" s="32" t="n">
        <x:v>0.8332999999999999</x:v>
      </x:c>
      <x:c r="H385" s="32" t="n">
        <x:v>0.5278</x:v>
      </x:c>
      <x:c r="I385" s="40" t="n">
        <x:v>2</x:v>
      </x:c>
      <x:c r="J385" s="40" t="n">
        <x:v>2</x:v>
      </x:c>
      <x:c r="K385" s="40" t="n">
        <x:v>1</x:v>
      </x:c>
      <x:c r="L385" s="40" t="n">
        <x:v>1</x:v>
      </x:c>
    </x:row>
    <x:row r="386" ht="23" customHeight="1">
      <x:c r="B386" s="17" t="str">
        <x:v>All rounds</x:v>
      </x:c>
      <x:c r="C386" s="17" t="str">
        <x:v>condition</x:v>
      </x:c>
      <x:c r="D386" s="17" t="str">
        <x:v>Compress_10</x:v>
      </x:c>
      <x:c r="E386" s="32" t="n">
        <x:v>0.10619999999999999</x:v>
      </x:c>
      <x:c r="F386" s="32" t="n">
        <x:v>0.0088</x:v>
      </x:c>
      <x:c r="G386" s="32" t="n">
        <x:v>0.34509999999999996</x:v>
      </x:c>
      <x:c r="H386" s="32" t="n">
        <x:v>0.6726000000000001</x:v>
      </x:c>
      <x:c r="I386" s="40" t="n">
        <x:v>2</x:v>
      </x:c>
      <x:c r="J386" s="40" t="n">
        <x:v>2</x:v>
      </x:c>
      <x:c r="K386" s="40" t="n">
        <x:v>1</x:v>
      </x:c>
      <x:c r="L386" s="40" t="n">
        <x:v>1</x:v>
      </x:c>
    </x:row>
    <x:row r="387" ht="23" customHeight="1">
      <x:c r="B387" s="17" t="str">
        <x:v>All rounds</x:v>
      </x:c>
      <x:c r="C387" s="17" t="str">
        <x:v>condition</x:v>
      </x:c>
      <x:c r="D387" s="17" t="str">
        <x:v>Compress_14</x:v>
      </x:c>
      <x:c r="E387" s="32" t="n">
        <x:v>0.8939</x:v>
      </x:c>
      <x:c r="F387" s="32" t="n">
        <x:v>0.6439499999999999</x:v>
      </x:c>
      <x:c r="G387" s="32" t="n">
        <x:v>0.7121</x:v>
      </x:c>
      <x:c r="H387" s="32" t="n">
        <x:v>0.9545</x:v>
      </x:c>
      <x:c r="I387" s="40" t="n">
        <x:v>2</x:v>
      </x:c>
      <x:c r="J387" s="40" t="n">
        <x:v>2</x:v>
      </x:c>
      <x:c r="K387" s="40" t="n">
        <x:v>2</x:v>
      </x:c>
      <x:c r="L387" s="40" t="n">
        <x:v>1</x:v>
      </x:c>
    </x:row>
    <x:row r="388" ht="23" customHeight="1">
      <x:c r="B388" s="17" t="str">
        <x:v>All rounds</x:v>
      </x:c>
      <x:c r="C388" s="17" t="str">
        <x:v>condition</x:v>
      </x:c>
      <x:c r="D388" s="17" t="str">
        <x:v>Compress_19</x:v>
      </x:c>
      <x:c r="E388" s="32" t="n">
        <x:v>1</x:v>
      </x:c>
      <x:c r="F388" s="32" t="n">
        <x:v>0.4</x:v>
      </x:c>
      <x:c r="G388" s="32" t="n">
        <x:v>0.9833</x:v>
      </x:c>
      <x:c r="H388" s="32" t="n">
        <x:v>0.9667</x:v>
      </x:c>
      <x:c r="I388" s="40" t="n">
        <x:v>2</x:v>
      </x:c>
      <x:c r="J388" s="40" t="n">
        <x:v>2</x:v>
      </x:c>
      <x:c r="K388" s="40" t="n">
        <x:v>1</x:v>
      </x:c>
      <x:c r="L388" s="40" t="n">
        <x:v>1</x:v>
      </x:c>
    </x:row>
    <x:row r="389" ht="23" customHeight="1">
      <x:c r="B389" s="17" t="str">
        <x:v>All rounds</x:v>
      </x:c>
      <x:c r="C389" s="17" t="str">
        <x:v>condition</x:v>
      </x:c>
      <x:c r="D389" s="17" t="str">
        <x:v>Compress_20</x:v>
      </x:c>
      <x:c r="E389" s="32" t="n">
        <x:v>0.386</x:v>
      </x:c>
      <x:c r="F389" s="32" t="n">
        <x:v>0.22810000000000002</x:v>
      </x:c>
      <x:c r="G389" s="32" t="n">
        <x:v>0.2895</x:v>
      </x:c>
      <x:c r="H389" s="32" t="n">
        <x:v>0.9211</x:v>
      </x:c>
      <x:c r="I389" s="40" t="n">
        <x:v>2</x:v>
      </x:c>
      <x:c r="J389" s="40" t="n">
        <x:v>2</x:v>
      </x:c>
      <x:c r="K389" s="40" t="n">
        <x:v>2</x:v>
      </x:c>
      <x:c r="L389" s="40" t="n">
        <x:v>1</x:v>
      </x:c>
    </x:row>
    <x:row r="390" ht="23" customHeight="1">
      <x:c r="B390" s="17" t="str">
        <x:v>All rounds</x:v>
      </x:c>
      <x:c r="C390" s="17" t="str">
        <x:v>condition</x:v>
      </x:c>
      <x:c r="D390" s="17" t="str">
        <x:v>Compress_21</x:v>
      </x:c>
      <x:c r="E390" s="32" t="n">
        <x:v>0.6838</x:v>
      </x:c>
      <x:c r="F390" s="32" t="n">
        <x:v>0</x:v>
      </x:c>
      <x:c r="G390" s="32" t="n">
        <x:v>0.5956</x:v>
      </x:c>
      <x:c r="H390" s="32" t="n">
        <x:v>0.9044</x:v>
      </x:c>
      <x:c r="I390" s="40" t="n">
        <x:v>2</x:v>
      </x:c>
      <x:c r="J390" s="40" t="n">
        <x:v>2</x:v>
      </x:c>
      <x:c r="K390" s="40" t="n">
        <x:v>2</x:v>
      </x:c>
      <x:c r="L390" s="40" t="n">
        <x:v>1</x:v>
      </x:c>
    </x:row>
    <x:row r="391" ht="23" customHeight="1">
      <x:c r="B391" s="17" t="str">
        <x:v>All rounds</x:v>
      </x:c>
      <x:c r="C391" s="17" t="str">
        <x:v>condition</x:v>
      </x:c>
      <x:c r="D391" s="17" t="str">
        <x:v>Compress_22</x:v>
      </x:c>
      <x:c r="E391" s="32" t="n">
        <x:v>0.0377</x:v>
      </x:c>
      <x:c r="F391" s="32" t="n">
        <x:v>0.024550000000000002</x:v>
      </x:c>
      <x:c r="G391" s="32" t="n">
        <x:v>0.083</x:v>
      </x:c>
      <x:c r="H391" s="32" t="n">
        <x:v>0.24530000000000002</x:v>
      </x:c>
      <x:c r="I391" s="40" t="n">
        <x:v>2</x:v>
      </x:c>
      <x:c r="J391" s="40" t="n">
        <x:v>2</x:v>
      </x:c>
      <x:c r="K391" s="40" t="n">
        <x:v>1</x:v>
      </x:c>
      <x:c r="L391" s="40" t="n">
        <x:v>1</x:v>
      </x:c>
    </x:row>
    <x:row r="392" ht="23" customHeight="1">
      <x:c r="B392" s="17" t="str">
        <x:v>All rounds</x:v>
      </x:c>
      <x:c r="C392" s="17" t="str">
        <x:v>condition</x:v>
      </x:c>
      <x:c r="D392" s="17" t="str">
        <x:v>Compress_25</x:v>
      </x:c>
      <x:c r="E392" s="32" t="n">
        <x:v>0.11900000000000001</x:v>
      </x:c>
      <x:c r="F392" s="32" t="n">
        <x:v>0.06945</x:v>
      </x:c>
      <x:c r="G392" s="32" t="n">
        <x:v>0.4802</x:v>
      </x:c>
      <x:c r="H392" s="32" t="n">
        <x:v>0.5197999999999999</x:v>
      </x:c>
      <x:c r="I392" s="40" t="n">
        <x:v>2</x:v>
      </x:c>
      <x:c r="J392" s="40" t="n">
        <x:v>2</x:v>
      </x:c>
      <x:c r="K392" s="40" t="n">
        <x:v>1</x:v>
      </x:c>
      <x:c r="L392" s="40" t="n">
        <x:v>1</x:v>
      </x:c>
    </x:row>
    <x:row r="393" ht="23" customHeight="1">
      <x:c r="B393" s="17" t="str">
        <x:v>All rounds</x:v>
      </x:c>
      <x:c r="C393" s="17" t="str">
        <x:v>condition</x:v>
      </x:c>
      <x:c r="D393" s="17" t="str">
        <x:v>Compress_26</x:v>
      </x:c>
      <x:c r="E393" s="32" t="n">
        <x:v>1</x:v>
      </x:c>
      <x:c r="F393" s="32" t="n">
        <x:v>0.6111</x:v>
      </x:c>
      <x:c r="G393" s="32" t="n">
        <x:v>1</x:v>
      </x:c>
      <x:c r="H393" s="32" t="n">
        <x:v>1</x:v>
      </x:c>
      <x:c r="I393" s="40" t="n">
        <x:v>2</x:v>
      </x:c>
      <x:c r="J393" s="40" t="n">
        <x:v>2</x:v>
      </x:c>
      <x:c r="K393" s="40" t="n">
        <x:v>1</x:v>
      </x:c>
      <x:c r="L393" s="40" t="n">
        <x:v>1</x:v>
      </x:c>
    </x:row>
    <x:row r="394" ht="23" customHeight="1">
      <x:c r="B394" s="17" t="str">
        <x:v>All rounds</x:v>
      </x:c>
      <x:c r="C394" s="17" t="str">
        <x:v>condition</x:v>
      </x:c>
      <x:c r="D394" s="17" t="str">
        <x:v>Compress_3</x:v>
      </x:c>
      <x:c r="E394" s="32" t="n">
        <x:v>0.7857</x:v>
      </x:c>
      <x:c r="F394" s="32" t="n">
        <x:v>0.3214</x:v>
      </x:c>
      <x:c r="G394" s="32" t="n">
        <x:v>0.9643</x:v>
      </x:c>
      <x:c r="H394" s="32" t="n">
        <x:v>1</x:v>
      </x:c>
      <x:c r="I394" s="40" t="n">
        <x:v>2</x:v>
      </x:c>
      <x:c r="J394" s="40" t="n">
        <x:v>2</x:v>
      </x:c>
      <x:c r="K394" s="40" t="n">
        <x:v>1</x:v>
      </x:c>
      <x:c r="L394" s="40" t="n">
        <x:v>1</x:v>
      </x:c>
    </x:row>
    <x:row r="395" ht="23" customHeight="1">
      <x:c r="B395" s="17" t="str">
        <x:v>All rounds</x:v>
      </x:c>
      <x:c r="C395" s="17" t="str">
        <x:v>condition</x:v>
      </x:c>
      <x:c r="D395" s="17" t="str">
        <x:v>Compress_30</x:v>
      </x:c>
      <x:c r="E395" s="32" t="n">
        <x:v>0.0377</x:v>
      </x:c>
      <x:c r="F395" s="32" t="n">
        <x:v>0.024550000000000002</x:v>
      </x:c>
      <x:c r="G395" s="32" t="n">
        <x:v>0.0717</x:v>
      </x:c>
      <x:c r="H395" s="32" t="n">
        <x:v>0.24530000000000002</x:v>
      </x:c>
      <x:c r="I395" s="40" t="n">
        <x:v>2</x:v>
      </x:c>
      <x:c r="J395" s="40" t="n">
        <x:v>2</x:v>
      </x:c>
      <x:c r="K395" s="40" t="n">
        <x:v>2</x:v>
      </x:c>
      <x:c r="L395" s="40" t="n">
        <x:v>1</x:v>
      </x:c>
    </x:row>
    <x:row r="396" ht="23" customHeight="1">
      <x:c r="B396" s="17" t="str">
        <x:v>All rounds</x:v>
      </x:c>
      <x:c r="C396" s="17" t="str">
        <x:v>condition</x:v>
      </x:c>
      <x:c r="D396" s="17" t="str">
        <x:v>Compress_32</x:v>
      </x:c>
      <x:c r="E396" s="32" t="n">
        <x:v>0.2937</x:v>
      </x:c>
      <x:c r="F396" s="32" t="n">
        <x:v>0.19049999999999997</x:v>
      </x:c>
      <x:c r="G396" s="32" t="n">
        <x:v>0.3016</x:v>
      </x:c>
      <x:c r="H396" s="32" t="n">
        <x:v>0.6349</x:v>
      </x:c>
      <x:c r="I396" s="40" t="n">
        <x:v>2</x:v>
      </x:c>
      <x:c r="J396" s="40" t="n">
        <x:v>2</x:v>
      </x:c>
      <x:c r="K396" s="40" t="n">
        <x:v>2</x:v>
      </x:c>
      <x:c r="L396" s="40" t="n">
        <x:v>1</x:v>
      </x:c>
    </x:row>
    <x:row r="397" ht="23" customHeight="1">
      <x:c r="B397" s="17" t="str">
        <x:v>All rounds</x:v>
      </x:c>
      <x:c r="C397" s="17" t="str">
        <x:v>condition</x:v>
      </x:c>
      <x:c r="D397" s="17" t="str">
        <x:v>Compress_34</x:v>
      </x:c>
      <x:c r="E397" s="32" t="n">
        <x:v>1</x:v>
      </x:c>
      <x:c r="F397" s="32" t="n">
        <x:v>0.75</x:v>
      </x:c>
      <x:c r="G397" s="32" t="n">
        <x:v>0.9286</x:v>
      </x:c>
      <x:c r="H397" s="32" t="n">
        <x:v>0.9286</x:v>
      </x:c>
      <x:c r="I397" s="40" t="n">
        <x:v>2</x:v>
      </x:c>
      <x:c r="J397" s="40" t="n">
        <x:v>2</x:v>
      </x:c>
      <x:c r="K397" s="40" t="n">
        <x:v>1</x:v>
      </x:c>
      <x:c r="L397" s="40" t="n">
        <x:v>1</x:v>
      </x:c>
    </x:row>
    <x:row r="398" ht="23" customHeight="1">
      <x:c r="B398" s="17" t="str">
        <x:v>All rounds</x:v>
      </x:c>
      <x:c r="C398" s="17" t="str">
        <x:v>condition</x:v>
      </x:c>
      <x:c r="D398" s="17" t="str">
        <x:v>Compress_35</x:v>
      </x:c>
      <x:c r="E398" s="32" t="n">
        <x:v>0.7589</x:v>
      </x:c>
      <x:c r="F398" s="32" t="n">
        <x:v>0.51785</x:v>
      </x:c>
      <x:c r="G398" s="32" t="n">
        <x:v>0.6071</x:v>
      </x:c>
      <x:c r="H398" s="32" t="n">
        <x:v>0.9375</x:v>
      </x:c>
      <x:c r="I398" s="40" t="n">
        <x:v>2</x:v>
      </x:c>
      <x:c r="J398" s="40" t="n">
        <x:v>2</x:v>
      </x:c>
      <x:c r="K398" s="40" t="n">
        <x:v>1</x:v>
      </x:c>
      <x:c r="L398" s="40" t="n">
        <x:v>1</x:v>
      </x:c>
    </x:row>
    <x:row r="399" ht="23" customHeight="1">
      <x:c r="B399" s="17" t="str">
        <x:v>All rounds</x:v>
      </x:c>
      <x:c r="C399" s="17" t="str">
        <x:v>condition</x:v>
      </x:c>
      <x:c r="D399" s="17" t="str">
        <x:v>Compress_36</x:v>
      </x:c>
      <x:c r="E399" s="32" t="n">
        <x:v>0.019799999999999998</x:v>
      </x:c>
      <x:c r="F399" s="32" t="n">
        <x:v>0.019799999999999998</x:v>
      </x:c>
      <x:c r="G399" s="32" t="n">
        <x:v>0.033</x:v>
      </x:c>
      <x:c r="H399" s="32" t="n">
        <x:v>0.505</x:v>
      </x:c>
      <x:c r="I399" s="40" t="n">
        <x:v>2</x:v>
      </x:c>
      <x:c r="J399" s="40" t="n">
        <x:v>2</x:v>
      </x:c>
      <x:c r="K399" s="40" t="n">
        <x:v>2</x:v>
      </x:c>
      <x:c r="L399" s="40" t="n">
        <x:v>1</x:v>
      </x:c>
    </x:row>
    <x:row r="400" ht="23" customHeight="1">
      <x:c r="B400" s="17" t="str">
        <x:v>All rounds</x:v>
      </x:c>
      <x:c r="C400" s="17" t="str">
        <x:v>condition</x:v>
      </x:c>
      <x:c r="D400" s="17" t="str">
        <x:v>Compress_40</x:v>
      </x:c>
      <x:c r="E400" s="32" t="n">
        <x:v>1</x:v>
      </x:c>
      <x:c r="F400" s="32" t="n">
        <x:v>0.5832999999999999</x:v>
      </x:c>
      <x:c r="G400" s="32" t="n">
        <x:v>1</x:v>
      </x:c>
      <x:c r="H400" s="32" t="n">
        <x:v>1</x:v>
      </x:c>
      <x:c r="I400" s="40" t="n">
        <x:v>2</x:v>
      </x:c>
      <x:c r="J400" s="40" t="n">
        <x:v>2</x:v>
      </x:c>
      <x:c r="K400" s="40" t="n">
        <x:v>1</x:v>
      </x:c>
      <x:c r="L400" s="40" t="n">
        <x:v>1</x:v>
      </x:c>
    </x:row>
    <x:row r="401" ht="23" customHeight="1">
      <x:c r="B401" s="17" t="str">
        <x:v>All rounds</x:v>
      </x:c>
      <x:c r="C401" s="17" t="str">
        <x:v>condition</x:v>
      </x:c>
      <x:c r="D401" s="17" t="str">
        <x:v>Compress_42</x:v>
      </x:c>
      <x:c r="E401" s="32" t="n">
        <x:v>0.9470000000000001</x:v>
      </x:c>
      <x:c r="F401" s="32" t="n">
        <x:v>0.40149999999999997</x:v>
      </x:c>
      <x:c r="G401" s="32" t="n">
        <x:v>0.6667000000000001</x:v>
      </x:c>
      <x:c r="H401" s="32" t="n">
        <x:v>0.7803</x:v>
      </x:c>
      <x:c r="I401" s="40" t="n">
        <x:v>2</x:v>
      </x:c>
      <x:c r="J401" s="40" t="n">
        <x:v>2</x:v>
      </x:c>
      <x:c r="K401" s="40" t="n">
        <x:v>1</x:v>
      </x:c>
      <x:c r="L401" s="40" t="n">
        <x:v>1</x:v>
      </x:c>
    </x:row>
    <x:row r="402" ht="23" customHeight="1">
      <x:c r="B402" s="17" t="str">
        <x:v>All rounds</x:v>
      </x:c>
      <x:c r="C402" s="17" t="str">
        <x:v>condition</x:v>
      </x:c>
      <x:c r="D402" s="17" t="str">
        <x:v>Compress_44</x:v>
      </x:c>
      <x:c r="E402" s="32" t="n">
        <x:v>1</x:v>
      </x:c>
      <x:c r="F402" s="32" t="n">
        <x:v>0.33335000000000004</x:v>
      </x:c>
      <x:c r="G402" s="32" t="n">
        <x:v>1</x:v>
      </x:c>
      <x:c r="H402" s="32" t="n">
        <x:v>1</x:v>
      </x:c>
      <x:c r="I402" s="40" t="n">
        <x:v>2</x:v>
      </x:c>
      <x:c r="J402" s="40" t="n">
        <x:v>2</x:v>
      </x:c>
      <x:c r="K402" s="40" t="n">
        <x:v>1</x:v>
      </x:c>
      <x:c r="L402" s="40" t="n">
        <x:v>1</x:v>
      </x:c>
    </x:row>
    <x:row r="403" ht="23" customHeight="1">
      <x:c r="B403" s="17" t="str">
        <x:v>All rounds</x:v>
      </x:c>
      <x:c r="C403" s="17" t="str">
        <x:v>condition</x:v>
      </x:c>
      <x:c r="D403" s="17" t="str">
        <x:v>Compress_45</x:v>
      </x:c>
      <x:c r="E403" s="32" t="n">
        <x:v>0.8056</x:v>
      </x:c>
      <x:c r="F403" s="32" t="n">
        <x:v>0.4907</x:v>
      </x:c>
      <x:c r="G403" s="32" t="n">
        <x:v>0.6111</x:v>
      </x:c>
      <x:c r="H403" s="32" t="n">
        <x:v>0.6667000000000001</x:v>
      </x:c>
      <x:c r="I403" s="40" t="n">
        <x:v>2</x:v>
      </x:c>
      <x:c r="J403" s="40" t="n">
        <x:v>2</x:v>
      </x:c>
      <x:c r="K403" s="40" t="n">
        <x:v>2</x:v>
      </x:c>
      <x:c r="L403" s="40" t="n">
        <x:v>1</x:v>
      </x:c>
    </x:row>
    <x:row r="404" ht="23" customHeight="1">
      <x:c r="B404" s="17" t="str">
        <x:v>All rounds</x:v>
      </x:c>
      <x:c r="C404" s="17" t="str">
        <x:v>condition</x:v>
      </x:c>
      <x:c r="D404" s="17" t="str">
        <x:v>Compress_46</x:v>
      </x:c>
      <x:c r="E404" s="32" t="n">
        <x:v>1</x:v>
      </x:c>
      <x:c r="F404" s="32" t="n">
        <x:v>0.36460000000000004</x:v>
      </x:c>
      <x:c r="G404" s="32" t="n">
        <x:v>0.75</x:v>
      </x:c>
      <x:c r="H404" s="32" t="n">
        <x:v>0.5207999999999999</x:v>
      </x:c>
      <x:c r="I404" s="40" t="n">
        <x:v>2</x:v>
      </x:c>
      <x:c r="J404" s="40" t="n">
        <x:v>2</x:v>
      </x:c>
      <x:c r="K404" s="40" t="n">
        <x:v>1</x:v>
      </x:c>
      <x:c r="L404" s="40" t="n">
        <x:v>1</x:v>
      </x:c>
    </x:row>
    <x:row r="405" ht="23" customHeight="1">
      <x:c r="B405" s="17" t="str">
        <x:v>All rounds</x:v>
      </x:c>
      <x:c r="C405" s="17" t="str">
        <x:v>condition</x:v>
      </x:c>
      <x:c r="D405" s="17" t="str">
        <x:v>Compress_47</x:v>
      </x:c>
      <x:c r="E405" s="32" t="n">
        <x:v>0.10619999999999999</x:v>
      </x:c>
      <x:c r="F405" s="32" t="n">
        <x:v>0.08055</x:v>
      </x:c>
      <x:c r="G405" s="32" t="n">
        <x:v>0.4725</x:v>
      </x:c>
      <x:c r="H405" s="32" t="n">
        <x:v>0.37</x:v>
      </x:c>
      <x:c r="I405" s="40" t="n">
        <x:v>2</x:v>
      </x:c>
      <x:c r="J405" s="40" t="n">
        <x:v>2</x:v>
      </x:c>
      <x:c r="K405" s="40" t="n">
        <x:v>2</x:v>
      </x:c>
      <x:c r="L405" s="40" t="n">
        <x:v>1</x:v>
      </x:c>
    </x:row>
    <x:row r="406" ht="23" customHeight="1">
      <x:c r="B406" s="17" t="str">
        <x:v>All rounds</x:v>
      </x:c>
      <x:c r="C406" s="17" t="str">
        <x:v>condition</x:v>
      </x:c>
      <x:c r="D406" s="17" t="str">
        <x:v>Compress_5</x:v>
      </x:c>
      <x:c r="E406" s="32" t="n">
        <x:v>0.2766</x:v>
      </x:c>
      <x:c r="F406" s="32" t="n">
        <x:v>0.25</x:v>
      </x:c>
      <x:c r="G406" s="32" t="n">
        <x:v>0.7447</x:v>
      </x:c>
      <x:c r="H406" s="32" t="n">
        <x:v>0.8723000000000001</x:v>
      </x:c>
      <x:c r="I406" s="40" t="n">
        <x:v>2</x:v>
      </x:c>
      <x:c r="J406" s="40" t="n">
        <x:v>2</x:v>
      </x:c>
      <x:c r="K406" s="40" t="n">
        <x:v>1</x:v>
      </x:c>
      <x:c r="L406" s="40" t="n">
        <x:v>1</x:v>
      </x:c>
    </x:row>
    <x:row r="407" ht="23" customHeight="1">
      <x:c r="B407" s="17" t="str">
        <x:v>All rounds</x:v>
      </x:c>
      <x:c r="C407" s="17" t="str">
        <x:v>condition</x:v>
      </x:c>
      <x:c r="D407" s="17" t="str">
        <x:v>Compress_8</x:v>
      </x:c>
      <x:c r="E407" s="32" t="n">
        <x:v>0.9473999999999999</x:v>
      </x:c>
      <x:c r="F407" s="32" t="n">
        <x:v>0.82895</x:v>
      </x:c>
      <x:c r="G407" s="32" t="n">
        <x:v>0.9211</x:v>
      </x:c>
      <x:c r="H407" s="32" t="n">
        <x:v>0.9737</x:v>
      </x:c>
      <x:c r="I407" s="40" t="n">
        <x:v>2</x:v>
      </x:c>
      <x:c r="J407" s="40" t="n">
        <x:v>2</x:v>
      </x:c>
      <x:c r="K407" s="40" t="n">
        <x:v>2</x:v>
      </x:c>
      <x:c r="L407" s="40" t="n">
        <x:v>1</x:v>
      </x:c>
    </x:row>
    <x:row r="408" ht="23" customHeight="1">
      <x:c r="B408" s="17" t="str">
        <x:v>All rounds</x:v>
      </x:c>
      <x:c r="C408" s="17" t="str">
        <x:v>condition</x:v>
      </x:c>
      <x:c r="D408" s="17" t="str">
        <x:v>Compress_9</x:v>
      </x:c>
      <x:c r="E408" s="32" t="n">
        <x:v>0.6667000000000001</x:v>
      </x:c>
      <x:c r="F408" s="32" t="n">
        <x:v>0.3214</x:v>
      </x:c>
      <x:c r="G408" s="32" t="n">
        <x:v>0.8332999999999999</x:v>
      </x:c>
      <x:c r="H408" s="32" t="n">
        <x:v>1</x:v>
      </x:c>
      <x:c r="I408" s="40" t="n">
        <x:v>2</x:v>
      </x:c>
      <x:c r="J408" s="40" t="n">
        <x:v>2</x:v>
      </x:c>
      <x:c r="K408" s="40" t="n">
        <x:v>2</x:v>
      </x:c>
      <x:c r="L408" s="40" t="n">
        <x:v>1</x:v>
      </x:c>
    </x:row>
    <x:row r="409" ht="23" customHeight="1">
      <x:c r="B409" s="17" t="str">
        <x:v>All rounds</x:v>
      </x:c>
      <x:c r="C409" s="17" t="str">
        <x:v>condition</x:v>
      </x:c>
      <x:c r="D409" s="17" t="str">
        <x:v>Csv_1</x:v>
      </x:c>
      <x:c r="E409" s="32" t="n">
        <x:v>0.5909</x:v>
      </x:c>
      <x:c r="F409" s="32" t="n">
        <x:v>0.13635</x:v>
      </x:c>
      <x:c r="G409" s="32" t="n">
        <x:v>0.9545</x:v>
      </x:c>
      <x:c r="H409" s="32" t="n">
        <x:v>0.9545</x:v>
      </x:c>
      <x:c r="I409" s="40" t="n">
        <x:v>2</x:v>
      </x:c>
      <x:c r="J409" s="40" t="n">
        <x:v>2</x:v>
      </x:c>
      <x:c r="K409" s="40" t="n">
        <x:v>2</x:v>
      </x:c>
      <x:c r="L409" s="40" t="n">
        <x:v>1</x:v>
      </x:c>
    </x:row>
    <x:row r="410" ht="23" customHeight="1">
      <x:c r="B410" s="17" t="str">
        <x:v>All rounds</x:v>
      </x:c>
      <x:c r="C410" s="17" t="str">
        <x:v>condition</x:v>
      </x:c>
      <x:c r="D410" s="17" t="str">
        <x:v>Csv_16</x:v>
      </x:c>
      <x:c r="E410" s="32" t="n">
        <x:v>0.6470999999999999</x:v>
      </x:c>
      <x:c r="F410" s="32" t="n">
        <x:v>0</x:v>
      </x:c>
      <x:c r="G410" s="32" t="n">
        <x:v>0.6175999999999999</x:v>
      </x:c>
      <x:c r="H410" s="32" t="n">
        <x:v>0.5294</x:v>
      </x:c>
      <x:c r="I410" s="40" t="n">
        <x:v>2</x:v>
      </x:c>
      <x:c r="J410" s="40" t="n">
        <x:v>2</x:v>
      </x:c>
      <x:c r="K410" s="40" t="n">
        <x:v>1</x:v>
      </x:c>
      <x:c r="L410" s="40" t="n">
        <x:v>1</x:v>
      </x:c>
    </x:row>
    <x:row r="411" ht="23" customHeight="1">
      <x:c r="B411" s="17" t="str">
        <x:v>All rounds</x:v>
      </x:c>
      <x:c r="C411" s="17" t="str">
        <x:v>condition</x:v>
      </x:c>
      <x:c r="D411" s="17" t="str">
        <x:v>Csv_2</x:v>
      </x:c>
      <x:c r="E411" s="32" t="n">
        <x:v>1</x:v>
      </x:c>
      <x:c r="F411" s="32" t="n">
        <x:v>0.34375</x:v>
      </x:c>
      <x:c r="G411" s="32" t="n">
        <x:v>1</x:v>
      </x:c>
      <x:c r="H411" s="32" t="n">
        <x:v>1</x:v>
      </x:c>
      <x:c r="I411" s="40" t="n">
        <x:v>2</x:v>
      </x:c>
      <x:c r="J411" s="40" t="n">
        <x:v>2</x:v>
      </x:c>
      <x:c r="K411" s="40" t="n">
        <x:v>2</x:v>
      </x:c>
      <x:c r="L411" s="40" t="n">
        <x:v>1</x:v>
      </x:c>
    </x:row>
    <x:row r="412" ht="23" customHeight="1">
      <x:c r="B412" s="17" t="str">
        <x:v>All rounds</x:v>
      </x:c>
      <x:c r="C412" s="17" t="str">
        <x:v>condition</x:v>
      </x:c>
      <x:c r="D412" s="17" t="str">
        <x:v>Csv_6</x:v>
      </x:c>
      <x:c r="E412" s="32" t="n">
        <x:v>1</x:v>
      </x:c>
      <x:c r="F412" s="32" t="n">
        <x:v>0.3333</x:v>
      </x:c>
      <x:c r="G412" s="32" t="n">
        <x:v>0.8332999999999999</x:v>
      </x:c>
      <x:c r="H412" s="32" t="n">
        <x:v>1</x:v>
      </x:c>
      <x:c r="I412" s="40" t="n">
        <x:v>2</x:v>
      </x:c>
      <x:c r="J412" s="40" t="n">
        <x:v>2</x:v>
      </x:c>
      <x:c r="K412" s="40" t="n">
        <x:v>2</x:v>
      </x:c>
      <x:c r="L412" s="40" t="n">
        <x:v>1</x:v>
      </x:c>
    </x:row>
    <x:row r="413" ht="23" customHeight="1">
      <x:c r="B413" s="17" t="str">
        <x:v>All rounds</x:v>
      </x:c>
      <x:c r="C413" s="17" t="str">
        <x:v>condition</x:v>
      </x:c>
      <x:c r="D413" s="17" t="str">
        <x:v>Csv_7</x:v>
      </x:c>
      <x:c r="E413" s="32" t="n">
        <x:v>0.76</x:v>
      </x:c>
      <x:c r="F413" s="32" t="n">
        <x:v>0</x:v>
      </x:c>
      <x:c r="G413" s="32" t="n">
        <x:v>0.68</x:v>
      </x:c>
      <x:c r="H413" s="32" t="n">
        <x:v>0.56</x:v>
      </x:c>
      <x:c r="I413" s="40" t="n">
        <x:v>2</x:v>
      </x:c>
      <x:c r="J413" s="40" t="n">
        <x:v>2</x:v>
      </x:c>
      <x:c r="K413" s="40" t="n">
        <x:v>2</x:v>
      </x:c>
      <x:c r="L413" s="40" t="n">
        <x:v>1</x:v>
      </x:c>
    </x:row>
    <x:row r="414" ht="23" customHeight="1">
      <x:c r="B414" s="17" t="str">
        <x:v>All rounds</x:v>
      </x:c>
      <x:c r="C414" s="17" t="str">
        <x:v>condition</x:v>
      </x:c>
      <x:c r="D414" s="17" t="str">
        <x:v>Csv_9</x:v>
      </x:c>
      <x:c r="E414" s="32" t="n">
        <x:v>1</x:v>
      </x:c>
      <x:c r="F414" s="32" t="n">
        <x:v>0.2727</x:v>
      </x:c>
      <x:c r="G414" s="32" t="n">
        <x:v>0.9545</x:v>
      </x:c>
      <x:c r="H414" s="32" t="n">
        <x:v>1</x:v>
      </x:c>
      <x:c r="I414" s="40" t="n">
        <x:v>2</x:v>
      </x:c>
      <x:c r="J414" s="40" t="n">
        <x:v>2</x:v>
      </x:c>
      <x:c r="K414" s="40" t="n">
        <x:v>2</x:v>
      </x:c>
      <x:c r="L414" s="40" t="n">
        <x:v>1</x:v>
      </x:c>
    </x:row>
    <x:row r="415" ht="23" customHeight="1">
      <x:c r="B415" s="17" t="str">
        <x:v>All rounds</x:v>
      </x:c>
      <x:c r="C415" s="17" t="str">
        <x:v>condition</x:v>
      </x:c>
      <x:c r="D415" s="17" t="str">
        <x:v>Gson_1</x:v>
      </x:c>
      <x:c r="E415" s="32" t="n">
        <x:v>0</x:v>
      </x:c>
      <x:c r="F415" s="32" t="n">
        <x:v>0</x:v>
      </x:c>
      <x:c r="G415" s="32" t="n">
        <x:v>0.5455</x:v>
      </x:c>
      <x:c r="H415" s="32" t="n">
        <x:v>0.9545</x:v>
      </x:c>
      <x:c r="I415" s="40" t="n">
        <x:v>2</x:v>
      </x:c>
      <x:c r="J415" s="40" t="n">
        <x:v>2</x:v>
      </x:c>
      <x:c r="K415" s="40" t="n">
        <x:v>2</x:v>
      </x:c>
      <x:c r="L415" s="40" t="n">
        <x:v>1</x:v>
      </x:c>
    </x:row>
    <x:row r="416" ht="23" customHeight="1">
      <x:c r="B416" s="17" t="str">
        <x:v>All rounds</x:v>
      </x:c>
      <x:c r="C416" s="17" t="str">
        <x:v>condition</x:v>
      </x:c>
      <x:c r="D416" s="17" t="str">
        <x:v>Gson_12</x:v>
      </x:c>
      <x:c r="E416" s="32" t="n">
        <x:v>0.8140000000000001</x:v>
      </x:c>
      <x:c r="F416" s="32" t="n">
        <x:v>0.1512</x:v>
      </x:c>
      <x:c r="G416" s="32" t="n">
        <x:v>0.7442</x:v>
      </x:c>
      <x:c r="H416" s="32" t="n">
        <x:v>0.9301999999999999</x:v>
      </x:c>
      <x:c r="I416" s="40" t="n">
        <x:v>2</x:v>
      </x:c>
      <x:c r="J416" s="40" t="n">
        <x:v>2</x:v>
      </x:c>
      <x:c r="K416" s="40" t="n">
        <x:v>1</x:v>
      </x:c>
      <x:c r="L416" s="40" t="n">
        <x:v>1</x:v>
      </x:c>
    </x:row>
    <x:row r="417" ht="23" customHeight="1">
      <x:c r="B417" s="17" t="str">
        <x:v>All rounds</x:v>
      </x:c>
      <x:c r="C417" s="17" t="str">
        <x:v>condition</x:v>
      </x:c>
      <x:c r="D417" s="17" t="str">
        <x:v>Gson_14</x:v>
      </x:c>
      <x:c r="E417" s="32" t="n">
        <x:v>0</x:v>
      </x:c>
      <x:c r="F417" s="32" t="n">
        <x:v>0</x:v>
      </x:c>
      <x:c r="G417" s="32" t="n">
        <x:v>0.6474</x:v>
      </x:c>
      <x:c r="H417" s="32" t="n">
        <x:v>0.9</x:v>
      </x:c>
      <x:c r="I417" s="40" t="n">
        <x:v>2</x:v>
      </x:c>
      <x:c r="J417" s="40" t="n">
        <x:v>2</x:v>
      </x:c>
      <x:c r="K417" s="40" t="n">
        <x:v>1</x:v>
      </x:c>
      <x:c r="L417" s="40" t="n">
        <x:v>1</x:v>
      </x:c>
    </x:row>
    <x:row r="418" ht="23" customHeight="1">
      <x:c r="B418" s="17" t="str">
        <x:v>All rounds</x:v>
      </x:c>
      <x:c r="C418" s="17" t="str">
        <x:v>condition</x:v>
      </x:c>
      <x:c r="D418" s="17" t="str">
        <x:v>Gson_15</x:v>
      </x:c>
      <x:c r="E418" s="32" t="n">
        <x:v>0.8695999999999999</x:v>
      </x:c>
      <x:c r="F418" s="32" t="n">
        <x:v>0.0217</x:v>
      </x:c>
      <x:c r="G418" s="32" t="n">
        <x:v>0.6087</x:v>
      </x:c>
      <x:c r="H418" s="32" t="n">
        <x:v>0.9673999999999999</x:v>
      </x:c>
      <x:c r="I418" s="40" t="n">
        <x:v>2</x:v>
      </x:c>
      <x:c r="J418" s="40" t="n">
        <x:v>2</x:v>
      </x:c>
      <x:c r="K418" s="40" t="n">
        <x:v>1</x:v>
      </x:c>
      <x:c r="L418" s="40" t="n">
        <x:v>1</x:v>
      </x:c>
    </x:row>
    <x:row r="419" ht="23" customHeight="1">
      <x:c r="B419" s="17" t="str">
        <x:v>All rounds</x:v>
      </x:c>
      <x:c r="C419" s="17" t="str">
        <x:v>condition</x:v>
      </x:c>
      <x:c r="D419" s="17" t="str">
        <x:v>Gson_16</x:v>
      </x:c>
      <x:c r="E419" s="32" t="n">
        <x:v>0</x:v>
      </x:c>
      <x:c r="F419" s="32" t="n">
        <x:v>0</x:v>
      </x:c>
      <x:c r="G419" s="32" t="n">
        <x:v>0.6648999999999999</x:v>
      </x:c>
      <x:c r="H419" s="32" t="n">
        <x:v>0.8865999999999999</x:v>
      </x:c>
      <x:c r="I419" s="40" t="n">
        <x:v>2</x:v>
      </x:c>
      <x:c r="J419" s="40" t="n">
        <x:v>2</x:v>
      </x:c>
      <x:c r="K419" s="40" t="n">
        <x:v>1</x:v>
      </x:c>
      <x:c r="L419" s="40" t="n">
        <x:v>1</x:v>
      </x:c>
    </x:row>
    <x:row r="420" ht="23" customHeight="1">
      <x:c r="B420" s="17" t="str">
        <x:v>All rounds</x:v>
      </x:c>
      <x:c r="C420" s="17" t="str">
        <x:v>condition</x:v>
      </x:c>
      <x:c r="D420" s="17" t="str">
        <x:v>Gson_3</x:v>
      </x:c>
      <x:c r="E420" s="32" t="n">
        <x:v>0</x:v>
      </x:c>
      <x:c r="F420" s="32" t="n">
        <x:v>0</x:v>
      </x:c>
      <x:c r="G420" s="32" t="n">
        <x:v>0.6562</x:v>
      </x:c>
      <x:c r="H420" s="32" t="n">
        <x:v>0.9688</x:v>
      </x:c>
      <x:c r="I420" s="40" t="n">
        <x:v>2</x:v>
      </x:c>
      <x:c r="J420" s="40" t="n">
        <x:v>2</x:v>
      </x:c>
      <x:c r="K420" s="40" t="n">
        <x:v>2</x:v>
      </x:c>
      <x:c r="L420" s="40" t="n">
        <x:v>1</x:v>
      </x:c>
    </x:row>
    <x:row r="421" ht="23" customHeight="1">
      <x:c r="B421" s="17" t="str">
        <x:v>All rounds</x:v>
      </x:c>
      <x:c r="C421" s="17" t="str">
        <x:v>condition</x:v>
      </x:c>
      <x:c r="D421" s="17" t="str">
        <x:v>Gson_4</x:v>
      </x:c>
      <x:c r="E421" s="32" t="n">
        <x:v>0.47259999999999996</x:v>
      </x:c>
      <x:c r="F421" s="32" t="n">
        <x:v>0.0053</x:v>
      </x:c>
      <x:c r="G421" s="32" t="n">
        <x:v>0.4867</x:v>
      </x:c>
      <x:c r="H421" s="32" t="n">
        <x:v>0.8283</x:v>
      </x:c>
      <x:c r="I421" s="40" t="n">
        <x:v>2</x:v>
      </x:c>
      <x:c r="J421" s="40" t="n">
        <x:v>2</x:v>
      </x:c>
      <x:c r="K421" s="40" t="n">
        <x:v>1</x:v>
      </x:c>
      <x:c r="L421" s="40" t="n">
        <x:v>1</x:v>
      </x:c>
    </x:row>
    <x:row r="422" ht="23" customHeight="1">
      <x:c r="B422" s="17" t="str">
        <x:v>All rounds</x:v>
      </x:c>
      <x:c r="C422" s="17" t="str">
        <x:v>condition</x:v>
      </x:c>
      <x:c r="D422" s="17" t="str">
        <x:v>Gson_5</x:v>
      </x:c>
      <x:c r="E422" s="32" t="n">
        <x:v>0.7079000000000001</x:v>
      </x:c>
      <x:c r="F422" s="32" t="n">
        <x:v>0</x:v>
      </x:c>
      <x:c r="G422" s="32" t="n">
        <x:v>0.7528</x:v>
      </x:c>
      <x:c r="H422" s="32" t="n">
        <x:v>0.8764</x:v>
      </x:c>
      <x:c r="I422" s="40" t="n">
        <x:v>2</x:v>
      </x:c>
      <x:c r="J422" s="40" t="n">
        <x:v>2</x:v>
      </x:c>
      <x:c r="K422" s="40" t="n">
        <x:v>2</x:v>
      </x:c>
      <x:c r="L422" s="40" t="n">
        <x:v>1</x:v>
      </x:c>
    </x:row>
    <x:row r="423" ht="23" customHeight="1">
      <x:c r="B423" s="17" t="str">
        <x:v>All rounds</x:v>
      </x:c>
      <x:c r="C423" s="17" t="str">
        <x:v>condition</x:v>
      </x:c>
      <x:c r="D423" s="17" t="str">
        <x:v>Gson_7</x:v>
      </x:c>
      <x:c r="E423" s="32" t="n">
        <x:v>0.4158</x:v>
      </x:c>
      <x:c r="F423" s="32" t="n">
        <x:v>0.0021</x:v>
      </x:c>
      <x:c r="G423" s="32" t="n">
        <x:v>0.5416</x:v>
      </x:c>
      <x:c r="H423" s="32" t="n">
        <x:v>0.7909999999999999</x:v>
      </x:c>
      <x:c r="I423" s="40" t="n">
        <x:v>2</x:v>
      </x:c>
      <x:c r="J423" s="40" t="n">
        <x:v>2</x:v>
      </x:c>
      <x:c r="K423" s="40" t="n">
        <x:v>1</x:v>
      </x:c>
      <x:c r="L423" s="40" t="n">
        <x:v>1</x:v>
      </x:c>
    </x:row>
    <x:row r="424" ht="23" customHeight="1">
      <x:c r="B424" s="17" t="str">
        <x:v>All rounds</x:v>
      </x:c>
      <x:c r="C424" s="17" t="str">
        <x:v>condition</x:v>
      </x:c>
      <x:c r="D424" s="17" t="str">
        <x:v>JacksonCore_10</x:v>
      </x:c>
      <x:c r="E424" s="32" t="n">
        <x:v>0.406</x:v>
      </x:c>
      <x:c r="F424" s="32" t="n">
        <x:v>0.1748</x:v>
      </x:c>
      <x:c r="G424" s="32" t="n">
        <x:v>0.2368</x:v>
      </x:c>
      <x:c r="H424" s="32" t="n">
        <x:v>0.6805</x:v>
      </x:c>
      <x:c r="I424" s="40" t="n">
        <x:v>2</x:v>
      </x:c>
      <x:c r="J424" s="40" t="n">
        <x:v>2</x:v>
      </x:c>
      <x:c r="K424" s="40" t="n">
        <x:v>1</x:v>
      </x:c>
      <x:c r="L424" s="40" t="n">
        <x:v>1</x:v>
      </x:c>
    </x:row>
    <x:row r="425" ht="23" customHeight="1">
      <x:c r="B425" s="17" t="str">
        <x:v>All rounds</x:v>
      </x:c>
      <x:c r="C425" s="17" t="str">
        <x:v>condition</x:v>
      </x:c>
      <x:c r="D425" s="17" t="str">
        <x:v>JacksonCore_2</x:v>
      </x:c>
      <x:c r="E425" s="32" t="n">
        <x:v>0.2285</x:v>
      </x:c>
      <x:c r="F425" s="32" t="n">
        <x:v>0.0009</x:v>
      </x:c>
      <x:c r="G425" s="32" t="n">
        <x:v>0.3292</x:v>
      </x:c>
      <x:c r="H425" s="32" t="n">
        <x:v>0.1502</x:v>
      </x:c>
      <x:c r="I425" s="40" t="n">
        <x:v>2</x:v>
      </x:c>
      <x:c r="J425" s="40" t="n">
        <x:v>2</x:v>
      </x:c>
      <x:c r="K425" s="40" t="n">
        <x:v>1</x:v>
      </x:c>
      <x:c r="L425" s="40" t="n">
        <x:v>1</x:v>
      </x:c>
    </x:row>
    <x:row r="426" ht="23" customHeight="1">
      <x:c r="B426" s="17" t="str">
        <x:v>All rounds</x:v>
      </x:c>
      <x:c r="C426" s="17" t="str">
        <x:v>condition</x:v>
      </x:c>
      <x:c r="D426" s="17" t="str">
        <x:v>JacksonCore_21</x:v>
      </x:c>
      <x:c r="E426" s="32" t="n">
        <x:v>0.2305</x:v>
      </x:c>
      <x:c r="F426" s="32" t="n">
        <x:v>0.0576</x:v>
      </x:c>
      <x:c r="G426" s="32" t="n">
        <x:v>0.0669</x:v>
      </x:c>
      <x:c r="H426" s="32" t="n">
        <x:v>0.19329999999999997</x:v>
      </x:c>
      <x:c r="I426" s="40" t="n">
        <x:v>2</x:v>
      </x:c>
      <x:c r="J426" s="40" t="n">
        <x:v>2</x:v>
      </x:c>
      <x:c r="K426" s="40" t="n">
        <x:v>1</x:v>
      </x:c>
      <x:c r="L426" s="40" t="n">
        <x:v>1</x:v>
      </x:c>
    </x:row>
    <x:row r="427" ht="23" customHeight="1">
      <x:c r="B427" s="17" t="str">
        <x:v>All rounds</x:v>
      </x:c>
      <x:c r="C427" s="17" t="str">
        <x:v>condition</x:v>
      </x:c>
      <x:c r="D427" s="17" t="str">
        <x:v>JacksonCore_22</x:v>
      </x:c>
      <x:c r="E427" s="32" t="n">
        <x:v>0.191</x:v>
      </x:c>
      <x:c r="F427" s="32" t="n">
        <x:v>0.05805</x:v>
      </x:c>
      <x:c r="G427" s="32" t="n">
        <x:v>0.3109</x:v>
      </x:c>
      <x:c r="H427" s="32" t="n">
        <x:v>0.1873</x:v>
      </x:c>
      <x:c r="I427" s="40" t="n">
        <x:v>2</x:v>
      </x:c>
      <x:c r="J427" s="40" t="n">
        <x:v>2</x:v>
      </x:c>
      <x:c r="K427" s="40" t="n">
        <x:v>1</x:v>
      </x:c>
      <x:c r="L427" s="40" t="n">
        <x:v>1</x:v>
      </x:c>
    </x:row>
    <x:row r="428" ht="23" customHeight="1">
      <x:c r="B428" s="17" t="str">
        <x:v>All rounds</x:v>
      </x:c>
      <x:c r="C428" s="17" t="str">
        <x:v>condition</x:v>
      </x:c>
      <x:c r="D428" s="17" t="str">
        <x:v>JacksonCore_26</x:v>
      </x:c>
      <x:c r="E428" s="32" t="n">
        <x:v>0.122</x:v>
      </x:c>
      <x:c r="F428" s="32" t="n">
        <x:v>0</x:v>
      </x:c>
      <x:c r="G428" s="32" t="n">
        <x:v>0.10619999999999999</x:v>
      </x:c>
      <x:c r="H428" s="32" t="n">
        <x:v>0.0873</x:v>
      </x:c>
      <x:c r="I428" s="40" t="n">
        <x:v>2</x:v>
      </x:c>
      <x:c r="J428" s="40" t="n">
        <x:v>2</x:v>
      </x:c>
      <x:c r="K428" s="40" t="n">
        <x:v>2</x:v>
      </x:c>
      <x:c r="L428" s="40" t="n">
        <x:v>1</x:v>
      </x:c>
    </x:row>
    <x:row r="429" ht="23" customHeight="1">
      <x:c r="B429" s="17" t="str">
        <x:v>All rounds</x:v>
      </x:c>
      <x:c r="C429" s="17" t="str">
        <x:v>condition</x:v>
      </x:c>
      <x:c r="D429" s="17" t="str">
        <x:v>JacksonCore_5</x:v>
      </x:c>
      <x:c r="E429" s="32" t="n">
        <x:v>0.9194</x:v>
      </x:c>
      <x:c r="F429" s="32" t="n">
        <x:v>0.55645</x:v>
      </x:c>
      <x:c r="G429" s="32" t="n">
        <x:v>0.9031999999999999</x:v>
      </x:c>
      <x:c r="H429" s="32" t="n">
        <x:v>0.7581</x:v>
      </x:c>
      <x:c r="I429" s="40" t="n">
        <x:v>2</x:v>
      </x:c>
      <x:c r="J429" s="40" t="n">
        <x:v>2</x:v>
      </x:c>
      <x:c r="K429" s="40" t="n">
        <x:v>1</x:v>
      </x:c>
      <x:c r="L429" s="40" t="n">
        <x:v>1</x:v>
      </x:c>
    </x:row>
    <x:row r="430" ht="23" customHeight="1">
      <x:c r="B430" s="17" t="str">
        <x:v>All rounds</x:v>
      </x:c>
      <x:c r="C430" s="17" t="str">
        <x:v>condition</x:v>
      </x:c>
      <x:c r="D430" s="17" t="str">
        <x:v>JacksonCore_6</x:v>
      </x:c>
      <x:c r="E430" s="32" t="n">
        <x:v>0.9355</x:v>
      </x:c>
      <x:c r="F430" s="32" t="n">
        <x:v>0.55645</x:v>
      </x:c>
      <x:c r="G430" s="32" t="n">
        <x:v>0.871</x:v>
      </x:c>
      <x:c r="H430" s="32" t="n">
        <x:v>0.7581</x:v>
      </x:c>
      <x:c r="I430" s="40" t="n">
        <x:v>2</x:v>
      </x:c>
      <x:c r="J430" s="40" t="n">
        <x:v>2</x:v>
      </x:c>
      <x:c r="K430" s="40" t="n">
        <x:v>2</x:v>
      </x:c>
      <x:c r="L430" s="40" t="n">
        <x:v>1</x:v>
      </x:c>
    </x:row>
    <x:row r="431" ht="23" customHeight="1">
      <x:c r="B431" s="17" t="str">
        <x:v>All rounds</x:v>
      </x:c>
      <x:c r="C431" s="17" t="str">
        <x:v>condition</x:v>
      </x:c>
      <x:c r="D431" s="17" t="str">
        <x:v>JacksonCore_8</x:v>
      </x:c>
      <x:c r="E431" s="32" t="n">
        <x:v>0.971</x:v>
      </x:c>
      <x:c r="F431" s="32" t="n">
        <x:v>0.53625</x:v>
      </x:c>
      <x:c r="G431" s="32" t="n">
        <x:v>0.4855</x:v>
      </x:c>
      <x:c r="H431" s="32" t="n">
        <x:v>0.8913</x:v>
      </x:c>
      <x:c r="I431" s="40" t="n">
        <x:v>2</x:v>
      </x:c>
      <x:c r="J431" s="40" t="n">
        <x:v>2</x:v>
      </x:c>
      <x:c r="K431" s="40" t="n">
        <x:v>2</x:v>
      </x:c>
      <x:c r="L431" s="40" t="n">
        <x:v>1</x:v>
      </x:c>
    </x:row>
    <x:row r="432" ht="23" customHeight="1">
      <x:c r="B432" s="17" t="str">
        <x:v>All rounds</x:v>
      </x:c>
      <x:c r="C432" s="17" t="str">
        <x:v>condition</x:v>
      </x:c>
      <x:c r="D432" s="17" t="str">
        <x:v>JacksonDatabind_105</x:v>
      </x:c>
      <x:c r="E432" s="32" t="n">
        <x:v>0.6667000000000001</x:v>
      </x:c>
      <x:c r="F432" s="32" t="n">
        <x:v>0</x:v>
      </x:c>
      <x:c r="G432" s="32" t="n">
        <x:v>0.8332999999999999</x:v>
      </x:c>
      <x:c r="H432" s="32" t="n">
        <x:v>1</x:v>
      </x:c>
      <x:c r="I432" s="40" t="n">
        <x:v>2</x:v>
      </x:c>
      <x:c r="J432" s="40" t="n">
        <x:v>2</x:v>
      </x:c>
      <x:c r="K432" s="40" t="n">
        <x:v>2</x:v>
      </x:c>
      <x:c r="L432" s="40" t="n">
        <x:v>1</x:v>
      </x:c>
    </x:row>
    <x:row r="433" ht="23" customHeight="1">
      <x:c r="B433" s="17" t="str">
        <x:v>All rounds</x:v>
      </x:c>
      <x:c r="C433" s="17" t="str">
        <x:v>condition</x:v>
      </x:c>
      <x:c r="D433" s="17" t="str">
        <x:v>JacksonDatabind_108</x:v>
      </x:c>
      <x:c r="E433" s="32" t="n">
        <x:v>0.41759999999999997</x:v>
      </x:c>
      <x:c r="F433" s="32" t="n">
        <x:v>0</x:v>
      </x:c>
      <x:c r="G433" s="32" t="n">
        <x:v>0.3626</x:v>
      </x:c>
      <x:c r="H433" s="32" t="n">
        <x:v>0</x:v>
      </x:c>
      <x:c r="I433" s="40" t="n">
        <x:v>2</x:v>
      </x:c>
      <x:c r="J433" s="40" t="n">
        <x:v>2</x:v>
      </x:c>
      <x:c r="K433" s="40" t="n">
        <x:v>1</x:v>
      </x:c>
      <x:c r="L433" s="40" t="n">
        <x:v>1</x:v>
      </x:c>
    </x:row>
    <x:row r="434" ht="23" customHeight="1">
      <x:c r="B434" s="17" t="str">
        <x:v>All rounds</x:v>
      </x:c>
      <x:c r="C434" s="17" t="str">
        <x:v>condition</x:v>
      </x:c>
      <x:c r="D434" s="17" t="str">
        <x:v>JacksonDatabind_11</x:v>
      </x:c>
      <x:c r="E434" s="32" t="n">
        <x:v>0.6515000000000001</x:v>
      </x:c>
      <x:c r="F434" s="32" t="n">
        <x:v>0.1288</x:v>
      </x:c>
      <x:c r="G434" s="32" t="n">
        <x:v>0.4242</x:v>
      </x:c>
      <x:c r="H434" s="32" t="n">
        <x:v>0</x:v>
      </x:c>
      <x:c r="I434" s="40" t="n">
        <x:v>2</x:v>
      </x:c>
      <x:c r="J434" s="40" t="n">
        <x:v>2</x:v>
      </x:c>
      <x:c r="K434" s="40" t="n">
        <x:v>1</x:v>
      </x:c>
      <x:c r="L434" s="40" t="n">
        <x:v>1</x:v>
      </x:c>
    </x:row>
    <x:row r="435" ht="23" customHeight="1">
      <x:c r="B435" s="17" t="str">
        <x:v>All rounds</x:v>
      </x:c>
      <x:c r="C435" s="17" t="str">
        <x:v>condition</x:v>
      </x:c>
      <x:c r="D435" s="17" t="str">
        <x:v>JacksonDatabind_16</x:v>
      </x:c>
      <x:c r="E435" s="32" t="n">
        <x:v>0.19440000000000002</x:v>
      </x:c>
      <x:c r="F435" s="32" t="n">
        <x:v>0.22219999999999998</x:v>
      </x:c>
      <x:c r="G435" s="32" t="n">
        <x:v>0.8611</x:v>
      </x:c>
      <x:c r="H435" s="32" t="n">
        <x:v>1</x:v>
      </x:c>
      <x:c r="I435" s="40" t="n">
        <x:v>2</x:v>
      </x:c>
      <x:c r="J435" s="40" t="n">
        <x:v>2</x:v>
      </x:c>
      <x:c r="K435" s="40" t="n">
        <x:v>2</x:v>
      </x:c>
      <x:c r="L435" s="40" t="n">
        <x:v>1</x:v>
      </x:c>
    </x:row>
    <x:row r="436" ht="23" customHeight="1">
      <x:c r="B436" s="17" t="str">
        <x:v>All rounds</x:v>
      </x:c>
      <x:c r="C436" s="17" t="str">
        <x:v>condition</x:v>
      </x:c>
      <x:c r="D436" s="17" t="str">
        <x:v>JacksonDatabind_36</x:v>
      </x:c>
      <x:c r="E436" s="32" t="n">
        <x:v>0.8692</x:v>
      </x:c>
      <x:c r="F436" s="32" t="n">
        <x:v>0.7345999999999999</x:v>
      </x:c>
      <x:c r="G436" s="32" t="n">
        <x:v>0.7077</x:v>
      </x:c>
      <x:c r="H436" s="32" t="n">
        <x:v>0</x:v>
      </x:c>
      <x:c r="I436" s="40" t="n">
        <x:v>2</x:v>
      </x:c>
      <x:c r="J436" s="40" t="n">
        <x:v>2</x:v>
      </x:c>
      <x:c r="K436" s="40" t="n">
        <x:v>2</x:v>
      </x:c>
      <x:c r="L436" s="40" t="n">
        <x:v>1</x:v>
      </x:c>
    </x:row>
    <x:row r="437" ht="23" customHeight="1">
      <x:c r="B437" s="17" t="str">
        <x:v>All rounds</x:v>
      </x:c>
      <x:c r="C437" s="17" t="str">
        <x:v>condition</x:v>
      </x:c>
      <x:c r="D437" s="17" t="str">
        <x:v>JacksonDatabind_37</x:v>
      </x:c>
      <x:c r="E437" s="32" t="n">
        <x:v>0.9688</x:v>
      </x:c>
      <x:c r="F437" s="32" t="n">
        <x:v>0</x:v>
      </x:c>
      <x:c r="G437" s="32" t="n">
        <x:v>0.6875</x:v>
      </x:c>
      <x:c r="H437" s="32" t="n">
        <x:v>0</x:v>
      </x:c>
      <x:c r="I437" s="40" t="n">
        <x:v>2</x:v>
      </x:c>
      <x:c r="J437" s="40" t="n">
        <x:v>2</x:v>
      </x:c>
      <x:c r="K437" s="40" t="n">
        <x:v>1</x:v>
      </x:c>
      <x:c r="L437" s="40" t="n">
        <x:v>1</x:v>
      </x:c>
    </x:row>
    <x:row r="438" ht="23" customHeight="1">
      <x:c r="B438" s="17" t="str">
        <x:v>All rounds</x:v>
      </x:c>
      <x:c r="C438" s="17" t="str">
        <x:v>condition</x:v>
      </x:c>
      <x:c r="D438" s="17" t="str">
        <x:v>JacksonDatabind_39</x:v>
      </x:c>
      <x:c r="E438" s="32" t="n">
        <x:v>0.5</x:v>
      </x:c>
      <x:c r="F438" s="32" t="n">
        <x:v>0</x:v>
      </x:c>
      <x:c r="G438" s="32" t="n">
        <x:v>1</x:v>
      </x:c>
      <x:c r="H438" s="32" t="n">
        <x:v>1</x:v>
      </x:c>
      <x:c r="I438" s="40" t="n">
        <x:v>2</x:v>
      </x:c>
      <x:c r="J438" s="40" t="n">
        <x:v>2</x:v>
      </x:c>
      <x:c r="K438" s="40" t="n">
        <x:v>2</x:v>
      </x:c>
      <x:c r="L438" s="40" t="n">
        <x:v>1</x:v>
      </x:c>
    </x:row>
    <x:row r="439" ht="23" customHeight="1">
      <x:c r="B439" s="17" t="str">
        <x:v>All rounds</x:v>
      </x:c>
      <x:c r="C439" s="17" t="str">
        <x:v>condition</x:v>
      </x:c>
      <x:c r="D439" s="17" t="str">
        <x:v>JacksonDatabind_40</x:v>
      </x:c>
      <x:c r="E439" s="32" t="n">
        <x:v>0.2615</x:v>
      </x:c>
      <x:c r="F439" s="32" t="n">
        <x:v>0.0154</x:v>
      </x:c>
      <x:c r="G439" s="32" t="n">
        <x:v>0.6385000000000001</x:v>
      </x:c>
      <x:c r="H439" s="32" t="n">
        <x:v>0</x:v>
      </x:c>
      <x:c r="I439" s="40" t="n">
        <x:v>2</x:v>
      </x:c>
      <x:c r="J439" s="40" t="n">
        <x:v>2</x:v>
      </x:c>
      <x:c r="K439" s="40" t="n">
        <x:v>2</x:v>
      </x:c>
      <x:c r="L439" s="40" t="n">
        <x:v>1</x:v>
      </x:c>
    </x:row>
    <x:row r="440" ht="23" customHeight="1">
      <x:c r="B440" s="17" t="str">
        <x:v>All rounds</x:v>
      </x:c>
      <x:c r="C440" s="17" t="str">
        <x:v>condition</x:v>
      </x:c>
      <x:c r="D440" s="17" t="str">
        <x:v>JacksonDatabind_42</x:v>
      </x:c>
      <x:c r="E440" s="32" t="n">
        <x:v>0.5443</x:v>
      </x:c>
      <x:c r="F440" s="32" t="n">
        <x:v>0</x:v>
      </x:c>
      <x:c r="G440" s="32" t="n">
        <x:v>0.8354</x:v>
      </x:c>
      <x:c r="H440" s="32" t="n">
        <x:v>0</x:v>
      </x:c>
      <x:c r="I440" s="40" t="n">
        <x:v>2</x:v>
      </x:c>
      <x:c r="J440" s="40" t="n">
        <x:v>2</x:v>
      </x:c>
      <x:c r="K440" s="40" t="n">
        <x:v>1</x:v>
      </x:c>
      <x:c r="L440" s="40" t="n">
        <x:v>1</x:v>
      </x:c>
    </x:row>
    <x:row r="441" ht="23" customHeight="1">
      <x:c r="B441" s="17" t="str">
        <x:v>All rounds</x:v>
      </x:c>
      <x:c r="C441" s="17" t="str">
        <x:v>condition</x:v>
      </x:c>
      <x:c r="D441" s="17" t="str">
        <x:v>JacksonDatabind_44</x:v>
      </x:c>
      <x:c r="E441" s="32" t="n">
        <x:v>0.9722</x:v>
      </x:c>
      <x:c r="F441" s="32" t="n">
        <x:v>0</x:v>
      </x:c>
      <x:c r="G441" s="32" t="n">
        <x:v>0.8889</x:v>
      </x:c>
      <x:c r="H441" s="32" t="n">
        <x:v>0</x:v>
      </x:c>
      <x:c r="I441" s="40" t="n">
        <x:v>2</x:v>
      </x:c>
      <x:c r="J441" s="40" t="n">
        <x:v>2</x:v>
      </x:c>
      <x:c r="K441" s="40" t="n">
        <x:v>2</x:v>
      </x:c>
      <x:c r="L441" s="40" t="n">
        <x:v>1</x:v>
      </x:c>
    </x:row>
    <x:row r="442" ht="23" customHeight="1">
      <x:c r="B442" s="17" t="str">
        <x:v>All rounds</x:v>
      </x:c>
      <x:c r="C442" s="17" t="str">
        <x:v>condition</x:v>
      </x:c>
      <x:c r="D442" s="17" t="str">
        <x:v>JacksonDatabind_5</x:v>
      </x:c>
      <x:c r="E442" s="32" t="n">
        <x:v>0.7095999999999999</x:v>
      </x:c>
      <x:c r="F442" s="32" t="n">
        <x:v>0</x:v>
      </x:c>
      <x:c r="G442" s="32" t="n">
        <x:v>0.3897</x:v>
      </x:c>
      <x:c r="H442" s="32" t="n">
        <x:v>0</x:v>
      </x:c>
      <x:c r="I442" s="40" t="n">
        <x:v>2</x:v>
      </x:c>
      <x:c r="J442" s="40" t="n">
        <x:v>2</x:v>
      </x:c>
      <x:c r="K442" s="40" t="n">
        <x:v>2</x:v>
      </x:c>
      <x:c r="L442" s="40" t="n">
        <x:v>1</x:v>
      </x:c>
    </x:row>
    <x:row r="443" ht="23" customHeight="1">
      <x:c r="B443" s="17" t="str">
        <x:v>All rounds</x:v>
      </x:c>
      <x:c r="C443" s="17" t="str">
        <x:v>condition</x:v>
      </x:c>
      <x:c r="D443" s="17" t="str">
        <x:v>JacksonDatabind_53</x:v>
      </x:c>
      <x:c r="E443" s="32" t="n">
        <x:v>0.7601</x:v>
      </x:c>
      <x:c r="F443" s="32" t="n">
        <x:v>0.2818</x:v>
      </x:c>
      <x:c r="G443" s="32" t="n">
        <x:v>0.6936</x:v>
      </x:c>
      <x:c r="H443" s="32" t="n">
        <x:v>0.0116</x:v>
      </x:c>
      <x:c r="I443" s="40" t="n">
        <x:v>2</x:v>
      </x:c>
      <x:c r="J443" s="40" t="n">
        <x:v>2</x:v>
      </x:c>
      <x:c r="K443" s="40" t="n">
        <x:v>2</x:v>
      </x:c>
      <x:c r="L443" s="40" t="n">
        <x:v>1</x:v>
      </x:c>
    </x:row>
    <x:row r="444" ht="23" customHeight="1">
      <x:c r="B444" s="17" t="str">
        <x:v>All rounds</x:v>
      </x:c>
      <x:c r="C444" s="17" t="str">
        <x:v>condition</x:v>
      </x:c>
      <x:c r="D444" s="17" t="str">
        <x:v>JacksonDatabind_55</x:v>
      </x:c>
      <x:c r="E444" s="32" t="n">
        <x:v>0.7837999999999999</x:v>
      </x:c>
      <x:c r="F444" s="32" t="n">
        <x:v>0.027000000000000003</x:v>
      </x:c>
      <x:c r="G444" s="32" t="n">
        <x:v>0.8649</x:v>
      </x:c>
      <x:c r="H444" s="32" t="n">
        <x:v>0</x:v>
      </x:c>
      <x:c r="I444" s="40" t="n">
        <x:v>2</x:v>
      </x:c>
      <x:c r="J444" s="40" t="n">
        <x:v>2</x:v>
      </x:c>
      <x:c r="K444" s="40" t="n">
        <x:v>2</x:v>
      </x:c>
      <x:c r="L444" s="40" t="n">
        <x:v>1</x:v>
      </x:c>
    </x:row>
    <x:row r="445" ht="23" customHeight="1">
      <x:c r="B445" s="17" t="str">
        <x:v>All rounds</x:v>
      </x:c>
      <x:c r="C445" s="17" t="str">
        <x:v>condition</x:v>
      </x:c>
      <x:c r="D445" s="17" t="str">
        <x:v>JacksonDatabind_56</x:v>
      </x:c>
      <x:c r="E445" s="32" t="n">
        <x:v>0.4321</x:v>
      </x:c>
      <x:c r="F445" s="32" t="n">
        <x:v>0</x:v>
      </x:c>
      <x:c r="G445" s="32" t="n">
        <x:v>0.9136</x:v>
      </x:c>
      <x:c r="H445" s="32" t="n">
        <x:v>0</x:v>
      </x:c>
      <x:c r="I445" s="40" t="n">
        <x:v>2</x:v>
      </x:c>
      <x:c r="J445" s="40" t="n">
        <x:v>2</x:v>
      </x:c>
      <x:c r="K445" s="40" t="n">
        <x:v>1</x:v>
      </x:c>
      <x:c r="L445" s="40" t="n">
        <x:v>1</x:v>
      </x:c>
    </x:row>
    <x:row r="446" ht="23" customHeight="1">
      <x:c r="B446" s="17" t="str">
        <x:v>All rounds</x:v>
      </x:c>
      <x:c r="C446" s="17" t="str">
        <x:v>condition</x:v>
      </x:c>
      <x:c r="D446" s="17" t="str">
        <x:v>JacksonDatabind_57</x:v>
      </x:c>
      <x:c r="E446" s="32" t="n">
        <x:v>0.5064</x:v>
      </x:c>
      <x:c r="F446" s="32" t="n">
        <x:v>0</x:v>
      </x:c>
      <x:c r="G446" s="32" t="n">
        <x:v>0.42310000000000003</x:v>
      </x:c>
      <x:c r="H446" s="32" t="n">
        <x:v>0</x:v>
      </x:c>
      <x:c r="I446" s="40" t="n">
        <x:v>2</x:v>
      </x:c>
      <x:c r="J446" s="40" t="n">
        <x:v>2</x:v>
      </x:c>
      <x:c r="K446" s="40" t="n">
        <x:v>2</x:v>
      </x:c>
      <x:c r="L446" s="40" t="n">
        <x:v>1</x:v>
      </x:c>
    </x:row>
    <x:row r="447" ht="23" customHeight="1">
      <x:c r="B447" s="17" t="str">
        <x:v>All rounds</x:v>
      </x:c>
      <x:c r="C447" s="17" t="str">
        <x:v>condition</x:v>
      </x:c>
      <x:c r="D447" s="17" t="str">
        <x:v>JacksonDatabind_6</x:v>
      </x:c>
      <x:c r="E447" s="32" t="n">
        <x:v>0.9148999999999999</x:v>
      </x:c>
      <x:c r="F447" s="32" t="n">
        <x:v>0.79255</x:v>
      </x:c>
      <x:c r="G447" s="32" t="n">
        <x:v>0.7553</x:v>
      </x:c>
      <x:c r="H447" s="32" t="n">
        <x:v>0</x:v>
      </x:c>
      <x:c r="I447" s="40" t="n">
        <x:v>2</x:v>
      </x:c>
      <x:c r="J447" s="40" t="n">
        <x:v>2</x:v>
      </x:c>
      <x:c r="K447" s="40" t="n">
        <x:v>2</x:v>
      </x:c>
      <x:c r="L447" s="40" t="n">
        <x:v>1</x:v>
      </x:c>
    </x:row>
    <x:row r="448" ht="23" customHeight="1">
      <x:c r="B448" s="17" t="str">
        <x:v>All rounds</x:v>
      </x:c>
      <x:c r="C448" s="17" t="str">
        <x:v>condition</x:v>
      </x:c>
      <x:c r="D448" s="17" t="str">
        <x:v>JacksonDatabind_68</x:v>
      </x:c>
      <x:c r="E448" s="32" t="n">
        <x:v>0</x:v>
      </x:c>
      <x:c r="F448" s="32" t="n">
        <x:v>0</x:v>
      </x:c>
      <x:c r="G448" s="32" t="n">
        <x:v>0</x:v>
      </x:c>
      <x:c r="H448" s="32" t="n">
        <x:v>0</x:v>
      </x:c>
      <x:c r="I448" s="40" t="n">
        <x:v>2</x:v>
      </x:c>
      <x:c r="J448" s="40" t="n">
        <x:v>2</x:v>
      </x:c>
      <x:c r="K448" s="40" t="n">
        <x:v>2</x:v>
      </x:c>
      <x:c r="L448" s="40" t="n">
        <x:v>1</x:v>
      </x:c>
    </x:row>
    <x:row r="449" ht="23" customHeight="1">
      <x:c r="B449" s="17" t="str">
        <x:v>All rounds</x:v>
      </x:c>
      <x:c r="C449" s="17" t="str">
        <x:v>condition</x:v>
      </x:c>
      <x:c r="D449" s="17" t="str">
        <x:v>JacksonDatabind_73</x:v>
      </x:c>
      <x:c r="E449" s="32" t="n">
        <x:v>0.0587</x:v>
      </x:c>
      <x:c r="F449" s="32" t="n">
        <x:v>0.046099999999999995</x:v>
      </x:c>
      <x:c r="G449" s="32" t="n">
        <x:v>0.5433</x:v>
      </x:c>
      <x:c r="H449" s="32" t="n">
        <x:v>0</x:v>
      </x:c>
      <x:c r="I449" s="40" t="n">
        <x:v>2</x:v>
      </x:c>
      <x:c r="J449" s="40" t="n">
        <x:v>2</x:v>
      </x:c>
      <x:c r="K449" s="40" t="n">
        <x:v>2</x:v>
      </x:c>
      <x:c r="L449" s="40" t="n">
        <x:v>1</x:v>
      </x:c>
    </x:row>
    <x:row r="450" ht="23" customHeight="1">
      <x:c r="B450" s="17" t="str">
        <x:v>All rounds</x:v>
      </x:c>
      <x:c r="C450" s="17" t="str">
        <x:v>condition</x:v>
      </x:c>
      <x:c r="D450" s="17" t="str">
        <x:v>JacksonDatabind_83</x:v>
      </x:c>
      <x:c r="E450" s="32" t="n">
        <x:v>0.5682</x:v>
      </x:c>
      <x:c r="F450" s="32" t="n">
        <x:v>0</x:v>
      </x:c>
      <x:c r="G450" s="32" t="n">
        <x:v>0.7841</x:v>
      </x:c>
      <x:c r="H450" s="32" t="n">
        <x:v>0</x:v>
      </x:c>
      <x:c r="I450" s="40" t="n">
        <x:v>2</x:v>
      </x:c>
      <x:c r="J450" s="40" t="n">
        <x:v>2</x:v>
      </x:c>
      <x:c r="K450" s="40" t="n">
        <x:v>2</x:v>
      </x:c>
      <x:c r="L450" s="40" t="n">
        <x:v>1</x:v>
      </x:c>
    </x:row>
    <x:row r="451" ht="23" customHeight="1">
      <x:c r="B451" s="17" t="str">
        <x:v>All rounds</x:v>
      </x:c>
      <x:c r="C451" s="17" t="str">
        <x:v>condition</x:v>
      </x:c>
      <x:c r="D451" s="17" t="str">
        <x:v>JacksonDatabind_84</x:v>
      </x:c>
      <x:c r="E451" s="32" t="n">
        <x:v>1</x:v>
      </x:c>
      <x:c r="F451" s="32" t="n">
        <x:v>0</x:v>
      </x:c>
      <x:c r="G451" s="32" t="n">
        <x:v>1</x:v>
      </x:c>
      <x:c r="H451" s="32" t="n">
        <x:v>1</x:v>
      </x:c>
      <x:c r="I451" s="40" t="n">
        <x:v>2</x:v>
      </x:c>
      <x:c r="J451" s="40" t="n">
        <x:v>2</x:v>
      </x:c>
      <x:c r="K451" s="40" t="n">
        <x:v>2</x:v>
      </x:c>
      <x:c r="L451" s="40" t="n">
        <x:v>1</x:v>
      </x:c>
    </x:row>
    <x:row r="452" ht="23" customHeight="1">
      <x:c r="B452" s="17" t="str">
        <x:v>All rounds</x:v>
      </x:c>
      <x:c r="C452" s="17" t="str">
        <x:v>condition</x:v>
      </x:c>
      <x:c r="D452" s="17" t="str">
        <x:v>JacksonDatabind_86</x:v>
      </x:c>
      <x:c r="E452" s="32" t="n">
        <x:v>1</x:v>
      </x:c>
      <x:c r="F452" s="32" t="n">
        <x:v>0</x:v>
      </x:c>
      <x:c r="G452" s="32" t="n">
        <x:v>1</x:v>
      </x:c>
      <x:c r="H452" s="32" t="n">
        <x:v>1</x:v>
      </x:c>
      <x:c r="I452" s="40" t="n">
        <x:v>2</x:v>
      </x:c>
      <x:c r="J452" s="40" t="n">
        <x:v>2</x:v>
      </x:c>
      <x:c r="K452" s="40" t="n">
        <x:v>2</x:v>
      </x:c>
      <x:c r="L452" s="40" t="n">
        <x:v>1</x:v>
      </x:c>
    </x:row>
    <x:row r="453" ht="23" customHeight="1">
      <x:c r="B453" s="17" t="str">
        <x:v>All rounds</x:v>
      </x:c>
      <x:c r="C453" s="17" t="str">
        <x:v>condition</x:v>
      </x:c>
      <x:c r="D453" s="17" t="str">
        <x:v>JacksonDatabind_87</x:v>
      </x:c>
      <x:c r="E453" s="32" t="n">
        <x:v>0.8970999999999999</x:v>
      </x:c>
      <x:c r="F453" s="32" t="n">
        <x:v>0.5882000000000001</x:v>
      </x:c>
      <x:c r="G453" s="32" t="n">
        <x:v>0.6544</x:v>
      </x:c>
      <x:c r="H453" s="32" t="n">
        <x:v>0</x:v>
      </x:c>
      <x:c r="I453" s="40" t="n">
        <x:v>2</x:v>
      </x:c>
      <x:c r="J453" s="40" t="n">
        <x:v>1</x:v>
      </x:c>
      <x:c r="K453" s="40" t="n">
        <x:v>2</x:v>
      </x:c>
      <x:c r="L453" s="40" t="n">
        <x:v>1</x:v>
      </x:c>
    </x:row>
    <x:row r="454" ht="23" customHeight="1">
      <x:c r="B454" s="17" t="str">
        <x:v>All rounds</x:v>
      </x:c>
      <x:c r="C454" s="17" t="str">
        <x:v>condition</x:v>
      </x:c>
      <x:c r="D454" s="17" t="str">
        <x:v>JacksonDatabind_93</x:v>
      </x:c>
      <x:c r="E454" s="32" t="n">
        <x:v>0.2</x:v>
      </x:c>
      <x:c r="F454" s="32" t="n">
        <x:v>0</x:v>
      </x:c>
      <x:c r="G454" s="32" t="n">
        <x:v>0.3</x:v>
      </x:c>
      <x:c r="H454" s="32" t="n">
        <x:v>1</x:v>
      </x:c>
      <x:c r="I454" s="40" t="n">
        <x:v>2</x:v>
      </x:c>
      <x:c r="J454" s="40" t="n">
        <x:v>2</x:v>
      </x:c>
      <x:c r="K454" s="40" t="n">
        <x:v>1</x:v>
      </x:c>
      <x:c r="L454" s="40" t="n">
        <x:v>1</x:v>
      </x:c>
    </x:row>
    <x:row r="455" ht="23" customHeight="1">
      <x:c r="B455" s="17" t="str">
        <x:v>All rounds</x:v>
      </x:c>
      <x:c r="C455" s="17" t="str">
        <x:v>condition</x:v>
      </x:c>
      <x:c r="D455" s="17" t="str">
        <x:v>JacksonDatabind_94</x:v>
      </x:c>
      <x:c r="E455" s="32" t="n">
        <x:v>0.2857</x:v>
      </x:c>
      <x:c r="F455" s="32" t="n">
        <x:v>0</x:v>
      </x:c>
      <x:c r="G455" s="32" t="n">
        <x:v>0.35710000000000003</x:v>
      </x:c>
      <x:c r="H455" s="32" t="n">
        <x:v>0.9286</x:v>
      </x:c>
      <x:c r="I455" s="40" t="n">
        <x:v>2</x:v>
      </x:c>
      <x:c r="J455" s="40" t="n">
        <x:v>2</x:v>
      </x:c>
      <x:c r="K455" s="40" t="n">
        <x:v>2</x:v>
      </x:c>
      <x:c r="L455" s="40" t="n">
        <x:v>1</x:v>
      </x:c>
    </x:row>
    <x:row r="456" ht="23" customHeight="1">
      <x:c r="B456" s="17" t="str">
        <x:v>All rounds</x:v>
      </x:c>
      <x:c r="C456" s="17" t="str">
        <x:v>condition</x:v>
      </x:c>
      <x:c r="D456" s="17" t="str">
        <x:v>JacksonDatabind_98</x:v>
      </x:c>
      <x:c r="E456" s="32" t="n">
        <x:v>0.1739</x:v>
      </x:c>
      <x:c r="F456" s="32" t="n">
        <x:v>0.054299999999999994</x:v>
      </x:c>
      <x:c r="G456" s="32" t="n">
        <x:v>0.337</x:v>
      </x:c>
      <x:c r="H456" s="32" t="n">
        <x:v>0</x:v>
      </x:c>
      <x:c r="I456" s="40" t="n">
        <x:v>2</x:v>
      </x:c>
      <x:c r="J456" s="40" t="n">
        <x:v>2</x:v>
      </x:c>
      <x:c r="K456" s="40" t="n">
        <x:v>1</x:v>
      </x:c>
      <x:c r="L456" s="40" t="n">
        <x:v>1</x:v>
      </x:c>
    </x:row>
    <x:row r="457" ht="23" customHeight="1">
      <x:c r="B457" s="17" t="str">
        <x:v>All rounds</x:v>
      </x:c>
      <x:c r="C457" s="17" t="str">
        <x:v>condition</x:v>
      </x:c>
      <x:c r="D457" s="17" t="str">
        <x:v>Jsoup_1</x:v>
      </x:c>
      <x:c r="E457" s="32" t="n">
        <x:v>1</x:v>
      </x:c>
      <x:c r="F457" s="32" t="n">
        <x:v>1</x:v>
      </x:c>
      <x:c r="G457" s="32" t="n">
        <x:v>0.9444</x:v>
      </x:c>
      <x:c r="H457" s="32" t="n">
        <x:v>1</x:v>
      </x:c>
      <x:c r="I457" s="40" t="n">
        <x:v>2</x:v>
      </x:c>
      <x:c r="J457" s="40" t="n">
        <x:v>2</x:v>
      </x:c>
      <x:c r="K457" s="40" t="n">
        <x:v>2</x:v>
      </x:c>
      <x:c r="L457" s="40" t="n">
        <x:v>1</x:v>
      </x:c>
    </x:row>
    <x:row r="458" ht="23" customHeight="1">
      <x:c r="B458" s="17" t="str">
        <x:v>All rounds</x:v>
      </x:c>
      <x:c r="C458" s="17" t="str">
        <x:v>condition</x:v>
      </x:c>
      <x:c r="D458" s="17" t="str">
        <x:v>Jsoup_11</x:v>
      </x:c>
      <x:c r="E458" s="32" t="n">
        <x:v>0.4833</x:v>
      </x:c>
      <x:c r="F458" s="32" t="n">
        <x:v>0</x:v>
      </x:c>
      <x:c r="G458" s="32" t="n">
        <x:v>0.6917</x:v>
      </x:c>
      <x:c r="H458" s="32" t="n">
        <x:v>0.95</x:v>
      </x:c>
      <x:c r="I458" s="40" t="n">
        <x:v>2</x:v>
      </x:c>
      <x:c r="J458" s="40" t="n">
        <x:v>2</x:v>
      </x:c>
      <x:c r="K458" s="40" t="n">
        <x:v>2</x:v>
      </x:c>
      <x:c r="L458" s="40" t="n">
        <x:v>1</x:v>
      </x:c>
    </x:row>
    <x:row r="459" ht="23" customHeight="1">
      <x:c r="B459" s="17" t="str">
        <x:v>All rounds</x:v>
      </x:c>
      <x:c r="C459" s="17" t="str">
        <x:v>condition</x:v>
      </x:c>
      <x:c r="D459" s="17" t="str">
        <x:v>Jsoup_12</x:v>
      </x:c>
      <x:c r="E459" s="32" t="n">
        <x:v>0.5606</x:v>
      </x:c>
      <x:c r="F459" s="32" t="n">
        <x:v>0.0152</x:v>
      </x:c>
      <x:c r="G459" s="32" t="n">
        <x:v>0.8939</x:v>
      </x:c>
      <x:c r="H459" s="32" t="n">
        <x:v>0.9545</x:v>
      </x:c>
      <x:c r="I459" s="40" t="n">
        <x:v>2</x:v>
      </x:c>
      <x:c r="J459" s="40" t="n">
        <x:v>2</x:v>
      </x:c>
      <x:c r="K459" s="40" t="n">
        <x:v>2</x:v>
      </x:c>
      <x:c r="L459" s="40" t="n">
        <x:v>1</x:v>
      </x:c>
    </x:row>
    <x:row r="460" ht="23" customHeight="1">
      <x:c r="B460" s="17" t="str">
        <x:v>All rounds</x:v>
      </x:c>
      <x:c r="C460" s="17" t="str">
        <x:v>condition</x:v>
      </x:c>
      <x:c r="D460" s="17" t="str">
        <x:v>Jsoup_16</x:v>
      </x:c>
      <x:c r="E460" s="32" t="n">
        <x:v>1</x:v>
      </x:c>
      <x:c r="F460" s="32" t="n">
        <x:v>0.75</x:v>
      </x:c>
      <x:c r="G460" s="32" t="n">
        <x:v>1</x:v>
      </x:c>
      <x:c r="H460" s="32" t="n">
        <x:v>1</x:v>
      </x:c>
      <x:c r="I460" s="40" t="n">
        <x:v>2</x:v>
      </x:c>
      <x:c r="J460" s="40" t="n">
        <x:v>2</x:v>
      </x:c>
      <x:c r="K460" s="40" t="n">
        <x:v>2</x:v>
      </x:c>
      <x:c r="L460" s="40" t="n">
        <x:v>1</x:v>
      </x:c>
    </x:row>
    <x:row r="461" ht="23" customHeight="1">
      <x:c r="B461" s="17" t="str">
        <x:v>All rounds</x:v>
      </x:c>
      <x:c r="C461" s="17" t="str">
        <x:v>condition</x:v>
      </x:c>
      <x:c r="D461" s="17" t="str">
        <x:v>Jsoup_18</x:v>
      </x:c>
      <x:c r="E461" s="32" t="n">
        <x:v>1</x:v>
      </x:c>
      <x:c r="F461" s="32" t="n">
        <x:v>0.69515</x:v>
      </x:c>
      <x:c r="G461" s="32" t="n">
        <x:v>0.8293</x:v>
      </x:c>
      <x:c r="H461" s="32" t="n">
        <x:v>0.9390000000000001</x:v>
      </x:c>
      <x:c r="I461" s="40" t="n">
        <x:v>2</x:v>
      </x:c>
      <x:c r="J461" s="40" t="n">
        <x:v>2</x:v>
      </x:c>
      <x:c r="K461" s="40" t="n">
        <x:v>2</x:v>
      </x:c>
      <x:c r="L461" s="40" t="n">
        <x:v>1</x:v>
      </x:c>
    </x:row>
    <x:row r="462" ht="23" customHeight="1">
      <x:c r="B462" s="17" t="str">
        <x:v>All rounds</x:v>
      </x:c>
      <x:c r="C462" s="17" t="str">
        <x:v>condition</x:v>
      </x:c>
      <x:c r="D462" s="17" t="str">
        <x:v>Jsoup_20</x:v>
      </x:c>
      <x:c r="E462" s="32" t="n">
        <x:v>0.4545</x:v>
      </x:c>
      <x:c r="F462" s="32" t="n">
        <x:v>0.1364</x:v>
      </x:c>
      <x:c r="G462" s="32" t="n">
        <x:v>0.8636</x:v>
      </x:c>
      <x:c r="H462" s="32" t="n">
        <x:v>0.9545</x:v>
      </x:c>
      <x:c r="I462" s="40" t="n">
        <x:v>2</x:v>
      </x:c>
      <x:c r="J462" s="40" t="n">
        <x:v>2</x:v>
      </x:c>
      <x:c r="K462" s="40" t="n">
        <x:v>2</x:v>
      </x:c>
      <x:c r="L462" s="40" t="n">
        <x:v>1</x:v>
      </x:c>
    </x:row>
    <x:row r="463" ht="23" customHeight="1">
      <x:c r="B463" s="17" t="str">
        <x:v>All rounds</x:v>
      </x:c>
      <x:c r="C463" s="17" t="str">
        <x:v>condition</x:v>
      </x:c>
      <x:c r="D463" s="17" t="str">
        <x:v>Jsoup_21</x:v>
      </x:c>
      <x:c r="E463" s="32" t="n">
        <x:v>0.9582999999999999</x:v>
      </x:c>
      <x:c r="F463" s="32" t="n">
        <x:v>0.3177</x:v>
      </x:c>
      <x:c r="G463" s="32" t="n">
        <x:v>0.9895999999999999</x:v>
      </x:c>
      <x:c r="H463" s="32" t="n">
        <x:v>0.9479000000000001</x:v>
      </x:c>
      <x:c r="I463" s="40" t="n">
        <x:v>2</x:v>
      </x:c>
      <x:c r="J463" s="40" t="n">
        <x:v>2</x:v>
      </x:c>
      <x:c r="K463" s="40" t="n">
        <x:v>1</x:v>
      </x:c>
      <x:c r="L463" s="40" t="n">
        <x:v>1</x:v>
      </x:c>
    </x:row>
    <x:row r="464" ht="23" customHeight="1">
      <x:c r="B464" s="17" t="str">
        <x:v>All rounds</x:v>
      </x:c>
      <x:c r="C464" s="17" t="str">
        <x:v>condition</x:v>
      </x:c>
      <x:c r="D464" s="17" t="str">
        <x:v>Jsoup_30</x:v>
      </x:c>
      <x:c r="E464" s="32" t="n">
        <x:v>0.4375</x:v>
      </x:c>
      <x:c r="F464" s="32" t="n">
        <x:v>0</x:v>
      </x:c>
      <x:c r="G464" s="32" t="n">
        <x:v>1</x:v>
      </x:c>
      <x:c r="H464" s="32" t="n">
        <x:v>1</x:v>
      </x:c>
      <x:c r="I464" s="40" t="n">
        <x:v>2</x:v>
      </x:c>
      <x:c r="J464" s="40" t="n">
        <x:v>2</x:v>
      </x:c>
      <x:c r="K464" s="40" t="n">
        <x:v>1</x:v>
      </x:c>
      <x:c r="L464" s="40" t="n">
        <x:v>1</x:v>
      </x:c>
    </x:row>
    <x:row r="465" ht="23" customHeight="1">
      <x:c r="B465" s="17" t="str">
        <x:v>All rounds</x:v>
      </x:c>
      <x:c r="C465" s="17" t="str">
        <x:v>condition</x:v>
      </x:c>
      <x:c r="D465" s="17" t="str">
        <x:v>Jsoup_32</x:v>
      </x:c>
      <x:c r="E465" s="32" t="n">
        <x:v>0.35710000000000003</x:v>
      </x:c>
      <x:c r="F465" s="32" t="n">
        <x:v>0</x:v>
      </x:c>
      <x:c r="G465" s="32" t="n">
        <x:v>0.5643</x:v>
      </x:c>
      <x:c r="H465" s="32" t="n">
        <x:v>0.8429000000000001</x:v>
      </x:c>
      <x:c r="I465" s="40" t="n">
        <x:v>2</x:v>
      </x:c>
      <x:c r="J465" s="40" t="n">
        <x:v>2</x:v>
      </x:c>
      <x:c r="K465" s="40" t="n">
        <x:v>1</x:v>
      </x:c>
      <x:c r="L465" s="40" t="n">
        <x:v>1</x:v>
      </x:c>
    </x:row>
    <x:row r="466" ht="23" customHeight="1">
      <x:c r="B466" s="17" t="str">
        <x:v>All rounds</x:v>
      </x:c>
      <x:c r="C466" s="17" t="str">
        <x:v>condition</x:v>
      </x:c>
      <x:c r="D466" s="17" t="str">
        <x:v>Jsoup_37</x:v>
      </x:c>
      <x:c r="E466" s="32" t="n">
        <x:v>0.2829</x:v>
      </x:c>
      <x:c r="F466" s="32" t="n">
        <x:v>0.0066</x:v>
      </x:c>
      <x:c r="G466" s="32" t="n">
        <x:v>0.625</x:v>
      </x:c>
      <x:c r="H466" s="32" t="n">
        <x:v>0.8158</x:v>
      </x:c>
      <x:c r="I466" s="40" t="n">
        <x:v>2</x:v>
      </x:c>
      <x:c r="J466" s="40" t="n">
        <x:v>2</x:v>
      </x:c>
      <x:c r="K466" s="40" t="n">
        <x:v>1</x:v>
      </x:c>
      <x:c r="L466" s="40" t="n">
        <x:v>1</x:v>
      </x:c>
    </x:row>
    <x:row r="467" ht="23" customHeight="1">
      <x:c r="B467" s="17" t="str">
        <x:v>All rounds</x:v>
      </x:c>
      <x:c r="C467" s="17" t="str">
        <x:v>condition</x:v>
      </x:c>
      <x:c r="D467" s="17" t="str">
        <x:v>Jsoup_39</x:v>
      </x:c>
      <x:c r="E467" s="32" t="n">
        <x:v>0.5217</x:v>
      </x:c>
      <x:c r="F467" s="32" t="n">
        <x:v>0.1522</x:v>
      </x:c>
      <x:c r="G467" s="32" t="n">
        <x:v>0.7173999999999999</x:v>
      </x:c>
      <x:c r="H467" s="32" t="n">
        <x:v>0.8913</x:v>
      </x:c>
      <x:c r="I467" s="40" t="n">
        <x:v>2</x:v>
      </x:c>
      <x:c r="J467" s="40" t="n">
        <x:v>2</x:v>
      </x:c>
      <x:c r="K467" s="40" t="n">
        <x:v>2</x:v>
      </x:c>
      <x:c r="L467" s="40" t="n">
        <x:v>1</x:v>
      </x:c>
    </x:row>
    <x:row r="468" ht="23" customHeight="1">
      <x:c r="B468" s="17" t="str">
        <x:v>All rounds</x:v>
      </x:c>
      <x:c r="C468" s="17" t="str">
        <x:v>condition</x:v>
      </x:c>
      <x:c r="D468" s="17" t="str">
        <x:v>Jsoup_40</x:v>
      </x:c>
      <x:c r="E468" s="32" t="n">
        <x:v>1</x:v>
      </x:c>
      <x:c r="F468" s="32" t="n">
        <x:v>0.66665</x:v>
      </x:c>
      <x:c r="G468" s="32" t="n">
        <x:v>1</x:v>
      </x:c>
      <x:c r="H468" s="32" t="n">
        <x:v>1</x:v>
      </x:c>
      <x:c r="I468" s="40" t="n">
        <x:v>2</x:v>
      </x:c>
      <x:c r="J468" s="40" t="n">
        <x:v>2</x:v>
      </x:c>
      <x:c r="K468" s="40" t="n">
        <x:v>2</x:v>
      </x:c>
      <x:c r="L468" s="40" t="n">
        <x:v>1</x:v>
      </x:c>
    </x:row>
    <x:row r="469" ht="23" customHeight="1">
      <x:c r="B469" s="17" t="str">
        <x:v>All rounds</x:v>
      </x:c>
      <x:c r="C469" s="17" t="str">
        <x:v>condition</x:v>
      </x:c>
      <x:c r="D469" s="17" t="str">
        <x:v>Jsoup_46</x:v>
      </x:c>
      <x:c r="E469" s="32" t="n">
        <x:v>0.8431000000000001</x:v>
      </x:c>
      <x:c r="F469" s="32" t="n">
        <x:v>0.15689999999999998</x:v>
      </x:c>
      <x:c r="G469" s="32" t="n">
        <x:v>0.6275</x:v>
      </x:c>
      <x:c r="H469" s="32" t="n">
        <x:v>0.9804</x:v>
      </x:c>
      <x:c r="I469" s="40" t="n">
        <x:v>2</x:v>
      </x:c>
      <x:c r="J469" s="40" t="n">
        <x:v>2</x:v>
      </x:c>
      <x:c r="K469" s="40" t="n">
        <x:v>2</x:v>
      </x:c>
      <x:c r="L469" s="40" t="n">
        <x:v>1</x:v>
      </x:c>
    </x:row>
    <x:row r="470" ht="23" customHeight="1">
      <x:c r="B470" s="17" t="str">
        <x:v>All rounds</x:v>
      </x:c>
      <x:c r="C470" s="17" t="str">
        <x:v>condition</x:v>
      </x:c>
      <x:c r="D470" s="17" t="str">
        <x:v>Jsoup_47</x:v>
      </x:c>
      <x:c r="E470" s="32" t="n">
        <x:v>0.7451000000000001</x:v>
      </x:c>
      <x:c r="F470" s="32" t="n">
        <x:v>0.15689999999999998</x:v>
      </x:c>
      <x:c r="G470" s="32" t="n">
        <x:v>0.9608</x:v>
      </x:c>
      <x:c r="H470" s="32" t="n">
        <x:v>0.9804</x:v>
      </x:c>
      <x:c r="I470" s="40" t="n">
        <x:v>2</x:v>
      </x:c>
      <x:c r="J470" s="40" t="n">
        <x:v>2</x:v>
      </x:c>
      <x:c r="K470" s="40" t="n">
        <x:v>1</x:v>
      </x:c>
      <x:c r="L470" s="40" t="n">
        <x:v>1</x:v>
      </x:c>
    </x:row>
    <x:row r="471" ht="23" customHeight="1">
      <x:c r="B471" s="17" t="str">
        <x:v>All rounds</x:v>
      </x:c>
      <x:c r="C471" s="17" t="str">
        <x:v>condition</x:v>
      </x:c>
      <x:c r="D471" s="17" t="str">
        <x:v>Jsoup_5</x:v>
      </x:c>
      <x:c r="E471" s="32" t="n">
        <x:v>0.7065</x:v>
      </x:c>
      <x:c r="F471" s="32" t="n">
        <x:v>0.11960000000000001</x:v>
      </x:c>
      <x:c r="G471" s="32" t="n">
        <x:v>0.4891</x:v>
      </x:c>
      <x:c r="H471" s="32" t="n">
        <x:v>0.9239</x:v>
      </x:c>
      <x:c r="I471" s="40" t="n">
        <x:v>2</x:v>
      </x:c>
      <x:c r="J471" s="40" t="n">
        <x:v>2</x:v>
      </x:c>
      <x:c r="K471" s="40" t="n">
        <x:v>2</x:v>
      </x:c>
      <x:c r="L471" s="40" t="n">
        <x:v>1</x:v>
      </x:c>
    </x:row>
    <x:row r="472" ht="23" customHeight="1">
      <x:c r="B472" s="17" t="str">
        <x:v>All rounds</x:v>
      </x:c>
      <x:c r="C472" s="17" t="str">
        <x:v>condition</x:v>
      </x:c>
      <x:c r="D472" s="17" t="str">
        <x:v>Jsoup_51</x:v>
      </x:c>
      <x:c r="E472" s="32" t="n">
        <x:v>0.9677</x:v>
      </x:c>
      <x:c r="F472" s="32" t="n">
        <x:v>0.8226</x:v>
      </x:c>
      <x:c r="G472" s="32" t="n">
        <x:v>0.8011</x:v>
      </x:c>
      <x:c r="H472" s="32" t="n">
        <x:v>0.9194</x:v>
      </x:c>
      <x:c r="I472" s="40" t="n">
        <x:v>2</x:v>
      </x:c>
      <x:c r="J472" s="40" t="n">
        <x:v>2</x:v>
      </x:c>
      <x:c r="K472" s="40" t="n">
        <x:v>2</x:v>
      </x:c>
      <x:c r="L472" s="40" t="n">
        <x:v>1</x:v>
      </x:c>
    </x:row>
    <x:row r="473" ht="23" customHeight="1">
      <x:c r="B473" s="17" t="str">
        <x:v>All rounds</x:v>
      </x:c>
      <x:c r="C473" s="17" t="str">
        <x:v>condition</x:v>
      </x:c>
      <x:c r="D473" s="17" t="str">
        <x:v>Jsoup_53</x:v>
      </x:c>
      <x:c r="E473" s="32" t="n">
        <x:v>0.9722</x:v>
      </x:c>
      <x:c r="F473" s="32" t="n">
        <x:v>0.8565</x:v>
      </x:c>
      <x:c r="G473" s="32" t="n">
        <x:v>0.8148000000000001</x:v>
      </x:c>
      <x:c r="H473" s="32" t="n">
        <x:v>0.9444</x:v>
      </x:c>
      <x:c r="I473" s="40" t="n">
        <x:v>2</x:v>
      </x:c>
      <x:c r="J473" s="40" t="n">
        <x:v>2</x:v>
      </x:c>
      <x:c r="K473" s="40" t="n">
        <x:v>2</x:v>
      </x:c>
      <x:c r="L473" s="40" t="n">
        <x:v>1</x:v>
      </x:c>
    </x:row>
    <x:row r="474" ht="23" customHeight="1">
      <x:c r="B474" s="17" t="str">
        <x:v>All rounds</x:v>
      </x:c>
      <x:c r="C474" s="17" t="str">
        <x:v>condition</x:v>
      </x:c>
      <x:c r="D474" s="17" t="str">
        <x:v>Jsoup_57</x:v>
      </x:c>
      <x:c r="E474" s="32" t="n">
        <x:v>0.9473999999999999</x:v>
      </x:c>
      <x:c r="F474" s="32" t="n">
        <x:v>0.8487</x:v>
      </x:c>
      <x:c r="G474" s="32" t="n">
        <x:v>0.9342</x:v>
      </x:c>
      <x:c r="H474" s="32" t="n">
        <x:v>0.9868000000000001</x:v>
      </x:c>
      <x:c r="I474" s="40" t="n">
        <x:v>2</x:v>
      </x:c>
      <x:c r="J474" s="40" t="n">
        <x:v>2</x:v>
      </x:c>
      <x:c r="K474" s="40" t="n">
        <x:v>2</x:v>
      </x:c>
      <x:c r="L474" s="40" t="n">
        <x:v>1</x:v>
      </x:c>
    </x:row>
    <x:row r="475" ht="23" customHeight="1">
      <x:c r="B475" s="17" t="str">
        <x:v>All rounds</x:v>
      </x:c>
      <x:c r="C475" s="17" t="str">
        <x:v>condition</x:v>
      </x:c>
      <x:c r="D475" s="17" t="str">
        <x:v>Jsoup_58</x:v>
      </x:c>
      <x:c r="E475" s="32" t="n">
        <x:v>0.5938</x:v>
      </x:c>
      <x:c r="F475" s="32" t="n">
        <x:v>0.2188</x:v>
      </x:c>
      <x:c r="G475" s="32" t="n">
        <x:v>1</x:v>
      </x:c>
      <x:c r="H475" s="32" t="n">
        <x:v>1</x:v>
      </x:c>
      <x:c r="I475" s="40" t="n">
        <x:v>2</x:v>
      </x:c>
      <x:c r="J475" s="40" t="n">
        <x:v>2</x:v>
      </x:c>
      <x:c r="K475" s="40" t="n">
        <x:v>2</x:v>
      </x:c>
      <x:c r="L475" s="40" t="n">
        <x:v>1</x:v>
      </x:c>
    </x:row>
    <x:row r="476" ht="23" customHeight="1">
      <x:c r="B476" s="17" t="str">
        <x:v>All rounds</x:v>
      </x:c>
      <x:c r="C476" s="17" t="str">
        <x:v>condition</x:v>
      </x:c>
      <x:c r="D476" s="17" t="str">
        <x:v>Jsoup_59</x:v>
      </x:c>
      <x:c r="E476" s="32" t="n">
        <x:v>1</x:v>
      </x:c>
      <x:c r="F476" s="32" t="n">
        <x:v>0.9659</x:v>
      </x:c>
      <x:c r="G476" s="32" t="n">
        <x:v>0.9318000000000001</x:v>
      </x:c>
      <x:c r="H476" s="32" t="n">
        <x:v>1</x:v>
      </x:c>
      <x:c r="I476" s="40" t="n">
        <x:v>2</x:v>
      </x:c>
      <x:c r="J476" s="40" t="n">
        <x:v>2</x:v>
      </x:c>
      <x:c r="K476" s="40" t="n">
        <x:v>1</x:v>
      </x:c>
      <x:c r="L476" s="40" t="n">
        <x:v>1</x:v>
      </x:c>
    </x:row>
    <x:row r="477" ht="23" customHeight="1">
      <x:c r="B477" s="17" t="str">
        <x:v>All rounds</x:v>
      </x:c>
      <x:c r="C477" s="17" t="str">
        <x:v>condition</x:v>
      </x:c>
      <x:c r="D477" s="17" t="str">
        <x:v>Jsoup_60</x:v>
      </x:c>
      <x:c r="E477" s="32" t="n">
        <x:v>0.8759999999999999</x:v>
      </x:c>
      <x:c r="F477" s="32" t="n">
        <x:v>0.53295</x:v>
      </x:c>
      <x:c r="G477" s="32" t="n">
        <x:v>0.7054</x:v>
      </x:c>
      <x:c r="H477" s="32" t="n">
        <x:v>0.9729000000000001</x:v>
      </x:c>
      <x:c r="I477" s="40" t="n">
        <x:v>2</x:v>
      </x:c>
      <x:c r="J477" s="40" t="n">
        <x:v>2</x:v>
      </x:c>
      <x:c r="K477" s="40" t="n">
        <x:v>1</x:v>
      </x:c>
      <x:c r="L477" s="40" t="n">
        <x:v>1</x:v>
      </x:c>
    </x:row>
    <x:row r="478" ht="23" customHeight="1">
      <x:c r="B478" s="17" t="str">
        <x:v>All rounds</x:v>
      </x:c>
      <x:c r="C478" s="17" t="str">
        <x:v>condition</x:v>
      </x:c>
      <x:c r="D478" s="17" t="str">
        <x:v>Jsoup_69</x:v>
      </x:c>
      <x:c r="E478" s="32" t="n">
        <x:v>0.3214</x:v>
      </x:c>
      <x:c r="F478" s="32" t="n">
        <x:v>0</x:v>
      </x:c>
      <x:c r="G478" s="32" t="n">
        <x:v>0.8571</x:v>
      </x:c>
      <x:c r="H478" s="32" t="n">
        <x:v>1</x:v>
      </x:c>
      <x:c r="I478" s="40" t="n">
        <x:v>2</x:v>
      </x:c>
      <x:c r="J478" s="40" t="n">
        <x:v>2</x:v>
      </x:c>
      <x:c r="K478" s="40" t="n">
        <x:v>2</x:v>
      </x:c>
      <x:c r="L478" s="40" t="n">
        <x:v>1</x:v>
      </x:c>
    </x:row>
    <x:row r="479" ht="23" customHeight="1">
      <x:c r="B479" s="17" t="str">
        <x:v>All rounds</x:v>
      </x:c>
      <x:c r="C479" s="17" t="str">
        <x:v>condition</x:v>
      </x:c>
      <x:c r="D479" s="17" t="str">
        <x:v>Jsoup_72</x:v>
      </x:c>
      <x:c r="E479" s="32" t="n">
        <x:v>0.9495</x:v>
      </x:c>
      <x:c r="F479" s="32" t="n">
        <x:v>0.8106</x:v>
      </x:c>
      <x:c r="G479" s="32" t="n">
        <x:v>0.8029999999999999</x:v>
      </x:c>
      <x:c r="H479" s="32" t="n">
        <x:v>0.899</x:v>
      </x:c>
      <x:c r="I479" s="40" t="n">
        <x:v>2</x:v>
      </x:c>
      <x:c r="J479" s="40" t="n">
        <x:v>2</x:v>
      </x:c>
      <x:c r="K479" s="40" t="n">
        <x:v>2</x:v>
      </x:c>
      <x:c r="L479" s="40" t="n">
        <x:v>1</x:v>
      </x:c>
    </x:row>
    <x:row r="480" ht="23" customHeight="1">
      <x:c r="B480" s="17" t="str">
        <x:v>All rounds</x:v>
      </x:c>
      <x:c r="C480" s="17" t="str">
        <x:v>condition</x:v>
      </x:c>
      <x:c r="D480" s="17" t="str">
        <x:v>Jsoup_74</x:v>
      </x:c>
      <x:c r="E480" s="32" t="n">
        <x:v>0.9865</x:v>
      </x:c>
      <x:c r="F480" s="32" t="n">
        <x:v>0.7703</x:v>
      </x:c>
      <x:c r="G480" s="32" t="n">
        <x:v>0.9054000000000001</x:v>
      </x:c>
      <x:c r="H480" s="32" t="n">
        <x:v>0.9865</x:v>
      </x:c>
      <x:c r="I480" s="40" t="n">
        <x:v>2</x:v>
      </x:c>
      <x:c r="J480" s="40" t="n">
        <x:v>2</x:v>
      </x:c>
      <x:c r="K480" s="40" t="n">
        <x:v>2</x:v>
      </x:c>
      <x:c r="L480" s="40" t="n">
        <x:v>1</x:v>
      </x:c>
    </x:row>
    <x:row r="481" ht="23" customHeight="1">
      <x:c r="B481" s="17" t="str">
        <x:v>All rounds</x:v>
      </x:c>
      <x:c r="C481" s="17" t="str">
        <x:v>condition</x:v>
      </x:c>
      <x:c r="D481" s="17" t="str">
        <x:v>Jsoup_75</x:v>
      </x:c>
      <x:c r="E481" s="32" t="n">
        <x:v>0.8690000000000001</x:v>
      </x:c>
      <x:c r="F481" s="32" t="n">
        <x:v>0.8214</x:v>
      </x:c>
      <x:c r="G481" s="32" t="n">
        <x:v>0.8929</x:v>
      </x:c>
      <x:c r="H481" s="32" t="n">
        <x:v>0.9523999999999999</x:v>
      </x:c>
      <x:c r="I481" s="40" t="n">
        <x:v>2</x:v>
      </x:c>
      <x:c r="J481" s="40" t="n">
        <x:v>2</x:v>
      </x:c>
      <x:c r="K481" s="40" t="n">
        <x:v>2</x:v>
      </x:c>
      <x:c r="L481" s="40" t="n">
        <x:v>1</x:v>
      </x:c>
    </x:row>
    <x:row r="482" ht="23" customHeight="1">
      <x:c r="B482" s="17" t="str">
        <x:v>All rounds</x:v>
      </x:c>
      <x:c r="C482" s="17" t="str">
        <x:v>condition</x:v>
      </x:c>
      <x:c r="D482" s="17" t="str">
        <x:v>Jsoup_78</x:v>
      </x:c>
      <x:c r="E482" s="32" t="n">
        <x:v>0.4205</x:v>
      </x:c>
      <x:c r="F482" s="32" t="n">
        <x:v>0.0795</x:v>
      </x:c>
      <x:c r="G482" s="32" t="n">
        <x:v>0.4318</x:v>
      </x:c>
      <x:c r="H482" s="32" t="n">
        <x:v>0.8523000000000001</x:v>
      </x:c>
      <x:c r="I482" s="40" t="n">
        <x:v>2</x:v>
      </x:c>
      <x:c r="J482" s="40" t="n">
        <x:v>2</x:v>
      </x:c>
      <x:c r="K482" s="40" t="n">
        <x:v>2</x:v>
      </x:c>
      <x:c r="L482" s="40" t="n">
        <x:v>1</x:v>
      </x:c>
    </x:row>
    <x:row r="483" ht="23" customHeight="1">
      <x:c r="B483" s="17" t="str">
        <x:v>All rounds</x:v>
      </x:c>
      <x:c r="C483" s="17" t="str">
        <x:v>condition</x:v>
      </x:c>
      <x:c r="D483" s="17" t="str">
        <x:v>Jsoup_81</x:v>
      </x:c>
      <x:c r="E483" s="32" t="n">
        <x:v>0.47869999999999996</x:v>
      </x:c>
      <x:c r="F483" s="32" t="n">
        <x:v>0.0745</x:v>
      </x:c>
      <x:c r="G483" s="32" t="n">
        <x:v>0.5745</x:v>
      </x:c>
      <x:c r="H483" s="32" t="n">
        <x:v>0.7553</x:v>
      </x:c>
      <x:c r="I483" s="40" t="n">
        <x:v>2</x:v>
      </x:c>
      <x:c r="J483" s="40" t="n">
        <x:v>2</x:v>
      </x:c>
      <x:c r="K483" s="40" t="n">
        <x:v>1</x:v>
      </x:c>
      <x:c r="L483" s="40" t="n">
        <x:v>1</x:v>
      </x:c>
    </x:row>
    <x:row r="484" ht="23" customHeight="1">
      <x:c r="B484" s="17" t="str">
        <x:v>All rounds</x:v>
      </x:c>
      <x:c r="C484" s="17" t="str">
        <x:v>condition</x:v>
      </x:c>
      <x:c r="D484" s="17" t="str">
        <x:v>Jsoup_82</x:v>
      </x:c>
      <x:c r="E484" s="32" t="n">
        <x:v>0.2812</x:v>
      </x:c>
      <x:c r="F484" s="32" t="n">
        <x:v>0.0729</x:v>
      </x:c>
      <x:c r="G484" s="32" t="n">
        <x:v>0.4583</x:v>
      </x:c>
      <x:c r="H484" s="32" t="n">
        <x:v>0.8125</x:v>
      </x:c>
      <x:c r="I484" s="40" t="n">
        <x:v>2</x:v>
      </x:c>
      <x:c r="J484" s="40" t="n">
        <x:v>2</x:v>
      </x:c>
      <x:c r="K484" s="40" t="n">
        <x:v>2</x:v>
      </x:c>
      <x:c r="L484" s="40" t="n">
        <x:v>1</x:v>
      </x:c>
    </x:row>
    <x:row r="485" ht="23" customHeight="1">
      <x:c r="B485" s="17" t="str">
        <x:v>All rounds</x:v>
      </x:c>
      <x:c r="C485" s="17" t="str">
        <x:v>condition</x:v>
      </x:c>
      <x:c r="D485" s="17" t="str">
        <x:v>Jsoup_84</x:v>
      </x:c>
      <x:c r="E485" s="32" t="n">
        <x:v>0.8929</x:v>
      </x:c>
      <x:c r="F485" s="32" t="n">
        <x:v>0.17859999999999998</x:v>
      </x:c>
      <x:c r="G485" s="32" t="n">
        <x:v>0.8929</x:v>
      </x:c>
      <x:c r="H485" s="32" t="n">
        <x:v>1</x:v>
      </x:c>
      <x:c r="I485" s="40" t="n">
        <x:v>2</x:v>
      </x:c>
      <x:c r="J485" s="40" t="n">
        <x:v>2</x:v>
      </x:c>
      <x:c r="K485" s="40" t="n">
        <x:v>1</x:v>
      </x:c>
      <x:c r="L485" s="40" t="n">
        <x:v>1</x:v>
      </x:c>
    </x:row>
    <x:row r="486" ht="23" customHeight="1">
      <x:c r="B486" s="17" t="str">
        <x:v>All rounds</x:v>
      </x:c>
      <x:c r="C486" s="17" t="str">
        <x:v>condition</x:v>
      </x:c>
      <x:c r="D486" s="17" t="str">
        <x:v>Jsoup_85</x:v>
      </x:c>
      <x:c r="E486" s="32" t="n">
        <x:v>0.9</x:v>
      </x:c>
      <x:c r="F486" s="32" t="n">
        <x:v>0.44</x:v>
      </x:c>
      <x:c r="G486" s="32" t="n">
        <x:v>0.74</x:v>
      </x:c>
      <x:c r="H486" s="32" t="n">
        <x:v>0.58</x:v>
      </x:c>
      <x:c r="I486" s="40" t="n">
        <x:v>2</x:v>
      </x:c>
      <x:c r="J486" s="40" t="n">
        <x:v>2</x:v>
      </x:c>
      <x:c r="K486" s="40" t="n">
        <x:v>2</x:v>
      </x:c>
      <x:c r="L486" s="40" t="n">
        <x:v>1</x:v>
      </x:c>
    </x:row>
    <x:row r="487" ht="23" customHeight="1">
      <x:c r="B487" s="17" t="str">
        <x:v>All rounds</x:v>
      </x:c>
      <x:c r="C487" s="17" t="str">
        <x:v>condition</x:v>
      </x:c>
      <x:c r="D487" s="17" t="str">
        <x:v>Jsoup_88</x:v>
      </x:c>
      <x:c r="E487" s="32" t="n">
        <x:v>0.9</x:v>
      </x:c>
      <x:c r="F487" s="32" t="n">
        <x:v>0.44</x:v>
      </x:c>
      <x:c r="G487" s="32" t="n">
        <x:v>0.72</x:v>
      </x:c>
      <x:c r="H487" s="32" t="n">
        <x:v>0.58</x:v>
      </x:c>
      <x:c r="I487" s="40" t="n">
        <x:v>2</x:v>
      </x:c>
      <x:c r="J487" s="40" t="n">
        <x:v>2</x:v>
      </x:c>
      <x:c r="K487" s="40" t="n">
        <x:v>2</x:v>
      </x:c>
      <x:c r="L487" s="40" t="n">
        <x:v>1</x:v>
      </x:c>
    </x:row>
    <x:row r="488" ht="23" customHeight="1">
      <x:c r="B488" s="17" t="str">
        <x:v>All rounds</x:v>
      </x:c>
      <x:c r="C488" s="17" t="str">
        <x:v>condition</x:v>
      </x:c>
      <x:c r="D488" s="17" t="str">
        <x:v>Jsoup_89</x:v>
      </x:c>
      <x:c r="E488" s="32" t="n">
        <x:v>0.9</x:v>
      </x:c>
      <x:c r="F488" s="32" t="n">
        <x:v>0.44</x:v>
      </x:c>
      <x:c r="G488" s="32" t="n">
        <x:v>0.76</x:v>
      </x:c>
      <x:c r="H488" s="32" t="n">
        <x:v>0.58</x:v>
      </x:c>
      <x:c r="I488" s="40" t="n">
        <x:v>2</x:v>
      </x:c>
      <x:c r="J488" s="40" t="n">
        <x:v>2</x:v>
      </x:c>
      <x:c r="K488" s="40" t="n">
        <x:v>2</x:v>
      </x:c>
      <x:c r="L488" s="40" t="n">
        <x:v>1</x:v>
      </x:c>
    </x:row>
    <x:row r="489" ht="23" customHeight="1">
      <x:c r="B489" s="17" t="str">
        <x:v>All rounds</x:v>
      </x:c>
      <x:c r="C489" s="17" t="str">
        <x:v>condition</x:v>
      </x:c>
      <x:c r="D489" s="17" t="str">
        <x:v>Jsoup_91</x:v>
      </x:c>
      <x:c r="E489" s="32" t="n">
        <x:v>0.9632</x:v>
      </x:c>
      <x:c r="F489" s="32" t="n">
        <x:v>0.17105</x:v>
      </x:c>
      <x:c r="G489" s="32" t="n">
        <x:v>0.8053</x:v>
      </x:c>
      <x:c r="H489" s="32" t="n">
        <x:v>0.9316</x:v>
      </x:c>
      <x:c r="I489" s="40" t="n">
        <x:v>2</x:v>
      </x:c>
      <x:c r="J489" s="40" t="n">
        <x:v>2</x:v>
      </x:c>
      <x:c r="K489" s="40" t="n">
        <x:v>1</x:v>
      </x:c>
      <x:c r="L489" s="40" t="n">
        <x:v>1</x:v>
      </x:c>
    </x:row>
    <x:row r="490" ht="23" customHeight="1">
      <x:c r="B490" s="17" t="str">
        <x:v>All rounds</x:v>
      </x:c>
      <x:c r="C490" s="17" t="str">
        <x:v>condition</x:v>
      </x:c>
      <x:c r="D490" s="17" t="str">
        <x:v>Jsoup_93</x:v>
      </x:c>
      <x:c r="E490" s="32" t="n">
        <x:v>0.35710000000000003</x:v>
      </x:c>
      <x:c r="F490" s="32" t="n">
        <x:v>0</x:v>
      </x:c>
      <x:c r="G490" s="32" t="n">
        <x:v>1</x:v>
      </x:c>
      <x:c r="H490" s="32" t="n">
        <x:v>1</x:v>
      </x:c>
      <x:c r="I490" s="40" t="n">
        <x:v>2</x:v>
      </x:c>
      <x:c r="J490" s="40" t="n">
        <x:v>2</x:v>
      </x:c>
      <x:c r="K490" s="40" t="n">
        <x:v>1</x:v>
      </x:c>
      <x:c r="L490" s="40" t="n">
        <x:v>1</x:v>
      </x:c>
    </x:row>
    <x:row r="491" ht="23" customHeight="1">
      <x:c r="B491" s="17" t="str">
        <x:v>All rounds</x:v>
      </x:c>
      <x:c r="C491" s="17" t="str">
        <x:v>condition</x:v>
      </x:c>
      <x:c r="D491" s="17" t="str">
        <x:v>Lang_1</x:v>
      </x:c>
      <x:c r="E491" s="32" t="n">
        <x:v>0.8314</x:v>
      </x:c>
      <x:c r="F491" s="32" t="n">
        <x:v>0.41864999999999997</x:v>
      </x:c>
      <x:c r="G491" s="32" t="n">
        <x:v>0.6065</x:v>
      </x:c>
      <x:c r="H491" s="32" t="n">
        <x:v>0.8698</x:v>
      </x:c>
      <x:c r="I491" s="40" t="n">
        <x:v>2</x:v>
      </x:c>
      <x:c r="J491" s="40" t="n">
        <x:v>2</x:v>
      </x:c>
      <x:c r="K491" s="40" t="n">
        <x:v>1</x:v>
      </x:c>
      <x:c r="L491" s="40" t="n">
        <x:v>1</x:v>
      </x:c>
    </x:row>
    <x:row r="492" ht="23" customHeight="1">
      <x:c r="B492" s="17" t="str">
        <x:v>All rounds</x:v>
      </x:c>
      <x:c r="C492" s="17" t="str">
        <x:v>condition</x:v>
      </x:c>
      <x:c r="D492" s="17" t="str">
        <x:v>Lang_13</x:v>
      </x:c>
      <x:c r="E492" s="32" t="n">
        <x:v>0.9286</x:v>
      </x:c>
      <x:c r="F492" s="32" t="n">
        <x:v>0.8571</x:v>
      </x:c>
      <x:c r="G492" s="32" t="n">
        <x:v>0.8571</x:v>
      </x:c>
      <x:c r="H492" s="32" t="n">
        <x:v>0.9286</x:v>
      </x:c>
      <x:c r="I492" s="40" t="n">
        <x:v>2</x:v>
      </x:c>
      <x:c r="J492" s="40" t="n">
        <x:v>2</x:v>
      </x:c>
      <x:c r="K492" s="40" t="n">
        <x:v>2</x:v>
      </x:c>
      <x:c r="L492" s="40" t="n">
        <x:v>1</x:v>
      </x:c>
    </x:row>
    <x:row r="493" ht="23" customHeight="1">
      <x:c r="B493" s="17" t="str">
        <x:v>All rounds</x:v>
      </x:c>
      <x:c r="C493" s="17" t="str">
        <x:v>condition</x:v>
      </x:c>
      <x:c r="D493" s="17" t="str">
        <x:v>Lang_14</x:v>
      </x:c>
      <x:c r="E493" s="32" t="n">
        <x:v>0.9062</x:v>
      </x:c>
      <x:c r="F493" s="32" t="n">
        <x:v>0.8303999999999999</x:v>
      </x:c>
      <x:c r="G493" s="32" t="n">
        <x:v>0.7064</x:v>
      </x:c>
      <x:c r="H493" s="32" t="n">
        <x:v>0.7914</x:v>
      </x:c>
      <x:c r="I493" s="40" t="n">
        <x:v>2</x:v>
      </x:c>
      <x:c r="J493" s="40" t="n">
        <x:v>2</x:v>
      </x:c>
      <x:c r="K493" s="40" t="n">
        <x:v>1</x:v>
      </x:c>
      <x:c r="L493" s="40" t="n">
        <x:v>1</x:v>
      </x:c>
    </x:row>
    <x:row r="494" ht="23" customHeight="1">
      <x:c r="B494" s="17" t="str">
        <x:v>All rounds</x:v>
      </x:c>
      <x:c r="C494" s="17" t="str">
        <x:v>condition</x:v>
      </x:c>
      <x:c r="D494" s="17" t="str">
        <x:v>Lang_15</x:v>
      </x:c>
      <x:c r="E494" s="32" t="n">
        <x:v>0.3345</x:v>
      </x:c>
      <x:c r="F494" s="32" t="n">
        <x:v>0.1338</x:v>
      </x:c>
      <x:c r="G494" s="32" t="n">
        <x:v>0.507</x:v>
      </x:c>
      <x:c r="H494" s="32" t="n">
        <x:v>0.8415</x:v>
      </x:c>
      <x:c r="I494" s="40" t="n">
        <x:v>2</x:v>
      </x:c>
      <x:c r="J494" s="40" t="n">
        <x:v>2</x:v>
      </x:c>
      <x:c r="K494" s="40" t="n">
        <x:v>1</x:v>
      </x:c>
      <x:c r="L494" s="40" t="n">
        <x:v>1</x:v>
      </x:c>
    </x:row>
    <x:row r="495" ht="23" customHeight="1">
      <x:c r="B495" s="17" t="str">
        <x:v>All rounds</x:v>
      </x:c>
      <x:c r="C495" s="17" t="str">
        <x:v>condition</x:v>
      </x:c>
      <x:c r="D495" s="17" t="str">
        <x:v>Lang_19</x:v>
      </x:c>
      <x:c r="E495" s="32" t="n">
        <x:v>0.7222</x:v>
      </x:c>
      <x:c r="F495" s="32" t="n">
        <x:v>0.0556</x:v>
      </x:c>
      <x:c r="G495" s="32" t="n">
        <x:v>0.9444</x:v>
      </x:c>
      <x:c r="H495" s="32" t="n">
        <x:v>1</x:v>
      </x:c>
      <x:c r="I495" s="40" t="n">
        <x:v>2</x:v>
      </x:c>
      <x:c r="J495" s="40" t="n">
        <x:v>2</x:v>
      </x:c>
      <x:c r="K495" s="40" t="n">
        <x:v>2</x:v>
      </x:c>
      <x:c r="L495" s="40" t="n">
        <x:v>1</x:v>
      </x:c>
    </x:row>
    <x:row r="496" ht="23" customHeight="1">
      <x:c r="B496" s="17" t="str">
        <x:v>All rounds</x:v>
      </x:c>
      <x:c r="C496" s="17" t="str">
        <x:v>condition</x:v>
      </x:c>
      <x:c r="D496" s="17" t="str">
        <x:v>Lang_20</x:v>
      </x:c>
      <x:c r="E496" s="32" t="n">
        <x:v>0.9198999999999999</x:v>
      </x:c>
      <x:c r="F496" s="32" t="n">
        <x:v>0.8281000000000001</x:v>
      </x:c>
      <x:c r="G496" s="32" t="n">
        <x:v>0.34729999999999994</x:v>
      </x:c>
      <x:c r="H496" s="32" t="n">
        <x:v>0.8686</x:v>
      </x:c>
      <x:c r="I496" s="40" t="n">
        <x:v>2</x:v>
      </x:c>
      <x:c r="J496" s="40" t="n">
        <x:v>2</x:v>
      </x:c>
      <x:c r="K496" s="40" t="n">
        <x:v>1</x:v>
      </x:c>
      <x:c r="L496" s="40" t="n">
        <x:v>1</x:v>
      </x:c>
    </x:row>
    <x:row r="497" ht="23" customHeight="1">
      <x:c r="B497" s="17" t="str">
        <x:v>All rounds</x:v>
      </x:c>
      <x:c r="C497" s="17" t="str">
        <x:v>condition</x:v>
      </x:c>
      <x:c r="D497" s="17" t="str">
        <x:v>Lang_23</x:v>
      </x:c>
      <x:c r="E497" s="32" t="n">
        <x:v>0.2929</x:v>
      </x:c>
      <x:c r="F497" s="32" t="n">
        <x:v>0.0101</x:v>
      </x:c>
      <x:c r="G497" s="32" t="n">
        <x:v>0.303</x:v>
      </x:c>
      <x:c r="H497" s="32" t="n">
        <x:v>0.7979999999999999</x:v>
      </x:c>
      <x:c r="I497" s="40" t="n">
        <x:v>2</x:v>
      </x:c>
      <x:c r="J497" s="40" t="n">
        <x:v>2</x:v>
      </x:c>
      <x:c r="K497" s="40" t="n">
        <x:v>2</x:v>
      </x:c>
      <x:c r="L497" s="40" t="n">
        <x:v>1</x:v>
      </x:c>
    </x:row>
    <x:row r="498" ht="23" customHeight="1">
      <x:c r="B498" s="17" t="str">
        <x:v>All rounds</x:v>
      </x:c>
      <x:c r="C498" s="17" t="str">
        <x:v>condition</x:v>
      </x:c>
      <x:c r="D498" s="17" t="str">
        <x:v>Lang_24</x:v>
      </x:c>
      <x:c r="E498" s="32" t="n">
        <x:v>0.8258</x:v>
      </x:c>
      <x:c r="F498" s="32" t="n">
        <x:v>0.48595</x:v>
      </x:c>
      <x:c r="G498" s="32" t="n">
        <x:v>0.4522</x:v>
      </x:c>
      <x:c r="H498" s="32" t="n">
        <x:v>0.9298000000000001</x:v>
      </x:c>
      <x:c r="I498" s="40" t="n">
        <x:v>2</x:v>
      </x:c>
      <x:c r="J498" s="40" t="n">
        <x:v>2</x:v>
      </x:c>
      <x:c r="K498" s="40" t="n">
        <x:v>2</x:v>
      </x:c>
      <x:c r="L498" s="40" t="n">
        <x:v>1</x:v>
      </x:c>
    </x:row>
    <x:row r="499" ht="23" customHeight="1">
      <x:c r="B499" s="17" t="str">
        <x:v>All rounds</x:v>
      </x:c>
      <x:c r="C499" s="17" t="str">
        <x:v>condition</x:v>
      </x:c>
      <x:c r="D499" s="17" t="str">
        <x:v>Lang_27</x:v>
      </x:c>
      <x:c r="E499" s="32" t="n">
        <x:v>0.8466</x:v>
      </x:c>
      <x:c r="F499" s="32" t="n">
        <x:v>0.4915</x:v>
      </x:c>
      <x:c r="G499" s="32" t="n">
        <x:v>0.5597</x:v>
      </x:c>
      <x:c r="H499" s="32" t="n">
        <x:v>0.9062</x:v>
      </x:c>
      <x:c r="I499" s="40" t="n">
        <x:v>2</x:v>
      </x:c>
      <x:c r="J499" s="40" t="n">
        <x:v>2</x:v>
      </x:c>
      <x:c r="K499" s="40" t="n">
        <x:v>2</x:v>
      </x:c>
      <x:c r="L499" s="40" t="n">
        <x:v>1</x:v>
      </x:c>
    </x:row>
    <x:row r="500" ht="23" customHeight="1">
      <x:c r="B500" s="17" t="str">
        <x:v>All rounds</x:v>
      </x:c>
      <x:c r="C500" s="17" t="str">
        <x:v>condition</x:v>
      </x:c>
      <x:c r="D500" s="17" t="str">
        <x:v>Lang_28</x:v>
      </x:c>
      <x:c r="E500" s="32" t="n">
        <x:v>0.2143</x:v>
      </x:c>
      <x:c r="F500" s="32" t="n">
        <x:v>0.07139999999999999</x:v>
      </x:c>
      <x:c r="G500" s="32" t="n">
        <x:v>0.8571</x:v>
      </x:c>
      <x:c r="H500" s="32" t="n">
        <x:v>1</x:v>
      </x:c>
      <x:c r="I500" s="40" t="n">
        <x:v>2</x:v>
      </x:c>
      <x:c r="J500" s="40" t="n">
        <x:v>2</x:v>
      </x:c>
      <x:c r="K500" s="40" t="n">
        <x:v>2</x:v>
      </x:c>
      <x:c r="L500" s="40" t="n">
        <x:v>1</x:v>
      </x:c>
    </x:row>
    <x:row r="501" ht="23" customHeight="1">
      <x:c r="B501" s="17" t="str">
        <x:v>All rounds</x:v>
      </x:c>
      <x:c r="C501" s="17" t="str">
        <x:v>condition</x:v>
      </x:c>
      <x:c r="D501" s="17" t="str">
        <x:v>Lang_3</x:v>
      </x:c>
      <x:c r="E501" s="32" t="n">
        <x:v>0.8262999999999999</x:v>
      </x:c>
      <x:c r="F501" s="32" t="n">
        <x:v>0.42364999999999997</x:v>
      </x:c>
      <x:c r="G501" s="32" t="n">
        <x:v>0.5268999999999999</x:v>
      </x:c>
      <x:c r="H501" s="32" t="n">
        <x:v>0.8503000000000001</x:v>
      </x:c>
      <x:c r="I501" s="40" t="n">
        <x:v>2</x:v>
      </x:c>
      <x:c r="J501" s="40" t="n">
        <x:v>2</x:v>
      </x:c>
      <x:c r="K501" s="40" t="n">
        <x:v>1</x:v>
      </x:c>
      <x:c r="L501" s="40" t="n">
        <x:v>1</x:v>
      </x:c>
    </x:row>
    <x:row r="502" ht="23" customHeight="1">
      <x:c r="B502" s="17" t="str">
        <x:v>All rounds</x:v>
      </x:c>
      <x:c r="C502" s="17" t="str">
        <x:v>condition</x:v>
      </x:c>
      <x:c r="D502" s="17" t="str">
        <x:v>Lang_32</x:v>
      </x:c>
      <x:c r="E502" s="32" t="n">
        <x:v>0.8256</x:v>
      </x:c>
      <x:c r="F502" s="32" t="n">
        <x:v>0.9244499999999999</x:v>
      </x:c>
      <x:c r="G502" s="32" t="n">
        <x:v>0.7907</x:v>
      </x:c>
      <x:c r="H502" s="32" t="n">
        <x:v>0.24420000000000003</x:v>
      </x:c>
      <x:c r="I502" s="40" t="n">
        <x:v>2</x:v>
      </x:c>
      <x:c r="J502" s="40" t="n">
        <x:v>2</x:v>
      </x:c>
      <x:c r="K502" s="40" t="n">
        <x:v>1</x:v>
      </x:c>
      <x:c r="L502" s="40" t="n">
        <x:v>1</x:v>
      </x:c>
    </x:row>
    <x:row r="503" ht="23" customHeight="1">
      <x:c r="B503" s="17" t="str">
        <x:v>All rounds</x:v>
      </x:c>
      <x:c r="C503" s="17" t="str">
        <x:v>condition</x:v>
      </x:c>
      <x:c r="D503" s="17" t="str">
        <x:v>Lang_34</x:v>
      </x:c>
      <x:c r="E503" s="32" t="n">
        <x:v>0</x:v>
      </x:c>
      <x:c r="F503" s="32" t="n">
        <x:v>0.48379999999999995</x:v>
      </x:c>
      <x:c r="G503" s="32" t="n">
        <x:v>0.7222</x:v>
      </x:c>
      <x:c r="H503" s="32" t="n">
        <x:v>0.22690000000000002</x:v>
      </x:c>
      <x:c r="I503" s="40" t="n">
        <x:v>2</x:v>
      </x:c>
      <x:c r="J503" s="40" t="n">
        <x:v>2</x:v>
      </x:c>
      <x:c r="K503" s="40" t="n">
        <x:v>1</x:v>
      </x:c>
      <x:c r="L503" s="40" t="n">
        <x:v>1</x:v>
      </x:c>
    </x:row>
    <x:row r="504" ht="23" customHeight="1">
      <x:c r="B504" s="17" t="str">
        <x:v>All rounds</x:v>
      </x:c>
      <x:c r="C504" s="17" t="str">
        <x:v>condition</x:v>
      </x:c>
      <x:c r="D504" s="17" t="str">
        <x:v>Lang_35</x:v>
      </x:c>
      <x:c r="E504" s="32" t="n">
        <x:v>0.9578</x:v>
      </x:c>
      <x:c r="F504" s="32" t="n">
        <x:v>0.92245</x:v>
      </x:c>
      <x:c r="G504" s="32" t="n">
        <x:v>0.1365</x:v>
      </x:c>
      <x:c r="H504" s="32" t="n">
        <x:v>0.0385</x:v>
      </x:c>
      <x:c r="I504" s="40" t="n">
        <x:v>2</x:v>
      </x:c>
      <x:c r="J504" s="40" t="n">
        <x:v>2</x:v>
      </x:c>
      <x:c r="K504" s="40" t="n">
        <x:v>1</x:v>
      </x:c>
      <x:c r="L504" s="40" t="n">
        <x:v>1</x:v>
      </x:c>
    </x:row>
    <x:row r="505" ht="23" customHeight="1">
      <x:c r="B505" s="17" t="str">
        <x:v>All rounds</x:v>
      </x:c>
      <x:c r="C505" s="17" t="str">
        <x:v>condition</x:v>
      </x:c>
      <x:c r="D505" s="17" t="str">
        <x:v>Lang_37</x:v>
      </x:c>
      <x:c r="E505" s="32" t="n">
        <x:v>0.9652</x:v>
      </x:c>
      <x:c r="F505" s="32" t="n">
        <x:v>0.93905</x:v>
      </x:c>
      <x:c r="G505" s="32" t="n">
        <x:v>0.1679</x:v>
      </x:c>
      <x:c r="H505" s="32" t="n">
        <x:v>0.038599999999999995</x:v>
      </x:c>
      <x:c r="I505" s="40" t="n">
        <x:v>2</x:v>
      </x:c>
      <x:c r="J505" s="40" t="n">
        <x:v>2</x:v>
      </x:c>
      <x:c r="K505" s="40" t="n">
        <x:v>1</x:v>
      </x:c>
      <x:c r="L505" s="40" t="n">
        <x:v>1</x:v>
      </x:c>
    </x:row>
    <x:row r="506" ht="23" customHeight="1">
      <x:c r="B506" s="17" t="str">
        <x:v>All rounds</x:v>
      </x:c>
      <x:c r="C506" s="17" t="str">
        <x:v>condition</x:v>
      </x:c>
      <x:c r="D506" s="17" t="str">
        <x:v>Lang_4</x:v>
      </x:c>
      <x:c r="E506" s="32" t="n">
        <x:v>1</x:v>
      </x:c>
      <x:c r="F506" s="32" t="n">
        <x:v>1</x:v>
      </x:c>
      <x:c r="G506" s="32" t="n">
        <x:v>1</x:v>
      </x:c>
      <x:c r="H506" s="32" t="n">
        <x:v>1</x:v>
      </x:c>
      <x:c r="I506" s="40" t="n">
        <x:v>2</x:v>
      </x:c>
      <x:c r="J506" s="40" t="n">
        <x:v>2</x:v>
      </x:c>
      <x:c r="K506" s="40" t="n">
        <x:v>2</x:v>
      </x:c>
      <x:c r="L506" s="40" t="n">
        <x:v>1</x:v>
      </x:c>
    </x:row>
    <x:row r="507" ht="23" customHeight="1">
      <x:c r="B507" s="17" t="str">
        <x:v>All rounds</x:v>
      </x:c>
      <x:c r="C507" s="17" t="str">
        <x:v>condition</x:v>
      </x:c>
      <x:c r="D507" s="17" t="str">
        <x:v>Lang_40</x:v>
      </x:c>
      <x:c r="E507" s="32" t="n">
        <x:v>0.9378</x:v>
      </x:c>
      <x:c r="F507" s="32" t="n">
        <x:v>0.7953999999999999</x:v>
      </x:c>
      <x:c r="G507" s="32" t="n">
        <x:v>0.2096</x:v>
      </x:c>
      <x:c r="H507" s="32" t="n">
        <x:v>0.0512</x:v>
      </x:c>
      <x:c r="I507" s="40" t="n">
        <x:v>2</x:v>
      </x:c>
      <x:c r="J507" s="40" t="n">
        <x:v>2</x:v>
      </x:c>
      <x:c r="K507" s="40" t="n">
        <x:v>1</x:v>
      </x:c>
      <x:c r="L507" s="40" t="n">
        <x:v>1</x:v>
      </x:c>
    </x:row>
    <x:row r="508" ht="23" customHeight="1">
      <x:c r="B508" s="17" t="str">
        <x:v>All rounds</x:v>
      </x:c>
      <x:c r="C508" s="17" t="str">
        <x:v>condition</x:v>
      </x:c>
      <x:c r="D508" s="17" t="str">
        <x:v>Lang_42</x:v>
      </x:c>
      <x:c r="E508" s="32" t="n">
        <x:v>0.8593999999999999</x:v>
      </x:c>
      <x:c r="F508" s="32" t="n">
        <x:v>0.5781000000000001</x:v>
      </x:c>
      <x:c r="G508" s="32" t="n">
        <x:v>0.5938</x:v>
      </x:c>
      <x:c r="H508" s="32" t="n">
        <x:v>0.3906</x:v>
      </x:c>
      <x:c r="I508" s="40" t="n">
        <x:v>2</x:v>
      </x:c>
      <x:c r="J508" s="40" t="n">
        <x:v>2</x:v>
      </x:c>
      <x:c r="K508" s="40" t="n">
        <x:v>1</x:v>
      </x:c>
      <x:c r="L508" s="40" t="n">
        <x:v>1</x:v>
      </x:c>
    </x:row>
    <x:row r="509" ht="23" customHeight="1">
      <x:c r="B509" s="17" t="str">
        <x:v>All rounds</x:v>
      </x:c>
      <x:c r="C509" s="17" t="str">
        <x:v>condition</x:v>
      </x:c>
      <x:c r="D509" s="17" t="str">
        <x:v>Lang_44</x:v>
      </x:c>
      <x:c r="E509" s="32" t="n">
        <x:v>0.7222</x:v>
      </x:c>
      <x:c r="F509" s="32" t="n">
        <x:v>0.2731</x:v>
      </x:c>
      <x:c r="G509" s="32" t="n">
        <x:v>0.43060000000000004</x:v>
      </x:c>
      <x:c r="H509" s="32" t="n">
        <x:v>0.287</x:v>
      </x:c>
      <x:c r="I509" s="40" t="n">
        <x:v>2</x:v>
      </x:c>
      <x:c r="J509" s="40" t="n">
        <x:v>2</x:v>
      </x:c>
      <x:c r="K509" s="40" t="n">
        <x:v>2</x:v>
      </x:c>
      <x:c r="L509" s="40" t="n">
        <x:v>1</x:v>
      </x:c>
    </x:row>
    <x:row r="510" ht="23" customHeight="1">
      <x:c r="B510" s="17" t="str">
        <x:v>All rounds</x:v>
      </x:c>
      <x:c r="C510" s="17" t="str">
        <x:v>condition</x:v>
      </x:c>
      <x:c r="D510" s="17" t="str">
        <x:v>Lang_49</x:v>
      </x:c>
      <x:c r="E510" s="32" t="n">
        <x:v>0.9185</x:v>
      </x:c>
      <x:c r="F510" s="32" t="n">
        <x:v>0.8288</x:v>
      </x:c>
      <x:c r="G510" s="32" t="n">
        <x:v>0.8043</x:v>
      </x:c>
      <x:c r="H510" s="32" t="n">
        <x:v>0.2772</x:v>
      </x:c>
      <x:c r="I510" s="40" t="n">
        <x:v>2</x:v>
      </x:c>
      <x:c r="J510" s="40" t="n">
        <x:v>2</x:v>
      </x:c>
      <x:c r="K510" s="40" t="n">
        <x:v>2</x:v>
      </x:c>
      <x:c r="L510" s="40" t="n">
        <x:v>1</x:v>
      </x:c>
    </x:row>
    <x:row r="511" ht="23" customHeight="1">
      <x:c r="B511" s="17" t="str">
        <x:v>All rounds</x:v>
      </x:c>
      <x:c r="C511" s="17" t="str">
        <x:v>condition</x:v>
      </x:c>
      <x:c r="D511" s="17" t="str">
        <x:v>Lang_5</x:v>
      </x:c>
      <x:c r="E511" s="32" t="n">
        <x:v>0.6607</x:v>
      </x:c>
      <x:c r="F511" s="32" t="n">
        <x:v>0.4286</x:v>
      </x:c>
      <x:c r="G511" s="32" t="n">
        <x:v>0.875</x:v>
      </x:c>
      <x:c r="H511" s="32" t="n">
        <x:v>1</x:v>
      </x:c>
      <x:c r="I511" s="40" t="n">
        <x:v>2</x:v>
      </x:c>
      <x:c r="J511" s="40" t="n">
        <x:v>2</x:v>
      </x:c>
      <x:c r="K511" s="40" t="n">
        <x:v>2</x:v>
      </x:c>
      <x:c r="L511" s="40" t="n">
        <x:v>1</x:v>
      </x:c>
    </x:row>
    <x:row r="512" ht="23" customHeight="1">
      <x:c r="B512" s="17" t="str">
        <x:v>All rounds</x:v>
      </x:c>
      <x:c r="C512" s="17" t="str">
        <x:v>condition</x:v>
      </x:c>
      <x:c r="D512" s="17" t="str">
        <x:v>Lang_51</x:v>
      </x:c>
      <x:c r="E512" s="32" t="n">
        <x:v>0.8491</x:v>
      </x:c>
      <x:c r="F512" s="32" t="n">
        <x:v>0.6179</x:v>
      </x:c>
      <x:c r="G512" s="32" t="n">
        <x:v>0.7594</x:v>
      </x:c>
      <x:c r="H512" s="32" t="n">
        <x:v>0.1274</x:v>
      </x:c>
      <x:c r="I512" s="40" t="n">
        <x:v>2</x:v>
      </x:c>
      <x:c r="J512" s="40" t="n">
        <x:v>2</x:v>
      </x:c>
      <x:c r="K512" s="40" t="n">
        <x:v>2</x:v>
      </x:c>
      <x:c r="L512" s="40" t="n">
        <x:v>1</x:v>
      </x:c>
    </x:row>
    <x:row r="513" ht="23" customHeight="1">
      <x:c r="B513" s="17" t="str">
        <x:v>All rounds</x:v>
      </x:c>
      <x:c r="C513" s="17" t="str">
        <x:v>condition</x:v>
      </x:c>
      <x:c r="D513" s="17" t="str">
        <x:v>Lang_54</x:v>
      </x:c>
      <x:c r="E513" s="32" t="n">
        <x:v>0.7656000000000001</x:v>
      </x:c>
      <x:c r="F513" s="32" t="n">
        <x:v>0.3594</x:v>
      </x:c>
      <x:c r="G513" s="32" t="n">
        <x:v>0.8125</x:v>
      </x:c>
      <x:c r="H513" s="32" t="n">
        <x:v>0.3906</x:v>
      </x:c>
      <x:c r="I513" s="40" t="n">
        <x:v>2</x:v>
      </x:c>
      <x:c r="J513" s="40" t="n">
        <x:v>2</x:v>
      </x:c>
      <x:c r="K513" s="40" t="n">
        <x:v>2</x:v>
      </x:c>
      <x:c r="L513" s="40" t="n">
        <x:v>1</x:v>
      </x:c>
    </x:row>
    <x:row r="514" ht="23" customHeight="1">
      <x:c r="B514" s="17" t="str">
        <x:v>All rounds</x:v>
      </x:c>
      <x:c r="C514" s="17" t="str">
        <x:v>condition</x:v>
      </x:c>
      <x:c r="D514" s="17" t="str">
        <x:v>Lang_55</x:v>
      </x:c>
      <x:c r="E514" s="32" t="n">
        <x:v>0.9615</x:v>
      </x:c>
      <x:c r="F514" s="32" t="n">
        <x:v>0.9615</x:v>
      </x:c>
      <x:c r="G514" s="32" t="n">
        <x:v>0.8845999999999999</x:v>
      </x:c>
      <x:c r="H514" s="32" t="n">
        <x:v>0.46149999999999997</x:v>
      </x:c>
      <x:c r="I514" s="40" t="n">
        <x:v>2</x:v>
      </x:c>
      <x:c r="J514" s="40" t="n">
        <x:v>2</x:v>
      </x:c>
      <x:c r="K514" s="40" t="n">
        <x:v>2</x:v>
      </x:c>
      <x:c r="L514" s="40" t="n">
        <x:v>1</x:v>
      </x:c>
    </x:row>
    <x:row r="515" ht="23" customHeight="1">
      <x:c r="B515" s="17" t="str">
        <x:v>All rounds</x:v>
      </x:c>
      <x:c r="C515" s="17" t="str">
        <x:v>condition</x:v>
      </x:c>
      <x:c r="D515" s="17" t="str">
        <x:v>Lang_57</x:v>
      </x:c>
      <x:c r="E515" s="32" t="n">
        <x:v>0.75</x:v>
      </x:c>
      <x:c r="F515" s="32" t="n">
        <x:v>0.3594</x:v>
      </x:c>
      <x:c r="G515" s="32" t="n">
        <x:v>0.8281000000000001</x:v>
      </x:c>
      <x:c r="H515" s="32" t="n">
        <x:v>0.3906</x:v>
      </x:c>
      <x:c r="I515" s="40" t="n">
        <x:v>2</x:v>
      </x:c>
      <x:c r="J515" s="40" t="n">
        <x:v>2</x:v>
      </x:c>
      <x:c r="K515" s="40" t="n">
        <x:v>2</x:v>
      </x:c>
      <x:c r="L515" s="40" t="n">
        <x:v>1</x:v>
      </x:c>
    </x:row>
    <x:row r="516" ht="23" customHeight="1">
      <x:c r="B516" s="17" t="str">
        <x:v>All rounds</x:v>
      </x:c>
      <x:c r="C516" s="17" t="str">
        <x:v>condition</x:v>
      </x:c>
      <x:c r="D516" s="17" t="str">
        <x:v>Lang_58</x:v>
      </x:c>
      <x:c r="E516" s="32" t="n">
        <x:v>0.8332999999999999</x:v>
      </x:c>
      <x:c r="F516" s="32" t="n">
        <x:v>0.5774</x:v>
      </x:c>
      <x:c r="G516" s="32" t="n">
        <x:v>0.6881</x:v>
      </x:c>
      <x:c r="H516" s="32" t="n">
        <x:v>0.1476</x:v>
      </x:c>
      <x:c r="I516" s="40" t="n">
        <x:v>2</x:v>
      </x:c>
      <x:c r="J516" s="40" t="n">
        <x:v>2</x:v>
      </x:c>
      <x:c r="K516" s="40" t="n">
        <x:v>2</x:v>
      </x:c>
      <x:c r="L516" s="40" t="n">
        <x:v>1</x:v>
      </x:c>
    </x:row>
    <x:row r="517" ht="23" customHeight="1">
      <x:c r="B517" s="17" t="str">
        <x:v>All rounds</x:v>
      </x:c>
      <x:c r="C517" s="17" t="str">
        <x:v>condition</x:v>
      </x:c>
      <x:c r="D517" s="17" t="str">
        <x:v>Lang_6</x:v>
      </x:c>
      <x:c r="E517" s="32" t="n">
        <x:v>1</x:v>
      </x:c>
      <x:c r="F517" s="32" t="n">
        <x:v>0</x:v>
      </x:c>
      <x:c r="G517" s="32" t="n">
        <x:v>1</x:v>
      </x:c>
      <x:c r="H517" s="32" t="n">
        <x:v>1</x:v>
      </x:c>
      <x:c r="I517" s="40" t="n">
        <x:v>2</x:v>
      </x:c>
      <x:c r="J517" s="40" t="n">
        <x:v>2</x:v>
      </x:c>
      <x:c r="K517" s="40" t="n">
        <x:v>2</x:v>
      </x:c>
      <x:c r="L517" s="40" t="n">
        <x:v>1</x:v>
      </x:c>
    </x:row>
    <x:row r="518" ht="23" customHeight="1">
      <x:c r="B518" s="17" t="str">
        <x:v>All rounds</x:v>
      </x:c>
      <x:c r="C518" s="17" t="str">
        <x:v>condition</x:v>
      </x:c>
      <x:c r="D518" s="17" t="str">
        <x:v>Lang_62</x:v>
      </x:c>
      <x:c r="E518" s="32" t="n">
        <x:v>0.7111</x:v>
      </x:c>
      <x:c r="F518" s="32" t="n">
        <x:v>0.4556</x:v>
      </x:c>
      <x:c r="G518" s="32" t="n">
        <x:v>0.6</x:v>
      </x:c>
      <x:c r="H518" s="32" t="n">
        <x:v>0.2778</x:v>
      </x:c>
      <x:c r="I518" s="40" t="n">
        <x:v>2</x:v>
      </x:c>
      <x:c r="J518" s="40" t="n">
        <x:v>2</x:v>
      </x:c>
      <x:c r="K518" s="40" t="n">
        <x:v>1</x:v>
      </x:c>
      <x:c r="L518" s="40" t="n">
        <x:v>1</x:v>
      </x:c>
    </x:row>
    <x:row r="519" ht="23" customHeight="1">
      <x:c r="B519" s="17" t="str">
        <x:v>All rounds</x:v>
      </x:c>
      <x:c r="C519" s="17" t="str">
        <x:v>condition</x:v>
      </x:c>
      <x:c r="D519" s="17" t="str">
        <x:v>Lang_63</x:v>
      </x:c>
      <x:c r="E519" s="32" t="n">
        <x:v>0.8963</x:v>
      </x:c>
      <x:c r="F519" s="32" t="n">
        <x:v>0.7222</x:v>
      </x:c>
      <x:c r="G519" s="32" t="n">
        <x:v>0.6074</x:v>
      </x:c>
      <x:c r="H519" s="32" t="n">
        <x:v>0.45189999999999997</x:v>
      </x:c>
      <x:c r="I519" s="40" t="n">
        <x:v>2</x:v>
      </x:c>
      <x:c r="J519" s="40" t="n">
        <x:v>2</x:v>
      </x:c>
      <x:c r="K519" s="40" t="n">
        <x:v>2</x:v>
      </x:c>
      <x:c r="L519" s="40" t="n">
        <x:v>1</x:v>
      </x:c>
    </x:row>
    <x:row r="520" ht="23" customHeight="1">
      <x:c r="B520" s="17" t="str">
        <x:v>All rounds</x:v>
      </x:c>
      <x:c r="C520" s="17" t="str">
        <x:v>condition</x:v>
      </x:c>
      <x:c r="D520" s="17" t="str">
        <x:v>Lang_64</x:v>
      </x:c>
      <x:c r="E520" s="32" t="n">
        <x:v>0.25</x:v>
      </x:c>
      <x:c r="F520" s="32" t="n">
        <x:v>0.25</x:v>
      </x:c>
      <x:c r="G520" s="32" t="n">
        <x:v>0</x:v>
      </x:c>
      <x:c r="H520" s="32" t="n">
        <x:v>0.625</x:v>
      </x:c>
      <x:c r="I520" s="40" t="n">
        <x:v>2</x:v>
      </x:c>
      <x:c r="J520" s="40" t="n">
        <x:v>2</x:v>
      </x:c>
      <x:c r="K520" s="40" t="n">
        <x:v>2</x:v>
      </x:c>
      <x:c r="L520" s="40" t="n">
        <x:v>1</x:v>
      </x:c>
    </x:row>
    <x:row r="521" ht="23" customHeight="1">
      <x:c r="B521" s="17" t="str">
        <x:v>All rounds</x:v>
      </x:c>
      <x:c r="C521" s="17" t="str">
        <x:v>condition</x:v>
      </x:c>
      <x:c r="D521" s="17" t="str">
        <x:v>Lang_7</x:v>
      </x:c>
      <x:c r="E521" s="32" t="n">
        <x:v>0.847</x:v>
      </x:c>
      <x:c r="F521" s="32" t="n">
        <x:v>0.47814999999999996</x:v>
      </x:c>
      <x:c r="G521" s="32" t="n">
        <x:v>0.5464</x:v>
      </x:c>
      <x:c r="H521" s="32" t="n">
        <x:v>0.8634000000000001</x:v>
      </x:c>
      <x:c r="I521" s="40" t="n">
        <x:v>2</x:v>
      </x:c>
      <x:c r="J521" s="40" t="n">
        <x:v>2</x:v>
      </x:c>
      <x:c r="K521" s="40" t="n">
        <x:v>2</x:v>
      </x:c>
      <x:c r="L521" s="40" t="n">
        <x:v>1</x:v>
      </x:c>
    </x:row>
    <x:row r="522" ht="23" customHeight="1">
      <x:c r="B522" s="17" t="str">
        <x:v>All rounds</x:v>
      </x:c>
      <x:c r="C522" s="17" t="str">
        <x:v>condition</x:v>
      </x:c>
      <x:c r="D522" s="17" t="str">
        <x:v>Lang_8</x:v>
      </x:c>
      <x:c r="E522" s="32" t="n">
        <x:v>0.7867000000000001</x:v>
      </x:c>
      <x:c r="F522" s="32" t="n">
        <x:v>0.013300000000000001</x:v>
      </x:c>
      <x:c r="G522" s="32" t="n">
        <x:v>0.5333</x:v>
      </x:c>
      <x:c r="H522" s="32" t="n">
        <x:v>0.9267</x:v>
      </x:c>
      <x:c r="I522" s="40" t="n">
        <x:v>2</x:v>
      </x:c>
      <x:c r="J522" s="40" t="n">
        <x:v>2</x:v>
      </x:c>
      <x:c r="K522" s="40" t="n">
        <x:v>2</x:v>
      </x:c>
      <x:c r="L522" s="40" t="n">
        <x:v>1</x:v>
      </x:c>
    </x:row>
    <x:row r="523" ht="23" customHeight="1">
      <x:c r="B523" s="17" t="str">
        <x:v>All rounds</x:v>
      </x:c>
      <x:c r="C523" s="17" t="str">
        <x:v>condition</x:v>
      </x:c>
      <x:c r="D523" s="17" t="str">
        <x:v>Math_1</x:v>
      </x:c>
      <x:c r="E523" s="32" t="n">
        <x:v>0.9688</x:v>
      </x:c>
      <x:c r="F523" s="32" t="n">
        <x:v>0.83335</x:v>
      </x:c>
      <x:c r="G523" s="32" t="n">
        <x:v>0.7865000000000001</x:v>
      </x:c>
      <x:c r="H523" s="32" t="n">
        <x:v>0.3125</x:v>
      </x:c>
      <x:c r="I523" s="40" t="n">
        <x:v>2</x:v>
      </x:c>
      <x:c r="J523" s="40" t="n">
        <x:v>2</x:v>
      </x:c>
      <x:c r="K523" s="40" t="n">
        <x:v>2</x:v>
      </x:c>
      <x:c r="L523" s="40" t="n">
        <x:v>1</x:v>
      </x:c>
    </x:row>
    <x:row r="524" ht="23" customHeight="1">
      <x:c r="B524" s="17" t="str">
        <x:v>All rounds</x:v>
      </x:c>
      <x:c r="C524" s="17" t="str">
        <x:v>condition</x:v>
      </x:c>
      <x:c r="D524" s="17" t="str">
        <x:v>Math_10</x:v>
      </x:c>
      <x:c r="E524" s="32" t="n">
        <x:v>0.6993</x:v>
      </x:c>
      <x:c r="F524" s="32" t="n">
        <x:v>0.4021</x:v>
      </x:c>
      <x:c r="G524" s="32" t="n">
        <x:v>0.6607999999999999</x:v>
      </x:c>
      <x:c r="H524" s="32" t="n">
        <x:v>0</x:v>
      </x:c>
      <x:c r="I524" s="40" t="n">
        <x:v>2</x:v>
      </x:c>
      <x:c r="J524" s="40" t="n">
        <x:v>2</x:v>
      </x:c>
      <x:c r="K524" s="40" t="n">
        <x:v>2</x:v>
      </x:c>
      <x:c r="L524" s="40" t="n">
        <x:v>1</x:v>
      </x:c>
    </x:row>
    <x:row r="525" ht="23" customHeight="1">
      <x:c r="B525" s="17" t="str">
        <x:v>All rounds</x:v>
      </x:c>
      <x:c r="C525" s="17" t="str">
        <x:v>condition</x:v>
      </x:c>
      <x:c r="D525" s="17" t="str">
        <x:v>Math_101</x:v>
      </x:c>
      <x:c r="E525" s="32" t="n">
        <x:v>1</x:v>
      </x:c>
      <x:c r="F525" s="32" t="n">
        <x:v>0.6154</x:v>
      </x:c>
      <x:c r="G525" s="32" t="n">
        <x:v>0.9423</x:v>
      </x:c>
      <x:c r="H525" s="32" t="n">
        <x:v>0</x:v>
      </x:c>
      <x:c r="I525" s="40" t="n">
        <x:v>2</x:v>
      </x:c>
      <x:c r="J525" s="40" t="n">
        <x:v>2</x:v>
      </x:c>
      <x:c r="K525" s="40" t="n">
        <x:v>2</x:v>
      </x:c>
      <x:c r="L525" s="40" t="n">
        <x:v>1</x:v>
      </x:c>
    </x:row>
    <x:row r="526" ht="23" customHeight="1">
      <x:c r="B526" s="17" t="str">
        <x:v>All rounds</x:v>
      </x:c>
      <x:c r="C526" s="17" t="str">
        <x:v>condition</x:v>
      </x:c>
      <x:c r="D526" s="17" t="str">
        <x:v>Math_102</x:v>
      </x:c>
      <x:c r="E526" s="32" t="n">
        <x:v>1</x:v>
      </x:c>
      <x:c r="F526" s="32" t="n">
        <x:v>0.8837</x:v>
      </x:c>
      <x:c r="G526" s="32" t="n">
        <x:v>0.907</x:v>
      </x:c>
      <x:c r="H526" s="32" t="n">
        <x:v>0</x:v>
      </x:c>
      <x:c r="I526" s="40" t="n">
        <x:v>2</x:v>
      </x:c>
      <x:c r="J526" s="40" t="n">
        <x:v>2</x:v>
      </x:c>
      <x:c r="K526" s="40" t="n">
        <x:v>1</x:v>
      </x:c>
      <x:c r="L526" s="40" t="n">
        <x:v>1</x:v>
      </x:c>
    </x:row>
    <x:row r="527" ht="23" customHeight="1">
      <x:c r="B527" s="17" t="str">
        <x:v>All rounds</x:v>
      </x:c>
      <x:c r="C527" s="17" t="str">
        <x:v>condition</x:v>
      </x:c>
      <x:c r="D527" s="17" t="str">
        <x:v>Math_104</x:v>
      </x:c>
      <x:c r="E527" s="32" t="n">
        <x:v>1</x:v>
      </x:c>
      <x:c r="F527" s="32" t="n">
        <x:v>1</x:v>
      </x:c>
      <x:c r="G527" s="32" t="n">
        <x:v>0.9</x:v>
      </x:c>
      <x:c r="H527" s="32" t="n">
        <x:v>0.675</x:v>
      </x:c>
      <x:c r="I527" s="40" t="n">
        <x:v>2</x:v>
      </x:c>
      <x:c r="J527" s="40" t="n">
        <x:v>2</x:v>
      </x:c>
      <x:c r="K527" s="40" t="n">
        <x:v>2</x:v>
      </x:c>
      <x:c r="L527" s="40" t="n">
        <x:v>1</x:v>
      </x:c>
    </x:row>
    <x:row r="528" ht="23" customHeight="1">
      <x:c r="B528" s="17" t="str">
        <x:v>All rounds</x:v>
      </x:c>
      <x:c r="C528" s="17" t="str">
        <x:v>condition</x:v>
      </x:c>
      <x:c r="D528" s="17" t="str">
        <x:v>Math_105</x:v>
      </x:c>
      <x:c r="E528" s="32" t="n">
        <x:v>1</x:v>
      </x:c>
      <x:c r="F528" s="32" t="n">
        <x:v>0.9444499999999999</x:v>
      </x:c>
      <x:c r="G528" s="32" t="n">
        <x:v>1</x:v>
      </x:c>
      <x:c r="H528" s="32" t="n">
        <x:v>0.5</x:v>
      </x:c>
      <x:c r="I528" s="40" t="n">
        <x:v>2</x:v>
      </x:c>
      <x:c r="J528" s="40" t="n">
        <x:v>2</x:v>
      </x:c>
      <x:c r="K528" s="40" t="n">
        <x:v>2</x:v>
      </x:c>
      <x:c r="L528" s="40" t="n">
        <x:v>1</x:v>
      </x:c>
    </x:row>
    <x:row r="529" ht="23" customHeight="1">
      <x:c r="B529" s="17" t="str">
        <x:v>All rounds</x:v>
      </x:c>
      <x:c r="C529" s="17" t="str">
        <x:v>condition</x:v>
      </x:c>
      <x:c r="D529" s="17" t="str">
        <x:v>Math_106</x:v>
      </x:c>
      <x:c r="E529" s="32" t="n">
        <x:v>1</x:v>
      </x:c>
      <x:c r="F529" s="32" t="n">
        <x:v>0.7</x:v>
      </x:c>
      <x:c r="G529" s="32" t="n">
        <x:v>0.8</x:v>
      </x:c>
      <x:c r="H529" s="32" t="n">
        <x:v>0.6</x:v>
      </x:c>
      <x:c r="I529" s="40" t="n">
        <x:v>2</x:v>
      </x:c>
      <x:c r="J529" s="40" t="n">
        <x:v>2</x:v>
      </x:c>
      <x:c r="K529" s="40" t="n">
        <x:v>2</x:v>
      </x:c>
      <x:c r="L529" s="40" t="n">
        <x:v>1</x:v>
      </x:c>
    </x:row>
    <x:row r="530" ht="23" customHeight="1">
      <x:c r="B530" s="17" t="str">
        <x:v>All rounds</x:v>
      </x:c>
      <x:c r="C530" s="17" t="str">
        <x:v>condition</x:v>
      </x:c>
      <x:c r="D530" s="17" t="str">
        <x:v>Math_11</x:v>
      </x:c>
      <x:c r="E530" s="32" t="n">
        <x:v>1</x:v>
      </x:c>
      <x:c r="F530" s="32" t="n">
        <x:v>1</x:v>
      </x:c>
      <x:c r="G530" s="32" t="n">
        <x:v>1</x:v>
      </x:c>
      <x:c r="H530" s="32" t="n">
        <x:v>0</x:v>
      </x:c>
      <x:c r="I530" s="40" t="n">
        <x:v>2</x:v>
      </x:c>
      <x:c r="J530" s="40" t="n">
        <x:v>2</x:v>
      </x:c>
      <x:c r="K530" s="40" t="n">
        <x:v>1</x:v>
      </x:c>
      <x:c r="L530" s="40" t="n">
        <x:v>1</x:v>
      </x:c>
    </x:row>
    <x:row r="531" ht="23" customHeight="1">
      <x:c r="B531" s="17" t="str">
        <x:v>All rounds</x:v>
      </x:c>
      <x:c r="C531" s="17" t="str">
        <x:v>condition</x:v>
      </x:c>
      <x:c r="D531" s="17" t="str">
        <x:v>Math_12</x:v>
      </x:c>
      <x:c r="E531" s="32" t="n">
        <x:v>1</x:v>
      </x:c>
      <x:c r="F531" s="32" t="n">
        <x:v>0</x:v>
      </x:c>
      <x:c r="G531" s="32" t="n">
        <x:v>0.8571</x:v>
      </x:c>
      <x:c r="H531" s="32" t="n">
        <x:v>1</x:v>
      </x:c>
      <x:c r="I531" s="40" t="n">
        <x:v>2</x:v>
      </x:c>
      <x:c r="J531" s="40" t="n">
        <x:v>2</x:v>
      </x:c>
      <x:c r="K531" s="40" t="n">
        <x:v>2</x:v>
      </x:c>
      <x:c r="L531" s="40" t="n">
        <x:v>1</x:v>
      </x:c>
    </x:row>
    <x:row r="532" ht="23" customHeight="1">
      <x:c r="B532" s="17" t="str">
        <x:v>All rounds</x:v>
      </x:c>
      <x:c r="C532" s="17" t="str">
        <x:v>condition</x:v>
      </x:c>
      <x:c r="D532" s="17" t="str">
        <x:v>Math_14</x:v>
      </x:c>
      <x:c r="E532" s="32" t="n">
        <x:v>0.5714</x:v>
      </x:c>
      <x:c r="F532" s="32" t="n">
        <x:v>0.2143</x:v>
      </x:c>
      <x:c r="G532" s="32" t="n">
        <x:v>1</x:v>
      </x:c>
      <x:c r="H532" s="32" t="n">
        <x:v>0.2857</x:v>
      </x:c>
      <x:c r="I532" s="40" t="n">
        <x:v>2</x:v>
      </x:c>
      <x:c r="J532" s="40" t="n">
        <x:v>2</x:v>
      </x:c>
      <x:c r="K532" s="40" t="n">
        <x:v>1</x:v>
      </x:c>
      <x:c r="L532" s="40" t="n">
        <x:v>1</x:v>
      </x:c>
    </x:row>
    <x:row r="533" ht="23" customHeight="1">
      <x:c r="B533" s="17" t="str">
        <x:v>All rounds</x:v>
      </x:c>
      <x:c r="C533" s="17" t="str">
        <x:v>condition</x:v>
      </x:c>
      <x:c r="D533" s="17" t="str">
        <x:v>Math_15</x:v>
      </x:c>
      <x:c r="E533" s="32" t="n">
        <x:v>0.8509</x:v>
      </x:c>
      <x:c r="F533" s="32" t="n">
        <x:v>0.7845</x:v>
      </x:c>
      <x:c r="G533" s="32" t="n">
        <x:v>0.3346</x:v>
      </x:c>
      <x:c r="H533" s="32" t="n">
        <x:v>0</x:v>
      </x:c>
      <x:c r="I533" s="40" t="n">
        <x:v>2</x:v>
      </x:c>
      <x:c r="J533" s="40" t="n">
        <x:v>1</x:v>
      </x:c>
      <x:c r="K533" s="40" t="n">
        <x:v>2</x:v>
      </x:c>
      <x:c r="L533" s="40" t="n">
        <x:v>1</x:v>
      </x:c>
    </x:row>
    <x:row r="534" ht="23" customHeight="1">
      <x:c r="B534" s="17" t="str">
        <x:v>All rounds</x:v>
      </x:c>
      <x:c r="C534" s="17" t="str">
        <x:v>condition</x:v>
      </x:c>
      <x:c r="D534" s="17" t="str">
        <x:v>Math_16</x:v>
      </x:c>
      <x:c r="E534" s="32" t="n">
        <x:v>0.838</x:v>
      </x:c>
      <x:c r="F534" s="32" t="n">
        <x:v>0.45890000000000003</x:v>
      </x:c>
      <x:c r="G534" s="32" t="n">
        <x:v>0.36460000000000004</x:v>
      </x:c>
      <x:c r="H534" s="32" t="n">
        <x:v>0</x:v>
      </x:c>
      <x:c r="I534" s="40" t="n">
        <x:v>2</x:v>
      </x:c>
      <x:c r="J534" s="40" t="n">
        <x:v>2</x:v>
      </x:c>
      <x:c r="K534" s="40" t="n">
        <x:v>2</x:v>
      </x:c>
      <x:c r="L534" s="40" t="n">
        <x:v>1</x:v>
      </x:c>
    </x:row>
    <x:row r="535" ht="23" customHeight="1">
      <x:c r="B535" s="17" t="str">
        <x:v>All rounds</x:v>
      </x:c>
      <x:c r="C535" s="17" t="str">
        <x:v>condition</x:v>
      </x:c>
      <x:c r="D535" s="17" t="str">
        <x:v>Math_17</x:v>
      </x:c>
      <x:c r="E535" s="32" t="n">
        <x:v>0.2005</x:v>
      </x:c>
      <x:c r="F535" s="32" t="n">
        <x:v>0</x:v>
      </x:c>
      <x:c r="G535" s="32" t="n">
        <x:v>0.5690999999999999</x:v>
      </x:c>
      <x:c r="H535" s="32" t="n">
        <x:v>0</x:v>
      </x:c>
      <x:c r="I535" s="40" t="n">
        <x:v>2</x:v>
      </x:c>
      <x:c r="J535" s="40" t="n">
        <x:v>2</x:v>
      </x:c>
      <x:c r="K535" s="40" t="n">
        <x:v>1</x:v>
      </x:c>
      <x:c r="L535" s="40" t="n">
        <x:v>1</x:v>
      </x:c>
    </x:row>
    <x:row r="536" ht="23" customHeight="1">
      <x:c r="B536" s="17" t="str">
        <x:v>All rounds</x:v>
      </x:c>
      <x:c r="C536" s="17" t="str">
        <x:v>condition</x:v>
      </x:c>
      <x:c r="D536" s="17" t="str">
        <x:v>Math_18</x:v>
      </x:c>
      <x:c r="E536" s="32" t="n">
        <x:v>0.5072</x:v>
      </x:c>
      <x:c r="F536" s="32" t="n">
        <x:v>0.0072</x:v>
      </x:c>
      <x:c r="G536" s="32" t="n">
        <x:v>0.6993</x:v>
      </x:c>
      <x:c r="H536" s="32" t="n">
        <x:v>0</x:v>
      </x:c>
      <x:c r="I536" s="40" t="n">
        <x:v>2</x:v>
      </x:c>
      <x:c r="J536" s="40" t="n">
        <x:v>2</x:v>
      </x:c>
      <x:c r="K536" s="40" t="n">
        <x:v>1</x:v>
      </x:c>
      <x:c r="L536" s="40" t="n">
        <x:v>1</x:v>
      </x:c>
    </x:row>
    <x:row r="537" ht="23" customHeight="1">
      <x:c r="B537" s="17" t="str">
        <x:v>All rounds</x:v>
      </x:c>
      <x:c r="C537" s="17" t="str">
        <x:v>condition</x:v>
      </x:c>
      <x:c r="D537" s="17" t="str">
        <x:v>Math_19</x:v>
      </x:c>
      <x:c r="E537" s="32" t="n">
        <x:v>0.5074000000000001</x:v>
      </x:c>
      <x:c r="F537" s="32" t="n">
        <x:v>0.0074</x:v>
      </x:c>
      <x:c r="G537" s="32" t="n">
        <x:v>0.7720999999999999</x:v>
      </x:c>
      <x:c r="H537" s="32" t="n">
        <x:v>0</x:v>
      </x:c>
      <x:c r="I537" s="40" t="n">
        <x:v>2</x:v>
      </x:c>
      <x:c r="J537" s="40" t="n">
        <x:v>2</x:v>
      </x:c>
      <x:c r="K537" s="40" t="n">
        <x:v>1</x:v>
      </x:c>
      <x:c r="L537" s="40" t="n">
        <x:v>1</x:v>
      </x:c>
    </x:row>
    <x:row r="538" ht="23" customHeight="1">
      <x:c r="B538" s="17" t="str">
        <x:v>All rounds</x:v>
      </x:c>
      <x:c r="C538" s="17" t="str">
        <x:v>condition</x:v>
      </x:c>
      <x:c r="D538" s="17" t="str">
        <x:v>Math_2</x:v>
      </x:c>
      <x:c r="E538" s="32" t="n">
        <x:v>1</x:v>
      </x:c>
      <x:c r="F538" s="32" t="n">
        <x:v>1</x:v>
      </x:c>
      <x:c r="G538" s="32" t="n">
        <x:v>0.8845999999999999</x:v>
      </x:c>
      <x:c r="H538" s="32" t="n">
        <x:v>0.5769</x:v>
      </x:c>
      <x:c r="I538" s="40" t="n">
        <x:v>2</x:v>
      </x:c>
      <x:c r="J538" s="40" t="n">
        <x:v>2</x:v>
      </x:c>
      <x:c r="K538" s="40" t="n">
        <x:v>2</x:v>
      </x:c>
      <x:c r="L538" s="40" t="n">
        <x:v>1</x:v>
      </x:c>
    </x:row>
    <x:row r="539" ht="23" customHeight="1">
      <x:c r="B539" s="17" t="str">
        <x:v>All rounds</x:v>
      </x:c>
      <x:c r="C539" s="17" t="str">
        <x:v>condition</x:v>
      </x:c>
      <x:c r="D539" s="17" t="str">
        <x:v>Math_20</x:v>
      </x:c>
      <x:c r="E539" s="32" t="n">
        <x:v>0.5075</x:v>
      </x:c>
      <x:c r="F539" s="32" t="n">
        <x:v>0.0075</x:v>
      </x:c>
      <x:c r="G539" s="32" t="n">
        <x:v>0.7648999999999999</x:v>
      </x:c>
      <x:c r="H539" s="32" t="n">
        <x:v>0</x:v>
      </x:c>
      <x:c r="I539" s="40" t="n">
        <x:v>2</x:v>
      </x:c>
      <x:c r="J539" s="40" t="n">
        <x:v>2</x:v>
      </x:c>
      <x:c r="K539" s="40" t="n">
        <x:v>1</x:v>
      </x:c>
      <x:c r="L539" s="40" t="n">
        <x:v>1</x:v>
      </x:c>
    </x:row>
    <x:row r="540" ht="23" customHeight="1">
      <x:c r="B540" s="17" t="str">
        <x:v>All rounds</x:v>
      </x:c>
      <x:c r="C540" s="17" t="str">
        <x:v>condition</x:v>
      </x:c>
      <x:c r="D540" s="17" t="str">
        <x:v>Math_21</x:v>
      </x:c>
      <x:c r="E540" s="32" t="n">
        <x:v>1</x:v>
      </x:c>
      <x:c r="F540" s="32" t="n">
        <x:v>0</x:v>
      </x:c>
      <x:c r="G540" s="32" t="n">
        <x:v>1</x:v>
      </x:c>
      <x:c r="H540" s="32" t="n">
        <x:v>1</x:v>
      </x:c>
      <x:c r="I540" s="40" t="n">
        <x:v>2</x:v>
      </x:c>
      <x:c r="J540" s="40" t="n">
        <x:v>2</x:v>
      </x:c>
      <x:c r="K540" s="40" t="n">
        <x:v>2</x:v>
      </x:c>
      <x:c r="L540" s="40" t="n">
        <x:v>1</x:v>
      </x:c>
    </x:row>
    <x:row r="541" ht="23" customHeight="1">
      <x:c r="B541" s="17" t="str">
        <x:v>All rounds</x:v>
      </x:c>
      <x:c r="C541" s="17" t="str">
        <x:v>condition</x:v>
      </x:c>
      <x:c r="D541" s="17" t="str">
        <x:v>Math_22</x:v>
      </x:c>
      <x:c r="E541" s="32" t="n">
        <x:v>1</x:v>
      </x:c>
      <x:c r="F541" s="32" t="n">
        <x:v>1</x:v>
      </x:c>
      <x:c r="G541" s="32" t="n">
        <x:v>0.9545</x:v>
      </x:c>
      <x:c r="H541" s="32" t="n">
        <x:v>0.4545</x:v>
      </x:c>
      <x:c r="I541" s="40" t="n">
        <x:v>2</x:v>
      </x:c>
      <x:c r="J541" s="40" t="n">
        <x:v>1</x:v>
      </x:c>
      <x:c r="K541" s="40" t="n">
        <x:v>1</x:v>
      </x:c>
      <x:c r="L541" s="40" t="n">
        <x:v>1</x:v>
      </x:c>
    </x:row>
    <x:row r="542" ht="23" customHeight="1">
      <x:c r="B542" s="17" t="str">
        <x:v>All rounds</x:v>
      </x:c>
      <x:c r="C542" s="17" t="str">
        <x:v>condition</x:v>
      </x:c>
      <x:c r="D542" s="17" t="str">
        <x:v>Math_23</x:v>
      </x:c>
      <x:c r="E542" s="32" t="n">
        <x:v>0.9459000000000001</x:v>
      </x:c>
      <x:c r="F542" s="32" t="n">
        <x:v>0.08109999999999999</x:v>
      </x:c>
      <x:c r="G542" s="32" t="n">
        <x:v>0.7837999999999999</x:v>
      </x:c>
      <x:c r="H542" s="32" t="n">
        <x:v>0</x:v>
      </x:c>
      <x:c r="I542" s="40" t="n">
        <x:v>2</x:v>
      </x:c>
      <x:c r="J542" s="40" t="n">
        <x:v>2</x:v>
      </x:c>
      <x:c r="K542" s="40" t="n">
        <x:v>1</x:v>
      </x:c>
      <x:c r="L542" s="40" t="n">
        <x:v>1</x:v>
      </x:c>
    </x:row>
    <x:row r="543" ht="23" customHeight="1">
      <x:c r="B543" s="17" t="str">
        <x:v>All rounds</x:v>
      </x:c>
      <x:c r="C543" s="17" t="str">
        <x:v>condition</x:v>
      </x:c>
      <x:c r="D543" s="17" t="str">
        <x:v>Math_24</x:v>
      </x:c>
      <x:c r="E543" s="32" t="n">
        <x:v>0.8243</x:v>
      </x:c>
      <x:c r="F543" s="32" t="n">
        <x:v>0.08109999999999999</x:v>
      </x:c>
      <x:c r="G543" s="32" t="n">
        <x:v>0.6486</x:v>
      </x:c>
      <x:c r="H543" s="32" t="n">
        <x:v>0</x:v>
      </x:c>
      <x:c r="I543" s="40" t="n">
        <x:v>1</x:v>
      </x:c>
      <x:c r="J543" s="40" t="n">
        <x:v>2</x:v>
      </x:c>
      <x:c r="K543" s="40" t="n">
        <x:v>1</x:v>
      </x:c>
      <x:c r="L543" s="40" t="n">
        <x:v>1</x:v>
      </x:c>
    </x:row>
    <x:row r="544" ht="23" customHeight="1">
      <x:c r="B544" s="17" t="str">
        <x:v>All rounds</x:v>
      </x:c>
      <x:c r="C544" s="17" t="str">
        <x:v>condition</x:v>
      </x:c>
      <x:c r="D544" s="17" t="str">
        <x:v>Math_25</x:v>
      </x:c>
      <x:c r="E544" s="32" t="n">
        <x:v>0.9643</x:v>
      </x:c>
      <x:c r="F544" s="32" t="n">
        <x:v>0.9286000000000001</x:v>
      </x:c>
      <x:c r="G544" s="32" t="n">
        <x:v>0.9286</x:v>
      </x:c>
      <x:c r="H544" s="32" t="n">
        <x:v>0</x:v>
      </x:c>
      <x:c r="I544" s="40" t="n">
        <x:v>1</x:v>
      </x:c>
      <x:c r="J544" s="40" t="n">
        <x:v>2</x:v>
      </x:c>
      <x:c r="K544" s="40" t="n">
        <x:v>2</x:v>
      </x:c>
      <x:c r="L544" s="40" t="n">
        <x:v>1</x:v>
      </x:c>
    </x:row>
    <x:row r="545" ht="23" customHeight="1">
      <x:c r="B545" s="17" t="str">
        <x:v>All rounds</x:v>
      </x:c>
      <x:c r="C545" s="17" t="str">
        <x:v>condition</x:v>
      </x:c>
      <x:c r="D545" s="17" t="str">
        <x:v>Math_29</x:v>
      </x:c>
      <x:c r="E545" s="32" t="n">
        <x:v>1</x:v>
      </x:c>
      <x:c r="F545" s="32" t="n">
        <x:v>0.9290999999999999</x:v>
      </x:c>
      <x:c r="G545" s="32" t="n">
        <x:v>0.7537</x:v>
      </x:c>
      <x:c r="H545" s="32" t="n">
        <x:v>0</x:v>
      </x:c>
      <x:c r="I545" s="40" t="n">
        <x:v>1</x:v>
      </x:c>
      <x:c r="J545" s="40" t="n">
        <x:v>2</x:v>
      </x:c>
      <x:c r="K545" s="40" t="n">
        <x:v>2</x:v>
      </x:c>
      <x:c r="L545" s="40" t="n">
        <x:v>1</x:v>
      </x:c>
    </x:row>
    <x:row r="546" ht="23" customHeight="1">
      <x:c r="B546" s="17" t="str">
        <x:v>All rounds</x:v>
      </x:c>
      <x:c r="C546" s="17" t="str">
        <x:v>condition</x:v>
      </x:c>
      <x:c r="D546" s="17" t="str">
        <x:v>Math_30</x:v>
      </x:c>
      <x:c r="E546" s="32" t="n">
        <x:v>1</x:v>
      </x:c>
      <x:c r="F546" s="32" t="n">
        <x:v>1</x:v>
      </x:c>
      <x:c r="G546" s="32" t="n">
        <x:v>1</x:v>
      </x:c>
      <x:c r="H546" s="32" t="n">
        <x:v>0</x:v>
      </x:c>
      <x:c r="I546" s="40" t="n">
        <x:v>1</x:v>
      </x:c>
      <x:c r="J546" s="40" t="n">
        <x:v>2</x:v>
      </x:c>
      <x:c r="K546" s="40" t="n">
        <x:v>2</x:v>
      </x:c>
      <x:c r="L546" s="40" t="n">
        <x:v>1</x:v>
      </x:c>
    </x:row>
    <x:row r="547" ht="23" customHeight="1">
      <x:c r="B547" s="17" t="str">
        <x:v>All rounds</x:v>
      </x:c>
      <x:c r="C547" s="17" t="str">
        <x:v>condition</x:v>
      </x:c>
      <x:c r="D547" s="17" t="str">
        <x:v>Math_31</x:v>
      </x:c>
      <x:c r="E547" s="32" t="n">
        <x:v>0</x:v>
      </x:c>
      <x:c r="F547" s="32" t="n">
        <x:v>0</x:v>
      </x:c>
      <x:c r="G547" s="32" t="n">
        <x:v>0.7333</x:v>
      </x:c>
      <x:c r="H547" s="32" t="n">
        <x:v>0</x:v>
      </x:c>
      <x:c r="I547" s="40" t="n">
        <x:v>1</x:v>
      </x:c>
      <x:c r="J547" s="40" t="n">
        <x:v>2</x:v>
      </x:c>
      <x:c r="K547" s="40" t="n">
        <x:v>2</x:v>
      </x:c>
      <x:c r="L547" s="40" t="n">
        <x:v>1</x:v>
      </x:c>
    </x:row>
    <x:row r="548" ht="23" customHeight="1">
      <x:c r="B548" s="17" t="str">
        <x:v>All rounds</x:v>
      </x:c>
      <x:c r="C548" s="17" t="str">
        <x:v>condition</x:v>
      </x:c>
      <x:c r="D548" s="17" t="str">
        <x:v>Math_37</x:v>
      </x:c>
      <x:c r="E548" s="32" t="n">
        <x:v>0.9556999999999999</x:v>
      </x:c>
      <x:c r="F548" s="32" t="n">
        <x:v>0.9462</x:v>
      </x:c>
      <x:c r="G548" s="32" t="n">
        <x:v>0.7152</x:v>
      </x:c>
      <x:c r="H548" s="32" t="n">
        <x:v>0.0506</x:v>
      </x:c>
      <x:c r="I548" s="40" t="n">
        <x:v>2</x:v>
      </x:c>
      <x:c r="J548" s="40" t="n">
        <x:v>2</x:v>
      </x:c>
      <x:c r="K548" s="40" t="n">
        <x:v>1</x:v>
      </x:c>
      <x:c r="L548" s="40" t="n">
        <x:v>1</x:v>
      </x:c>
    </x:row>
    <x:row r="549" ht="23" customHeight="1">
      <x:c r="B549" s="17" t="str">
        <x:v>All rounds</x:v>
      </x:c>
      <x:c r="C549" s="17" t="str">
        <x:v>condition</x:v>
      </x:c>
      <x:c r="D549" s="17" t="str">
        <x:v>Math_39</x:v>
      </x:c>
      <x:c r="E549" s="32" t="n">
        <x:v>0.9582999999999999</x:v>
      </x:c>
      <x:c r="F549" s="32" t="n">
        <x:v>0</x:v>
      </x:c>
      <x:c r="G549" s="32" t="n">
        <x:v>0.9792000000000001</x:v>
      </x:c>
      <x:c r="H549" s="32" t="n">
        <x:v>0</x:v>
      </x:c>
      <x:c r="I549" s="40" t="n">
        <x:v>2</x:v>
      </x:c>
      <x:c r="J549" s="40" t="n">
        <x:v>2</x:v>
      </x:c>
      <x:c r="K549" s="40" t="n">
        <x:v>1</x:v>
      </x:c>
      <x:c r="L549" s="40" t="n">
        <x:v>1</x:v>
      </x:c>
    </x:row>
    <x:row r="550" ht="23" customHeight="1">
      <x:c r="B550" s="17" t="str">
        <x:v>All rounds</x:v>
      </x:c>
      <x:c r="C550" s="17" t="str">
        <x:v>condition</x:v>
      </x:c>
      <x:c r="D550" s="17" t="str">
        <x:v>Math_40</x:v>
      </x:c>
      <x:c r="E550" s="32" t="n">
        <x:v>0.9848</x:v>
      </x:c>
      <x:c r="F550" s="32" t="n">
        <x:v>0.0909</x:v>
      </x:c>
      <x:c r="G550" s="32" t="n">
        <x:v>0.6818000000000001</x:v>
      </x:c>
      <x:c r="H550" s="32" t="n">
        <x:v>0</x:v>
      </x:c>
      <x:c r="I550" s="40" t="n">
        <x:v>2</x:v>
      </x:c>
      <x:c r="J550" s="40" t="n">
        <x:v>2</x:v>
      </x:c>
      <x:c r="K550" s="40" t="n">
        <x:v>2</x:v>
      </x:c>
      <x:c r="L550" s="40" t="n">
        <x:v>1</x:v>
      </x:c>
    </x:row>
    <x:row r="551" ht="23" customHeight="1">
      <x:c r="B551" s="17" t="str">
        <x:v>All rounds</x:v>
      </x:c>
      <x:c r="C551" s="17" t="str">
        <x:v>condition</x:v>
      </x:c>
      <x:c r="D551" s="17" t="str">
        <x:v>Math_41</x:v>
      </x:c>
      <x:c r="E551" s="32" t="n">
        <x:v>0.8695999999999999</x:v>
      </x:c>
      <x:c r="F551" s="32" t="n">
        <x:v>0.6087</x:v>
      </x:c>
      <x:c r="G551" s="32" t="n">
        <x:v>0.7173999999999999</x:v>
      </x:c>
      <x:c r="H551" s="32" t="n">
        <x:v>0</x:v>
      </x:c>
      <x:c r="I551" s="40" t="n">
        <x:v>2</x:v>
      </x:c>
      <x:c r="J551" s="40" t="n">
        <x:v>2</x:v>
      </x:c>
      <x:c r="K551" s="40" t="n">
        <x:v>2</x:v>
      </x:c>
      <x:c r="L551" s="40" t="n">
        <x:v>1</x:v>
      </x:c>
    </x:row>
    <x:row r="552" ht="23" customHeight="1">
      <x:c r="B552" s="17" t="str">
        <x:v>All rounds</x:v>
      </x:c>
      <x:c r="C552" s="17" t="str">
        <x:v>condition</x:v>
      </x:c>
      <x:c r="D552" s="17" t="str">
        <x:v>Math_42</x:v>
      </x:c>
      <x:c r="E552" s="32" t="n">
        <x:v>0.9333</x:v>
      </x:c>
      <x:c r="F552" s="32" t="n">
        <x:v>0.0083</x:v>
      </x:c>
      <x:c r="G552" s="32" t="n">
        <x:v>0.5667</x:v>
      </x:c>
      <x:c r="H552" s="32" t="n">
        <x:v>0</x:v>
      </x:c>
      <x:c r="I552" s="40" t="n">
        <x:v>2</x:v>
      </x:c>
      <x:c r="J552" s="40" t="n">
        <x:v>2</x:v>
      </x:c>
      <x:c r="K552" s="40" t="n">
        <x:v>2</x:v>
      </x:c>
      <x:c r="L552" s="40" t="n">
        <x:v>1</x:v>
      </x:c>
    </x:row>
    <x:row r="553" ht="23" customHeight="1">
      <x:c r="B553" s="17" t="str">
        <x:v>All rounds</x:v>
      </x:c>
      <x:c r="C553" s="17" t="str">
        <x:v>condition</x:v>
      </x:c>
      <x:c r="D553" s="17" t="str">
        <x:v>Math_43</x:v>
      </x:c>
      <x:c r="E553" s="32" t="n">
        <x:v>1</x:v>
      </x:c>
      <x:c r="F553" s="32" t="n">
        <x:v>0.9569</x:v>
      </x:c>
      <x:c r="G553" s="32" t="n">
        <x:v>0.5861999999999999</x:v>
      </x:c>
      <x:c r="H553" s="32" t="n">
        <x:v>0</x:v>
      </x:c>
      <x:c r="I553" s="40" t="n">
        <x:v>2</x:v>
      </x:c>
      <x:c r="J553" s="40" t="n">
        <x:v>2</x:v>
      </x:c>
      <x:c r="K553" s="40" t="n">
        <x:v>2</x:v>
      </x:c>
      <x:c r="L553" s="40" t="n">
        <x:v>1</x:v>
      </x:c>
    </x:row>
    <x:row r="554" ht="23" customHeight="1">
      <x:c r="B554" s="17" t="str">
        <x:v>All rounds</x:v>
      </x:c>
      <x:c r="C554" s="17" t="str">
        <x:v>condition</x:v>
      </x:c>
      <x:c r="D554" s="17" t="str">
        <x:v>Math_45</x:v>
      </x:c>
      <x:c r="E554" s="32" t="n">
        <x:v>0.4545</x:v>
      </x:c>
      <x:c r="F554" s="32" t="n">
        <x:v>0.47725</x:v>
      </x:c>
      <x:c r="G554" s="32" t="n">
        <x:v>0.9545</x:v>
      </x:c>
      <x:c r="H554" s="32" t="n">
        <x:v>0</x:v>
      </x:c>
      <x:c r="I554" s="40" t="n">
        <x:v>2</x:v>
      </x:c>
      <x:c r="J554" s="40" t="n">
        <x:v>2</x:v>
      </x:c>
      <x:c r="K554" s="40" t="n">
        <x:v>2</x:v>
      </x:c>
      <x:c r="L554" s="40" t="n">
        <x:v>1</x:v>
      </x:c>
    </x:row>
    <x:row r="555" ht="23" customHeight="1">
      <x:c r="B555" s="17" t="str">
        <x:v>All rounds</x:v>
      </x:c>
      <x:c r="C555" s="17" t="str">
        <x:v>condition</x:v>
      </x:c>
      <x:c r="D555" s="17" t="str">
        <x:v>Math_46</x:v>
      </x:c>
      <x:c r="E555" s="32" t="n">
        <x:v>0.9797</x:v>
      </x:c>
      <x:c r="F555" s="32" t="n">
        <x:v>0.9391999999999999</x:v>
      </x:c>
      <x:c r="G555" s="32" t="n">
        <x:v>0.7365</x:v>
      </x:c>
      <x:c r="H555" s="32" t="n">
        <x:v>0.08109999999999999</x:v>
      </x:c>
      <x:c r="I555" s="40" t="n">
        <x:v>2</x:v>
      </x:c>
      <x:c r="J555" s="40" t="n">
        <x:v>2</x:v>
      </x:c>
      <x:c r="K555" s="40" t="n">
        <x:v>1</x:v>
      </x:c>
      <x:c r="L555" s="40" t="n">
        <x:v>1</x:v>
      </x:c>
    </x:row>
    <x:row r="556" ht="23" customHeight="1">
      <x:c r="B556" s="17" t="str">
        <x:v>All rounds</x:v>
      </x:c>
      <x:c r="C556" s="17" t="str">
        <x:v>condition</x:v>
      </x:c>
      <x:c r="D556" s="17" t="str">
        <x:v>Math_47</x:v>
      </x:c>
      <x:c r="E556" s="32" t="n">
        <x:v>0.9648</x:v>
      </x:c>
      <x:c r="F556" s="32" t="n">
        <x:v>0.92955</x:v>
      </x:c>
      <x:c r="G556" s="32" t="n">
        <x:v>0.7535</x:v>
      </x:c>
      <x:c r="H556" s="32" t="n">
        <x:v>0.056299999999999996</x:v>
      </x:c>
      <x:c r="I556" s="40" t="n">
        <x:v>2</x:v>
      </x:c>
      <x:c r="J556" s="40" t="n">
        <x:v>2</x:v>
      </x:c>
      <x:c r="K556" s="40" t="n">
        <x:v>1</x:v>
      </x:c>
      <x:c r="L556" s="40" t="n">
        <x:v>1</x:v>
      </x:c>
    </x:row>
    <x:row r="557" ht="23" customHeight="1">
      <x:c r="B557" s="17" t="str">
        <x:v>All rounds</x:v>
      </x:c>
      <x:c r="C557" s="17" t="str">
        <x:v>condition</x:v>
      </x:c>
      <x:c r="D557" s="17" t="str">
        <x:v>Math_48</x:v>
      </x:c>
      <x:c r="E557" s="32" t="n">
        <x:v>0.9348000000000001</x:v>
      </x:c>
      <x:c r="F557" s="32" t="n">
        <x:v>0</x:v>
      </x:c>
      <x:c r="G557" s="32" t="n">
        <x:v>0.6304</x:v>
      </x:c>
      <x:c r="H557" s="32" t="n">
        <x:v>0</x:v>
      </x:c>
      <x:c r="I557" s="40" t="n">
        <x:v>2</x:v>
      </x:c>
      <x:c r="J557" s="40" t="n">
        <x:v>2</x:v>
      </x:c>
      <x:c r="K557" s="40" t="n">
        <x:v>1</x:v>
      </x:c>
      <x:c r="L557" s="40" t="n">
        <x:v>1</x:v>
      </x:c>
    </x:row>
    <x:row r="558" ht="23" customHeight="1">
      <x:c r="B558" s="17" t="str">
        <x:v>All rounds</x:v>
      </x:c>
      <x:c r="C558" s="17" t="str">
        <x:v>condition</x:v>
      </x:c>
      <x:c r="D558" s="17" t="str">
        <x:v>Math_49</x:v>
      </x:c>
      <x:c r="E558" s="32" t="n">
        <x:v>1</x:v>
      </x:c>
      <x:c r="F558" s="32" t="n">
        <x:v>0.6118</x:v>
      </x:c>
      <x:c r="G558" s="32" t="n">
        <x:v>0.8881999999999999</x:v>
      </x:c>
      <x:c r="H558" s="32" t="n">
        <x:v>0</x:v>
      </x:c>
      <x:c r="I558" s="40" t="n">
        <x:v>2</x:v>
      </x:c>
      <x:c r="J558" s="40" t="n">
        <x:v>2</x:v>
      </x:c>
      <x:c r="K558" s="40" t="n">
        <x:v>1</x:v>
      </x:c>
      <x:c r="L558" s="40" t="n">
        <x:v>1</x:v>
      </x:c>
    </x:row>
    <x:row r="559" ht="23" customHeight="1">
      <x:c r="B559" s="17" t="str">
        <x:v>All rounds</x:v>
      </x:c>
      <x:c r="C559" s="17" t="str">
        <x:v>condition</x:v>
      </x:c>
      <x:c r="D559" s="17" t="str">
        <x:v>Math_5</x:v>
      </x:c>
      <x:c r="E559" s="32" t="n">
        <x:v>0.9823999999999999</x:v>
      </x:c>
      <x:c r="F559" s="32" t="n">
        <x:v>0.9470500000000002</x:v>
      </x:c>
      <x:c r="G559" s="32" t="n">
        <x:v>0.5471</x:v>
      </x:c>
      <x:c r="H559" s="32" t="n">
        <x:v>0.0471</x:v>
      </x:c>
      <x:c r="I559" s="40" t="n">
        <x:v>2</x:v>
      </x:c>
      <x:c r="J559" s="40" t="n">
        <x:v>2</x:v>
      </x:c>
      <x:c r="K559" s="40" t="n">
        <x:v>1</x:v>
      </x:c>
      <x:c r="L559" s="40" t="n">
        <x:v>1</x:v>
      </x:c>
    </x:row>
    <x:row r="560" ht="23" customHeight="1">
      <x:c r="B560" s="17" t="str">
        <x:v>All rounds</x:v>
      </x:c>
      <x:c r="C560" s="17" t="str">
        <x:v>condition</x:v>
      </x:c>
      <x:c r="D560" s="17" t="str">
        <x:v>Math_50</x:v>
      </x:c>
      <x:c r="E560" s="32" t="n">
        <x:v>0.9167000000000001</x:v>
      </x:c>
      <x:c r="F560" s="32" t="n">
        <x:v>0</x:v>
      </x:c>
      <x:c r="G560" s="32" t="n">
        <x:v>0.6042000000000001</x:v>
      </x:c>
      <x:c r="H560" s="32" t="n">
        <x:v>0</x:v>
      </x:c>
      <x:c r="I560" s="40" t="n">
        <x:v>2</x:v>
      </x:c>
      <x:c r="J560" s="40" t="n">
        <x:v>2</x:v>
      </x:c>
      <x:c r="K560" s="40" t="n">
        <x:v>1</x:v>
      </x:c>
      <x:c r="L560" s="40" t="n">
        <x:v>1</x:v>
      </x:c>
    </x:row>
    <x:row r="561" ht="23" customHeight="1">
      <x:c r="B561" s="17" t="str">
        <x:v>All rounds</x:v>
      </x:c>
      <x:c r="C561" s="17" t="str">
        <x:v>condition</x:v>
      </x:c>
      <x:c r="D561" s="17" t="str">
        <x:v>Math_51</x:v>
      </x:c>
      <x:c r="E561" s="32" t="n">
        <x:v>0.9556</x:v>
      </x:c>
      <x:c r="F561" s="32" t="n">
        <x:v>0</x:v>
      </x:c>
      <x:c r="G561" s="32" t="n">
        <x:v>0.5111</x:v>
      </x:c>
      <x:c r="H561" s="32" t="n">
        <x:v>0</x:v>
      </x:c>
      <x:c r="I561" s="40" t="n">
        <x:v>2</x:v>
      </x:c>
      <x:c r="J561" s="40" t="n">
        <x:v>2</x:v>
      </x:c>
      <x:c r="K561" s="40" t="n">
        <x:v>1</x:v>
      </x:c>
      <x:c r="L561" s="40" t="n">
        <x:v>1</x:v>
      </x:c>
    </x:row>
    <x:row r="562" ht="23" customHeight="1">
      <x:c r="B562" s="17" t="str">
        <x:v>All rounds</x:v>
      </x:c>
      <x:c r="C562" s="17" t="str">
        <x:v>condition</x:v>
      </x:c>
      <x:c r="D562" s="17" t="str">
        <x:v>Math_52</x:v>
      </x:c>
      <x:c r="E562" s="32" t="n">
        <x:v>0.9508</x:v>
      </x:c>
      <x:c r="F562" s="32" t="n">
        <x:v>0.42619999999999997</x:v>
      </x:c>
      <x:c r="G562" s="32" t="n">
        <x:v>0.7295</x:v>
      </x:c>
      <x:c r="H562" s="32" t="n">
        <x:v>0.008199999999999999</x:v>
      </x:c>
      <x:c r="I562" s="40" t="n">
        <x:v>2</x:v>
      </x:c>
      <x:c r="J562" s="40" t="n">
        <x:v>2</x:v>
      </x:c>
      <x:c r="K562" s="40" t="n">
        <x:v>1</x:v>
      </x:c>
      <x:c r="L562" s="40" t="n">
        <x:v>1</x:v>
      </x:c>
    </x:row>
    <x:row r="563" ht="23" customHeight="1">
      <x:c r="B563" s="17" t="str">
        <x:v>All rounds</x:v>
      </x:c>
      <x:c r="C563" s="17" t="str">
        <x:v>condition</x:v>
      </x:c>
      <x:c r="D563" s="17" t="str">
        <x:v>Math_53</x:v>
      </x:c>
      <x:c r="E563" s="32" t="n">
        <x:v>0.9561</x:v>
      </x:c>
      <x:c r="F563" s="32" t="n">
        <x:v>0.96055</x:v>
      </x:c>
      <x:c r="G563" s="32" t="n">
        <x:v>0.8772</x:v>
      </x:c>
      <x:c r="H563" s="32" t="n">
        <x:v>0.0702</x:v>
      </x:c>
      <x:c r="I563" s="40" t="n">
        <x:v>2</x:v>
      </x:c>
      <x:c r="J563" s="40" t="n">
        <x:v>2</x:v>
      </x:c>
      <x:c r="K563" s="40" t="n">
        <x:v>1</x:v>
      </x:c>
      <x:c r="L563" s="40" t="n">
        <x:v>1</x:v>
      </x:c>
    </x:row>
    <x:row r="564" ht="23" customHeight="1">
      <x:c r="B564" s="17" t="str">
        <x:v>All rounds</x:v>
      </x:c>
      <x:c r="C564" s="17" t="str">
        <x:v>condition</x:v>
      </x:c>
      <x:c r="D564" s="17" t="str">
        <x:v>Math_54</x:v>
      </x:c>
      <x:c r="E564" s="32" t="n">
        <x:v>0.2133</x:v>
      </x:c>
      <x:c r="F564" s="32" t="n">
        <x:v>0</x:v>
      </x:c>
      <x:c r="G564" s="32" t="n">
        <x:v>0.6598999999999999</x:v>
      </x:c>
      <x:c r="H564" s="32" t="n">
        <x:v>0</x:v>
      </x:c>
      <x:c r="I564" s="40" t="n">
        <x:v>2</x:v>
      </x:c>
      <x:c r="J564" s="40" t="n">
        <x:v>2</x:v>
      </x:c>
      <x:c r="K564" s="40" t="n">
        <x:v>1</x:v>
      </x:c>
      <x:c r="L564" s="40" t="n">
        <x:v>1</x:v>
      </x:c>
    </x:row>
    <x:row r="565" ht="23" customHeight="1">
      <x:c r="B565" s="17" t="str">
        <x:v>All rounds</x:v>
      </x:c>
      <x:c r="C565" s="17" t="str">
        <x:v>condition</x:v>
      </x:c>
      <x:c r="D565" s="17" t="str">
        <x:v>Math_55</x:v>
      </x:c>
      <x:c r="E565" s="32" t="n">
        <x:v>0.9582999999999999</x:v>
      </x:c>
      <x:c r="F565" s="32" t="n">
        <x:v>0.8646</x:v>
      </x:c>
      <x:c r="G565" s="32" t="n">
        <x:v>0.8332999999999999</x:v>
      </x:c>
      <x:c r="H565" s="32" t="n">
        <x:v>0</x:v>
      </x:c>
      <x:c r="I565" s="40" t="n">
        <x:v>2</x:v>
      </x:c>
      <x:c r="J565" s="40" t="n">
        <x:v>2</x:v>
      </x:c>
      <x:c r="K565" s="40" t="n">
        <x:v>1</x:v>
      </x:c>
      <x:c r="L565" s="40" t="n">
        <x:v>1</x:v>
      </x:c>
    </x:row>
    <x:row r="566" ht="23" customHeight="1">
      <x:c r="B566" s="17" t="str">
        <x:v>All rounds</x:v>
      </x:c>
      <x:c r="C566" s="17" t="str">
        <x:v>condition</x:v>
      </x:c>
      <x:c r="D566" s="17" t="str">
        <x:v>Math_56</x:v>
      </x:c>
      <x:c r="E566" s="32" t="n">
        <x:v>1</x:v>
      </x:c>
      <x:c r="F566" s="32" t="n">
        <x:v>0.8823500000000002</x:v>
      </x:c>
      <x:c r="G566" s="32" t="n">
        <x:v>0.9412</x:v>
      </x:c>
      <x:c r="H566" s="32" t="n">
        <x:v>0</x:v>
      </x:c>
      <x:c r="I566" s="40" t="n">
        <x:v>2</x:v>
      </x:c>
      <x:c r="J566" s="40" t="n">
        <x:v>2</x:v>
      </x:c>
      <x:c r="K566" s="40" t="n">
        <x:v>2</x:v>
      </x:c>
      <x:c r="L566" s="40" t="n">
        <x:v>1</x:v>
      </x:c>
    </x:row>
    <x:row r="567" ht="23" customHeight="1">
      <x:c r="B567" s="17" t="str">
        <x:v>All rounds</x:v>
      </x:c>
      <x:c r="C567" s="17" t="str">
        <x:v>condition</x:v>
      </x:c>
      <x:c r="D567" s="17" t="str">
        <x:v>Math_57</x:v>
      </x:c>
      <x:c r="E567" s="32" t="n">
        <x:v>0.9074</x:v>
      </x:c>
      <x:c r="F567" s="32" t="n">
        <x:v>0</x:v>
      </x:c>
      <x:c r="G567" s="32" t="n">
        <x:v>0.9074</x:v>
      </x:c>
      <x:c r="H567" s="32" t="n">
        <x:v>0</x:v>
      </x:c>
      <x:c r="I567" s="40" t="n">
        <x:v>2</x:v>
      </x:c>
      <x:c r="J567" s="40" t="n">
        <x:v>2</x:v>
      </x:c>
      <x:c r="K567" s="40" t="n">
        <x:v>1</x:v>
      </x:c>
      <x:c r="L567" s="40" t="n">
        <x:v>1</x:v>
      </x:c>
    </x:row>
    <x:row r="568" ht="23" customHeight="1">
      <x:c r="B568" s="17" t="str">
        <x:v>All rounds</x:v>
      </x:c>
      <x:c r="C568" s="17" t="str">
        <x:v>condition</x:v>
      </x:c>
      <x:c r="D568" s="17" t="str">
        <x:v>Math_58</x:v>
      </x:c>
      <x:c r="E568" s="32" t="n">
        <x:v>0.9655</x:v>
      </x:c>
      <x:c r="F568" s="32" t="n">
        <x:v>0.9569</x:v>
      </x:c>
      <x:c r="G568" s="32" t="n">
        <x:v>0.6207</x:v>
      </x:c>
      <x:c r="H568" s="32" t="n">
        <x:v>0</x:v>
      </x:c>
      <x:c r="I568" s="40" t="n">
        <x:v>2</x:v>
      </x:c>
      <x:c r="J568" s="40" t="n">
        <x:v>2</x:v>
      </x:c>
      <x:c r="K568" s="40" t="n">
        <x:v>1</x:v>
      </x:c>
      <x:c r="L568" s="40" t="n">
        <x:v>1</x:v>
      </x:c>
    </x:row>
    <x:row r="569" ht="23" customHeight="1">
      <x:c r="B569" s="17" t="str">
        <x:v>All rounds</x:v>
      </x:c>
      <x:c r="C569" s="17" t="str">
        <x:v>condition</x:v>
      </x:c>
      <x:c r="D569" s="17" t="str">
        <x:v>Math_59</x:v>
      </x:c>
      <x:c r="E569" s="32" t="n">
        <x:v>0.8067</x:v>
      </x:c>
      <x:c r="F569" s="32" t="n">
        <x:v>0.7845</x:v>
      </x:c>
      <x:c r="G569" s="32" t="n">
        <x:v>0.43560000000000004</x:v>
      </x:c>
      <x:c r="H569" s="32" t="n">
        <x:v>0.066</x:v>
      </x:c>
      <x:c r="I569" s="40" t="n">
        <x:v>2</x:v>
      </x:c>
      <x:c r="J569" s="40" t="n">
        <x:v>2</x:v>
      </x:c>
      <x:c r="K569" s="40" t="n">
        <x:v>2</x:v>
      </x:c>
      <x:c r="L569" s="40" t="n">
        <x:v>1</x:v>
      </x:c>
    </x:row>
    <x:row r="570" ht="23" customHeight="1">
      <x:c r="B570" s="17" t="str">
        <x:v>All rounds</x:v>
      </x:c>
      <x:c r="C570" s="17" t="str">
        <x:v>condition</x:v>
      </x:c>
      <x:c r="D570" s="17" t="str">
        <x:v>Math_61</x:v>
      </x:c>
      <x:c r="E570" s="32" t="n">
        <x:v>1</x:v>
      </x:c>
      <x:c r="F570" s="32" t="n">
        <x:v>0.875</x:v>
      </x:c>
      <x:c r="G570" s="32" t="n">
        <x:v>1</x:v>
      </x:c>
      <x:c r="H570" s="32" t="n">
        <x:v>0</x:v>
      </x:c>
      <x:c r="I570" s="40" t="n">
        <x:v>2</x:v>
      </x:c>
      <x:c r="J570" s="40" t="n">
        <x:v>2</x:v>
      </x:c>
      <x:c r="K570" s="40" t="n">
        <x:v>2</x:v>
      </x:c>
      <x:c r="L570" s="40" t="n">
        <x:v>1</x:v>
      </x:c>
    </x:row>
    <x:row r="571" ht="23" customHeight="1">
      <x:c r="B571" s="17" t="str">
        <x:v>All rounds</x:v>
      </x:c>
      <x:c r="C571" s="17" t="str">
        <x:v>condition</x:v>
      </x:c>
      <x:c r="D571" s="17" t="str">
        <x:v>Math_62</x:v>
      </x:c>
      <x:c r="E571" s="32" t="n">
        <x:v>0.8889</x:v>
      </x:c>
      <x:c r="F571" s="32" t="n">
        <x:v>0</x:v>
      </x:c>
      <x:c r="G571" s="32" t="n">
        <x:v>0.9444</x:v>
      </x:c>
      <x:c r="H571" s="32" t="n">
        <x:v>0</x:v>
      </x:c>
      <x:c r="I571" s="40" t="n">
        <x:v>2</x:v>
      </x:c>
      <x:c r="J571" s="40" t="n">
        <x:v>2</x:v>
      </x:c>
      <x:c r="K571" s="40" t="n">
        <x:v>1</x:v>
      </x:c>
      <x:c r="L571" s="40" t="n">
        <x:v>1</x:v>
      </x:c>
    </x:row>
    <x:row r="572" ht="23" customHeight="1">
      <x:c r="B572" s="17" t="str">
        <x:v>All rounds</x:v>
      </x:c>
      <x:c r="C572" s="17" t="str">
        <x:v>condition</x:v>
      </x:c>
      <x:c r="D572" s="17" t="str">
        <x:v>Math_63</x:v>
      </x:c>
      <x:c r="E572" s="32" t="n">
        <x:v>0.8820999999999999</x:v>
      </x:c>
      <x:c r="F572" s="32" t="n">
        <x:v>0.7483</x:v>
      </x:c>
      <x:c r="G572" s="32" t="n">
        <x:v>0.5760000000000001</x:v>
      </x:c>
      <x:c r="H572" s="32" t="n">
        <x:v>0</x:v>
      </x:c>
      <x:c r="I572" s="40" t="n">
        <x:v>2</x:v>
      </x:c>
      <x:c r="J572" s="40" t="n">
        <x:v>1</x:v>
      </x:c>
      <x:c r="K572" s="40" t="n">
        <x:v>2</x:v>
      </x:c>
      <x:c r="L572" s="40" t="n">
        <x:v>1</x:v>
      </x:c>
    </x:row>
    <x:row r="573" ht="23" customHeight="1">
      <x:c r="B573" s="17" t="str">
        <x:v>All rounds</x:v>
      </x:c>
      <x:c r="C573" s="17" t="str">
        <x:v>condition</x:v>
      </x:c>
      <x:c r="D573" s="17" t="str">
        <x:v>Math_64</x:v>
      </x:c>
      <x:c r="E573" s="32" t="n">
        <x:v>0</x:v>
      </x:c>
      <x:c r="F573" s="32" t="n">
        <x:v>0</x:v>
      </x:c>
      <x:c r="G573" s="32" t="n">
        <x:v>0.44</x:v>
      </x:c>
      <x:c r="H573" s="32" t="n">
        <x:v>0</x:v>
      </x:c>
      <x:c r="I573" s="40" t="n">
        <x:v>2</x:v>
      </x:c>
      <x:c r="J573" s="40" t="n">
        <x:v>2</x:v>
      </x:c>
      <x:c r="K573" s="40" t="n">
        <x:v>1</x:v>
      </x:c>
      <x:c r="L573" s="40" t="n">
        <x:v>1</x:v>
      </x:c>
    </x:row>
    <x:row r="574" ht="23" customHeight="1">
      <x:c r="B574" s="17" t="str">
        <x:v>All rounds</x:v>
      </x:c>
      <x:c r="C574" s="17" t="str">
        <x:v>condition</x:v>
      </x:c>
      <x:c r="D574" s="17" t="str">
        <x:v>Math_66</x:v>
      </x:c>
      <x:c r="E574" s="32" t="n">
        <x:v>0.9828</x:v>
      </x:c>
      <x:c r="F574" s="32" t="n">
        <x:v>0.1207</x:v>
      </x:c>
      <x:c r="G574" s="32" t="n">
        <x:v>0.9483</x:v>
      </x:c>
      <x:c r="H574" s="32" t="n">
        <x:v>0</x:v>
      </x:c>
      <x:c r="I574" s="40" t="n">
        <x:v>2</x:v>
      </x:c>
      <x:c r="J574" s="40" t="n">
        <x:v>2</x:v>
      </x:c>
      <x:c r="K574" s="40" t="n">
        <x:v>2</x:v>
      </x:c>
      <x:c r="L574" s="40" t="n">
        <x:v>1</x:v>
      </x:c>
    </x:row>
    <x:row r="575" ht="23" customHeight="1">
      <x:c r="B575" s="17" t="str">
        <x:v>All rounds</x:v>
      </x:c>
      <x:c r="C575" s="17" t="str">
        <x:v>condition</x:v>
      </x:c>
      <x:c r="D575" s="17" t="str">
        <x:v>Math_67</x:v>
      </x:c>
      <x:c r="E575" s="32" t="n">
        <x:v>0.9412</x:v>
      </x:c>
      <x:c r="F575" s="32" t="n">
        <x:v>0.2059</x:v>
      </x:c>
      <x:c r="G575" s="32" t="n">
        <x:v>0.8529000000000001</x:v>
      </x:c>
      <x:c r="H575" s="32" t="n">
        <x:v>0</x:v>
      </x:c>
      <x:c r="I575" s="40" t="n">
        <x:v>2</x:v>
      </x:c>
      <x:c r="J575" s="40" t="n">
        <x:v>2</x:v>
      </x:c>
      <x:c r="K575" s="40" t="n">
        <x:v>2</x:v>
      </x:c>
      <x:c r="L575" s="40" t="n">
        <x:v>1</x:v>
      </x:c>
    </x:row>
    <x:row r="576" ht="23" customHeight="1">
      <x:c r="B576" s="17" t="str">
        <x:v>All rounds</x:v>
      </x:c>
      <x:c r="C576" s="17" t="str">
        <x:v>condition</x:v>
      </x:c>
      <x:c r="D576" s="17" t="str">
        <x:v>Math_68</x:v>
      </x:c>
      <x:c r="E576" s="32" t="n">
        <x:v>0</x:v>
      </x:c>
      <x:c r="F576" s="32" t="n">
        <x:v>0</x:v>
      </x:c>
      <x:c r="G576" s="32" t="n">
        <x:v>0.4286</x:v>
      </x:c>
      <x:c r="H576" s="32" t="n">
        <x:v>0</x:v>
      </x:c>
      <x:c r="I576" s="40" t="n">
        <x:v>2</x:v>
      </x:c>
      <x:c r="J576" s="40" t="n">
        <x:v>2</x:v>
      </x:c>
      <x:c r="K576" s="40" t="n">
        <x:v>1</x:v>
      </x:c>
      <x:c r="L576" s="40" t="n">
        <x:v>1</x:v>
      </x:c>
    </x:row>
    <x:row r="577" ht="23" customHeight="1">
      <x:c r="B577" s="17" t="str">
        <x:v>All rounds</x:v>
      </x:c>
      <x:c r="C577" s="17" t="str">
        <x:v>condition</x:v>
      </x:c>
      <x:c r="D577" s="17" t="str">
        <x:v>Math_69</x:v>
      </x:c>
      <x:c r="E577" s="32" t="n">
        <x:v>1</x:v>
      </x:c>
      <x:c r="F577" s="32" t="n">
        <x:v>0.91665</x:v>
      </x:c>
      <x:c r="G577" s="32" t="n">
        <x:v>0.9667</x:v>
      </x:c>
      <x:c r="H577" s="32" t="n">
        <x:v>0</x:v>
      </x:c>
      <x:c r="I577" s="40" t="n">
        <x:v>2</x:v>
      </x:c>
      <x:c r="J577" s="40" t="n">
        <x:v>2</x:v>
      </x:c>
      <x:c r="K577" s="40" t="n">
        <x:v>2</x:v>
      </x:c>
      <x:c r="L577" s="40" t="n">
        <x:v>1</x:v>
      </x:c>
    </x:row>
    <x:row r="578" ht="23" customHeight="1">
      <x:c r="B578" s="17" t="str">
        <x:v>All rounds</x:v>
      </x:c>
      <x:c r="C578" s="17" t="str">
        <x:v>condition</x:v>
      </x:c>
      <x:c r="D578" s="17" t="str">
        <x:v>Math_7</x:v>
      </x:c>
      <x:c r="E578" s="32" t="n">
        <x:v>0.64</x:v>
      </x:c>
      <x:c r="F578" s="32" t="n">
        <x:v>0</x:v>
      </x:c>
      <x:c r="G578" s="32" t="n">
        <x:v>0.28</x:v>
      </x:c>
      <x:c r="H578" s="32" t="n">
        <x:v>0</x:v>
      </x:c>
      <x:c r="I578" s="40" t="n">
        <x:v>2</x:v>
      </x:c>
      <x:c r="J578" s="40" t="n">
        <x:v>2</x:v>
      </x:c>
      <x:c r="K578" s="40" t="n">
        <x:v>1</x:v>
      </x:c>
      <x:c r="L578" s="40" t="n">
        <x:v>1</x:v>
      </x:c>
    </x:row>
    <x:row r="579" ht="23" customHeight="1">
      <x:c r="B579" s="17" t="str">
        <x:v>All rounds</x:v>
      </x:c>
      <x:c r="C579" s="17" t="str">
        <x:v>condition</x:v>
      </x:c>
      <x:c r="D579" s="17" t="str">
        <x:v>Math_71</x:v>
      </x:c>
      <x:c r="E579" s="32" t="n">
        <x:v>0.9388</x:v>
      </x:c>
      <x:c r="F579" s="32" t="n">
        <x:v>0</x:v>
      </x:c>
      <x:c r="G579" s="32" t="n">
        <x:v>0.8061</x:v>
      </x:c>
      <x:c r="H579" s="32" t="n">
        <x:v>0</x:v>
      </x:c>
      <x:c r="I579" s="40" t="n">
        <x:v>2</x:v>
      </x:c>
      <x:c r="J579" s="40" t="n">
        <x:v>2</x:v>
      </x:c>
      <x:c r="K579" s="40" t="n">
        <x:v>1</x:v>
      </x:c>
      <x:c r="L579" s="40" t="n">
        <x:v>1</x:v>
      </x:c>
    </x:row>
    <x:row r="580" ht="23" customHeight="1">
      <x:c r="B580" s="17" t="str">
        <x:v>All rounds</x:v>
      </x:c>
      <x:c r="C580" s="17" t="str">
        <x:v>condition</x:v>
      </x:c>
      <x:c r="D580" s="17" t="str">
        <x:v>Math_72</x:v>
      </x:c>
      <x:c r="E580" s="32" t="n">
        <x:v>1</x:v>
      </x:c>
      <x:c r="F580" s="32" t="n">
        <x:v>0</x:v>
      </x:c>
      <x:c r="G580" s="32" t="n">
        <x:v>0.8148000000000001</x:v>
      </x:c>
      <x:c r="H580" s="32" t="n">
        <x:v>0</x:v>
      </x:c>
      <x:c r="I580" s="40" t="n">
        <x:v>2</x:v>
      </x:c>
      <x:c r="J580" s="40" t="n">
        <x:v>2</x:v>
      </x:c>
      <x:c r="K580" s="40" t="n">
        <x:v>2</x:v>
      </x:c>
      <x:c r="L580" s="40" t="n">
        <x:v>1</x:v>
      </x:c>
    </x:row>
    <x:row r="581" ht="23" customHeight="1">
      <x:c r="B581" s="17" t="str">
        <x:v>All rounds</x:v>
      </x:c>
      <x:c r="C581" s="17" t="str">
        <x:v>condition</x:v>
      </x:c>
      <x:c r="D581" s="17" t="str">
        <x:v>Math_73</x:v>
      </x:c>
      <x:c r="E581" s="32" t="n">
        <x:v>1</x:v>
      </x:c>
      <x:c r="F581" s="32" t="n">
        <x:v>0</x:v>
      </x:c>
      <x:c r="G581" s="32" t="n">
        <x:v>0.8077</x:v>
      </x:c>
      <x:c r="H581" s="32" t="n">
        <x:v>0</x:v>
      </x:c>
      <x:c r="I581" s="40" t="n">
        <x:v>2</x:v>
      </x:c>
      <x:c r="J581" s="40" t="n">
        <x:v>2</x:v>
      </x:c>
      <x:c r="K581" s="40" t="n">
        <x:v>2</x:v>
      </x:c>
      <x:c r="L581" s="40" t="n">
        <x:v>1</x:v>
      </x:c>
    </x:row>
    <x:row r="582" ht="23" customHeight="1">
      <x:c r="B582" s="17" t="str">
        <x:v>All rounds</x:v>
      </x:c>
      <x:c r="C582" s="17" t="str">
        <x:v>condition</x:v>
      </x:c>
      <x:c r="D582" s="17" t="str">
        <x:v>Math_74</x:v>
      </x:c>
      <x:c r="E582" s="32" t="n">
        <x:v>0.40740000000000004</x:v>
      </x:c>
      <x:c r="F582" s="32" t="n">
        <x:v>0</x:v>
      </x:c>
      <x:c r="G582" s="32" t="n">
        <x:v>0.8519</x:v>
      </x:c>
      <x:c r="H582" s="32" t="n">
        <x:v>0</x:v>
      </x:c>
      <x:c r="I582" s="40" t="n">
        <x:v>2</x:v>
      </x:c>
      <x:c r="J582" s="40" t="n">
        <x:v>2</x:v>
      </x:c>
      <x:c r="K582" s="40" t="n">
        <x:v>1</x:v>
      </x:c>
      <x:c r="L582" s="40" t="n">
        <x:v>1</x:v>
      </x:c>
    </x:row>
    <x:row r="583" ht="23" customHeight="1">
      <x:c r="B583" s="17" t="str">
        <x:v>All rounds</x:v>
      </x:c>
      <x:c r="C583" s="17" t="str">
        <x:v>condition</x:v>
      </x:c>
      <x:c r="D583" s="17" t="str">
        <x:v>Math_75</x:v>
      </x:c>
      <x:c r="E583" s="32" t="n">
        <x:v>0.9167000000000001</x:v>
      </x:c>
      <x:c r="F583" s="32" t="n">
        <x:v>0.8332999999999999</x:v>
      </x:c>
      <x:c r="G583" s="32" t="n">
        <x:v>0.7707999999999999</x:v>
      </x:c>
      <x:c r="H583" s="32" t="n">
        <x:v>0</x:v>
      </x:c>
      <x:c r="I583" s="40" t="n">
        <x:v>2</x:v>
      </x:c>
      <x:c r="J583" s="40" t="n">
        <x:v>2</x:v>
      </x:c>
      <x:c r="K583" s="40" t="n">
        <x:v>2</x:v>
      </x:c>
      <x:c r="L583" s="40" t="n">
        <x:v>1</x:v>
      </x:c>
    </x:row>
    <x:row r="584" ht="23" customHeight="1">
      <x:c r="B584" s="17" t="str">
        <x:v>All rounds</x:v>
      </x:c>
      <x:c r="C584" s="17" t="str">
        <x:v>condition</x:v>
      </x:c>
      <x:c r="D584" s="17" t="str">
        <x:v>Math_76</x:v>
      </x:c>
      <x:c r="E584" s="32" t="n">
        <x:v>1</x:v>
      </x:c>
      <x:c r="F584" s="32" t="n">
        <x:v>0</x:v>
      </x:c>
      <x:c r="G584" s="32" t="n">
        <x:v>0.6667000000000001</x:v>
      </x:c>
      <x:c r="H584" s="32" t="n">
        <x:v>0</x:v>
      </x:c>
      <x:c r="I584" s="40" t="n">
        <x:v>2</x:v>
      </x:c>
      <x:c r="J584" s="40" t="n">
        <x:v>2</x:v>
      </x:c>
      <x:c r="K584" s="40" t="n">
        <x:v>2</x:v>
      </x:c>
      <x:c r="L584" s="40" t="n">
        <x:v>1</x:v>
      </x:c>
    </x:row>
    <x:row r="585" ht="23" customHeight="1">
      <x:c r="B585" s="17" t="str">
        <x:v>All rounds</x:v>
      </x:c>
      <x:c r="C585" s="17" t="str">
        <x:v>condition</x:v>
      </x:c>
      <x:c r="D585" s="17" t="str">
        <x:v>Math_77</x:v>
      </x:c>
      <x:c r="E585" s="32" t="n">
        <x:v>0.9911</x:v>
      </x:c>
      <x:c r="F585" s="32" t="n">
        <x:v>0.74405</x:v>
      </x:c>
      <x:c r="G585" s="32" t="n">
        <x:v>0.6893</x:v>
      </x:c>
      <x:c r="H585" s="32" t="n">
        <x:v>0</x:v>
      </x:c>
      <x:c r="I585" s="40" t="n">
        <x:v>2</x:v>
      </x:c>
      <x:c r="J585" s="40" t="n">
        <x:v>2</x:v>
      </x:c>
      <x:c r="K585" s="40" t="n">
        <x:v>1</x:v>
      </x:c>
      <x:c r="L585" s="40" t="n">
        <x:v>1</x:v>
      </x:c>
    </x:row>
    <x:row r="586" ht="23" customHeight="1">
      <x:c r="B586" s="17" t="str">
        <x:v>All rounds</x:v>
      </x:c>
      <x:c r="C586" s="17" t="str">
        <x:v>condition</x:v>
      </x:c>
      <x:c r="D586" s="17" t="str">
        <x:v>Math_79</x:v>
      </x:c>
      <x:c r="E586" s="32" t="n">
        <x:v>0.9304000000000001</x:v>
      </x:c>
      <x:c r="F586" s="32" t="n">
        <x:v>0.4971</x:v>
      </x:c>
      <x:c r="G586" s="32" t="n">
        <x:v>0.6261</x:v>
      </x:c>
      <x:c r="H586" s="32" t="n">
        <x:v>0</x:v>
      </x:c>
      <x:c r="I586" s="40" t="n">
        <x:v>2</x:v>
      </x:c>
      <x:c r="J586" s="40" t="n">
        <x:v>2</x:v>
      </x:c>
      <x:c r="K586" s="40" t="n">
        <x:v>2</x:v>
      </x:c>
      <x:c r="L586" s="40" t="n">
        <x:v>1</x:v>
      </x:c>
    </x:row>
    <x:row r="587" ht="23" customHeight="1">
      <x:c r="B587" s="17" t="str">
        <x:v>All rounds</x:v>
      </x:c>
      <x:c r="C587" s="17" t="str">
        <x:v>condition</x:v>
      </x:c>
      <x:c r="D587" s="17" t="str">
        <x:v>Math_8</x:v>
      </x:c>
      <x:c r="E587" s="32" t="n">
        <x:v>0.9582999999999999</x:v>
      </x:c>
      <x:c r="F587" s="32" t="n">
        <x:v>0.0417</x:v>
      </x:c>
      <x:c r="G587" s="32" t="n">
        <x:v>0.97915</x:v>
      </x:c>
      <x:c r="H587" s="32" t="n">
        <x:v>0</x:v>
      </x:c>
      <x:c r="I587" s="40" t="n">
        <x:v>2</x:v>
      </x:c>
      <x:c r="J587" s="40" t="n">
        <x:v>2</x:v>
      </x:c>
      <x:c r="K587" s="40" t="n">
        <x:v>2</x:v>
      </x:c>
      <x:c r="L587" s="40" t="n">
        <x:v>1</x:v>
      </x:c>
    </x:row>
    <x:row r="588" ht="23" customHeight="1">
      <x:c r="B588" s="17" t="str">
        <x:v>All rounds</x:v>
      </x:c>
      <x:c r="C588" s="17" t="str">
        <x:v>condition</x:v>
      </x:c>
      <x:c r="D588" s="17" t="str">
        <x:v>Math_80</x:v>
      </x:c>
      <x:c r="E588" s="32" t="n">
        <x:v>0.7536</x:v>
      </x:c>
      <x:c r="F588" s="32" t="n">
        <x:v>0.1377</x:v>
      </x:c>
      <x:c r="G588" s="32" t="n">
        <x:v>0.1932</x:v>
      </x:c>
      <x:c r="H588" s="32" t="n">
        <x:v>0</x:v>
      </x:c>
      <x:c r="I588" s="40" t="n">
        <x:v>2</x:v>
      </x:c>
      <x:c r="J588" s="40" t="n">
        <x:v>2</x:v>
      </x:c>
      <x:c r="K588" s="40" t="n">
        <x:v>2</x:v>
      </x:c>
      <x:c r="L588" s="40" t="n">
        <x:v>1</x:v>
      </x:c>
    </x:row>
    <x:row r="589" ht="23" customHeight="1">
      <x:c r="B589" s="17" t="str">
        <x:v>All rounds</x:v>
      </x:c>
      <x:c r="C589" s="17" t="str">
        <x:v>condition</x:v>
      </x:c>
      <x:c r="D589" s="17" t="str">
        <x:v>Math_81</x:v>
      </x:c>
      <x:c r="E589" s="32" t="n">
        <x:v>0.7585</x:v>
      </x:c>
      <x:c r="F589" s="32" t="n">
        <x:v>0.1377</x:v>
      </x:c>
      <x:c r="G589" s="32" t="n">
        <x:v>0.2029</x:v>
      </x:c>
      <x:c r="H589" s="32" t="n">
        <x:v>0</x:v>
      </x:c>
      <x:c r="I589" s="40" t="n">
        <x:v>2</x:v>
      </x:c>
      <x:c r="J589" s="40" t="n">
        <x:v>2</x:v>
      </x:c>
      <x:c r="K589" s="40" t="n">
        <x:v>2</x:v>
      </x:c>
      <x:c r="L589" s="40" t="n">
        <x:v>1</x:v>
      </x:c>
    </x:row>
    <x:row r="590" ht="23" customHeight="1">
      <x:c r="B590" s="17" t="str">
        <x:v>All rounds</x:v>
      </x:c>
      <x:c r="C590" s="17" t="str">
        <x:v>condition</x:v>
      </x:c>
      <x:c r="D590" s="17" t="str">
        <x:v>Math_82</x:v>
      </x:c>
      <x:c r="E590" s="32" t="n">
        <x:v>0.9722</x:v>
      </x:c>
      <x:c r="F590" s="32" t="n">
        <x:v>0</x:v>
      </x:c>
      <x:c r="G590" s="32" t="n">
        <x:v>0.9167000000000001</x:v>
      </x:c>
      <x:c r="H590" s="32" t="n">
        <x:v>0</x:v>
      </x:c>
      <x:c r="I590" s="40" t="n">
        <x:v>2</x:v>
      </x:c>
      <x:c r="J590" s="40" t="n">
        <x:v>2</x:v>
      </x:c>
      <x:c r="K590" s="40" t="n">
        <x:v>1</x:v>
      </x:c>
      <x:c r="L590" s="40" t="n">
        <x:v>1</x:v>
      </x:c>
    </x:row>
    <x:row r="591" ht="23" customHeight="1">
      <x:c r="B591" s="17" t="str">
        <x:v>All rounds</x:v>
      </x:c>
      <x:c r="C591" s="17" t="str">
        <x:v>condition</x:v>
      </x:c>
      <x:c r="D591" s="17" t="str">
        <x:v>Math_83</x:v>
      </x:c>
      <x:c r="E591" s="32" t="n">
        <x:v>0.10869999999999999</x:v>
      </x:c>
      <x:c r="F591" s="32" t="n">
        <x:v>0</x:v>
      </x:c>
      <x:c r="G591" s="32" t="n">
        <x:v>0.0761</x:v>
      </x:c>
      <x:c r="H591" s="32" t="n">
        <x:v>0</x:v>
      </x:c>
      <x:c r="I591" s="40" t="n">
        <x:v>2</x:v>
      </x:c>
      <x:c r="J591" s="40" t="n">
        <x:v>2</x:v>
      </x:c>
      <x:c r="K591" s="40" t="n">
        <x:v>1</x:v>
      </x:c>
      <x:c r="L591" s="40" t="n">
        <x:v>1</x:v>
      </x:c>
    </x:row>
    <x:row r="592" ht="23" customHeight="1">
      <x:c r="B592" s="17" t="str">
        <x:v>All rounds</x:v>
      </x:c>
      <x:c r="C592" s="17" t="str">
        <x:v>condition</x:v>
      </x:c>
      <x:c r="D592" s="17" t="str">
        <x:v>Math_85</x:v>
      </x:c>
      <x:c r="E592" s="32" t="n">
        <x:v>1</x:v>
      </x:c>
      <x:c r="F592" s="32" t="n">
        <x:v>0.0909</x:v>
      </x:c>
      <x:c r="G592" s="32" t="n">
        <x:v>0.8636</x:v>
      </x:c>
      <x:c r="H592" s="32" t="n">
        <x:v>0</x:v>
      </x:c>
      <x:c r="I592" s="40" t="n">
        <x:v>2</x:v>
      </x:c>
      <x:c r="J592" s="40" t="n">
        <x:v>2</x:v>
      </x:c>
      <x:c r="K592" s="40" t="n">
        <x:v>2</x:v>
      </x:c>
      <x:c r="L592" s="40" t="n">
        <x:v>1</x:v>
      </x:c>
    </x:row>
    <x:row r="593" ht="23" customHeight="1">
      <x:c r="B593" s="17" t="str">
        <x:v>All rounds</x:v>
      </x:c>
      <x:c r="C593" s="17" t="str">
        <x:v>condition</x:v>
      </x:c>
      <x:c r="D593" s="17" t="str">
        <x:v>Math_86</x:v>
      </x:c>
      <x:c r="E593" s="32" t="n">
        <x:v>0.3667</x:v>
      </x:c>
      <x:c r="F593" s="32" t="n">
        <x:v>0</x:v>
      </x:c>
      <x:c r="G593" s="32" t="n">
        <x:v>0.8332999999999999</x:v>
      </x:c>
      <x:c r="H593" s="32" t="n">
        <x:v>0</x:v>
      </x:c>
      <x:c r="I593" s="40" t="n">
        <x:v>2</x:v>
      </x:c>
      <x:c r="J593" s="40" t="n">
        <x:v>2</x:v>
      </x:c>
      <x:c r="K593" s="40" t="n">
        <x:v>1</x:v>
      </x:c>
      <x:c r="L593" s="40" t="n">
        <x:v>1</x:v>
      </x:c>
    </x:row>
    <x:row r="594" ht="23" customHeight="1">
      <x:c r="B594" s="17" t="str">
        <x:v>All rounds</x:v>
      </x:c>
      <x:c r="C594" s="17" t="str">
        <x:v>condition</x:v>
      </x:c>
      <x:c r="D594" s="17" t="str">
        <x:v>Math_87</x:v>
      </x:c>
      <x:c r="E594" s="32" t="n">
        <x:v>0.07780000000000001</x:v>
      </x:c>
      <x:c r="F594" s="32" t="n">
        <x:v>0</x:v>
      </x:c>
      <x:c r="G594" s="32" t="n">
        <x:v>0.07780000000000001</x:v>
      </x:c>
      <x:c r="H594" s="32" t="n">
        <x:v>0</x:v>
      </x:c>
      <x:c r="I594" s="40" t="n">
        <x:v>2</x:v>
      </x:c>
      <x:c r="J594" s="40" t="n">
        <x:v>2</x:v>
      </x:c>
      <x:c r="K594" s="40" t="n">
        <x:v>2</x:v>
      </x:c>
      <x:c r="L594" s="40" t="n">
        <x:v>1</x:v>
      </x:c>
    </x:row>
    <x:row r="595" ht="23" customHeight="1">
      <x:c r="B595" s="17" t="str">
        <x:v>All rounds</x:v>
      </x:c>
      <x:c r="C595" s="17" t="str">
        <x:v>condition</x:v>
      </x:c>
      <x:c r="D595" s="17" t="str">
        <x:v>Math_88</x:v>
      </x:c>
      <x:c r="E595" s="32" t="n">
        <x:v>0.0851</x:v>
      </x:c>
      <x:c r="F595" s="32" t="n">
        <x:v>0</x:v>
      </x:c>
      <x:c r="G595" s="32" t="n">
        <x:v>0.0638</x:v>
      </x:c>
      <x:c r="H595" s="32" t="n">
        <x:v>0</x:v>
      </x:c>
      <x:c r="I595" s="40" t="n">
        <x:v>2</x:v>
      </x:c>
      <x:c r="J595" s="40" t="n">
        <x:v>2</x:v>
      </x:c>
      <x:c r="K595" s="40" t="n">
        <x:v>1</x:v>
      </x:c>
      <x:c r="L595" s="40" t="n">
        <x:v>1</x:v>
      </x:c>
    </x:row>
    <x:row r="596" ht="23" customHeight="1">
      <x:c r="B596" s="17" t="str">
        <x:v>All rounds</x:v>
      </x:c>
      <x:c r="C596" s="17" t="str">
        <x:v>condition</x:v>
      </x:c>
      <x:c r="D596" s="17" t="str">
        <x:v>Math_89</x:v>
      </x:c>
      <x:c r="E596" s="32" t="n">
        <x:v>1</x:v>
      </x:c>
      <x:c r="F596" s="32" t="n">
        <x:v>0.9375</x:v>
      </x:c>
      <x:c r="G596" s="32" t="n">
        <x:v>0.9375</x:v>
      </x:c>
      <x:c r="H596" s="32" t="n">
        <x:v>0</x:v>
      </x:c>
      <x:c r="I596" s="40" t="n">
        <x:v>2</x:v>
      </x:c>
      <x:c r="J596" s="40" t="n">
        <x:v>2</x:v>
      </x:c>
      <x:c r="K596" s="40" t="n">
        <x:v>2</x:v>
      </x:c>
      <x:c r="L596" s="40" t="n">
        <x:v>1</x:v>
      </x:c>
    </x:row>
    <x:row r="597" ht="23" customHeight="1">
      <x:c r="B597" s="17" t="str">
        <x:v>All rounds</x:v>
      </x:c>
      <x:c r="C597" s="17" t="str">
        <x:v>condition</x:v>
      </x:c>
      <x:c r="D597" s="17" t="str">
        <x:v>Math_9</x:v>
      </x:c>
      <x:c r="E597" s="32" t="n">
        <x:v>1</x:v>
      </x:c>
      <x:c r="F597" s="32" t="n">
        <x:v>0</x:v>
      </x:c>
      <x:c r="G597" s="32" t="n">
        <x:v>1</x:v>
      </x:c>
      <x:c r="H597" s="32" t="n">
        <x:v>0</x:v>
      </x:c>
      <x:c r="I597" s="40" t="n">
        <x:v>2</x:v>
      </x:c>
      <x:c r="J597" s="40" t="n">
        <x:v>2</x:v>
      </x:c>
      <x:c r="K597" s="40" t="n">
        <x:v>1</x:v>
      </x:c>
      <x:c r="L597" s="40" t="n">
        <x:v>1</x:v>
      </x:c>
    </x:row>
    <x:row r="598" ht="23" customHeight="1">
      <x:c r="B598" s="17" t="str">
        <x:v>All rounds</x:v>
      </x:c>
      <x:c r="C598" s="17" t="str">
        <x:v>condition</x:v>
      </x:c>
      <x:c r="D598" s="17" t="str">
        <x:v>Math_90</x:v>
      </x:c>
      <x:c r="E598" s="32" t="n">
        <x:v>1</x:v>
      </x:c>
      <x:c r="F598" s="32" t="n">
        <x:v>0.9375</x:v>
      </x:c>
      <x:c r="G598" s="32" t="n">
        <x:v>0.9062</x:v>
      </x:c>
      <x:c r="H598" s="32" t="n">
        <x:v>0</x:v>
      </x:c>
      <x:c r="I598" s="40" t="n">
        <x:v>2</x:v>
      </x:c>
      <x:c r="J598" s="40" t="n">
        <x:v>2</x:v>
      </x:c>
      <x:c r="K598" s="40" t="n">
        <x:v>2</x:v>
      </x:c>
      <x:c r="L598" s="40" t="n">
        <x:v>1</x:v>
      </x:c>
    </x:row>
    <x:row r="599" ht="23" customHeight="1">
      <x:c r="B599" s="17" t="str">
        <x:v>All rounds</x:v>
      </x:c>
      <x:c r="C599" s="17" t="str">
        <x:v>condition</x:v>
      </x:c>
      <x:c r="D599" s="17" t="str">
        <x:v>Math_92</x:v>
      </x:c>
      <x:c r="E599" s="32" t="n">
        <x:v>0.8969</x:v>
      </x:c>
      <x:c r="F599" s="32" t="n">
        <x:v>0.5471</x:v>
      </x:c>
      <x:c r="G599" s="32" t="n">
        <x:v>0.8117</x:v>
      </x:c>
      <x:c r="H599" s="32" t="n">
        <x:v>0</x:v>
      </x:c>
      <x:c r="I599" s="40" t="n">
        <x:v>2</x:v>
      </x:c>
      <x:c r="J599" s="40" t="n">
        <x:v>2</x:v>
      </x:c>
      <x:c r="K599" s="40" t="n">
        <x:v>2</x:v>
      </x:c>
      <x:c r="L599" s="40" t="n">
        <x:v>1</x:v>
      </x:c>
    </x:row>
    <x:row r="600" ht="23" customHeight="1">
      <x:c r="B600" s="17" t="str">
        <x:v>All rounds</x:v>
      </x:c>
      <x:c r="C600" s="17" t="str">
        <x:v>condition</x:v>
      </x:c>
      <x:c r="D600" s="17" t="str">
        <x:v>Math_93</x:v>
      </x:c>
      <x:c r="E600" s="32" t="n">
        <x:v>0.8986</x:v>
      </x:c>
      <x:c r="F600" s="32" t="n">
        <x:v>0.53915</x:v>
      </x:c>
      <x:c r="G600" s="32" t="n">
        <x:v>0.9309000000000001</x:v>
      </x:c>
      <x:c r="H600" s="32" t="n">
        <x:v>0</x:v>
      </x:c>
      <x:c r="I600" s="40" t="n">
        <x:v>2</x:v>
      </x:c>
      <x:c r="J600" s="40" t="n">
        <x:v>2</x:v>
      </x:c>
      <x:c r="K600" s="40" t="n">
        <x:v>2</x:v>
      </x:c>
      <x:c r="L600" s="40" t="n">
        <x:v>1</x:v>
      </x:c>
    </x:row>
    <x:row r="601" ht="23" customHeight="1">
      <x:c r="B601" s="17" t="str">
        <x:v>All rounds</x:v>
      </x:c>
      <x:c r="C601" s="17" t="str">
        <x:v>condition</x:v>
      </x:c>
      <x:c r="D601" s="17" t="str">
        <x:v>Math_94</x:v>
      </x:c>
      <x:c r="E601" s="32" t="n">
        <x:v>0.9256</x:v>
      </x:c>
      <x:c r="F601" s="32" t="n">
        <x:v>0.5372</x:v>
      </x:c>
      <x:c r="G601" s="32" t="n">
        <x:v>0.8140000000000001</x:v>
      </x:c>
      <x:c r="H601" s="32" t="n">
        <x:v>0</x:v>
      </x:c>
      <x:c r="I601" s="40" t="n">
        <x:v>2</x:v>
      </x:c>
      <x:c r="J601" s="40" t="n">
        <x:v>2</x:v>
      </x:c>
      <x:c r="K601" s="40" t="n">
        <x:v>2</x:v>
      </x:c>
      <x:c r="L601" s="40" t="n">
        <x:v>1</x:v>
      </x:c>
    </x:row>
    <x:row r="602" ht="23" customHeight="1">
      <x:c r="B602" s="17" t="str">
        <x:v>All rounds</x:v>
      </x:c>
      <x:c r="C602" s="17" t="str">
        <x:v>condition</x:v>
      </x:c>
      <x:c r="D602" s="17" t="str">
        <x:v>Math_95</x:v>
      </x:c>
      <x:c r="E602" s="32" t="n">
        <x:v>1</x:v>
      </x:c>
      <x:c r="F602" s="32" t="n">
        <x:v>1</x:v>
      </x:c>
      <x:c r="G602" s="32" t="n">
        <x:v>1</x:v>
      </x:c>
      <x:c r="H602" s="32" t="n">
        <x:v>1</x:v>
      </x:c>
      <x:c r="I602" s="40" t="n">
        <x:v>2</x:v>
      </x:c>
      <x:c r="J602" s="40" t="n">
        <x:v>2</x:v>
      </x:c>
      <x:c r="K602" s="40" t="n">
        <x:v>2</x:v>
      </x:c>
      <x:c r="L602" s="40" t="n">
        <x:v>1</x:v>
      </x:c>
    </x:row>
    <x:row r="603" ht="23" customHeight="1">
      <x:c r="B603" s="17" t="str">
        <x:v>All rounds</x:v>
      </x:c>
      <x:c r="C603" s="17" t="str">
        <x:v>condition</x:v>
      </x:c>
      <x:c r="D603" s="17" t="str">
        <x:v>Math_96</x:v>
      </x:c>
      <x:c r="E603" s="32" t="n">
        <x:v>0.9412</x:v>
      </x:c>
      <x:c r="F603" s="32" t="n">
        <x:v>0.9118</x:v>
      </x:c>
      <x:c r="G603" s="32" t="n">
        <x:v>0.8922</x:v>
      </x:c>
      <x:c r="H603" s="32" t="n">
        <x:v>0</x:v>
      </x:c>
      <x:c r="I603" s="40" t="n">
        <x:v>2</x:v>
      </x:c>
      <x:c r="J603" s="40" t="n">
        <x:v>2</x:v>
      </x:c>
      <x:c r="K603" s="40" t="n">
        <x:v>2</x:v>
      </x:c>
      <x:c r="L603" s="40" t="n">
        <x:v>1</x:v>
      </x:c>
    </x:row>
    <x:row r="604" ht="23" customHeight="1">
      <x:c r="B604" s="17" t="str">
        <x:v>All rounds</x:v>
      </x:c>
      <x:c r="C604" s="17" t="str">
        <x:v>condition</x:v>
      </x:c>
      <x:c r="D604" s="17" t="str">
        <x:v>Math_97</x:v>
      </x:c>
      <x:c r="E604" s="32" t="n">
        <x:v>1</x:v>
      </x:c>
      <x:c r="F604" s="32" t="n">
        <x:v>0</x:v>
      </x:c>
      <x:c r="G604" s="32" t="n">
        <x:v>0.8913</x:v>
      </x:c>
      <x:c r="H604" s="32" t="n">
        <x:v>0</x:v>
      </x:c>
      <x:c r="I604" s="40" t="n">
        <x:v>2</x:v>
      </x:c>
      <x:c r="J604" s="40" t="n">
        <x:v>2</x:v>
      </x:c>
      <x:c r="K604" s="40" t="n">
        <x:v>2</x:v>
      </x:c>
      <x:c r="L604" s="40" t="n">
        <x:v>1</x:v>
      </x:c>
    </x:row>
    <x:row r="605" ht="23" customHeight="1">
      <x:c r="B605" s="17" t="str">
        <x:v>All rounds</x:v>
      </x:c>
      <x:c r="C605" s="17" t="str">
        <x:v>condition</x:v>
      </x:c>
      <x:c r="D605" s="17" t="str">
        <x:v>Math_98</x:v>
      </x:c>
      <x:c r="E605" s="32" t="n">
        <x:v>0.8538</x:v>
      </x:c>
      <x:c r="F605" s="32" t="n">
        <x:v>0.7273999999999999</x:v>
      </x:c>
      <x:c r="G605" s="32" t="n">
        <x:v>0.7942</x:v>
      </x:c>
      <x:c r="H605" s="32" t="n">
        <x:v>0</x:v>
      </x:c>
      <x:c r="I605" s="40" t="n">
        <x:v>2</x:v>
      </x:c>
      <x:c r="J605" s="40" t="n">
        <x:v>2</x:v>
      </x:c>
      <x:c r="K605" s="40" t="n">
        <x:v>2</x:v>
      </x:c>
      <x:c r="L605" s="40" t="n">
        <x:v>1</x:v>
      </x:c>
    </x:row>
    <x:row r="606" ht="23" customHeight="1">
      <x:c r="B606" s="17" t="str">
        <x:v>All rounds</x:v>
      </x:c>
      <x:c r="C606" s="17" t="str">
        <x:v>condition</x:v>
      </x:c>
      <x:c r="D606" s="17" t="str">
        <x:v>Math_99</x:v>
      </x:c>
      <x:c r="E606" s="32" t="n">
        <x:v>0.941</x:v>
      </x:c>
      <x:c r="F606" s="32" t="n">
        <x:v>0.7565000000000001</x:v>
      </x:c>
      <x:c r="G606" s="32" t="n">
        <x:v>0.9041</x:v>
      </x:c>
      <x:c r="H606" s="32" t="n">
        <x:v>0</x:v>
      </x:c>
      <x:c r="I606" s="40" t="n">
        <x:v>2</x:v>
      </x:c>
      <x:c r="J606" s="40" t="n">
        <x:v>2</x:v>
      </x:c>
      <x:c r="K606" s="40" t="n">
        <x:v>2</x:v>
      </x:c>
      <x:c r="L606" s="40" t="n">
        <x:v>1</x:v>
      </x:c>
    </x:row>
    <x:row r="607" ht="23" customHeight="1">
      <x:c r="B607" s="17" t="str">
        <x:v>All rounds</x:v>
      </x:c>
      <x:c r="C607" s="17" t="str">
        <x:v>condition</x:v>
      </x:c>
      <x:c r="D607" s="17" t="str">
        <x:v>Mockito_11</x:v>
      </x:c>
      <x:c r="E607" s="32" t="n">
        <x:v>0.16670000000000001</x:v>
      </x:c>
      <x:c r="F607" s="32" t="n">
        <x:v>0</x:v>
      </x:c>
      <x:c r="G607" s="32" t="n">
        <x:v>0.5</x:v>
      </x:c>
      <x:c r="H607" s="32" t="n">
        <x:v>0.5</x:v>
      </x:c>
      <x:c r="I607" s="40" t="n">
        <x:v>2</x:v>
      </x:c>
      <x:c r="J607" s="40" t="n">
        <x:v>2</x:v>
      </x:c>
      <x:c r="K607" s="40" t="n">
        <x:v>2</x:v>
      </x:c>
      <x:c r="L607" s="40" t="n">
        <x:v>1</x:v>
      </x:c>
    </x:row>
    <x:row r="608" ht="23" customHeight="1">
      <x:c r="B608" s="17" t="str">
        <x:v>All rounds</x:v>
      </x:c>
      <x:c r="C608" s="17" t="str">
        <x:v>condition</x:v>
      </x:c>
      <x:c r="D608" s="17" t="str">
        <x:v>Mockito_12</x:v>
      </x:c>
      <x:c r="E608" s="32" t="n">
        <x:v>0</x:v>
      </x:c>
      <x:c r="F608" s="32" t="n">
        <x:v>0</x:v>
      </x:c>
      <x:c r="G608" s="32" t="n">
        <x:v>0.75</x:v>
      </x:c>
      <x:c r="H608" s="32" t="n">
        <x:v>0.75</x:v>
      </x:c>
      <x:c r="I608" s="40" t="n">
        <x:v>2</x:v>
      </x:c>
      <x:c r="J608" s="40" t="n">
        <x:v>2</x:v>
      </x:c>
      <x:c r="K608" s="40" t="n">
        <x:v>2</x:v>
      </x:c>
      <x:c r="L608" s="40" t="n">
        <x:v>1</x:v>
      </x:c>
    </x:row>
    <x:row r="609" ht="23" customHeight="1">
      <x:c r="B609" s="17" t="str">
        <x:v>All rounds</x:v>
      </x:c>
      <x:c r="C609" s="17" t="str">
        <x:v>condition</x:v>
      </x:c>
      <x:c r="D609" s="17" t="str">
        <x:v>Mockito_15</x:v>
      </x:c>
      <x:c r="E609" s="32" t="n">
        <x:v>1</x:v>
      </x:c>
      <x:c r="F609" s="32" t="n">
        <x:v>0.5</x:v>
      </x:c>
      <x:c r="G609" s="32" t="n">
        <x:v>1</x:v>
      </x:c>
      <x:c r="H609" s="32" t="n">
        <x:v>1</x:v>
      </x:c>
      <x:c r="I609" s="40" t="n">
        <x:v>2</x:v>
      </x:c>
      <x:c r="J609" s="40" t="n">
        <x:v>2</x:v>
      </x:c>
      <x:c r="K609" s="40" t="n">
        <x:v>2</x:v>
      </x:c>
      <x:c r="L609" s="40" t="n">
        <x:v>1</x:v>
      </x:c>
    </x:row>
    <x:row r="610" ht="23" customHeight="1">
      <x:c r="B610" s="17" t="str">
        <x:v>All rounds</x:v>
      </x:c>
      <x:c r="C610" s="17" t="str">
        <x:v>condition</x:v>
      </x:c>
      <x:c r="D610" s="17" t="str">
        <x:v>Mockito_21</x:v>
      </x:c>
      <x:c r="E610" s="32" t="n">
        <x:v>1</x:v>
      </x:c>
      <x:c r="F610" s="32" t="n">
        <x:v>0</x:v>
      </x:c>
      <x:c r="G610" s="32" t="n">
        <x:v>1</x:v>
      </x:c>
      <x:c r="H610" s="32" t="n">
        <x:v>1</x:v>
      </x:c>
      <x:c r="I610" s="40" t="n">
        <x:v>2</x:v>
      </x:c>
      <x:c r="J610" s="40" t="n">
        <x:v>2</x:v>
      </x:c>
      <x:c r="K610" s="40" t="n">
        <x:v>2</x:v>
      </x:c>
      <x:c r="L610" s="40" t="n">
        <x:v>1</x:v>
      </x:c>
    </x:row>
    <x:row r="611" ht="23" customHeight="1">
      <x:c r="B611" s="17" t="str">
        <x:v>All rounds</x:v>
      </x:c>
      <x:c r="C611" s="17" t="str">
        <x:v>condition</x:v>
      </x:c>
      <x:c r="D611" s="17" t="str">
        <x:v>Mockito_22</x:v>
      </x:c>
      <x:c r="E611" s="32" t="n">
        <x:v>0.375</x:v>
      </x:c>
      <x:c r="F611" s="32" t="n">
        <x:v>0.35414999999999996</x:v>
      </x:c>
      <x:c r="G611" s="32" t="n">
        <x:v>1</x:v>
      </x:c>
      <x:c r="H611" s="32" t="n">
        <x:v>1</x:v>
      </x:c>
      <x:c r="I611" s="40" t="n">
        <x:v>2</x:v>
      </x:c>
      <x:c r="J611" s="40" t="n">
        <x:v>2</x:v>
      </x:c>
      <x:c r="K611" s="40" t="n">
        <x:v>2</x:v>
      </x:c>
      <x:c r="L611" s="40" t="n">
        <x:v>1</x:v>
      </x:c>
    </x:row>
    <x:row r="612" ht="23" customHeight="1">
      <x:c r="B612" s="17" t="str">
        <x:v>All rounds</x:v>
      </x:c>
      <x:c r="C612" s="17" t="str">
        <x:v>condition</x:v>
      </x:c>
      <x:c r="D612" s="17" t="str">
        <x:v>Mockito_25</x:v>
      </x:c>
      <x:c r="E612" s="32" t="n">
        <x:v>0</x:v>
      </x:c>
      <x:c r="F612" s="32" t="n">
        <x:v>0</x:v>
      </x:c>
      <x:c r="G612" s="32" t="n">
        <x:v>0.8332999999999999</x:v>
      </x:c>
      <x:c r="H612" s="32" t="n">
        <x:v>0.16670000000000001</x:v>
      </x:c>
      <x:c r="I612" s="40" t="n">
        <x:v>2</x:v>
      </x:c>
      <x:c r="J612" s="40" t="n">
        <x:v>2</x:v>
      </x:c>
      <x:c r="K612" s="40" t="n">
        <x:v>1</x:v>
      </x:c>
      <x:c r="L612" s="40" t="n">
        <x:v>1</x:v>
      </x:c>
    </x:row>
    <x:row r="613" ht="23" customHeight="1">
      <x:c r="B613" s="17" t="str">
        <x:v>All rounds</x:v>
      </x:c>
      <x:c r="C613" s="17" t="str">
        <x:v>condition</x:v>
      </x:c>
      <x:c r="D613" s="17" t="str">
        <x:v>Mockito_26</x:v>
      </x:c>
      <x:c r="E613" s="32" t="n">
        <x:v>1</x:v>
      </x:c>
      <x:c r="F613" s="32" t="n">
        <x:v>0</x:v>
      </x:c>
      <x:c r="G613" s="32" t="n">
        <x:v>1</x:v>
      </x:c>
      <x:c r="H613" s="32" t="n">
        <x:v>1</x:v>
      </x:c>
      <x:c r="I613" s="40" t="n">
        <x:v>2</x:v>
      </x:c>
      <x:c r="J613" s="40" t="n">
        <x:v>2</x:v>
      </x:c>
      <x:c r="K613" s="40" t="n">
        <x:v>1</x:v>
      </x:c>
      <x:c r="L613" s="40" t="n">
        <x:v>1</x:v>
      </x:c>
    </x:row>
    <x:row r="614" ht="23" customHeight="1">
      <x:c r="B614" s="17" t="str">
        <x:v>All rounds</x:v>
      </x:c>
      <x:c r="C614" s="17" t="str">
        <x:v>condition</x:v>
      </x:c>
      <x:c r="D614" s="17" t="str">
        <x:v>Mockito_28</x:v>
      </x:c>
      <x:c r="E614" s="32" t="n">
        <x:v>0.2</x:v>
      </x:c>
      <x:c r="F614" s="32" t="n">
        <x:v>0.1</x:v>
      </x:c>
      <x:c r="G614" s="32" t="n">
        <x:v>0.8</x:v>
      </x:c>
      <x:c r="H614" s="32" t="n">
        <x:v>1</x:v>
      </x:c>
      <x:c r="I614" s="40" t="n">
        <x:v>2</x:v>
      </x:c>
      <x:c r="J614" s="40" t="n">
        <x:v>2</x:v>
      </x:c>
      <x:c r="K614" s="40" t="n">
        <x:v>1</x:v>
      </x:c>
      <x:c r="L614" s="40" t="n">
        <x:v>1</x:v>
      </x:c>
    </x:row>
    <x:row r="615" ht="23" customHeight="1">
      <x:c r="B615" s="17" t="str">
        <x:v>All rounds</x:v>
      </x:c>
      <x:c r="C615" s="17" t="str">
        <x:v>condition</x:v>
      </x:c>
      <x:c r="D615" s="17" t="str">
        <x:v>Mockito_30</x:v>
      </x:c>
      <x:c r="E615" s="32" t="n">
        <x:v>0.4286</x:v>
      </x:c>
      <x:c r="F615" s="32" t="n">
        <x:v>0.07139999999999999</x:v>
      </x:c>
      <x:c r="G615" s="32" t="n">
        <x:v>0.7857</x:v>
      </x:c>
      <x:c r="H615" s="32" t="n">
        <x:v>0.4286</x:v>
      </x:c>
      <x:c r="I615" s="40" t="n">
        <x:v>2</x:v>
      </x:c>
      <x:c r="J615" s="40" t="n">
        <x:v>2</x:v>
      </x:c>
      <x:c r="K615" s="40" t="n">
        <x:v>1</x:v>
      </x:c>
      <x:c r="L615" s="40" t="n">
        <x:v>1</x:v>
      </x:c>
    </x:row>
    <x:row r="616" ht="23" customHeight="1">
      <x:c r="B616" s="17" t="str">
        <x:v>All rounds</x:v>
      </x:c>
      <x:c r="C616" s="17" t="str">
        <x:v>condition</x:v>
      </x:c>
      <x:c r="D616" s="17" t="str">
        <x:v>Mockito_31</x:v>
      </x:c>
      <x:c r="E616" s="32" t="n">
        <x:v>0</x:v>
      </x:c>
      <x:c r="F616" s="32" t="n">
        <x:v>0</x:v>
      </x:c>
      <x:c r="G616" s="32" t="n">
        <x:v>1</x:v>
      </x:c>
      <x:c r="H616" s="32" t="n">
        <x:v>1</x:v>
      </x:c>
      <x:c r="I616" s="40" t="n">
        <x:v>2</x:v>
      </x:c>
      <x:c r="J616" s="40" t="n">
        <x:v>2</x:v>
      </x:c>
      <x:c r="K616" s="40" t="n">
        <x:v>1</x:v>
      </x:c>
      <x:c r="L616" s="40" t="n">
        <x:v>1</x:v>
      </x:c>
    </x:row>
    <x:row r="617" ht="23" customHeight="1">
      <x:c r="B617" s="17" t="str">
        <x:v>All rounds</x:v>
      </x:c>
      <x:c r="C617" s="17" t="str">
        <x:v>condition</x:v>
      </x:c>
      <x:c r="D617" s="17" t="str">
        <x:v>Mockito_37</x:v>
      </x:c>
      <x:c r="E617" s="32" t="n">
        <x:v>0.46149999999999997</x:v>
      </x:c>
      <x:c r="F617" s="32" t="n">
        <x:v>0</x:v>
      </x:c>
      <x:c r="G617" s="32" t="n">
        <x:v>0.9615</x:v>
      </x:c>
      <x:c r="H617" s="32" t="n">
        <x:v>1</x:v>
      </x:c>
      <x:c r="I617" s="40" t="n">
        <x:v>2</x:v>
      </x:c>
      <x:c r="J617" s="40" t="n">
        <x:v>2</x:v>
      </x:c>
      <x:c r="K617" s="40" t="n">
        <x:v>2</x:v>
      </x:c>
      <x:c r="L617" s="40" t="n">
        <x:v>1</x:v>
      </x:c>
    </x:row>
    <x:row r="618" ht="23" customHeight="1">
      <x:c r="B618" s="17" t="str">
        <x:v>All rounds</x:v>
      </x:c>
      <x:c r="C618" s="17" t="str">
        <x:v>condition</x:v>
      </x:c>
      <x:c r="D618" s="17" t="str">
        <x:v>Time_10</x:v>
      </x:c>
      <x:c r="E618" s="32" t="n">
        <x:v>0.9565</x:v>
      </x:c>
      <x:c r="F618" s="32" t="n">
        <x:v>0.0652</x:v>
      </x:c>
      <x:c r="G618" s="32" t="n">
        <x:v>0.9129999999999999</x:v>
      </x:c>
      <x:c r="H618" s="32" t="n">
        <x:v>1</x:v>
      </x:c>
      <x:c r="I618" s="40" t="n">
        <x:v>2</x:v>
      </x:c>
      <x:c r="J618" s="40" t="n">
        <x:v>2</x:v>
      </x:c>
      <x:c r="K618" s="40" t="n">
        <x:v>1</x:v>
      </x:c>
      <x:c r="L618" s="40" t="n">
        <x:v>1</x:v>
      </x:c>
    </x:row>
    <x:row r="619" ht="23" customHeight="1">
      <x:c r="B619" s="17" t="str">
        <x:v>All rounds</x:v>
      </x:c>
      <x:c r="C619" s="17" t="str">
        <x:v>condition</x:v>
      </x:c>
      <x:c r="D619" s="17" t="str">
        <x:v>Time_11</x:v>
      </x:c>
      <x:c r="E619" s="32" t="n">
        <x:v>0.41969999999999996</x:v>
      </x:c>
      <x:c r="F619" s="32" t="n">
        <x:v>0.1192</x:v>
      </x:c>
      <x:c r="G619" s="32" t="n">
        <x:v>0.17620000000000002</x:v>
      </x:c>
      <x:c r="H619" s="32" t="n">
        <x:v>0.8238</x:v>
      </x:c>
      <x:c r="I619" s="40" t="n">
        <x:v>2</x:v>
      </x:c>
      <x:c r="J619" s="40" t="n">
        <x:v>2</x:v>
      </x:c>
      <x:c r="K619" s="40" t="n">
        <x:v>1</x:v>
      </x:c>
      <x:c r="L619" s="40" t="n">
        <x:v>1</x:v>
      </x:c>
    </x:row>
    <x:row r="620" ht="23" customHeight="1">
      <x:c r="B620" s="17" t="str">
        <x:v>All rounds</x:v>
      </x:c>
      <x:c r="C620" s="17" t="str">
        <x:v>condition</x:v>
      </x:c>
      <x:c r="D620" s="17" t="str">
        <x:v>Time_15</x:v>
      </x:c>
      <x:c r="E620" s="32" t="n">
        <x:v>0.9429000000000001</x:v>
      </x:c>
      <x:c r="F620" s="32" t="n">
        <x:v>0.7356999999999999</x:v>
      </x:c>
      <x:c r="G620" s="32" t="n">
        <x:v>0.6570999999999999</x:v>
      </x:c>
      <x:c r="H620" s="32" t="n">
        <x:v>0.8856999999999999</x:v>
      </x:c>
      <x:c r="I620" s="40" t="n">
        <x:v>2</x:v>
      </x:c>
      <x:c r="J620" s="40" t="n">
        <x:v>2</x:v>
      </x:c>
      <x:c r="K620" s="40" t="n">
        <x:v>1</x:v>
      </x:c>
      <x:c r="L620" s="40" t="n">
        <x:v>1</x:v>
      </x:c>
    </x:row>
    <x:row r="621" ht="23" customHeight="1">
      <x:c r="B621" s="17" t="str">
        <x:v>All rounds</x:v>
      </x:c>
      <x:c r="C621" s="17" t="str">
        <x:v>condition</x:v>
      </x:c>
      <x:c r="D621" s="17" t="str">
        <x:v>Time_16</x:v>
      </x:c>
      <x:c r="E621" s="32" t="n">
        <x:v>0.875</x:v>
      </x:c>
      <x:c r="F621" s="32" t="n">
        <x:v>0.1534</x:v>
      </x:c>
      <x:c r="G621" s="32" t="n">
        <x:v>0.5682</x:v>
      </x:c>
      <x:c r="H621" s="32" t="n">
        <x:v>0.9091</x:v>
      </x:c>
      <x:c r="I621" s="40" t="n">
        <x:v>2</x:v>
      </x:c>
      <x:c r="J621" s="40" t="n">
        <x:v>2</x:v>
      </x:c>
      <x:c r="K621" s="40" t="n">
        <x:v>1</x:v>
      </x:c>
      <x:c r="L621" s="40" t="n">
        <x:v>1</x:v>
      </x:c>
    </x:row>
    <x:row r="622" ht="23" customHeight="1">
      <x:c r="B622" s="17" t="str">
        <x:v>All rounds</x:v>
      </x:c>
      <x:c r="C622" s="17" t="str">
        <x:v>condition</x:v>
      </x:c>
      <x:c r="D622" s="17" t="str">
        <x:v>Time_20</x:v>
      </x:c>
      <x:c r="E622" s="32" t="n">
        <x:v>0.49920000000000003</x:v>
      </x:c>
      <x:c r="F622" s="32" t="n">
        <x:v>0.19525000000000003</x:v>
      </x:c>
      <x:c r="G622" s="32" t="n">
        <x:v>0.129</x:v>
      </x:c>
      <x:c r="H622" s="32" t="n">
        <x:v>0.6689</x:v>
      </x:c>
      <x:c r="I622" s="40" t="n">
        <x:v>2</x:v>
      </x:c>
      <x:c r="J622" s="40" t="n">
        <x:v>2</x:v>
      </x:c>
      <x:c r="K622" s="40" t="n">
        <x:v>1</x:v>
      </x:c>
      <x:c r="L622" s="40" t="n">
        <x:v>1</x:v>
      </x:c>
    </x:row>
    <x:row r="623" ht="23" customHeight="1">
      <x:c r="B623" s="17" t="str">
        <x:v>Round1</x:v>
      </x:c>
      <x:c r="C623" s="17" t="str">
        <x:v>line</x:v>
      </x:c>
      <x:c r="D623" s="17" t="str">
        <x:v>Chart_10</x:v>
      </x:c>
      <x:c r="E623" s="32" t="n">
        <x:v>1</x:v>
      </x:c>
      <x:c r="F623" s="32" t="n">
        <x:v>1</x:v>
      </x:c>
      <x:c r="G623" s="32" t="n">
        <x:v>1</x:v>
      </x:c>
      <x:c r="H623" s="32" t="n">
        <x:v>1</x:v>
      </x:c>
      <x:c r="I623" s="40" t="n">
        <x:v>1</x:v>
      </x:c>
      <x:c r="J623" s="40" t="n">
        <x:v>1</x:v>
      </x:c>
      <x:c r="K623" s="40" t="n">
        <x:v>1</x:v>
      </x:c>
      <x:c r="L623" s="40" t="n">
        <x:v>1</x:v>
      </x:c>
    </x:row>
    <x:row r="624" ht="23" customHeight="1">
      <x:c r="B624" s="17" t="str">
        <x:v>Round1</x:v>
      </x:c>
      <x:c r="C624" s="17" t="str">
        <x:v>line</x:v>
      </x:c>
      <x:c r="D624" s="17" t="str">
        <x:v>Chart_18</x:v>
      </x:c>
      <x:c r="E624" s="32" t="n">
        <x:v>0.9925</x:v>
      </x:c>
      <x:c r="F624" s="32" t="n">
        <x:v>0.8345999999999999</x:v>
      </x:c>
      <x:c r="G624" s="32" t="n">
        <x:v>0.9586</x:v>
      </x:c>
      <x:c r="H624" s="32" t="n">
        <x:v>0.2293</x:v>
      </x:c>
      <x:c r="I624" s="40" t="n">
        <x:v>1</x:v>
      </x:c>
      <x:c r="J624" s="40" t="n">
        <x:v>1</x:v>
      </x:c>
      <x:c r="K624" s="40" t="n">
        <x:v>1</x:v>
      </x:c>
      <x:c r="L624" s="40" t="n">
        <x:v>1</x:v>
      </x:c>
    </x:row>
    <x:row r="625" ht="23" customHeight="1">
      <x:c r="B625" s="17" t="str">
        <x:v>Round1</x:v>
      </x:c>
      <x:c r="C625" s="17" t="str">
        <x:v>line</x:v>
      </x:c>
      <x:c r="D625" s="17" t="str">
        <x:v>Chart_21</x:v>
      </x:c>
      <x:c r="E625" s="32" t="n">
        <x:v>0.9193000000000001</x:v>
      </x:c>
      <x:c r="F625" s="32" t="n">
        <x:v>0.5652</x:v>
      </x:c>
      <x:c r="G625" s="32" t="n">
        <x:v>0.5589999999999999</x:v>
      </x:c>
      <x:c r="H625" s="32" t="n">
        <x:v>0.23600000000000002</x:v>
      </x:c>
      <x:c r="I625" s="40" t="n">
        <x:v>1</x:v>
      </x:c>
      <x:c r="J625" s="40" t="n">
        <x:v>1</x:v>
      </x:c>
      <x:c r="K625" s="40" t="n">
        <x:v>1</x:v>
      </x:c>
      <x:c r="L625" s="40" t="n">
        <x:v>1</x:v>
      </x:c>
    </x:row>
    <x:row r="626" ht="23" customHeight="1">
      <x:c r="B626" s="17" t="str">
        <x:v>Round1</x:v>
      </x:c>
      <x:c r="C626" s="17" t="str">
        <x:v>line</x:v>
      </x:c>
      <x:c r="D626" s="17" t="str">
        <x:v>Chart_22</x:v>
      </x:c>
      <x:c r="E626" s="32" t="n">
        <x:v>0.9677</x:v>
      </x:c>
      <x:c r="F626" s="32" t="n">
        <x:v>0.9355</x:v>
      </x:c>
      <x:c r="G626" s="32" t="n">
        <x:v>0.9274</x:v>
      </x:c>
      <x:c r="H626" s="32" t="n">
        <x:v>0.22579999999999997</x:v>
      </x:c>
      <x:c r="I626" s="40" t="n">
        <x:v>1</x:v>
      </x:c>
      <x:c r="J626" s="40" t="n">
        <x:v>1</x:v>
      </x:c>
      <x:c r="K626" s="40" t="n">
        <x:v>1</x:v>
      </x:c>
      <x:c r="L626" s="40" t="n">
        <x:v>1</x:v>
      </x:c>
    </x:row>
    <x:row r="627" ht="23" customHeight="1">
      <x:c r="B627" s="17" t="str">
        <x:v>Round1</x:v>
      </x:c>
      <x:c r="C627" s="17" t="str">
        <x:v>line</x:v>
      </x:c>
      <x:c r="D627" s="17" t="str">
        <x:v>Chart_24</x:v>
      </x:c>
      <x:c r="E627" s="32" t="n">
        <x:v>1</x:v>
      </x:c>
      <x:c r="F627" s="32" t="n">
        <x:v>0.96</x:v>
      </x:c>
      <x:c r="G627" s="32" t="n">
        <x:v>1</x:v>
      </x:c>
      <x:c r="H627" s="32" t="n">
        <x:v>1</x:v>
      </x:c>
      <x:c r="I627" s="40" t="n">
        <x:v>1</x:v>
      </x:c>
      <x:c r="J627" s="40" t="n">
        <x:v>1</x:v>
      </x:c>
      <x:c r="K627" s="40" t="n">
        <x:v>1</x:v>
      </x:c>
      <x:c r="L627" s="40" t="n">
        <x:v>1</x:v>
      </x:c>
    </x:row>
    <x:row r="628" ht="23" customHeight="1">
      <x:c r="B628" s="17" t="str">
        <x:v>Round1</x:v>
      </x:c>
      <x:c r="C628" s="17" t="str">
        <x:v>line</x:v>
      </x:c>
      <x:c r="D628" s="17" t="str">
        <x:v>Chart_8</x:v>
      </x:c>
      <x:c r="E628" s="32" t="n">
        <x:v>0.9136</x:v>
      </x:c>
      <x:c r="F628" s="32" t="n">
        <x:v>0.8765000000000001</x:v>
      </x:c>
      <x:c r="G628" s="32" t="n">
        <x:v>0.7345999999999999</x:v>
      </x:c>
      <x:c r="H628" s="32" t="n">
        <x:v>0.2593</x:v>
      </x:c>
      <x:c r="I628" s="40" t="n">
        <x:v>1</x:v>
      </x:c>
      <x:c r="J628" s="40" t="n">
        <x:v>1</x:v>
      </x:c>
      <x:c r="K628" s="40" t="n">
        <x:v>1</x:v>
      </x:c>
      <x:c r="L628" s="40" t="n">
        <x:v>1</x:v>
      </x:c>
    </x:row>
    <x:row r="629" ht="23" customHeight="1">
      <x:c r="B629" s="17" t="str">
        <x:v>Round1</x:v>
      </x:c>
      <x:c r="C629" s="17" t="str">
        <x:v>line</x:v>
      </x:c>
      <x:c r="D629" s="17" t="str">
        <x:v>Cli_18</x:v>
      </x:c>
      <x:c r="E629" s="32" t="n">
        <x:v>0</x:v>
      </x:c>
      <x:c r="F629" s="32" t="n">
        <x:v>0</x:v>
      </x:c>
      <x:c r="G629" s="32" t="n">
        <x:v>0</x:v>
      </x:c>
      <x:c r="H629" s="32" t="n">
        <x:v>0</x:v>
      </x:c>
      <x:c r="I629" s="40" t="n">
        <x:v>1</x:v>
      </x:c>
      <x:c r="J629" s="40" t="n">
        <x:v>1</x:v>
      </x:c>
      <x:c r="K629" s="40" t="n">
        <x:v>1</x:v>
      </x:c>
      <x:c r="L629" s="40" t="n">
        <x:v>1</x:v>
      </x:c>
    </x:row>
    <x:row r="630" ht="23" customHeight="1">
      <x:c r="B630" s="17" t="str">
        <x:v>Round1</x:v>
      </x:c>
      <x:c r="C630" s="17" t="str">
        <x:v>line</x:v>
      </x:c>
      <x:c r="D630" s="17" t="str">
        <x:v>Cli_19</x:v>
      </x:c>
      <x:c r="E630" s="32" t="n">
        <x:v>0</x:v>
      </x:c>
      <x:c r="F630" s="32" t="n">
        <x:v>0</x:v>
      </x:c>
      <x:c r="G630" s="32" t="n">
        <x:v>0</x:v>
      </x:c>
      <x:c r="H630" s="32" t="n">
        <x:v>0</x:v>
      </x:c>
      <x:c r="I630" s="40" t="n">
        <x:v>1</x:v>
      </x:c>
      <x:c r="J630" s="40" t="n">
        <x:v>1</x:v>
      </x:c>
      <x:c r="K630" s="40" t="n">
        <x:v>1</x:v>
      </x:c>
      <x:c r="L630" s="40" t="n">
        <x:v>1</x:v>
      </x:c>
    </x:row>
    <x:row r="631" ht="23" customHeight="1">
      <x:c r="B631" s="17" t="str">
        <x:v>Round1</x:v>
      </x:c>
      <x:c r="C631" s="17" t="str">
        <x:v>line</x:v>
      </x:c>
      <x:c r="D631" s="17" t="str">
        <x:v>Cli_2</x:v>
      </x:c>
      <x:c r="E631" s="32" t="n">
        <x:v>0</x:v>
      </x:c>
      <x:c r="F631" s="32" t="n">
        <x:v>0</x:v>
      </x:c>
      <x:c r="G631" s="32" t="n">
        <x:v>0</x:v>
      </x:c>
      <x:c r="H631" s="32" t="n">
        <x:v>0</x:v>
      </x:c>
      <x:c r="I631" s="40" t="n">
        <x:v>1</x:v>
      </x:c>
      <x:c r="J631" s="40" t="n">
        <x:v>1</x:v>
      </x:c>
      <x:c r="K631" s="40" t="n">
        <x:v>1</x:v>
      </x:c>
      <x:c r="L631" s="40" t="n">
        <x:v>1</x:v>
      </x:c>
    </x:row>
    <x:row r="632" ht="23" customHeight="1">
      <x:c r="B632" s="17" t="str">
        <x:v>Round1</x:v>
      </x:c>
      <x:c r="C632" s="17" t="str">
        <x:v>line</x:v>
      </x:c>
      <x:c r="D632" s="17" t="str">
        <x:v>Cli_22</x:v>
      </x:c>
      <x:c r="E632" s="32" t="n">
        <x:v>0</x:v>
      </x:c>
      <x:c r="F632" s="32" t="n">
        <x:v>0</x:v>
      </x:c>
      <x:c r="G632" s="32" t="n">
        <x:v>0</x:v>
      </x:c>
      <x:c r="H632" s="32" t="n">
        <x:v>0</x:v>
      </x:c>
      <x:c r="I632" s="40" t="n">
        <x:v>1</x:v>
      </x:c>
      <x:c r="J632" s="40" t="n">
        <x:v>1</x:v>
      </x:c>
      <x:c r="K632" s="40" t="n">
        <x:v>1</x:v>
      </x:c>
      <x:c r="L632" s="40" t="n">
        <x:v>1</x:v>
      </x:c>
    </x:row>
    <x:row r="633" ht="23" customHeight="1">
      <x:c r="B633" s="17" t="str">
        <x:v>Round1</x:v>
      </x:c>
      <x:c r="C633" s="17" t="str">
        <x:v>line</x:v>
      </x:c>
      <x:c r="D633" s="17" t="str">
        <x:v>Cli_24</x:v>
      </x:c>
      <x:c r="E633" s="32" t="n">
        <x:v>0</x:v>
      </x:c>
      <x:c r="F633" s="32" t="n">
        <x:v>0</x:v>
      </x:c>
      <x:c r="G633" s="32" t="n">
        <x:v>0</x:v>
      </x:c>
      <x:c r="H633" s="32" t="n">
        <x:v>0</x:v>
      </x:c>
      <x:c r="I633" s="40" t="n">
        <x:v>1</x:v>
      </x:c>
      <x:c r="J633" s="40" t="n">
        <x:v>1</x:v>
      </x:c>
      <x:c r="K633" s="40" t="n">
        <x:v>1</x:v>
      </x:c>
      <x:c r="L633" s="40" t="n">
        <x:v>1</x:v>
      </x:c>
    </x:row>
    <x:row r="634" ht="23" customHeight="1">
      <x:c r="B634" s="17" t="str">
        <x:v>Round1</x:v>
      </x:c>
      <x:c r="C634" s="17" t="str">
        <x:v>line</x:v>
      </x:c>
      <x:c r="D634" s="17" t="str">
        <x:v>Cli_27</x:v>
      </x:c>
      <x:c r="E634" s="32" t="n">
        <x:v>0</x:v>
      </x:c>
      <x:c r="F634" s="32" t="n">
        <x:v>0</x:v>
      </x:c>
      <x:c r="G634" s="32" t="n">
        <x:v>0</x:v>
      </x:c>
      <x:c r="H634" s="32" t="n">
        <x:v>0</x:v>
      </x:c>
      <x:c r="I634" s="40" t="n">
        <x:v>1</x:v>
      </x:c>
      <x:c r="J634" s="40" t="n">
        <x:v>1</x:v>
      </x:c>
      <x:c r="K634" s="40" t="n">
        <x:v>1</x:v>
      </x:c>
      <x:c r="L634" s="40" t="n">
        <x:v>1</x:v>
      </x:c>
    </x:row>
    <x:row r="635" ht="23" customHeight="1">
      <x:c r="B635" s="17" t="str">
        <x:v>Round1</x:v>
      </x:c>
      <x:c r="C635" s="17" t="str">
        <x:v>line</x:v>
      </x:c>
      <x:c r="D635" s="17" t="str">
        <x:v>Cli_29</x:v>
      </x:c>
      <x:c r="E635" s="32" t="n">
        <x:v>0</x:v>
      </x:c>
      <x:c r="F635" s="32" t="n">
        <x:v>0</x:v>
      </x:c>
      <x:c r="G635" s="32" t="n">
        <x:v>0</x:v>
      </x:c>
      <x:c r="H635" s="32" t="n">
        <x:v>0</x:v>
      </x:c>
      <x:c r="I635" s="40" t="n">
        <x:v>1</x:v>
      </x:c>
      <x:c r="J635" s="40" t="n">
        <x:v>1</x:v>
      </x:c>
      <x:c r="K635" s="40" t="n">
        <x:v>1</x:v>
      </x:c>
      <x:c r="L635" s="40" t="n">
        <x:v>1</x:v>
      </x:c>
    </x:row>
    <x:row r="636" ht="23" customHeight="1">
      <x:c r="B636" s="17" t="str">
        <x:v>Round1</x:v>
      </x:c>
      <x:c r="C636" s="17" t="str">
        <x:v>line</x:v>
      </x:c>
      <x:c r="D636" s="17" t="str">
        <x:v>Cli_3</x:v>
      </x:c>
      <x:c r="E636" s="32" t="n">
        <x:v>0</x:v>
      </x:c>
      <x:c r="F636" s="32" t="n">
        <x:v>0</x:v>
      </x:c>
      <x:c r="G636" s="32" t="n">
        <x:v>0</x:v>
      </x:c>
      <x:c r="H636" s="32" t="n">
        <x:v>0</x:v>
      </x:c>
      <x:c r="I636" s="40" t="n">
        <x:v>1</x:v>
      </x:c>
      <x:c r="J636" s="40" t="n">
        <x:v>1</x:v>
      </x:c>
      <x:c r="K636" s="40" t="n">
        <x:v>1</x:v>
      </x:c>
      <x:c r="L636" s="40" t="n">
        <x:v>1</x:v>
      </x:c>
    </x:row>
    <x:row r="637" ht="23" customHeight="1">
      <x:c r="B637" s="17" t="str">
        <x:v>Round1</x:v>
      </x:c>
      <x:c r="C637" s="17" t="str">
        <x:v>line</x:v>
      </x:c>
      <x:c r="D637" s="17" t="str">
        <x:v>Cli_33</x:v>
      </x:c>
      <x:c r="E637" s="32" t="n">
        <x:v>0</x:v>
      </x:c>
      <x:c r="F637" s="32" t="n">
        <x:v>0</x:v>
      </x:c>
      <x:c r="G637" s="32" t="n">
        <x:v>0</x:v>
      </x:c>
      <x:c r="H637" s="32" t="n">
        <x:v>0</x:v>
      </x:c>
      <x:c r="I637" s="40" t="n">
        <x:v>1</x:v>
      </x:c>
      <x:c r="J637" s="40" t="n">
        <x:v>1</x:v>
      </x:c>
      <x:c r="K637" s="40" t="n">
        <x:v>1</x:v>
      </x:c>
      <x:c r="L637" s="40" t="n">
        <x:v>1</x:v>
      </x:c>
    </x:row>
    <x:row r="638" ht="23" customHeight="1">
      <x:c r="B638" s="17" t="str">
        <x:v>Round1</x:v>
      </x:c>
      <x:c r="C638" s="17" t="str">
        <x:v>line</x:v>
      </x:c>
      <x:c r="D638" s="17" t="str">
        <x:v>Cli_35</x:v>
      </x:c>
      <x:c r="E638" s="32" t="n">
        <x:v>1</x:v>
      </x:c>
      <x:c r="F638" s="32" t="n">
        <x:v>0.8245999999999999</x:v>
      </x:c>
      <x:c r="G638" s="32" t="n">
        <x:v>0.9473999999999999</x:v>
      </x:c>
      <x:c r="H638" s="32" t="n">
        <x:v>1</x:v>
      </x:c>
      <x:c r="I638" s="40" t="n">
        <x:v>1</x:v>
      </x:c>
      <x:c r="J638" s="40" t="n">
        <x:v>1</x:v>
      </x:c>
      <x:c r="K638" s="40" t="n">
        <x:v>1</x:v>
      </x:c>
      <x:c r="L638" s="40" t="n">
        <x:v>1</x:v>
      </x:c>
    </x:row>
    <x:row r="639" ht="23" customHeight="1">
      <x:c r="B639" s="17" t="str">
        <x:v>Round1</x:v>
      </x:c>
      <x:c r="C639" s="17" t="str">
        <x:v>line</x:v>
      </x:c>
      <x:c r="D639" s="17" t="str">
        <x:v>Cli_39</x:v>
      </x:c>
      <x:c r="E639" s="32" t="n">
        <x:v>1</x:v>
      </x:c>
      <x:c r="F639" s="32" t="n">
        <x:v>0.6905</x:v>
      </x:c>
      <x:c r="G639" s="32" t="n">
        <x:v>0.8571</x:v>
      </x:c>
      <x:c r="H639" s="32" t="n">
        <x:v>1</x:v>
      </x:c>
      <x:c r="I639" s="40" t="n">
        <x:v>1</x:v>
      </x:c>
      <x:c r="J639" s="40" t="n">
        <x:v>1</x:v>
      </x:c>
      <x:c r="K639" s="40" t="n">
        <x:v>1</x:v>
      </x:c>
      <x:c r="L639" s="40" t="n">
        <x:v>1</x:v>
      </x:c>
    </x:row>
    <x:row r="640" ht="23" customHeight="1">
      <x:c r="B640" s="17" t="str">
        <x:v>Round1</x:v>
      </x:c>
      <x:c r="C640" s="17" t="str">
        <x:v>line</x:v>
      </x:c>
      <x:c r="D640" s="17" t="str">
        <x:v>Cli_4</x:v>
      </x:c>
      <x:c r="E640" s="32" t="n">
        <x:v>0</x:v>
      </x:c>
      <x:c r="F640" s="32" t="n">
        <x:v>0</x:v>
      </x:c>
      <x:c r="G640" s="32" t="n">
        <x:v>0</x:v>
      </x:c>
      <x:c r="H640" s="32" t="n">
        <x:v>0</x:v>
      </x:c>
      <x:c r="I640" s="40" t="n">
        <x:v>1</x:v>
      </x:c>
      <x:c r="J640" s="40" t="n">
        <x:v>1</x:v>
      </x:c>
      <x:c r="K640" s="40" t="n">
        <x:v>1</x:v>
      </x:c>
      <x:c r="L640" s="40" t="n">
        <x:v>1</x:v>
      </x:c>
    </x:row>
    <x:row r="641" ht="23" customHeight="1">
      <x:c r="B641" s="17" t="str">
        <x:v>Round1</x:v>
      </x:c>
      <x:c r="C641" s="17" t="str">
        <x:v>line</x:v>
      </x:c>
      <x:c r="D641" s="17" t="str">
        <x:v>Cli_5</x:v>
      </x:c>
      <x:c r="E641" s="32" t="n">
        <x:v>0</x:v>
      </x:c>
      <x:c r="F641" s="32" t="n">
        <x:v>0</x:v>
      </x:c>
      <x:c r="G641" s="32" t="n">
        <x:v>0</x:v>
      </x:c>
      <x:c r="H641" s="32" t="n">
        <x:v>0</x:v>
      </x:c>
      <x:c r="I641" s="40" t="n">
        <x:v>1</x:v>
      </x:c>
      <x:c r="J641" s="40" t="n">
        <x:v>1</x:v>
      </x:c>
      <x:c r="K641" s="40" t="n">
        <x:v>1</x:v>
      </x:c>
      <x:c r="L641" s="40" t="n">
        <x:v>1</x:v>
      </x:c>
    </x:row>
    <x:row r="642" ht="23" customHeight="1">
      <x:c r="B642" s="17" t="str">
        <x:v>Round1</x:v>
      </x:c>
      <x:c r="C642" s="17" t="str">
        <x:v>line</x:v>
      </x:c>
      <x:c r="D642" s="17" t="str">
        <x:v>Cli_8</x:v>
      </x:c>
      <x:c r="E642" s="32" t="n">
        <x:v>0</x:v>
      </x:c>
      <x:c r="F642" s="32" t="n">
        <x:v>0</x:v>
      </x:c>
      <x:c r="G642" s="32" t="n">
        <x:v>0</x:v>
      </x:c>
      <x:c r="H642" s="32" t="n">
        <x:v>0</x:v>
      </x:c>
      <x:c r="I642" s="40" t="n">
        <x:v>1</x:v>
      </x:c>
      <x:c r="J642" s="40" t="n">
        <x:v>1</x:v>
      </x:c>
      <x:c r="K642" s="40" t="n">
        <x:v>1</x:v>
      </x:c>
      <x:c r="L642" s="40" t="n">
        <x:v>1</x:v>
      </x:c>
    </x:row>
    <x:row r="643" ht="23" customHeight="1">
      <x:c r="B643" s="17" t="str">
        <x:v>Round1</x:v>
      </x:c>
      <x:c r="C643" s="17" t="str">
        <x:v>line</x:v>
      </x:c>
      <x:c r="D643" s="17" t="str">
        <x:v>Closure_131</x:v>
      </x:c>
      <x:c r="E643" s="32" t="n">
        <x:v>0.8673000000000001</x:v>
      </x:c>
      <x:c r="F643" s="32" t="n">
        <x:v>0.15039999999999998</x:v>
      </x:c>
      <x:c r="G643" s="32" t="n">
        <x:v>0.9912000000000001</x:v>
      </x:c>
      <x:c r="H643" s="32" t="n">
        <x:v>0.9912000000000001</x:v>
      </x:c>
      <x:c r="I643" s="40" t="n">
        <x:v>1</x:v>
      </x:c>
      <x:c r="J643" s="40" t="n">
        <x:v>1</x:v>
      </x:c>
      <x:c r="K643" s="40" t="n">
        <x:v>1</x:v>
      </x:c>
      <x:c r="L643" s="40" t="n">
        <x:v>1</x:v>
      </x:c>
    </x:row>
    <x:row r="644" ht="23" customHeight="1">
      <x:c r="B644" s="17" t="str">
        <x:v>Round1</x:v>
      </x:c>
      <x:c r="C644" s="17" t="str">
        <x:v>line</x:v>
      </x:c>
      <x:c r="D644" s="17" t="str">
        <x:v>Closure_172</x:v>
      </x:c>
      <x:c r="E644" s="32" t="n">
        <x:v>0.16399999999999998</x:v>
      </x:c>
      <x:c r="F644" s="32" t="n">
        <x:v>0.0263</x:v>
      </x:c>
      <x:c r="G644" s="32" t="n">
        <x:v>0</x:v>
      </x:c>
      <x:c r="H644" s="32" t="n">
        <x:v>0</x:v>
      </x:c>
      <x:c r="I644" s="40" t="n">
        <x:v>1</x:v>
      </x:c>
      <x:c r="J644" s="40" t="n">
        <x:v>1</x:v>
      </x:c>
      <x:c r="K644" s="40" t="n">
        <x:v>1</x:v>
      </x:c>
      <x:c r="L644" s="40" t="n">
        <x:v>1</x:v>
      </x:c>
    </x:row>
    <x:row r="645" ht="23" customHeight="1">
      <x:c r="B645" s="17" t="str">
        <x:v>Round1</x:v>
      </x:c>
      <x:c r="C645" s="17" t="str">
        <x:v>line</x:v>
      </x:c>
      <x:c r="D645" s="17" t="str">
        <x:v>Closure_20</x:v>
      </x:c>
      <x:c r="E645" s="32" t="n">
        <x:v>0.0716</x:v>
      </x:c>
      <x:c r="F645" s="32" t="n">
        <x:v>0.0318</x:v>
      </x:c>
      <x:c r="G645" s="32" t="n">
        <x:v>0.0981</x:v>
      </x:c>
      <x:c r="H645" s="32" t="n">
        <x:v>0.0981</x:v>
      </x:c>
      <x:c r="I645" s="40" t="n">
        <x:v>1</x:v>
      </x:c>
      <x:c r="J645" s="40" t="n">
        <x:v>1</x:v>
      </x:c>
      <x:c r="K645" s="40" t="n">
        <x:v>1</x:v>
      </x:c>
      <x:c r="L645" s="40" t="n">
        <x:v>1</x:v>
      </x:c>
    </x:row>
    <x:row r="646" ht="23" customHeight="1">
      <x:c r="B646" s="17" t="str">
        <x:v>Round1</x:v>
      </x:c>
      <x:c r="C646" s="17" t="str">
        <x:v>line</x:v>
      </x:c>
      <x:c r="D646" s="17" t="str">
        <x:v>Closure_38</x:v>
      </x:c>
      <x:c r="E646" s="32" t="n">
        <x:v>0.0268</x:v>
      </x:c>
      <x:c r="F646" s="32" t="n">
        <x:v>0.0268</x:v>
      </x:c>
      <x:c r="G646" s="32" t="n">
        <x:v>0.6875</x:v>
      </x:c>
      <x:c r="H646" s="32" t="n">
        <x:v>0.6875</x:v>
      </x:c>
      <x:c r="I646" s="40" t="n">
        <x:v>1</x:v>
      </x:c>
      <x:c r="J646" s="40" t="n">
        <x:v>1</x:v>
      </x:c>
      <x:c r="K646" s="40" t="n">
        <x:v>1</x:v>
      </x:c>
      <x:c r="L646" s="40" t="n">
        <x:v>1</x:v>
      </x:c>
    </x:row>
    <x:row r="647" ht="23" customHeight="1">
      <x:c r="B647" s="17" t="str">
        <x:v>Round1</x:v>
      </x:c>
      <x:c r="C647" s="17" t="str">
        <x:v>line</x:v>
      </x:c>
      <x:c r="D647" s="17" t="str">
        <x:v>Closure_44</x:v>
      </x:c>
      <x:c r="E647" s="32" t="n">
        <x:v>0.0275</x:v>
      </x:c>
      <x:c r="F647" s="32" t="n">
        <x:v>0.0275</x:v>
      </x:c>
      <x:c r="G647" s="32" t="n">
        <x:v>0.8349</x:v>
      </x:c>
      <x:c r="H647" s="32" t="n">
        <x:v>0.8349</x:v>
      </x:c>
      <x:c r="I647" s="40" t="n">
        <x:v>1</x:v>
      </x:c>
      <x:c r="J647" s="40" t="n">
        <x:v>1</x:v>
      </x:c>
      <x:c r="K647" s="40" t="n">
        <x:v>1</x:v>
      </x:c>
      <x:c r="L647" s="40" t="n">
        <x:v>1</x:v>
      </x:c>
    </x:row>
    <x:row r="648" ht="23" customHeight="1">
      <x:c r="B648" s="17" t="str">
        <x:v>Round1</x:v>
      </x:c>
      <x:c r="C648" s="17" t="str">
        <x:v>line</x:v>
      </x:c>
      <x:c r="D648" s="17" t="str">
        <x:v>Codec_10</x:v>
      </x:c>
      <x:c r="E648" s="32" t="n">
        <x:v>1</x:v>
      </x:c>
      <x:c r="F648" s="32" t="n">
        <x:v>1</x:v>
      </x:c>
      <x:c r="G648" s="32" t="n">
        <x:v>0.9854999999999999</x:v>
      </x:c>
      <x:c r="H648" s="32" t="n">
        <x:v>1</x:v>
      </x:c>
      <x:c r="I648" s="40" t="n">
        <x:v>1</x:v>
      </x:c>
      <x:c r="J648" s="40" t="n">
        <x:v>1</x:v>
      </x:c>
      <x:c r="K648" s="40" t="n">
        <x:v>1</x:v>
      </x:c>
      <x:c r="L648" s="40" t="n">
        <x:v>1</x:v>
      </x:c>
    </x:row>
    <x:row r="649" ht="23" customHeight="1">
      <x:c r="B649" s="17" t="str">
        <x:v>Round1</x:v>
      </x:c>
      <x:c r="C649" s="17" t="str">
        <x:v>line</x:v>
      </x:c>
      <x:c r="D649" s="17" t="str">
        <x:v>Collections_10</x:v>
      </x:c>
      <x:c r="E649" s="32" t="n">
        <x:v>0.8739</x:v>
      </x:c>
      <x:c r="F649" s="32" t="n">
        <x:v>0.3529</x:v>
      </x:c>
      <x:c r="G649" s="32" t="n">
        <x:v>0.8571</x:v>
      </x:c>
      <x:c r="H649" s="32" t="n">
        <x:v>0.5294</x:v>
      </x:c>
      <x:c r="I649" s="40" t="n">
        <x:v>1</x:v>
      </x:c>
      <x:c r="J649" s="40" t="n">
        <x:v>1</x:v>
      </x:c>
      <x:c r="K649" s="40" t="n">
        <x:v>1</x:v>
      </x:c>
      <x:c r="L649" s="40" t="n">
        <x:v>1</x:v>
      </x:c>
    </x:row>
    <x:row r="650" ht="23" customHeight="1">
      <x:c r="B650" s="17" t="str">
        <x:v>Round1</x:v>
      </x:c>
      <x:c r="C650" s="17" t="str">
        <x:v>line</x:v>
      </x:c>
      <x:c r="D650" s="17" t="str">
        <x:v>Collections_11</x:v>
      </x:c>
      <x:c r="E650" s="32" t="n">
        <x:v>1</x:v>
      </x:c>
      <x:c r="F650" s="32" t="n">
        <x:v>0.9714</x:v>
      </x:c>
      <x:c r="G650" s="32" t="n">
        <x:v>1</x:v>
      </x:c>
      <x:c r="H650" s="32" t="n">
        <x:v>0.9143000000000001</x:v>
      </x:c>
      <x:c r="I650" s="40" t="n">
        <x:v>1</x:v>
      </x:c>
      <x:c r="J650" s="40" t="n">
        <x:v>1</x:v>
      </x:c>
      <x:c r="K650" s="40" t="n">
        <x:v>1</x:v>
      </x:c>
      <x:c r="L650" s="40" t="n">
        <x:v>1</x:v>
      </x:c>
    </x:row>
    <x:row r="651" ht="23" customHeight="1">
      <x:c r="B651" s="17" t="str">
        <x:v>Round1</x:v>
      </x:c>
      <x:c r="C651" s="17" t="str">
        <x:v>line</x:v>
      </x:c>
      <x:c r="D651" s="17" t="str">
        <x:v>Collections_20</x:v>
      </x:c>
      <x:c r="E651" s="32" t="n">
        <x:v>0.9727</x:v>
      </x:c>
      <x:c r="F651" s="32" t="n">
        <x:v>0.4642</x:v>
      </x:c>
      <x:c r="G651" s="32" t="n">
        <x:v>0.8123</x:v>
      </x:c>
      <x:c r="H651" s="32" t="n">
        <x:v>0.9181</x:v>
      </x:c>
      <x:c r="I651" s="40" t="n">
        <x:v>1</x:v>
      </x:c>
      <x:c r="J651" s="40" t="n">
        <x:v>1</x:v>
      </x:c>
      <x:c r="K651" s="40" t="n">
        <x:v>1</x:v>
      </x:c>
      <x:c r="L651" s="40" t="n">
        <x:v>1</x:v>
      </x:c>
    </x:row>
    <x:row r="652" ht="23" customHeight="1">
      <x:c r="B652" s="17" t="str">
        <x:v>Round1</x:v>
      </x:c>
      <x:c r="C652" s="17" t="str">
        <x:v>line</x:v>
      </x:c>
      <x:c r="D652" s="17" t="str">
        <x:v>Collections_21</x:v>
      </x:c>
      <x:c r="E652" s="32" t="n">
        <x:v>0.9632999999999999</x:v>
      </x:c>
      <x:c r="F652" s="32" t="n">
        <x:v>0.5688</x:v>
      </x:c>
      <x:c r="G652" s="32" t="n">
        <x:v>0.9358</x:v>
      </x:c>
      <x:c r="H652" s="32" t="n">
        <x:v>1</x:v>
      </x:c>
      <x:c r="I652" s="40" t="n">
        <x:v>1</x:v>
      </x:c>
      <x:c r="J652" s="40" t="n">
        <x:v>1</x:v>
      </x:c>
      <x:c r="K652" s="40" t="n">
        <x:v>1</x:v>
      </x:c>
      <x:c r="L652" s="40" t="n">
        <x:v>1</x:v>
      </x:c>
    </x:row>
    <x:row r="653" ht="23" customHeight="1">
      <x:c r="B653" s="17" t="str">
        <x:v>Round1</x:v>
      </x:c>
      <x:c r="C653" s="17" t="str">
        <x:v>line</x:v>
      </x:c>
      <x:c r="D653" s="17" t="str">
        <x:v>Collections_24</x:v>
      </x:c>
      <x:c r="E653" s="32" t="n">
        <x:v>0.7308</x:v>
      </x:c>
      <x:c r="F653" s="32" t="n">
        <x:v>0</x:v>
      </x:c>
      <x:c r="G653" s="32" t="n">
        <x:v>0.9615</x:v>
      </x:c>
      <x:c r="H653" s="32" t="n">
        <x:v>1</x:v>
      </x:c>
      <x:c r="I653" s="40" t="n">
        <x:v>1</x:v>
      </x:c>
      <x:c r="J653" s="40" t="n">
        <x:v>1</x:v>
      </x:c>
      <x:c r="K653" s="40" t="n">
        <x:v>1</x:v>
      </x:c>
      <x:c r="L653" s="40" t="n">
        <x:v>1</x:v>
      </x:c>
    </x:row>
    <x:row r="654" ht="23" customHeight="1">
      <x:c r="B654" s="17" t="str">
        <x:v>Round1</x:v>
      </x:c>
      <x:c r="C654" s="17" t="str">
        <x:v>line</x:v>
      </x:c>
      <x:c r="D654" s="17" t="str">
        <x:v>Collections_26</x:v>
      </x:c>
      <x:c r="E654" s="32" t="n">
        <x:v>0.9189</x:v>
      </x:c>
      <x:c r="F654" s="32" t="n">
        <x:v>0.9189</x:v>
      </x:c>
      <x:c r="G654" s="32" t="n">
        <x:v>0.9459000000000001</x:v>
      </x:c>
      <x:c r="H654" s="32" t="n">
        <x:v>0.8649</x:v>
      </x:c>
      <x:c r="I654" s="40" t="n">
        <x:v>1</x:v>
      </x:c>
      <x:c r="J654" s="40" t="n">
        <x:v>1</x:v>
      </x:c>
      <x:c r="K654" s="40" t="n">
        <x:v>1</x:v>
      </x:c>
      <x:c r="L654" s="40" t="n">
        <x:v>1</x:v>
      </x:c>
    </x:row>
    <x:row r="655" ht="23" customHeight="1">
      <x:c r="B655" s="17" t="str">
        <x:v>Round1</x:v>
      </x:c>
      <x:c r="C655" s="17" t="str">
        <x:v>line</x:v>
      </x:c>
      <x:c r="D655" s="17" t="str">
        <x:v>Collections_27</x:v>
      </x:c>
      <x:c r="E655" s="32" t="n">
        <x:v>0.7795000000000001</x:v>
      </x:c>
      <x:c r="F655" s="32" t="n">
        <x:v>0.4252</x:v>
      </x:c>
      <x:c r="G655" s="32" t="n">
        <x:v>0.8583</x:v>
      </x:c>
      <x:c r="H655" s="32" t="n">
        <x:v>0.5354</x:v>
      </x:c>
      <x:c r="I655" s="40" t="n">
        <x:v>1</x:v>
      </x:c>
      <x:c r="J655" s="40" t="n">
        <x:v>1</x:v>
      </x:c>
      <x:c r="K655" s="40" t="n">
        <x:v>1</x:v>
      </x:c>
      <x:c r="L655" s="40" t="n">
        <x:v>1</x:v>
      </x:c>
    </x:row>
    <x:row r="656" ht="23" customHeight="1">
      <x:c r="B656" s="17" t="str">
        <x:v>Round1</x:v>
      </x:c>
      <x:c r="C656" s="17" t="str">
        <x:v>line</x:v>
      </x:c>
      <x:c r="D656" s="17" t="str">
        <x:v>Collections_5</x:v>
      </x:c>
      <x:c r="E656" s="32" t="n">
        <x:v>1</x:v>
      </x:c>
      <x:c r="F656" s="32" t="n">
        <x:v>0.061</x:v>
      </x:c>
      <x:c r="G656" s="32" t="n">
        <x:v>0.9878</x:v>
      </x:c>
      <x:c r="H656" s="32" t="n">
        <x:v>0.37799999999999995</x:v>
      </x:c>
      <x:c r="I656" s="40" t="n">
        <x:v>1</x:v>
      </x:c>
      <x:c r="J656" s="40" t="n">
        <x:v>1</x:v>
      </x:c>
      <x:c r="K656" s="40" t="n">
        <x:v>1</x:v>
      </x:c>
      <x:c r="L656" s="40" t="n">
        <x:v>1</x:v>
      </x:c>
    </x:row>
    <x:row r="657" ht="23" customHeight="1">
      <x:c r="B657" s="17" t="str">
        <x:v>Round1</x:v>
      </x:c>
      <x:c r="C657" s="17" t="str">
        <x:v>line</x:v>
      </x:c>
      <x:c r="D657" s="17" t="str">
        <x:v>Collections_6</x:v>
      </x:c>
      <x:c r="E657" s="32" t="n">
        <x:v>0.6606000000000001</x:v>
      </x:c>
      <x:c r="F657" s="32" t="n">
        <x:v>0.1253</x:v>
      </x:c>
      <x:c r="G657" s="32" t="n">
        <x:v>0.5919</x:v>
      </x:c>
      <x:c r="H657" s="32" t="n">
        <x:v>0.2949</x:v>
      </x:c>
      <x:c r="I657" s="40" t="n">
        <x:v>1</x:v>
      </x:c>
      <x:c r="J657" s="40" t="n">
        <x:v>1</x:v>
      </x:c>
      <x:c r="K657" s="40" t="n">
        <x:v>1</x:v>
      </x:c>
      <x:c r="L657" s="40" t="n">
        <x:v>1</x:v>
      </x:c>
    </x:row>
    <x:row r="658" ht="23" customHeight="1">
      <x:c r="B658" s="17" t="str">
        <x:v>Round1</x:v>
      </x:c>
      <x:c r="C658" s="17" t="str">
        <x:v>line</x:v>
      </x:c>
      <x:c r="D658" s="17" t="str">
        <x:v>Compress_14</x:v>
      </x:c>
      <x:c r="E658" s="32" t="n">
        <x:v>0.9505</x:v>
      </x:c>
      <x:c r="F658" s="32" t="n">
        <x:v>0.5347</x:v>
      </x:c>
      <x:c r="G658" s="32" t="n">
        <x:v>0.7228</x:v>
      </x:c>
      <x:c r="H658" s="32" t="n">
        <x:v>0.9901000000000001</x:v>
      </x:c>
      <x:c r="I658" s="40" t="n">
        <x:v>1</x:v>
      </x:c>
      <x:c r="J658" s="40" t="n">
        <x:v>1</x:v>
      </x:c>
      <x:c r="K658" s="40" t="n">
        <x:v>1</x:v>
      </x:c>
      <x:c r="L658" s="40" t="n">
        <x:v>1</x:v>
      </x:c>
    </x:row>
    <x:row r="659" ht="23" customHeight="1">
      <x:c r="B659" s="17" t="str">
        <x:v>Round1</x:v>
      </x:c>
      <x:c r="C659" s="17" t="str">
        <x:v>line</x:v>
      </x:c>
      <x:c r="D659" s="17" t="str">
        <x:v>Compress_20</x:v>
      </x:c>
      <x:c r="E659" s="32" t="n">
        <x:v>0.35979999999999995</x:v>
      </x:c>
      <x:c r="F659" s="32" t="n">
        <x:v>0.26170000000000004</x:v>
      </x:c>
      <x:c r="G659" s="32" t="n">
        <x:v>0.39909999999999995</x:v>
      </x:c>
      <x:c r="H659" s="32" t="n">
        <x:v>0.972</x:v>
      </x:c>
      <x:c r="I659" s="40" t="n">
        <x:v>1</x:v>
      </x:c>
      <x:c r="J659" s="40" t="n">
        <x:v>1</x:v>
      </x:c>
      <x:c r="K659" s="40" t="n">
        <x:v>1</x:v>
      </x:c>
      <x:c r="L659" s="40" t="n">
        <x:v>1</x:v>
      </x:c>
    </x:row>
    <x:row r="660" ht="23" customHeight="1">
      <x:c r="B660" s="17" t="str">
        <x:v>Round1</x:v>
      </x:c>
      <x:c r="C660" s="17" t="str">
        <x:v>line</x:v>
      </x:c>
      <x:c r="D660" s="17" t="str">
        <x:v>Compress_21</x:v>
      </x:c>
      <x:c r="E660" s="32" t="n">
        <x:v>0.7923</x:v>
      </x:c>
      <x:c r="F660" s="32" t="n">
        <x:v>0.0231</x:v>
      </x:c>
      <x:c r="G660" s="32" t="n">
        <x:v>0.7128</x:v>
      </x:c>
      <x:c r="H660" s="32" t="n">
        <x:v>0.9333</x:v>
      </x:c>
      <x:c r="I660" s="40" t="n">
        <x:v>1</x:v>
      </x:c>
      <x:c r="J660" s="40" t="n">
        <x:v>1</x:v>
      </x:c>
      <x:c r="K660" s="40" t="n">
        <x:v>1</x:v>
      </x:c>
      <x:c r="L660" s="40" t="n">
        <x:v>1</x:v>
      </x:c>
    </x:row>
    <x:row r="661" ht="23" customHeight="1">
      <x:c r="B661" s="17" t="str">
        <x:v>Round1</x:v>
      </x:c>
      <x:c r="C661" s="17" t="str">
        <x:v>line</x:v>
      </x:c>
      <x:c r="D661" s="17" t="str">
        <x:v>Compress_30</x:v>
      </x:c>
      <x:c r="E661" s="32" t="n">
        <x:v>0.0408</x:v>
      </x:c>
      <x:c r="F661" s="32" t="n">
        <x:v>0.0265</x:v>
      </x:c>
      <x:c r="G661" s="32" t="n">
        <x:v>0.0799</x:v>
      </x:c>
      <x:c r="H661" s="32" t="n">
        <x:v>0.2</x:v>
      </x:c>
      <x:c r="I661" s="40" t="n">
        <x:v>1</x:v>
      </x:c>
      <x:c r="J661" s="40" t="n">
        <x:v>1</x:v>
      </x:c>
      <x:c r="K661" s="40" t="n">
        <x:v>1</x:v>
      </x:c>
      <x:c r="L661" s="40" t="n">
        <x:v>1</x:v>
      </x:c>
    </x:row>
    <x:row r="662" ht="23" customHeight="1">
      <x:c r="B662" s="17" t="str">
        <x:v>Round1</x:v>
      </x:c>
      <x:c r="C662" s="17" t="str">
        <x:v>line</x:v>
      </x:c>
      <x:c r="D662" s="17" t="str">
        <x:v>Compress_32</x:v>
      </x:c>
      <x:c r="E662" s="32" t="n">
        <x:v>0.45909999999999995</x:v>
      </x:c>
      <x:c r="F662" s="32" t="n">
        <x:v>0.3045</x:v>
      </x:c>
      <x:c r="G662" s="32" t="n">
        <x:v>0.4364</x:v>
      </x:c>
      <x:c r="H662" s="32" t="n">
        <x:v>0.7773</x:v>
      </x:c>
      <x:c r="I662" s="40" t="n">
        <x:v>1</x:v>
      </x:c>
      <x:c r="J662" s="40" t="n">
        <x:v>1</x:v>
      </x:c>
      <x:c r="K662" s="40" t="n">
        <x:v>1</x:v>
      </x:c>
      <x:c r="L662" s="40" t="n">
        <x:v>1</x:v>
      </x:c>
    </x:row>
    <x:row r="663" ht="23" customHeight="1">
      <x:c r="B663" s="17" t="str">
        <x:v>Round1</x:v>
      </x:c>
      <x:c r="C663" s="17" t="str">
        <x:v>line</x:v>
      </x:c>
      <x:c r="D663" s="17" t="str">
        <x:v>Compress_36</x:v>
      </x:c>
      <x:c r="E663" s="32" t="n">
        <x:v>0.0432</x:v>
      </x:c>
      <x:c r="F663" s="32" t="n">
        <x:v>0.0281</x:v>
      </x:c>
      <x:c r="G663" s="32" t="n">
        <x:v>0.075</x:v>
      </x:c>
      <x:c r="H663" s="32" t="n">
        <x:v>0.6115999999999999</x:v>
      </x:c>
      <x:c r="I663" s="40" t="n">
        <x:v>1</x:v>
      </x:c>
      <x:c r="J663" s="40" t="n">
        <x:v>1</x:v>
      </x:c>
      <x:c r="K663" s="40" t="n">
        <x:v>1</x:v>
      </x:c>
      <x:c r="L663" s="40" t="n">
        <x:v>1</x:v>
      </x:c>
    </x:row>
    <x:row r="664" ht="23" customHeight="1">
      <x:c r="B664" s="17" t="str">
        <x:v>Round1</x:v>
      </x:c>
      <x:c r="C664" s="17" t="str">
        <x:v>line</x:v>
      </x:c>
      <x:c r="D664" s="17" t="str">
        <x:v>Compress_45</x:v>
      </x:c>
      <x:c r="E664" s="32" t="n">
        <x:v>0.8304</x:v>
      </x:c>
      <x:c r="F664" s="32" t="n">
        <x:v>0.39770000000000005</x:v>
      </x:c>
      <x:c r="G664" s="32" t="n">
        <x:v>0.6374</x:v>
      </x:c>
      <x:c r="H664" s="32" t="n">
        <x:v>0.7719</x:v>
      </x:c>
      <x:c r="I664" s="40" t="n">
        <x:v>1</x:v>
      </x:c>
      <x:c r="J664" s="40" t="n">
        <x:v>1</x:v>
      </x:c>
      <x:c r="K664" s="40" t="n">
        <x:v>1</x:v>
      </x:c>
      <x:c r="L664" s="40" t="n">
        <x:v>1</x:v>
      </x:c>
    </x:row>
    <x:row r="665" ht="23" customHeight="1">
      <x:c r="B665" s="17" t="str">
        <x:v>Round1</x:v>
      </x:c>
      <x:c r="C665" s="17" t="str">
        <x:v>line</x:v>
      </x:c>
      <x:c r="D665" s="17" t="str">
        <x:v>Compress_47</x:v>
      </x:c>
      <x:c r="E665" s="32" t="n">
        <x:v>0.1791</x:v>
      </x:c>
      <x:c r="F665" s="32" t="n">
        <x:v>0.1326</x:v>
      </x:c>
      <x:c r="G665" s="32" t="n">
        <x:v>0.6557999999999999</x:v>
      </x:c>
      <x:c r="H665" s="32" t="n">
        <x:v>0.5698</x:v>
      </x:c>
      <x:c r="I665" s="40" t="n">
        <x:v>1</x:v>
      </x:c>
      <x:c r="J665" s="40" t="n">
        <x:v>1</x:v>
      </x:c>
      <x:c r="K665" s="40" t="n">
        <x:v>1</x:v>
      </x:c>
      <x:c r="L665" s="40" t="n">
        <x:v>1</x:v>
      </x:c>
    </x:row>
    <x:row r="666" ht="23" customHeight="1">
      <x:c r="B666" s="17" t="str">
        <x:v>Round1</x:v>
      </x:c>
      <x:c r="C666" s="17" t="str">
        <x:v>line</x:v>
      </x:c>
      <x:c r="D666" s="17" t="str">
        <x:v>Compress_8</x:v>
      </x:c>
      <x:c r="E666" s="32" t="n">
        <x:v>0.9143000000000001</x:v>
      </x:c>
      <x:c r="F666" s="32" t="n">
        <x:v>0.7714</x:v>
      </x:c>
      <x:c r="G666" s="32" t="n">
        <x:v>0.9714</x:v>
      </x:c>
      <x:c r="H666" s="32" t="n">
        <x:v>1</x:v>
      </x:c>
      <x:c r="I666" s="40" t="n">
        <x:v>1</x:v>
      </x:c>
      <x:c r="J666" s="40" t="n">
        <x:v>1</x:v>
      </x:c>
      <x:c r="K666" s="40" t="n">
        <x:v>1</x:v>
      </x:c>
      <x:c r="L666" s="40" t="n">
        <x:v>1</x:v>
      </x:c>
    </x:row>
    <x:row r="667" ht="23" customHeight="1">
      <x:c r="B667" s="17" t="str">
        <x:v>Round1</x:v>
      </x:c>
      <x:c r="C667" s="17" t="str">
        <x:v>line</x:v>
      </x:c>
      <x:c r="D667" s="17" t="str">
        <x:v>Compress_9</x:v>
      </x:c>
      <x:c r="E667" s="32" t="n">
        <x:v>0.6455</x:v>
      </x:c>
      <x:c r="F667" s="32" t="n">
        <x:v>0.4</x:v>
      </x:c>
      <x:c r="G667" s="32" t="n">
        <x:v>0.7726999999999999</x:v>
      </x:c>
      <x:c r="H667" s="32" t="n">
        <x:v>1</x:v>
      </x:c>
      <x:c r="I667" s="40" t="n">
        <x:v>1</x:v>
      </x:c>
      <x:c r="J667" s="40" t="n">
        <x:v>1</x:v>
      </x:c>
      <x:c r="K667" s="40" t="n">
        <x:v>1</x:v>
      </x:c>
      <x:c r="L667" s="40" t="n">
        <x:v>1</x:v>
      </x:c>
    </x:row>
    <x:row r="668" ht="23" customHeight="1">
      <x:c r="B668" s="17" t="str">
        <x:v>Round1</x:v>
      </x:c>
      <x:c r="C668" s="17" t="str">
        <x:v>line</x:v>
      </x:c>
      <x:c r="D668" s="17" t="str">
        <x:v>Csv_1</x:v>
      </x:c>
      <x:c r="E668" s="32" t="n">
        <x:v>0.8919</x:v>
      </x:c>
      <x:c r="F668" s="32" t="n">
        <x:v>0.027000000000000003</x:v>
      </x:c>
      <x:c r="G668" s="32" t="n">
        <x:v>1</x:v>
      </x:c>
      <x:c r="H668" s="32" t="n">
        <x:v>1</x:v>
      </x:c>
      <x:c r="I668" s="40" t="n">
        <x:v>1</x:v>
      </x:c>
      <x:c r="J668" s="40" t="n">
        <x:v>1</x:v>
      </x:c>
      <x:c r="K668" s="40" t="n">
        <x:v>1</x:v>
      </x:c>
      <x:c r="L668" s="40" t="n">
        <x:v>1</x:v>
      </x:c>
    </x:row>
    <x:row r="669" ht="23" customHeight="1">
      <x:c r="B669" s="17" t="str">
        <x:v>Round1</x:v>
      </x:c>
      <x:c r="C669" s="17" t="str">
        <x:v>line</x:v>
      </x:c>
      <x:c r="D669" s="17" t="str">
        <x:v>Csv_2</x:v>
      </x:c>
      <x:c r="E669" s="32" t="n">
        <x:v>1</x:v>
      </x:c>
      <x:c r="F669" s="32" t="n">
        <x:v>0.9048</x:v>
      </x:c>
      <x:c r="G669" s="32" t="n">
        <x:v>1</x:v>
      </x:c>
      <x:c r="H669" s="32" t="n">
        <x:v>1</x:v>
      </x:c>
      <x:c r="I669" s="40" t="n">
        <x:v>1</x:v>
      </x:c>
      <x:c r="J669" s="40" t="n">
        <x:v>1</x:v>
      </x:c>
      <x:c r="K669" s="40" t="n">
        <x:v>1</x:v>
      </x:c>
      <x:c r="L669" s="40" t="n">
        <x:v>1</x:v>
      </x:c>
    </x:row>
    <x:row r="670" ht="23" customHeight="1">
      <x:c r="B670" s="17" t="str">
        <x:v>Round1</x:v>
      </x:c>
      <x:c r="C670" s="17" t="str">
        <x:v>line</x:v>
      </x:c>
      <x:c r="D670" s="17" t="str">
        <x:v>Csv_6</x:v>
      </x:c>
      <x:c r="E670" s="32" t="n">
        <x:v>0.9714</x:v>
      </x:c>
      <x:c r="F670" s="32" t="n">
        <x:v>0.6286</x:v>
      </x:c>
      <x:c r="G670" s="32" t="n">
        <x:v>0.8856999999999999</x:v>
      </x:c>
      <x:c r="H670" s="32" t="n">
        <x:v>1</x:v>
      </x:c>
      <x:c r="I670" s="40" t="n">
        <x:v>1</x:v>
      </x:c>
      <x:c r="J670" s="40" t="n">
        <x:v>1</x:v>
      </x:c>
      <x:c r="K670" s="40" t="n">
        <x:v>1</x:v>
      </x:c>
      <x:c r="L670" s="40" t="n">
        <x:v>1</x:v>
      </x:c>
    </x:row>
    <x:row r="671" ht="23" customHeight="1">
      <x:c r="B671" s="17" t="str">
        <x:v>Round1</x:v>
      </x:c>
      <x:c r="C671" s="17" t="str">
        <x:v>line</x:v>
      </x:c>
      <x:c r="D671" s="17" t="str">
        <x:v>Csv_7</x:v>
      </x:c>
      <x:c r="E671" s="32" t="n">
        <x:v>0.8713</x:v>
      </x:c>
      <x:c r="F671" s="32" t="n">
        <x:v>0.07919999999999999</x:v>
      </x:c>
      <x:c r="G671" s="32" t="n">
        <x:v>0.7723</x:v>
      </x:c>
      <x:c r="H671" s="32" t="n">
        <x:v>0.6931</x:v>
      </x:c>
      <x:c r="I671" s="40" t="n">
        <x:v>1</x:v>
      </x:c>
      <x:c r="J671" s="40" t="n">
        <x:v>1</x:v>
      </x:c>
      <x:c r="K671" s="40" t="n">
        <x:v>1</x:v>
      </x:c>
      <x:c r="L671" s="40" t="n">
        <x:v>1</x:v>
      </x:c>
    </x:row>
    <x:row r="672" ht="23" customHeight="1">
      <x:c r="B672" s="17" t="str">
        <x:v>Round1</x:v>
      </x:c>
      <x:c r="C672" s="17" t="str">
        <x:v>line</x:v>
      </x:c>
      <x:c r="D672" s="17" t="str">
        <x:v>Csv_9</x:v>
      </x:c>
      <x:c r="E672" s="32" t="n">
        <x:v>0.9722</x:v>
      </x:c>
      <x:c r="F672" s="32" t="n">
        <x:v>0.6111</x:v>
      </x:c>
      <x:c r="G672" s="32" t="n">
        <x:v>1</x:v>
      </x:c>
      <x:c r="H672" s="32" t="n">
        <x:v>1</x:v>
      </x:c>
      <x:c r="I672" s="40" t="n">
        <x:v>1</x:v>
      </x:c>
      <x:c r="J672" s="40" t="n">
        <x:v>1</x:v>
      </x:c>
      <x:c r="K672" s="40" t="n">
        <x:v>1</x:v>
      </x:c>
      <x:c r="L672" s="40" t="n">
        <x:v>1</x:v>
      </x:c>
    </x:row>
    <x:row r="673" ht="23" customHeight="1">
      <x:c r="B673" s="17" t="str">
        <x:v>Round1</x:v>
      </x:c>
      <x:c r="C673" s="17" t="str">
        <x:v>line</x:v>
      </x:c>
      <x:c r="D673" s="17" t="str">
        <x:v>Gson_1</x:v>
      </x:c>
      <x:c r="E673" s="32" t="n">
        <x:v>0.0625</x:v>
      </x:c>
      <x:c r="F673" s="32" t="n">
        <x:v>0.0625</x:v>
      </x:c>
      <x:c r="G673" s="32" t="n">
        <x:v>0.6383</x:v>
      </x:c>
      <x:c r="H673" s="32" t="n">
        <x:v>0.9792000000000001</x:v>
      </x:c>
      <x:c r="I673" s="40" t="n">
        <x:v>1</x:v>
      </x:c>
      <x:c r="J673" s="40" t="n">
        <x:v>1</x:v>
      </x:c>
      <x:c r="K673" s="40" t="n">
        <x:v>1</x:v>
      </x:c>
      <x:c r="L673" s="40" t="n">
        <x:v>1</x:v>
      </x:c>
    </x:row>
    <x:row r="674" ht="23" customHeight="1">
      <x:c r="B674" s="17" t="str">
        <x:v>Round1</x:v>
      </x:c>
      <x:c r="C674" s="17" t="str">
        <x:v>line</x:v>
      </x:c>
      <x:c r="D674" s="17" t="str">
        <x:v>Gson_3</x:v>
      </x:c>
      <x:c r="E674" s="32" t="n">
        <x:v>0</x:v>
      </x:c>
      <x:c r="F674" s="32" t="n">
        <x:v>0</x:v>
      </x:c>
      <x:c r="G674" s="32" t="n">
        <x:v>0.7093</x:v>
      </x:c>
      <x:c r="H674" s="32" t="n">
        <x:v>0.9767</x:v>
      </x:c>
      <x:c r="I674" s="40" t="n">
        <x:v>1</x:v>
      </x:c>
      <x:c r="J674" s="40" t="n">
        <x:v>1</x:v>
      </x:c>
      <x:c r="K674" s="40" t="n">
        <x:v>1</x:v>
      </x:c>
      <x:c r="L674" s="40" t="n">
        <x:v>1</x:v>
      </x:c>
    </x:row>
    <x:row r="675" ht="23" customHeight="1">
      <x:c r="B675" s="17" t="str">
        <x:v>Round1</x:v>
      </x:c>
      <x:c r="C675" s="17" t="str">
        <x:v>line</x:v>
      </x:c>
      <x:c r="D675" s="17" t="str">
        <x:v>Gson_5</x:v>
      </x:c>
      <x:c r="E675" s="32" t="n">
        <x:v>0.88</x:v>
      </x:c>
      <x:c r="F675" s="32" t="n">
        <x:v>0.0533</x:v>
      </x:c>
      <x:c r="G675" s="32" t="n">
        <x:v>0.9</x:v>
      </x:c>
      <x:c r="H675" s="32" t="n">
        <x:v>0.9933</x:v>
      </x:c>
      <x:c r="I675" s="40" t="n">
        <x:v>1</x:v>
      </x:c>
      <x:c r="J675" s="40" t="n">
        <x:v>1</x:v>
      </x:c>
      <x:c r="K675" s="40" t="n">
        <x:v>1</x:v>
      </x:c>
      <x:c r="L675" s="40" t="n">
        <x:v>1</x:v>
      </x:c>
    </x:row>
    <x:row r="676" ht="23" customHeight="1">
      <x:c r="B676" s="17" t="str">
        <x:v>Round1</x:v>
      </x:c>
      <x:c r="C676" s="17" t="str">
        <x:v>line</x:v>
      </x:c>
      <x:c r="D676" s="17" t="str">
        <x:v>JacksonCore_26</x:v>
      </x:c>
      <x:c r="E676" s="32" t="n">
        <x:v>0.18489999999999998</x:v>
      </x:c>
      <x:c r="F676" s="32" t="n">
        <x:v>0.0067</x:v>
      </x:c>
      <x:c r="G676" s="32" t="n">
        <x:v>0.1404</x:v>
      </x:c>
      <x:c r="H676" s="32" t="n">
        <x:v>0.1208</x:v>
      </x:c>
      <x:c r="I676" s="40" t="n">
        <x:v>1</x:v>
      </x:c>
      <x:c r="J676" s="40" t="n">
        <x:v>1</x:v>
      </x:c>
      <x:c r="K676" s="40" t="n">
        <x:v>1</x:v>
      </x:c>
      <x:c r="L676" s="40" t="n">
        <x:v>1</x:v>
      </x:c>
    </x:row>
    <x:row r="677" ht="23" customHeight="1">
      <x:c r="B677" s="17" t="str">
        <x:v>Round1</x:v>
      </x:c>
      <x:c r="C677" s="17" t="str">
        <x:v>line</x:v>
      </x:c>
      <x:c r="D677" s="17" t="str">
        <x:v>JacksonCore_6</x:v>
      </x:c>
      <x:c r="E677" s="32" t="n">
        <x:v>0.9643</x:v>
      </x:c>
      <x:c r="F677" s="32" t="n">
        <x:v>0.631</x:v>
      </x:c>
      <x:c r="G677" s="32" t="n">
        <x:v>0.9523999999999999</x:v>
      </x:c>
      <x:c r="H677" s="32" t="n">
        <x:v>0.9167000000000001</x:v>
      </x:c>
      <x:c r="I677" s="40" t="n">
        <x:v>1</x:v>
      </x:c>
      <x:c r="J677" s="40" t="n">
        <x:v>1</x:v>
      </x:c>
      <x:c r="K677" s="40" t="n">
        <x:v>1</x:v>
      </x:c>
      <x:c r="L677" s="40" t="n">
        <x:v>1</x:v>
      </x:c>
    </x:row>
    <x:row r="678" ht="23" customHeight="1">
      <x:c r="B678" s="17" t="str">
        <x:v>Round1</x:v>
      </x:c>
      <x:c r="C678" s="17" t="str">
        <x:v>line</x:v>
      </x:c>
      <x:c r="D678" s="17" t="str">
        <x:v>JacksonCore_8</x:v>
      </x:c>
      <x:c r="E678" s="32" t="n">
        <x:v>0.9852</x:v>
      </x:c>
      <x:c r="F678" s="32" t="n">
        <x:v>0.5166</x:v>
      </x:c>
      <x:c r="G678" s="32" t="n">
        <x:v>0.6052000000000001</x:v>
      </x:c>
      <x:c r="H678" s="32" t="n">
        <x:v>0.9815</x:v>
      </x:c>
      <x:c r="I678" s="40" t="n">
        <x:v>1</x:v>
      </x:c>
      <x:c r="J678" s="40" t="n">
        <x:v>1</x:v>
      </x:c>
      <x:c r="K678" s="40" t="n">
        <x:v>1</x:v>
      </x:c>
      <x:c r="L678" s="40" t="n">
        <x:v>1</x:v>
      </x:c>
    </x:row>
    <x:row r="679" ht="23" customHeight="1">
      <x:c r="B679" s="17" t="str">
        <x:v>Round1</x:v>
      </x:c>
      <x:c r="C679" s="17" t="str">
        <x:v>line</x:v>
      </x:c>
      <x:c r="D679" s="17" t="str">
        <x:v>JacksonDatabind_105</x:v>
      </x:c>
      <x:c r="E679" s="32" t="n">
        <x:v>0.7895</x:v>
      </x:c>
      <x:c r="F679" s="32" t="n">
        <x:v>0.31579999999999997</x:v>
      </x:c>
      <x:c r="G679" s="32" t="n">
        <x:v>0.8946999999999999</x:v>
      </x:c>
      <x:c r="H679" s="32" t="n">
        <x:v>1</x:v>
      </x:c>
      <x:c r="I679" s="40" t="n">
        <x:v>1</x:v>
      </x:c>
      <x:c r="J679" s="40" t="n">
        <x:v>1</x:v>
      </x:c>
      <x:c r="K679" s="40" t="n">
        <x:v>1</x:v>
      </x:c>
      <x:c r="L679" s="40" t="n">
        <x:v>1</x:v>
      </x:c>
    </x:row>
    <x:row r="680" ht="23" customHeight="1">
      <x:c r="B680" s="17" t="str">
        <x:v>Round1</x:v>
      </x:c>
      <x:c r="C680" s="17" t="str">
        <x:v>line</x:v>
      </x:c>
      <x:c r="D680" s="17" t="str">
        <x:v>JacksonDatabind_16</x:v>
      </x:c>
      <x:c r="E680" s="32" t="n">
        <x:v>0.4571</x:v>
      </x:c>
      <x:c r="F680" s="32" t="n">
        <x:v>0.4</x:v>
      </x:c>
      <x:c r="G680" s="32" t="n">
        <x:v>1</x:v>
      </x:c>
      <x:c r="H680" s="32" t="n">
        <x:v>1</x:v>
      </x:c>
      <x:c r="I680" s="40" t="n">
        <x:v>1</x:v>
      </x:c>
      <x:c r="J680" s="40" t="n">
        <x:v>1</x:v>
      </x:c>
      <x:c r="K680" s="40" t="n">
        <x:v>1</x:v>
      </x:c>
      <x:c r="L680" s="40" t="n">
        <x:v>1</x:v>
      </x:c>
    </x:row>
    <x:row r="681" ht="23" customHeight="1">
      <x:c r="B681" s="17" t="str">
        <x:v>Round1</x:v>
      </x:c>
      <x:c r="C681" s="17" t="str">
        <x:v>line</x:v>
      </x:c>
      <x:c r="D681" s="17" t="str">
        <x:v>JacksonDatabind_36</x:v>
      </x:c>
      <x:c r="E681" s="32" t="n">
        <x:v>0.9481999999999999</x:v>
      </x:c>
      <x:c r="F681" s="32" t="n">
        <x:v>0.8756</x:v>
      </x:c>
      <x:c r="G681" s="32" t="n">
        <x:v>0.8445999999999999</x:v>
      </x:c>
      <x:c r="H681" s="32" t="n">
        <x:v>0.07769999999999999</x:v>
      </x:c>
      <x:c r="I681" s="40" t="n">
        <x:v>1</x:v>
      </x:c>
      <x:c r="J681" s="40" t="n">
        <x:v>1</x:v>
      </x:c>
      <x:c r="K681" s="40" t="n">
        <x:v>1</x:v>
      </x:c>
      <x:c r="L681" s="40" t="n">
        <x:v>1</x:v>
      </x:c>
    </x:row>
    <x:row r="682" ht="23" customHeight="1">
      <x:c r="B682" s="17" t="str">
        <x:v>Round1</x:v>
      </x:c>
      <x:c r="C682" s="17" t="str">
        <x:v>line</x:v>
      </x:c>
      <x:c r="D682" s="17" t="str">
        <x:v>JacksonDatabind_39</x:v>
      </x:c>
      <x:c r="E682" s="32" t="n">
        <x:v>0.8571</x:v>
      </x:c>
      <x:c r="F682" s="32" t="n">
        <x:v>0.2857</x:v>
      </x:c>
      <x:c r="G682" s="32" t="n">
        <x:v>1</x:v>
      </x:c>
      <x:c r="H682" s="32" t="n">
        <x:v>1</x:v>
      </x:c>
      <x:c r="I682" s="40" t="n">
        <x:v>1</x:v>
      </x:c>
      <x:c r="J682" s="40" t="n">
        <x:v>1</x:v>
      </x:c>
      <x:c r="K682" s="40" t="n">
        <x:v>1</x:v>
      </x:c>
      <x:c r="L682" s="40" t="n">
        <x:v>1</x:v>
      </x:c>
    </x:row>
    <x:row r="683" ht="23" customHeight="1">
      <x:c r="B683" s="17" t="str">
        <x:v>Round1</x:v>
      </x:c>
      <x:c r="C683" s="17" t="str">
        <x:v>line</x:v>
      </x:c>
      <x:c r="D683" s="17" t="str">
        <x:v>JacksonDatabind_40</x:v>
      </x:c>
      <x:c r="E683" s="32" t="n">
        <x:v>0.45659999999999995</x:v>
      </x:c>
      <x:c r="F683" s="32" t="n">
        <x:v>0.3196</x:v>
      </x:c>
      <x:c r="G683" s="32" t="n">
        <x:v>0.6804000000000001</x:v>
      </x:c>
      <x:c r="H683" s="32" t="n">
        <x:v>0.022799999999999997</x:v>
      </x:c>
      <x:c r="I683" s="40" t="n">
        <x:v>1</x:v>
      </x:c>
      <x:c r="J683" s="40" t="n">
        <x:v>1</x:v>
      </x:c>
      <x:c r="K683" s="40" t="n">
        <x:v>1</x:v>
      </x:c>
      <x:c r="L683" s="40" t="n">
        <x:v>1</x:v>
      </x:c>
    </x:row>
    <x:row r="684" ht="23" customHeight="1">
      <x:c r="B684" s="17" t="str">
        <x:v>Round1</x:v>
      </x:c>
      <x:c r="C684" s="17" t="str">
        <x:v>line</x:v>
      </x:c>
      <x:c r="D684" s="17" t="str">
        <x:v>JacksonDatabind_44</x:v>
      </x:c>
      <x:c r="E684" s="32" t="n">
        <x:v>0.9732999999999999</x:v>
      </x:c>
      <x:c r="F684" s="32" t="n">
        <x:v>0</x:v>
      </x:c>
      <x:c r="G684" s="32" t="n">
        <x:v>0.8533</x:v>
      </x:c>
      <x:c r="H684" s="32" t="n">
        <x:v>0</x:v>
      </x:c>
      <x:c r="I684" s="40" t="n">
        <x:v>1</x:v>
      </x:c>
      <x:c r="J684" s="40" t="n">
        <x:v>1</x:v>
      </x:c>
      <x:c r="K684" s="40" t="n">
        <x:v>1</x:v>
      </x:c>
      <x:c r="L684" s="40" t="n">
        <x:v>1</x:v>
      </x:c>
    </x:row>
    <x:row r="685" ht="23" customHeight="1">
      <x:c r="B685" s="17" t="str">
        <x:v>Round1</x:v>
      </x:c>
      <x:c r="C685" s="17" t="str">
        <x:v>line</x:v>
      </x:c>
      <x:c r="D685" s="17" t="str">
        <x:v>JacksonDatabind_5</x:v>
      </x:c>
      <x:c r="E685" s="32" t="n">
        <x:v>0.8055</x:v>
      </x:c>
      <x:c r="F685" s="32" t="n">
        <x:v>0</x:v>
      </x:c>
      <x:c r="G685" s="32" t="n">
        <x:v>0.5233</x:v>
      </x:c>
      <x:c r="H685" s="32" t="n">
        <x:v>0.0027</x:v>
      </x:c>
      <x:c r="I685" s="40" t="n">
        <x:v>1</x:v>
      </x:c>
      <x:c r="J685" s="40" t="n">
        <x:v>1</x:v>
      </x:c>
      <x:c r="K685" s="40" t="n">
        <x:v>1</x:v>
      </x:c>
      <x:c r="L685" s="40" t="n">
        <x:v>1</x:v>
      </x:c>
    </x:row>
    <x:row r="686" ht="23" customHeight="1">
      <x:c r="B686" s="17" t="str">
        <x:v>Round1</x:v>
      </x:c>
      <x:c r="C686" s="17" t="str">
        <x:v>line</x:v>
      </x:c>
      <x:c r="D686" s="17" t="str">
        <x:v>JacksonDatabind_53</x:v>
      </x:c>
      <x:c r="E686" s="32" t="n">
        <x:v>0.8693000000000001</x:v>
      </x:c>
      <x:c r="F686" s="32" t="n">
        <x:v>0.40399999999999997</x:v>
      </x:c>
      <x:c r="G686" s="32" t="n">
        <x:v>0.7931999999999999</x:v>
      </x:c>
      <x:c r="H686" s="32" t="n">
        <x:v>0.07519999999999999</x:v>
      </x:c>
      <x:c r="I686" s="40" t="n">
        <x:v>1</x:v>
      </x:c>
      <x:c r="J686" s="40" t="n">
        <x:v>1</x:v>
      </x:c>
      <x:c r="K686" s="40" t="n">
        <x:v>1</x:v>
      </x:c>
      <x:c r="L686" s="40" t="n">
        <x:v>1</x:v>
      </x:c>
    </x:row>
    <x:row r="687" ht="23" customHeight="1">
      <x:c r="B687" s="17" t="str">
        <x:v>Round1</x:v>
      </x:c>
      <x:c r="C687" s="17" t="str">
        <x:v>line</x:v>
      </x:c>
      <x:c r="D687" s="17" t="str">
        <x:v>JacksonDatabind_55</x:v>
      </x:c>
      <x:c r="E687" s="32" t="n">
        <x:v>0.8689</x:v>
      </x:c>
      <x:c r="F687" s="32" t="n">
        <x:v>0.2787</x:v>
      </x:c>
      <x:c r="G687" s="32" t="n">
        <x:v>0.7868999999999999</x:v>
      </x:c>
      <x:c r="H687" s="32" t="n">
        <x:v>0.0492</x:v>
      </x:c>
      <x:c r="I687" s="40" t="n">
        <x:v>1</x:v>
      </x:c>
      <x:c r="J687" s="40" t="n">
        <x:v>1</x:v>
      </x:c>
      <x:c r="K687" s="40" t="n">
        <x:v>1</x:v>
      </x:c>
      <x:c r="L687" s="40" t="n">
        <x:v>1</x:v>
      </x:c>
    </x:row>
    <x:row r="688" ht="23" customHeight="1">
      <x:c r="B688" s="17" t="str">
        <x:v>Round1</x:v>
      </x:c>
      <x:c r="C688" s="17" t="str">
        <x:v>line</x:v>
      </x:c>
      <x:c r="D688" s="17" t="str">
        <x:v>JacksonDatabind_57</x:v>
      </x:c>
      <x:c r="E688" s="32" t="n">
        <x:v>0.7598</x:v>
      </x:c>
      <x:c r="F688" s="32" t="n">
        <x:v>0.0368</x:v>
      </x:c>
      <x:c r="G688" s="32" t="n">
        <x:v>0.5528</x:v>
      </x:c>
      <x:c r="H688" s="32" t="n">
        <x:v>0.0025</x:v>
      </x:c>
      <x:c r="I688" s="40" t="n">
        <x:v>1</x:v>
      </x:c>
      <x:c r="J688" s="40" t="n">
        <x:v>1</x:v>
      </x:c>
      <x:c r="K688" s="40" t="n">
        <x:v>1</x:v>
      </x:c>
      <x:c r="L688" s="40" t="n">
        <x:v>1</x:v>
      </x:c>
    </x:row>
    <x:row r="689" ht="23" customHeight="1">
      <x:c r="B689" s="17" t="str">
        <x:v>Round1</x:v>
      </x:c>
      <x:c r="C689" s="17" t="str">
        <x:v>line</x:v>
      </x:c>
      <x:c r="D689" s="17" t="str">
        <x:v>JacksonDatabind_6</x:v>
      </x:c>
      <x:c r="E689" s="32" t="n">
        <x:v>0.953</x:v>
      </x:c>
      <x:c r="F689" s="32" t="n">
        <x:v>0.8859</x:v>
      </x:c>
      <x:c r="G689" s="32" t="n">
        <x:v>0.8926000000000001</x:v>
      </x:c>
      <x:c r="H689" s="32" t="n">
        <x:v>0.1007</x:v>
      </x:c>
      <x:c r="I689" s="40" t="n">
        <x:v>1</x:v>
      </x:c>
      <x:c r="J689" s="40" t="n">
        <x:v>1</x:v>
      </x:c>
      <x:c r="K689" s="40" t="n">
        <x:v>1</x:v>
      </x:c>
      <x:c r="L689" s="40" t="n">
        <x:v>1</x:v>
      </x:c>
    </x:row>
    <x:row r="690" ht="23" customHeight="1">
      <x:c r="B690" s="17" t="str">
        <x:v>Round1</x:v>
      </x:c>
      <x:c r="C690" s="17" t="str">
        <x:v>line</x:v>
      </x:c>
      <x:c r="D690" s="17" t="str">
        <x:v>JacksonDatabind_68</x:v>
      </x:c>
      <x:c r="E690" s="32" t="n">
        <x:v>0.0068000000000000005</x:v>
      </x:c>
      <x:c r="F690" s="32" t="n">
        <x:v>0.0017000000000000001</x:v>
      </x:c>
      <x:c r="G690" s="32" t="n">
        <x:v>0.0017000000000000001</x:v>
      </x:c>
      <x:c r="H690" s="32" t="n">
        <x:v>0.0017000000000000001</x:v>
      </x:c>
      <x:c r="I690" s="40" t="n">
        <x:v>1</x:v>
      </x:c>
      <x:c r="J690" s="40" t="n">
        <x:v>1</x:v>
      </x:c>
      <x:c r="K690" s="40" t="n">
        <x:v>1</x:v>
      </x:c>
      <x:c r="L690" s="40" t="n">
        <x:v>1</x:v>
      </x:c>
    </x:row>
    <x:row r="691" ht="23" customHeight="1">
      <x:c r="B691" s="17" t="str">
        <x:v>Round1</x:v>
      </x:c>
      <x:c r="C691" s="17" t="str">
        <x:v>line</x:v>
      </x:c>
      <x:c r="D691" s="17" t="str">
        <x:v>JacksonDatabind_73</x:v>
      </x:c>
      <x:c r="E691" s="32" t="n">
        <x:v>0.0625</x:v>
      </x:c>
      <x:c r="F691" s="32" t="n">
        <x:v>0.0496</x:v>
      </x:c>
      <x:c r="G691" s="32" t="n">
        <x:v>0.6831999999999999</x:v>
      </x:c>
      <x:c r="H691" s="32" t="n">
        <x:v>0</x:v>
      </x:c>
      <x:c r="I691" s="40" t="n">
        <x:v>1</x:v>
      </x:c>
      <x:c r="J691" s="40" t="n">
        <x:v>1</x:v>
      </x:c>
      <x:c r="K691" s="40" t="n">
        <x:v>1</x:v>
      </x:c>
      <x:c r="L691" s="40" t="n">
        <x:v>1</x:v>
      </x:c>
    </x:row>
    <x:row r="692" ht="23" customHeight="1">
      <x:c r="B692" s="17" t="str">
        <x:v>Round1</x:v>
      </x:c>
      <x:c r="C692" s="17" t="str">
        <x:v>line</x:v>
      </x:c>
      <x:c r="D692" s="17" t="str">
        <x:v>JacksonDatabind_83</x:v>
      </x:c>
      <x:c r="E692" s="32" t="n">
        <x:v>0.6148</x:v>
      </x:c>
      <x:c r="F692" s="32" t="n">
        <x:v>0.008199999999999999</x:v>
      </x:c>
      <x:c r="G692" s="32" t="n">
        <x:v>0.8197</x:v>
      </x:c>
      <x:c r="H692" s="32" t="n">
        <x:v>0</x:v>
      </x:c>
      <x:c r="I692" s="40" t="n">
        <x:v>1</x:v>
      </x:c>
      <x:c r="J692" s="40" t="n">
        <x:v>1</x:v>
      </x:c>
      <x:c r="K692" s="40" t="n">
        <x:v>1</x:v>
      </x:c>
      <x:c r="L692" s="40" t="n">
        <x:v>1</x:v>
      </x:c>
    </x:row>
    <x:row r="693" ht="23" customHeight="1">
      <x:c r="B693" s="17" t="str">
        <x:v>Round1</x:v>
      </x:c>
      <x:c r="C693" s="17" t="str">
        <x:v>line</x:v>
      </x:c>
      <x:c r="D693" s="17" t="str">
        <x:v>JacksonDatabind_84</x:v>
      </x:c>
      <x:c r="E693" s="32" t="n">
        <x:v>1</x:v>
      </x:c>
      <x:c r="F693" s="32" t="n">
        <x:v>0</x:v>
      </x:c>
      <x:c r="G693" s="32" t="n">
        <x:v>0.9667</x:v>
      </x:c>
      <x:c r="H693" s="32" t="n">
        <x:v>1</x:v>
      </x:c>
      <x:c r="I693" s="40" t="n">
        <x:v>1</x:v>
      </x:c>
      <x:c r="J693" s="40" t="n">
        <x:v>1</x:v>
      </x:c>
      <x:c r="K693" s="40" t="n">
        <x:v>1</x:v>
      </x:c>
      <x:c r="L693" s="40" t="n">
        <x:v>1</x:v>
      </x:c>
    </x:row>
    <x:row r="694" ht="23" customHeight="1">
      <x:c r="B694" s="17" t="str">
        <x:v>Round1</x:v>
      </x:c>
      <x:c r="C694" s="17" t="str">
        <x:v>line</x:v>
      </x:c>
      <x:c r="D694" s="17" t="str">
        <x:v>JacksonDatabind_86</x:v>
      </x:c>
      <x:c r="E694" s="32" t="n">
        <x:v>1</x:v>
      </x:c>
      <x:c r="F694" s="32" t="n">
        <x:v>0</x:v>
      </x:c>
      <x:c r="G694" s="32" t="n">
        <x:v>0.9667</x:v>
      </x:c>
      <x:c r="H694" s="32" t="n">
        <x:v>1</x:v>
      </x:c>
      <x:c r="I694" s="40" t="n">
        <x:v>1</x:v>
      </x:c>
      <x:c r="J694" s="40" t="n">
        <x:v>1</x:v>
      </x:c>
      <x:c r="K694" s="40" t="n">
        <x:v>1</x:v>
      </x:c>
      <x:c r="L694" s="40" t="n">
        <x:v>1</x:v>
      </x:c>
    </x:row>
    <x:row r="695" ht="23" customHeight="1">
      <x:c r="B695" s="17" t="str">
        <x:v>Round1</x:v>
      </x:c>
      <x:c r="C695" s="17" t="str">
        <x:v>line</x:v>
      </x:c>
      <x:c r="D695" s="17" t="str">
        <x:v>JacksonDatabind_87</x:v>
      </x:c>
      <x:c r="E695" s="32" t="n">
        <x:v>0.9505</x:v>
      </x:c>
      <x:c r="F695" s="32" t="n">
        <x:v>0.7723</x:v>
      </x:c>
      <x:c r="G695" s="32" t="n">
        <x:v>0.8564</x:v>
      </x:c>
      <x:c r="H695" s="32" t="n">
        <x:v>0.07429999999999999</x:v>
      </x:c>
      <x:c r="I695" s="40" t="n">
        <x:v>1</x:v>
      </x:c>
      <x:c r="J695" s="40" t="n">
        <x:v>1</x:v>
      </x:c>
      <x:c r="K695" s="40" t="n">
        <x:v>1</x:v>
      </x:c>
      <x:c r="L695" s="40" t="n">
        <x:v>1</x:v>
      </x:c>
    </x:row>
    <x:row r="696" ht="23" customHeight="1">
      <x:c r="B696" s="17" t="str">
        <x:v>Round1</x:v>
      </x:c>
      <x:c r="C696" s="17" t="str">
        <x:v>line</x:v>
      </x:c>
      <x:c r="D696" s="17" t="str">
        <x:v>JacksonDatabind_94</x:v>
      </x:c>
      <x:c r="E696" s="32" t="n">
        <x:v>0.7714</x:v>
      </x:c>
      <x:c r="F696" s="32" t="n">
        <x:v>0.6286</x:v>
      </x:c>
      <x:c r="G696" s="32" t="n">
        <x:v>0.8571</x:v>
      </x:c>
      <x:c r="H696" s="32" t="n">
        <x:v>1</x:v>
      </x:c>
      <x:c r="I696" s="40" t="n">
        <x:v>1</x:v>
      </x:c>
      <x:c r="J696" s="40" t="n">
        <x:v>1</x:v>
      </x:c>
      <x:c r="K696" s="40" t="n">
        <x:v>1</x:v>
      </x:c>
      <x:c r="L696" s="40" t="n">
        <x:v>1</x:v>
      </x:c>
    </x:row>
    <x:row r="697" ht="23" customHeight="1">
      <x:c r="B697" s="17" t="str">
        <x:v>Round1</x:v>
      </x:c>
      <x:c r="C697" s="17" t="str">
        <x:v>line</x:v>
      </x:c>
      <x:c r="D697" s="17" t="str">
        <x:v>Jsoup_1</x:v>
      </x:c>
      <x:c r="E697" s="32" t="n">
        <x:v>1</x:v>
      </x:c>
      <x:c r="F697" s="32" t="n">
        <x:v>1</x:v>
      </x:c>
      <x:c r="G697" s="32" t="n">
        <x:v>0.9783</x:v>
      </x:c>
      <x:c r="H697" s="32" t="n">
        <x:v>1</x:v>
      </x:c>
      <x:c r="I697" s="40" t="n">
        <x:v>1</x:v>
      </x:c>
      <x:c r="J697" s="40" t="n">
        <x:v>1</x:v>
      </x:c>
      <x:c r="K697" s="40" t="n">
        <x:v>1</x:v>
      </x:c>
      <x:c r="L697" s="40" t="n">
        <x:v>1</x:v>
      </x:c>
    </x:row>
    <x:row r="698" ht="23" customHeight="1">
      <x:c r="B698" s="17" t="str">
        <x:v>Round1</x:v>
      </x:c>
      <x:c r="C698" s="17" t="str">
        <x:v>line</x:v>
      </x:c>
      <x:c r="D698" s="17" t="str">
        <x:v>Jsoup_11</x:v>
      </x:c>
      <x:c r="E698" s="32" t="n">
        <x:v>0.6667000000000001</x:v>
      </x:c>
      <x:c r="F698" s="32" t="n">
        <x:v>0.0556</x:v>
      </x:c>
      <x:c r="G698" s="32" t="n">
        <x:v>0.8131</x:v>
      </x:c>
      <x:c r="H698" s="32" t="n">
        <x:v>0.9747</x:v>
      </x:c>
      <x:c r="I698" s="40" t="n">
        <x:v>1</x:v>
      </x:c>
      <x:c r="J698" s="40" t="n">
        <x:v>1</x:v>
      </x:c>
      <x:c r="K698" s="40" t="n">
        <x:v>1</x:v>
      </x:c>
      <x:c r="L698" s="40" t="n">
        <x:v>1</x:v>
      </x:c>
    </x:row>
    <x:row r="699" ht="23" customHeight="1">
      <x:c r="B699" s="17" t="str">
        <x:v>Round1</x:v>
      </x:c>
      <x:c r="C699" s="17" t="str">
        <x:v>line</x:v>
      </x:c>
      <x:c r="D699" s="17" t="str">
        <x:v>Jsoup_12</x:v>
      </x:c>
      <x:c r="E699" s="32" t="n">
        <x:v>0.7064</x:v>
      </x:c>
      <x:c r="F699" s="32" t="n">
        <x:v>0.078</x:v>
      </x:c>
      <x:c r="G699" s="32" t="n">
        <x:v>0.9495</x:v>
      </x:c>
      <x:c r="H699" s="32" t="n">
        <x:v>0.9771</x:v>
      </x:c>
      <x:c r="I699" s="40" t="n">
        <x:v>1</x:v>
      </x:c>
      <x:c r="J699" s="40" t="n">
        <x:v>1</x:v>
      </x:c>
      <x:c r="K699" s="40" t="n">
        <x:v>1</x:v>
      </x:c>
      <x:c r="L699" s="40" t="n">
        <x:v>1</x:v>
      </x:c>
    </x:row>
    <x:row r="700" ht="23" customHeight="1">
      <x:c r="B700" s="17" t="str">
        <x:v>Round1</x:v>
      </x:c>
      <x:c r="C700" s="17" t="str">
        <x:v>line</x:v>
      </x:c>
      <x:c r="D700" s="17" t="str">
        <x:v>Jsoup_16</x:v>
      </x:c>
      <x:c r="E700" s="32" t="n">
        <x:v>1</x:v>
      </x:c>
      <x:c r="F700" s="32" t="n">
        <x:v>0.9286</x:v>
      </x:c>
      <x:c r="G700" s="32" t="n">
        <x:v>1</x:v>
      </x:c>
      <x:c r="H700" s="32" t="n">
        <x:v>1</x:v>
      </x:c>
      <x:c r="I700" s="40" t="n">
        <x:v>1</x:v>
      </x:c>
      <x:c r="J700" s="40" t="n">
        <x:v>1</x:v>
      </x:c>
      <x:c r="K700" s="40" t="n">
        <x:v>1</x:v>
      </x:c>
      <x:c r="L700" s="40" t="n">
        <x:v>1</x:v>
      </x:c>
    </x:row>
    <x:row r="701" ht="23" customHeight="1">
      <x:c r="B701" s="17" t="str">
        <x:v>Round1</x:v>
      </x:c>
      <x:c r="C701" s="17" t="str">
        <x:v>line</x:v>
      </x:c>
      <x:c r="D701" s="17" t="str">
        <x:v>Jsoup_18</x:v>
      </x:c>
      <x:c r="E701" s="32" t="n">
        <x:v>1</x:v>
      </x:c>
      <x:c r="F701" s="32" t="n">
        <x:v>0.9484999999999999</x:v>
      </x:c>
      <x:c r="G701" s="32" t="n">
        <x:v>0.9897</x:v>
      </x:c>
      <x:c r="H701" s="32" t="n">
        <x:v>1</x:v>
      </x:c>
      <x:c r="I701" s="40" t="n">
        <x:v>1</x:v>
      </x:c>
      <x:c r="J701" s="40" t="n">
        <x:v>1</x:v>
      </x:c>
      <x:c r="K701" s="40" t="n">
        <x:v>1</x:v>
      </x:c>
      <x:c r="L701" s="40" t="n">
        <x:v>1</x:v>
      </x:c>
    </x:row>
    <x:row r="702" ht="23" customHeight="1">
      <x:c r="B702" s="17" t="str">
        <x:v>Round1</x:v>
      </x:c>
      <x:c r="C702" s="17" t="str">
        <x:v>line</x:v>
      </x:c>
      <x:c r="D702" s="17" t="str">
        <x:v>Jsoup_20</x:v>
      </x:c>
      <x:c r="E702" s="32" t="n">
        <x:v>0.7955</x:v>
      </x:c>
      <x:c r="F702" s="32" t="n">
        <x:v>0.40909999999999996</x:v>
      </x:c>
      <x:c r="G702" s="32" t="n">
        <x:v>0.9773000000000001</x:v>
      </x:c>
      <x:c r="H702" s="32" t="n">
        <x:v>1</x:v>
      </x:c>
      <x:c r="I702" s="40" t="n">
        <x:v>1</x:v>
      </x:c>
      <x:c r="J702" s="40" t="n">
        <x:v>1</x:v>
      </x:c>
      <x:c r="K702" s="40" t="n">
        <x:v>1</x:v>
      </x:c>
      <x:c r="L702" s="40" t="n">
        <x:v>1</x:v>
      </x:c>
    </x:row>
    <x:row r="703" ht="23" customHeight="1">
      <x:c r="B703" s="17" t="str">
        <x:v>Round1</x:v>
      </x:c>
      <x:c r="C703" s="17" t="str">
        <x:v>line</x:v>
      </x:c>
      <x:c r="D703" s="17" t="str">
        <x:v>Jsoup_39</x:v>
      </x:c>
      <x:c r="E703" s="32" t="n">
        <x:v>0.6533</x:v>
      </x:c>
      <x:c r="F703" s="32" t="n">
        <x:v>0.2933</x:v>
      </x:c>
      <x:c r="G703" s="32" t="n">
        <x:v>0.88</x:v>
      </x:c>
      <x:c r="H703" s="32" t="n">
        <x:v>0.9732999999999999</x:v>
      </x:c>
      <x:c r="I703" s="40" t="n">
        <x:v>1</x:v>
      </x:c>
      <x:c r="J703" s="40" t="n">
        <x:v>1</x:v>
      </x:c>
      <x:c r="K703" s="40" t="n">
        <x:v>1</x:v>
      </x:c>
      <x:c r="L703" s="40" t="n">
        <x:v>1</x:v>
      </x:c>
    </x:row>
    <x:row r="704" ht="23" customHeight="1">
      <x:c r="B704" s="17" t="str">
        <x:v>Round1</x:v>
      </x:c>
      <x:c r="C704" s="17" t="str">
        <x:v>line</x:v>
      </x:c>
      <x:c r="D704" s="17" t="str">
        <x:v>Jsoup_40</x:v>
      </x:c>
      <x:c r="E704" s="32" t="n">
        <x:v>1</x:v>
      </x:c>
      <x:c r="F704" s="32" t="n">
        <x:v>0.9412</x:v>
      </x:c>
      <x:c r="G704" s="32" t="n">
        <x:v>1</x:v>
      </x:c>
      <x:c r="H704" s="32" t="n">
        <x:v>1</x:v>
      </x:c>
      <x:c r="I704" s="40" t="n">
        <x:v>1</x:v>
      </x:c>
      <x:c r="J704" s="40" t="n">
        <x:v>1</x:v>
      </x:c>
      <x:c r="K704" s="40" t="n">
        <x:v>1</x:v>
      </x:c>
      <x:c r="L704" s="40" t="n">
        <x:v>1</x:v>
      </x:c>
    </x:row>
    <x:row r="705" ht="23" customHeight="1">
      <x:c r="B705" s="17" t="str">
        <x:v>Round1</x:v>
      </x:c>
      <x:c r="C705" s="17" t="str">
        <x:v>line</x:v>
      </x:c>
      <x:c r="D705" s="17" t="str">
        <x:v>Jsoup_46</x:v>
      </x:c>
      <x:c r="E705" s="32" t="n">
        <x:v>0.9068</x:v>
      </x:c>
      <x:c r="F705" s="32" t="n">
        <x:v>0.48310000000000003</x:v>
      </x:c>
      <x:c r="G705" s="32" t="n">
        <x:v>0.7966</x:v>
      </x:c>
      <x:c r="H705" s="32" t="n">
        <x:v>0.9831</x:v>
      </x:c>
      <x:c r="I705" s="40" t="n">
        <x:v>1</x:v>
      </x:c>
      <x:c r="J705" s="40" t="n">
        <x:v>1</x:v>
      </x:c>
      <x:c r="K705" s="40" t="n">
        <x:v>1</x:v>
      </x:c>
      <x:c r="L705" s="40" t="n">
        <x:v>1</x:v>
      </x:c>
    </x:row>
    <x:row r="706" ht="23" customHeight="1">
      <x:c r="B706" s="17" t="str">
        <x:v>Round1</x:v>
      </x:c>
      <x:c r="C706" s="17" t="str">
        <x:v>line</x:v>
      </x:c>
      <x:c r="D706" s="17" t="str">
        <x:v>Jsoup_5</x:v>
      </x:c>
      <x:c r="E706" s="32" t="n">
        <x:v>0.8371999999999999</x:v>
      </x:c>
      <x:c r="F706" s="32" t="n">
        <x:v>0.2267</x:v>
      </x:c>
      <x:c r="G706" s="32" t="n">
        <x:v>0.6453</x:v>
      </x:c>
      <x:c r="H706" s="32" t="n">
        <x:v>0.9884000000000001</x:v>
      </x:c>
      <x:c r="I706" s="40" t="n">
        <x:v>1</x:v>
      </x:c>
      <x:c r="J706" s="40" t="n">
        <x:v>1</x:v>
      </x:c>
      <x:c r="K706" s="40" t="n">
        <x:v>1</x:v>
      </x:c>
      <x:c r="L706" s="40" t="n">
        <x:v>1</x:v>
      </x:c>
    </x:row>
    <x:row r="707" ht="23" customHeight="1">
      <x:c r="B707" s="17" t="str">
        <x:v>Round1</x:v>
      </x:c>
      <x:c r="C707" s="17" t="str">
        <x:v>line</x:v>
      </x:c>
      <x:c r="D707" s="17" t="str">
        <x:v>Jsoup_51</x:v>
      </x:c>
      <x:c r="E707" s="32" t="n">
        <x:v>0.9897</x:v>
      </x:c>
      <x:c r="F707" s="32" t="n">
        <x:v>0.9333</x:v>
      </x:c>
      <x:c r="G707" s="32" t="n">
        <x:v>0.9641</x:v>
      </x:c>
      <x:c r="H707" s="32" t="n">
        <x:v>1</x:v>
      </x:c>
      <x:c r="I707" s="40" t="n">
        <x:v>1</x:v>
      </x:c>
      <x:c r="J707" s="40" t="n">
        <x:v>1</x:v>
      </x:c>
      <x:c r="K707" s="40" t="n">
        <x:v>1</x:v>
      </x:c>
      <x:c r="L707" s="40" t="n">
        <x:v>1</x:v>
      </x:c>
    </x:row>
    <x:row r="708" ht="23" customHeight="1">
      <x:c r="B708" s="17" t="str">
        <x:v>Round1</x:v>
      </x:c>
      <x:c r="C708" s="17" t="str">
        <x:v>line</x:v>
      </x:c>
      <x:c r="D708" s="17" t="str">
        <x:v>Jsoup_53</x:v>
      </x:c>
      <x:c r="E708" s="32" t="n">
        <x:v>0.9845999999999999</x:v>
      </x:c>
      <x:c r="F708" s="32" t="n">
        <x:v>0.9692000000000001</x:v>
      </x:c>
      <x:c r="G708" s="32" t="n">
        <x:v>0.9</x:v>
      </x:c>
      <x:c r="H708" s="32" t="n">
        <x:v>0.9923000000000001</x:v>
      </x:c>
      <x:c r="I708" s="40" t="n">
        <x:v>1</x:v>
      </x:c>
      <x:c r="J708" s="40" t="n">
        <x:v>1</x:v>
      </x:c>
      <x:c r="K708" s="40" t="n">
        <x:v>1</x:v>
      </x:c>
      <x:c r="L708" s="40" t="n">
        <x:v>1</x:v>
      </x:c>
    </x:row>
    <x:row r="709" ht="23" customHeight="1">
      <x:c r="B709" s="17" t="str">
        <x:v>Round1</x:v>
      </x:c>
      <x:c r="C709" s="17" t="str">
        <x:v>line</x:v>
      </x:c>
      <x:c r="D709" s="17" t="str">
        <x:v>Jsoup_57</x:v>
      </x:c>
      <x:c r="E709" s="32" t="n">
        <x:v>0.8819</x:v>
      </x:c>
      <x:c r="F709" s="32" t="n">
        <x:v>0.7717</x:v>
      </x:c>
      <x:c r="G709" s="32" t="n">
        <x:v>0.9449</x:v>
      </x:c>
      <x:c r="H709" s="32" t="n">
        <x:v>0.9684999999999999</x:v>
      </x:c>
      <x:c r="I709" s="40" t="n">
        <x:v>1</x:v>
      </x:c>
      <x:c r="J709" s="40" t="n">
        <x:v>1</x:v>
      </x:c>
      <x:c r="K709" s="40" t="n">
        <x:v>1</x:v>
      </x:c>
      <x:c r="L709" s="40" t="n">
        <x:v>1</x:v>
      </x:c>
    </x:row>
    <x:row r="710" ht="23" customHeight="1">
      <x:c r="B710" s="17" t="str">
        <x:v>Round1</x:v>
      </x:c>
      <x:c r="C710" s="17" t="str">
        <x:v>line</x:v>
      </x:c>
      <x:c r="D710" s="17" t="str">
        <x:v>Jsoup_58</x:v>
      </x:c>
      <x:c r="E710" s="32" t="n">
        <x:v>0.7559</x:v>
      </x:c>
      <x:c r="F710" s="32" t="n">
        <x:v>0.4094</x:v>
      </x:c>
      <x:c r="G710" s="32" t="n">
        <x:v>0.9684999999999999</x:v>
      </x:c>
      <x:c r="H710" s="32" t="n">
        <x:v>1</x:v>
      </x:c>
      <x:c r="I710" s="40" t="n">
        <x:v>1</x:v>
      </x:c>
      <x:c r="J710" s="40" t="n">
        <x:v>1</x:v>
      </x:c>
      <x:c r="K710" s="40" t="n">
        <x:v>1</x:v>
      </x:c>
      <x:c r="L710" s="40" t="n">
        <x:v>1</x:v>
      </x:c>
    </x:row>
    <x:row r="711" ht="23" customHeight="1">
      <x:c r="B711" s="17" t="str">
        <x:v>Round1</x:v>
      </x:c>
      <x:c r="C711" s="17" t="str">
        <x:v>line</x:v>
      </x:c>
      <x:c r="D711" s="17" t="str">
        <x:v>Jsoup_69</x:v>
      </x:c>
      <x:c r="E711" s="32" t="n">
        <x:v>0.4359</x:v>
      </x:c>
      <x:c r="F711" s="32" t="n">
        <x:v>0.0256</x:v>
      </x:c>
      <x:c r="G711" s="32" t="n">
        <x:v>0.9211</x:v>
      </x:c>
      <x:c r="H711" s="32" t="n">
        <x:v>1</x:v>
      </x:c>
      <x:c r="I711" s="40" t="n">
        <x:v>1</x:v>
      </x:c>
      <x:c r="J711" s="40" t="n">
        <x:v>1</x:v>
      </x:c>
      <x:c r="K711" s="40" t="n">
        <x:v>1</x:v>
      </x:c>
      <x:c r="L711" s="40" t="n">
        <x:v>1</x:v>
      </x:c>
    </x:row>
    <x:row r="712" ht="23" customHeight="1">
      <x:c r="B712" s="17" t="str">
        <x:v>Round1</x:v>
      </x:c>
      <x:c r="C712" s="17" t="str">
        <x:v>line</x:v>
      </x:c>
      <x:c r="D712" s="17" t="str">
        <x:v>Jsoup_72</x:v>
      </x:c>
      <x:c r="E712" s="32" t="n">
        <x:v>0.9912000000000001</x:v>
      </x:c>
      <x:c r="F712" s="32" t="n">
        <x:v>0.943</x:v>
      </x:c>
      <x:c r="G712" s="32" t="n">
        <x:v>0.9473999999999999</x:v>
      </x:c>
      <x:c r="H712" s="32" t="n">
        <x:v>0.9868000000000001</x:v>
      </x:c>
      <x:c r="I712" s="40" t="n">
        <x:v>1</x:v>
      </x:c>
      <x:c r="J712" s="40" t="n">
        <x:v>1</x:v>
      </x:c>
      <x:c r="K712" s="40" t="n">
        <x:v>1</x:v>
      </x:c>
      <x:c r="L712" s="40" t="n">
        <x:v>1</x:v>
      </x:c>
    </x:row>
    <x:row r="713" ht="23" customHeight="1">
      <x:c r="B713" s="17" t="str">
        <x:v>Round1</x:v>
      </x:c>
      <x:c r="C713" s="17" t="str">
        <x:v>line</x:v>
      </x:c>
      <x:c r="D713" s="17" t="str">
        <x:v>Jsoup_74</x:v>
      </x:c>
      <x:c r="E713" s="32" t="n">
        <x:v>0.9398000000000001</x:v>
      </x:c>
      <x:c r="F713" s="32" t="n">
        <x:v>0.8916</x:v>
      </x:c>
      <x:c r="G713" s="32" t="n">
        <x:v>0.9157</x:v>
      </x:c>
      <x:c r="H713" s="32" t="n">
        <x:v>1</x:v>
      </x:c>
      <x:c r="I713" s="40" t="n">
        <x:v>1</x:v>
      </x:c>
      <x:c r="J713" s="40" t="n">
        <x:v>1</x:v>
      </x:c>
      <x:c r="K713" s="40" t="n">
        <x:v>1</x:v>
      </x:c>
      <x:c r="L713" s="40" t="n">
        <x:v>1</x:v>
      </x:c>
    </x:row>
    <x:row r="714" ht="23" customHeight="1">
      <x:c r="B714" s="17" t="str">
        <x:v>Round1</x:v>
      </x:c>
      <x:c r="C714" s="17" t="str">
        <x:v>line</x:v>
      </x:c>
      <x:c r="D714" s="17" t="str">
        <x:v>Jsoup_75</x:v>
      </x:c>
      <x:c r="E714" s="32" t="n">
        <x:v>0.8332999999999999</x:v>
      </x:c>
      <x:c r="F714" s="32" t="n">
        <x:v>0.8036</x:v>
      </x:c>
      <x:c r="G714" s="32" t="n">
        <x:v>0.9699</x:v>
      </x:c>
      <x:c r="H714" s="32" t="n">
        <x:v>0.9702</x:v>
      </x:c>
      <x:c r="I714" s="40" t="n">
        <x:v>1</x:v>
      </x:c>
      <x:c r="J714" s="40" t="n">
        <x:v>1</x:v>
      </x:c>
      <x:c r="K714" s="40" t="n">
        <x:v>1</x:v>
      </x:c>
      <x:c r="L714" s="40" t="n">
        <x:v>1</x:v>
      </x:c>
    </x:row>
    <x:row r="715" ht="23" customHeight="1">
      <x:c r="B715" s="17" t="str">
        <x:v>Round1</x:v>
      </x:c>
      <x:c r="C715" s="17" t="str">
        <x:v>line</x:v>
      </x:c>
      <x:c r="D715" s="17" t="str">
        <x:v>Jsoup_78</x:v>
      </x:c>
      <x:c r="E715" s="32" t="n">
        <x:v>0.6697</x:v>
      </x:c>
      <x:c r="F715" s="32" t="n">
        <x:v>0.2569</x:v>
      </x:c>
      <x:c r="G715" s="32" t="n">
        <x:v>0.7523000000000001</x:v>
      </x:c>
      <x:c r="H715" s="32" t="n">
        <x:v>0.9725</x:v>
      </x:c>
      <x:c r="I715" s="40" t="n">
        <x:v>1</x:v>
      </x:c>
      <x:c r="J715" s="40" t="n">
        <x:v>1</x:v>
      </x:c>
      <x:c r="K715" s="40" t="n">
        <x:v>1</x:v>
      </x:c>
      <x:c r="L715" s="40" t="n">
        <x:v>1</x:v>
      </x:c>
    </x:row>
    <x:row r="716" ht="23" customHeight="1">
      <x:c r="B716" s="17" t="str">
        <x:v>Round1</x:v>
      </x:c>
      <x:c r="C716" s="17" t="str">
        <x:v>line</x:v>
      </x:c>
      <x:c r="D716" s="17" t="str">
        <x:v>Jsoup_82</x:v>
      </x:c>
      <x:c r="E716" s="32" t="n">
        <x:v>0.4336</x:v>
      </x:c>
      <x:c r="F716" s="32" t="n">
        <x:v>0.20350000000000001</x:v>
      </x:c>
      <x:c r="G716" s="32" t="n">
        <x:v>0.7965000000000001</x:v>
      </x:c>
      <x:c r="H716" s="32" t="n">
        <x:v>0.9645999999999999</x:v>
      </x:c>
      <x:c r="I716" s="40" t="n">
        <x:v>1</x:v>
      </x:c>
      <x:c r="J716" s="40" t="n">
        <x:v>1</x:v>
      </x:c>
      <x:c r="K716" s="40" t="n">
        <x:v>1</x:v>
      </x:c>
      <x:c r="L716" s="40" t="n">
        <x:v>1</x:v>
      </x:c>
    </x:row>
    <x:row r="717" ht="23" customHeight="1">
      <x:c r="B717" s="17" t="str">
        <x:v>Round1</x:v>
      </x:c>
      <x:c r="C717" s="17" t="str">
        <x:v>line</x:v>
      </x:c>
      <x:c r="D717" s="17" t="str">
        <x:v>Jsoup_85</x:v>
      </x:c>
      <x:c r="E717" s="32" t="n">
        <x:v>0.9231</x:v>
      </x:c>
      <x:c r="F717" s="32" t="n">
        <x:v>0.7384999999999999</x:v>
      </x:c>
      <x:c r="G717" s="32" t="n">
        <x:v>0.9077</x:v>
      </x:c>
      <x:c r="H717" s="32" t="n">
        <x:v>0.8923000000000001</x:v>
      </x:c>
      <x:c r="I717" s="40" t="n">
        <x:v>1</x:v>
      </x:c>
      <x:c r="J717" s="40" t="n">
        <x:v>1</x:v>
      </x:c>
      <x:c r="K717" s="40" t="n">
        <x:v>1</x:v>
      </x:c>
      <x:c r="L717" s="40" t="n">
        <x:v>1</x:v>
      </x:c>
    </x:row>
    <x:row r="718" ht="23" customHeight="1">
      <x:c r="B718" s="17" t="str">
        <x:v>Round1</x:v>
      </x:c>
      <x:c r="C718" s="17" t="str">
        <x:v>line</x:v>
      </x:c>
      <x:c r="D718" s="17" t="str">
        <x:v>Jsoup_88</x:v>
      </x:c>
      <x:c r="E718" s="32" t="n">
        <x:v>0.9242</x:v>
      </x:c>
      <x:c r="F718" s="32" t="n">
        <x:v>0.7424</x:v>
      </x:c>
      <x:c r="G718" s="32" t="n">
        <x:v>0.8787999999999999</x:v>
      </x:c>
      <x:c r="H718" s="32" t="n">
        <x:v>0.8939</x:v>
      </x:c>
      <x:c r="I718" s="40" t="n">
        <x:v>1</x:v>
      </x:c>
      <x:c r="J718" s="40" t="n">
        <x:v>1</x:v>
      </x:c>
      <x:c r="K718" s="40" t="n">
        <x:v>1</x:v>
      </x:c>
      <x:c r="L718" s="40" t="n">
        <x:v>1</x:v>
      </x:c>
    </x:row>
    <x:row r="719" ht="23" customHeight="1">
      <x:c r="B719" s="17" t="str">
        <x:v>Round1</x:v>
      </x:c>
      <x:c r="C719" s="17" t="str">
        <x:v>line</x:v>
      </x:c>
      <x:c r="D719" s="17" t="str">
        <x:v>Jsoup_89</x:v>
      </x:c>
      <x:c r="E719" s="32" t="n">
        <x:v>0.9242</x:v>
      </x:c>
      <x:c r="F719" s="32" t="n">
        <x:v>0.7424</x:v>
      </x:c>
      <x:c r="G719" s="32" t="n">
        <x:v>0.8939</x:v>
      </x:c>
      <x:c r="H719" s="32" t="n">
        <x:v>0.8939</x:v>
      </x:c>
      <x:c r="I719" s="40" t="n">
        <x:v>1</x:v>
      </x:c>
      <x:c r="J719" s="40" t="n">
        <x:v>1</x:v>
      </x:c>
      <x:c r="K719" s="40" t="n">
        <x:v>1</x:v>
      </x:c>
      <x:c r="L719" s="40" t="n">
        <x:v>1</x:v>
      </x:c>
    </x:row>
    <x:row r="720" ht="23" customHeight="1">
      <x:c r="B720" s="17" t="str">
        <x:v>Round1</x:v>
      </x:c>
      <x:c r="C720" s="17" t="str">
        <x:v>line</x:v>
      </x:c>
      <x:c r="D720" s="17" t="str">
        <x:v>Jsoup_91</x:v>
      </x:c>
      <x:c r="E720" s="32" t="n">
        <x:v>0.992</x:v>
      </x:c>
      <x:c r="F720" s="32" t="n">
        <x:v>0.32130000000000003</x:v>
      </x:c>
      <x:c r="G720" s="32" t="n">
        <x:v>0.9478</x:v>
      </x:c>
      <x:c r="H720" s="32" t="n">
        <x:v>0.992</x:v>
      </x:c>
      <x:c r="I720" s="40" t="n">
        <x:v>1</x:v>
      </x:c>
      <x:c r="J720" s="40" t="n">
        <x:v>1</x:v>
      </x:c>
      <x:c r="K720" s="40" t="n">
        <x:v>1</x:v>
      </x:c>
      <x:c r="L720" s="40" t="n">
        <x:v>1</x:v>
      </x:c>
    </x:row>
    <x:row r="721" ht="23" customHeight="1">
      <x:c r="B721" s="17" t="str">
        <x:v>Round1</x:v>
      </x:c>
      <x:c r="C721" s="17" t="str">
        <x:v>line</x:v>
      </x:c>
      <x:c r="D721" s="17" t="str">
        <x:v>Lang_13</x:v>
      </x:c>
      <x:c r="E721" s="32" t="n">
        <x:v>0.7812</x:v>
      </x:c>
      <x:c r="F721" s="32" t="n">
        <x:v>0.75</x:v>
      </x:c>
      <x:c r="G721" s="32" t="n">
        <x:v>0.6875</x:v>
      </x:c>
      <x:c r="H721" s="32" t="n">
        <x:v>0.9688</x:v>
      </x:c>
      <x:c r="I721" s="40" t="n">
        <x:v>1</x:v>
      </x:c>
      <x:c r="J721" s="40" t="n">
        <x:v>1</x:v>
      </x:c>
      <x:c r="K721" s="40" t="n">
        <x:v>1</x:v>
      </x:c>
      <x:c r="L721" s="40" t="n">
        <x:v>1</x:v>
      </x:c>
    </x:row>
    <x:row r="722" ht="23" customHeight="1">
      <x:c r="B722" s="17" t="str">
        <x:v>Round1</x:v>
      </x:c>
      <x:c r="C722" s="17" t="str">
        <x:v>line</x:v>
      </x:c>
      <x:c r="D722" s="17" t="str">
        <x:v>Lang_19</x:v>
      </x:c>
      <x:c r="E722" s="32" t="n">
        <x:v>0.7037</x:v>
      </x:c>
      <x:c r="F722" s="32" t="n">
        <x:v>0.1481</x:v>
      </x:c>
      <x:c r="G722" s="32" t="n">
        <x:v>1</x:v>
      </x:c>
      <x:c r="H722" s="32" t="n">
        <x:v>1</x:v>
      </x:c>
      <x:c r="I722" s="40" t="n">
        <x:v>1</x:v>
      </x:c>
      <x:c r="J722" s="40" t="n">
        <x:v>1</x:v>
      </x:c>
      <x:c r="K722" s="40" t="n">
        <x:v>1</x:v>
      </x:c>
      <x:c r="L722" s="40" t="n">
        <x:v>1</x:v>
      </x:c>
    </x:row>
    <x:row r="723" ht="23" customHeight="1">
      <x:c r="B723" s="17" t="str">
        <x:v>Round1</x:v>
      </x:c>
      <x:c r="C723" s="17" t="str">
        <x:v>line</x:v>
      </x:c>
      <x:c r="D723" s="17" t="str">
        <x:v>Lang_23</x:v>
      </x:c>
      <x:c r="E723" s="32" t="n">
        <x:v>0.4251</x:v>
      </x:c>
      <x:c r="F723" s="32" t="n">
        <x:v>0.10779999999999999</x:v>
      </x:c>
      <x:c r="G723" s="32" t="n">
        <x:v>0.521</x:v>
      </x:c>
      <x:c r="H723" s="32" t="n">
        <x:v>0.9340999999999999</x:v>
      </x:c>
      <x:c r="I723" s="40" t="n">
        <x:v>1</x:v>
      </x:c>
      <x:c r="J723" s="40" t="n">
        <x:v>1</x:v>
      </x:c>
      <x:c r="K723" s="40" t="n">
        <x:v>1</x:v>
      </x:c>
      <x:c r="L723" s="40" t="n">
        <x:v>1</x:v>
      </x:c>
    </x:row>
    <x:row r="724" ht="23" customHeight="1">
      <x:c r="B724" s="17" t="str">
        <x:v>Round1</x:v>
      </x:c>
      <x:c r="C724" s="17" t="str">
        <x:v>line</x:v>
      </x:c>
      <x:c r="D724" s="17" t="str">
        <x:v>Lang_24</x:v>
      </x:c>
      <x:c r="E724" s="32" t="n">
        <x:v>0.9388</x:v>
      </x:c>
      <x:c r="F724" s="32" t="n">
        <x:v>0.6995</x:v>
      </x:c>
      <x:c r="G724" s="32" t="n">
        <x:v>0.6489</x:v>
      </x:c>
      <x:c r="H724" s="32" t="n">
        <x:v>0.9814</x:v>
      </x:c>
      <x:c r="I724" s="40" t="n">
        <x:v>1</x:v>
      </x:c>
      <x:c r="J724" s="40" t="n">
        <x:v>1</x:v>
      </x:c>
      <x:c r="K724" s="40" t="n">
        <x:v>1</x:v>
      </x:c>
      <x:c r="L724" s="40" t="n">
        <x:v>1</x:v>
      </x:c>
    </x:row>
    <x:row r="725" ht="23" customHeight="1">
      <x:c r="B725" s="17" t="str">
        <x:v>Round1</x:v>
      </x:c>
      <x:c r="C725" s="17" t="str">
        <x:v>line</x:v>
      </x:c>
      <x:c r="D725" s="17" t="str">
        <x:v>Lang_27</x:v>
      </x:c>
      <x:c r="E725" s="32" t="n">
        <x:v>0.9358</x:v>
      </x:c>
      <x:c r="F725" s="32" t="n">
        <x:v>0.7031999999999999</x:v>
      </x:c>
      <x:c r="G725" s="32" t="n">
        <x:v>0.7086</x:v>
      </x:c>
      <x:c r="H725" s="32" t="n">
        <x:v>0.9599</x:v>
      </x:c>
      <x:c r="I725" s="40" t="n">
        <x:v>1</x:v>
      </x:c>
      <x:c r="J725" s="40" t="n">
        <x:v>1</x:v>
      </x:c>
      <x:c r="K725" s="40" t="n">
        <x:v>1</x:v>
      </x:c>
      <x:c r="L725" s="40" t="n">
        <x:v>1</x:v>
      </x:c>
    </x:row>
    <x:row r="726" ht="23" customHeight="1">
      <x:c r="B726" s="17" t="str">
        <x:v>Round1</x:v>
      </x:c>
      <x:c r="C726" s="17" t="str">
        <x:v>line</x:v>
      </x:c>
      <x:c r="D726" s="17" t="str">
        <x:v>Lang_28</x:v>
      </x:c>
      <x:c r="E726" s="32" t="n">
        <x:v>0.15</x:v>
      </x:c>
      <x:c r="F726" s="32" t="n">
        <x:v>0.15</x:v>
      </x:c>
      <x:c r="G726" s="32" t="n">
        <x:v>0.95</x:v>
      </x:c>
      <x:c r="H726" s="32" t="n">
        <x:v>1</x:v>
      </x:c>
      <x:c r="I726" s="40" t="n">
        <x:v>1</x:v>
      </x:c>
      <x:c r="J726" s="40" t="n">
        <x:v>1</x:v>
      </x:c>
      <x:c r="K726" s="40" t="n">
        <x:v>1</x:v>
      </x:c>
      <x:c r="L726" s="40" t="n">
        <x:v>1</x:v>
      </x:c>
    </x:row>
    <x:row r="727" ht="23" customHeight="1">
      <x:c r="B727" s="17" t="str">
        <x:v>Round1</x:v>
      </x:c>
      <x:c r="C727" s="17" t="str">
        <x:v>line</x:v>
      </x:c>
      <x:c r="D727" s="17" t="str">
        <x:v>Lang_4</x:v>
      </x:c>
      <x:c r="E727" s="32" t="n">
        <x:v>1</x:v>
      </x:c>
      <x:c r="F727" s="32" t="n">
        <x:v>1</x:v>
      </x:c>
      <x:c r="G727" s="32" t="n">
        <x:v>1</x:v>
      </x:c>
      <x:c r="H727" s="32" t="n">
        <x:v>1</x:v>
      </x:c>
      <x:c r="I727" s="40" t="n">
        <x:v>1</x:v>
      </x:c>
      <x:c r="J727" s="40" t="n">
        <x:v>1</x:v>
      </x:c>
      <x:c r="K727" s="40" t="n">
        <x:v>1</x:v>
      </x:c>
      <x:c r="L727" s="40" t="n">
        <x:v>1</x:v>
      </x:c>
    </x:row>
    <x:row r="728" ht="23" customHeight="1">
      <x:c r="B728" s="17" t="str">
        <x:v>Round1</x:v>
      </x:c>
      <x:c r="C728" s="17" t="str">
        <x:v>line</x:v>
      </x:c>
      <x:c r="D728" s="17" t="str">
        <x:v>Lang_44</x:v>
      </x:c>
      <x:c r="E728" s="32" t="n">
        <x:v>0.8684000000000001</x:v>
      </x:c>
      <x:c r="F728" s="32" t="n">
        <x:v>0.5</x:v>
      </x:c>
      <x:c r="G728" s="32" t="n">
        <x:v>0.6526000000000001</x:v>
      </x:c>
      <x:c r="H728" s="32" t="n">
        <x:v>0.4</x:v>
      </x:c>
      <x:c r="I728" s="40" t="n">
        <x:v>1</x:v>
      </x:c>
      <x:c r="J728" s="40" t="n">
        <x:v>1</x:v>
      </x:c>
      <x:c r="K728" s="40" t="n">
        <x:v>1</x:v>
      </x:c>
      <x:c r="L728" s="40" t="n">
        <x:v>1</x:v>
      </x:c>
    </x:row>
    <x:row r="729" ht="23" customHeight="1">
      <x:c r="B729" s="17" t="str">
        <x:v>Round1</x:v>
      </x:c>
      <x:c r="C729" s="17" t="str">
        <x:v>line</x:v>
      </x:c>
      <x:c r="D729" s="17" t="str">
        <x:v>Lang_49</x:v>
      </x:c>
      <x:c r="E729" s="32" t="n">
        <x:v>0.9783</x:v>
      </x:c>
      <x:c r="F729" s="32" t="n">
        <x:v>0.9239</x:v>
      </x:c>
      <x:c r="G729" s="32" t="n">
        <x:v>0.9348000000000001</x:v>
      </x:c>
      <x:c r="H729" s="32" t="n">
        <x:v>0.3442</x:v>
      </x:c>
      <x:c r="I729" s="40" t="n">
        <x:v>1</x:v>
      </x:c>
      <x:c r="J729" s="40" t="n">
        <x:v>1</x:v>
      </x:c>
      <x:c r="K729" s="40" t="n">
        <x:v>1</x:v>
      </x:c>
      <x:c r="L729" s="40" t="n">
        <x:v>1</x:v>
      </x:c>
    </x:row>
    <x:row r="730" ht="23" customHeight="1">
      <x:c r="B730" s="17" t="str">
        <x:v>Round1</x:v>
      </x:c>
      <x:c r="C730" s="17" t="str">
        <x:v>line</x:v>
      </x:c>
      <x:c r="D730" s="17" t="str">
        <x:v>Lang_5</x:v>
      </x:c>
      <x:c r="E730" s="32" t="n">
        <x:v>0.8170999999999999</x:v>
      </x:c>
      <x:c r="F730" s="32" t="n">
        <x:v>0.6463</x:v>
      </x:c>
      <x:c r="G730" s="32" t="n">
        <x:v>0.9390000000000001</x:v>
      </x:c>
      <x:c r="H730" s="32" t="n">
        <x:v>1</x:v>
      </x:c>
      <x:c r="I730" s="40" t="n">
        <x:v>1</x:v>
      </x:c>
      <x:c r="J730" s="40" t="n">
        <x:v>1</x:v>
      </x:c>
      <x:c r="K730" s="40" t="n">
        <x:v>1</x:v>
      </x:c>
      <x:c r="L730" s="40" t="n">
        <x:v>1</x:v>
      </x:c>
    </x:row>
    <x:row r="731" ht="23" customHeight="1">
      <x:c r="B731" s="17" t="str">
        <x:v>Round1</x:v>
      </x:c>
      <x:c r="C731" s="17" t="str">
        <x:v>line</x:v>
      </x:c>
      <x:c r="D731" s="17" t="str">
        <x:v>Lang_51</x:v>
      </x:c>
      <x:c r="E731" s="32" t="n">
        <x:v>0.9708</x:v>
      </x:c>
      <x:c r="F731" s="32" t="n">
        <x:v>0.7426999999999999</x:v>
      </x:c>
      <x:c r="G731" s="32" t="n">
        <x:v>0.9064</x:v>
      </x:c>
      <x:c r="H731" s="32" t="n">
        <x:v>0.152</x:v>
      </x:c>
      <x:c r="I731" s="40" t="n">
        <x:v>1</x:v>
      </x:c>
      <x:c r="J731" s="40" t="n">
        <x:v>1</x:v>
      </x:c>
      <x:c r="K731" s="40" t="n">
        <x:v>1</x:v>
      </x:c>
      <x:c r="L731" s="40" t="n">
        <x:v>1</x:v>
      </x:c>
    </x:row>
    <x:row r="732" ht="23" customHeight="1">
      <x:c r="B732" s="17" t="str">
        <x:v>Round1</x:v>
      </x:c>
      <x:c r="C732" s="17" t="str">
        <x:v>line</x:v>
      </x:c>
      <x:c r="D732" s="17" t="str">
        <x:v>Lang_54</x:v>
      </x:c>
      <x:c r="E732" s="32" t="n">
        <x:v>0.8861</x:v>
      </x:c>
      <x:c r="F732" s="32" t="n">
        <x:v>0.6329</x:v>
      </x:c>
      <x:c r="G732" s="32" t="n">
        <x:v>0.9494</x:v>
      </x:c>
      <x:c r="H732" s="32" t="n">
        <x:v>0.4304</x:v>
      </x:c>
      <x:c r="I732" s="40" t="n">
        <x:v>1</x:v>
      </x:c>
      <x:c r="J732" s="40" t="n">
        <x:v>1</x:v>
      </x:c>
      <x:c r="K732" s="40" t="n">
        <x:v>1</x:v>
      </x:c>
      <x:c r="L732" s="40" t="n">
        <x:v>1</x:v>
      </x:c>
    </x:row>
    <x:row r="733" ht="23" customHeight="1">
      <x:c r="B733" s="17" t="str">
        <x:v>Round1</x:v>
      </x:c>
      <x:c r="C733" s="17" t="str">
        <x:v>line</x:v>
      </x:c>
      <x:c r="D733" s="17" t="str">
        <x:v>Lang_55</x:v>
      </x:c>
      <x:c r="E733" s="32" t="n">
        <x:v>0.9825</x:v>
      </x:c>
      <x:c r="F733" s="32" t="n">
        <x:v>0.9825</x:v>
      </x:c>
      <x:c r="G733" s="32" t="n">
        <x:v>0.9298000000000001</x:v>
      </x:c>
      <x:c r="H733" s="32" t="n">
        <x:v>0.7719</x:v>
      </x:c>
      <x:c r="I733" s="40" t="n">
        <x:v>1</x:v>
      </x:c>
      <x:c r="J733" s="40" t="n">
        <x:v>1</x:v>
      </x:c>
      <x:c r="K733" s="40" t="n">
        <x:v>1</x:v>
      </x:c>
      <x:c r="L733" s="40" t="n">
        <x:v>1</x:v>
      </x:c>
    </x:row>
    <x:row r="734" ht="23" customHeight="1">
      <x:c r="B734" s="17" t="str">
        <x:v>Round1</x:v>
      </x:c>
      <x:c r="C734" s="17" t="str">
        <x:v>line</x:v>
      </x:c>
      <x:c r="D734" s="17" t="str">
        <x:v>Lang_57</x:v>
      </x:c>
      <x:c r="E734" s="32" t="n">
        <x:v>0.8861</x:v>
      </x:c>
      <x:c r="F734" s="32" t="n">
        <x:v>0.6203</x:v>
      </x:c>
      <x:c r="G734" s="32" t="n">
        <x:v>0.9747</x:v>
      </x:c>
      <x:c r="H734" s="32" t="n">
        <x:v>0.4177</x:v>
      </x:c>
      <x:c r="I734" s="40" t="n">
        <x:v>1</x:v>
      </x:c>
      <x:c r="J734" s="40" t="n">
        <x:v>1</x:v>
      </x:c>
      <x:c r="K734" s="40" t="n">
        <x:v>1</x:v>
      </x:c>
      <x:c r="L734" s="40" t="n">
        <x:v>1</x:v>
      </x:c>
    </x:row>
    <x:row r="735" ht="23" customHeight="1">
      <x:c r="B735" s="17" t="str">
        <x:v>Round1</x:v>
      </x:c>
      <x:c r="C735" s="17" t="str">
        <x:v>line</x:v>
      </x:c>
      <x:c r="D735" s="17" t="str">
        <x:v>Lang_58</x:v>
      </x:c>
      <x:c r="E735" s="32" t="n">
        <x:v>0.9287000000000001</x:v>
      </x:c>
      <x:c r="F735" s="32" t="n">
        <x:v>0.731</x:v>
      </x:c>
      <x:c r="G735" s="32" t="n">
        <x:v>0.8069</x:v>
      </x:c>
      <x:c r="H735" s="32" t="n">
        <x:v>0.2345</x:v>
      </x:c>
      <x:c r="I735" s="40" t="n">
        <x:v>1</x:v>
      </x:c>
      <x:c r="J735" s="40" t="n">
        <x:v>1</x:v>
      </x:c>
      <x:c r="K735" s="40" t="n">
        <x:v>1</x:v>
      </x:c>
      <x:c r="L735" s="40" t="n">
        <x:v>1</x:v>
      </x:c>
    </x:row>
    <x:row r="736" ht="23" customHeight="1">
      <x:c r="B736" s="17" t="str">
        <x:v>Round1</x:v>
      </x:c>
      <x:c r="C736" s="17" t="str">
        <x:v>line</x:v>
      </x:c>
      <x:c r="D736" s="17" t="str">
        <x:v>Lang_6</x:v>
      </x:c>
      <x:c r="E736" s="32" t="n">
        <x:v>0.9333</x:v>
      </x:c>
      <x:c r="F736" s="32" t="n">
        <x:v>0.0333</x:v>
      </x:c>
      <x:c r="G736" s="32" t="n">
        <x:v>1</x:v>
      </x:c>
      <x:c r="H736" s="32" t="n">
        <x:v>1</x:v>
      </x:c>
      <x:c r="I736" s="40" t="n">
        <x:v>1</x:v>
      </x:c>
      <x:c r="J736" s="40" t="n">
        <x:v>1</x:v>
      </x:c>
      <x:c r="K736" s="40" t="n">
        <x:v>1</x:v>
      </x:c>
      <x:c r="L736" s="40" t="n">
        <x:v>1</x:v>
      </x:c>
    </x:row>
    <x:row r="737" ht="23" customHeight="1">
      <x:c r="B737" s="17" t="str">
        <x:v>Round1</x:v>
      </x:c>
      <x:c r="C737" s="17" t="str">
        <x:v>line</x:v>
      </x:c>
      <x:c r="D737" s="17" t="str">
        <x:v>Lang_63</x:v>
      </x:c>
      <x:c r="E737" s="32" t="n">
        <x:v>0.9286</x:v>
      </x:c>
      <x:c r="F737" s="32" t="n">
        <x:v>0.7222</x:v>
      </x:c>
      <x:c r="G737" s="32" t="n">
        <x:v>0.6349</x:v>
      </x:c>
      <x:c r="H737" s="32" t="n">
        <x:v>0.5317000000000001</x:v>
      </x:c>
      <x:c r="I737" s="40" t="n">
        <x:v>1</x:v>
      </x:c>
      <x:c r="J737" s="40" t="n">
        <x:v>1</x:v>
      </x:c>
      <x:c r="K737" s="40" t="n">
        <x:v>1</x:v>
      </x:c>
      <x:c r="L737" s="40" t="n">
        <x:v>1</x:v>
      </x:c>
    </x:row>
    <x:row r="738" ht="23" customHeight="1">
      <x:c r="B738" s="17" t="str">
        <x:v>Round1</x:v>
      </x:c>
      <x:c r="C738" s="17" t="str">
        <x:v>line</x:v>
      </x:c>
      <x:c r="D738" s="17" t="str">
        <x:v>Lang_64</x:v>
      </x:c>
      <x:c r="E738" s="32" t="n">
        <x:v>0.16670000000000001</x:v>
      </x:c>
      <x:c r="F738" s="32" t="n">
        <x:v>0.16670000000000001</x:v>
      </x:c>
      <x:c r="G738" s="32" t="n">
        <x:v>0.22219999999999998</x:v>
      </x:c>
      <x:c r="H738" s="32" t="n">
        <x:v>0.6667000000000001</x:v>
      </x:c>
      <x:c r="I738" s="40" t="n">
        <x:v>1</x:v>
      </x:c>
      <x:c r="J738" s="40" t="n">
        <x:v>1</x:v>
      </x:c>
      <x:c r="K738" s="40" t="n">
        <x:v>1</x:v>
      </x:c>
      <x:c r="L738" s="40" t="n">
        <x:v>1</x:v>
      </x:c>
    </x:row>
    <x:row r="739" ht="23" customHeight="1">
      <x:c r="B739" s="17" t="str">
        <x:v>Round1</x:v>
      </x:c>
      <x:c r="C739" s="17" t="str">
        <x:v>line</x:v>
      </x:c>
      <x:c r="D739" s="17" t="str">
        <x:v>Lang_7</x:v>
      </x:c>
      <x:c r="E739" s="32" t="n">
        <x:v>0.9526</x:v>
      </x:c>
      <x:c r="F739" s="32" t="n">
        <x:v>0.6895</x:v>
      </x:c>
      <x:c r="G739" s="32" t="n">
        <x:v>0.7237</x:v>
      </x:c>
      <x:c r="H739" s="32" t="n">
        <x:v>0.9553</x:v>
      </x:c>
      <x:c r="I739" s="40" t="n">
        <x:v>1</x:v>
      </x:c>
      <x:c r="J739" s="40" t="n">
        <x:v>1</x:v>
      </x:c>
      <x:c r="K739" s="40" t="n">
        <x:v>1</x:v>
      </x:c>
      <x:c r="L739" s="40" t="n">
        <x:v>1</x:v>
      </x:c>
    </x:row>
    <x:row r="740" ht="23" customHeight="1">
      <x:c r="B740" s="17" t="str">
        <x:v>Round1</x:v>
      </x:c>
      <x:c r="C740" s="17" t="str">
        <x:v>line</x:v>
      </x:c>
      <x:c r="D740" s="17" t="str">
        <x:v>Lang_8</x:v>
      </x:c>
      <x:c r="E740" s="32" t="n">
        <x:v>0.8665</x:v>
      </x:c>
      <x:c r="F740" s="32" t="n">
        <x:v>0.053399999999999996</x:v>
      </x:c>
      <x:c r="G740" s="32" t="n">
        <x:v>0.6291</x:v>
      </x:c>
      <x:c r="H740" s="32" t="n">
        <x:v>0.9732999999999999</x:v>
      </x:c>
      <x:c r="I740" s="40" t="n">
        <x:v>1</x:v>
      </x:c>
      <x:c r="J740" s="40" t="n">
        <x:v>1</x:v>
      </x:c>
      <x:c r="K740" s="40" t="n">
        <x:v>1</x:v>
      </x:c>
      <x:c r="L740" s="40" t="n">
        <x:v>1</x:v>
      </x:c>
    </x:row>
    <x:row r="741" ht="23" customHeight="1">
      <x:c r="B741" s="17" t="str">
        <x:v>Round1</x:v>
      </x:c>
      <x:c r="C741" s="17" t="str">
        <x:v>line</x:v>
      </x:c>
      <x:c r="D741" s="17" t="str">
        <x:v>Math_1</x:v>
      </x:c>
      <x:c r="E741" s="32" t="n">
        <x:v>0.9718000000000001</x:v>
      </x:c>
      <x:c r="F741" s="32" t="n">
        <x:v>0.9388</x:v>
      </x:c>
      <x:c r="G741" s="32" t="n">
        <x:v>0.8493999999999999</x:v>
      </x:c>
      <x:c r="H741" s="32" t="n">
        <x:v>0.3718</x:v>
      </x:c>
      <x:c r="I741" s="40" t="n">
        <x:v>1</x:v>
      </x:c>
      <x:c r="J741" s="40" t="n">
        <x:v>1</x:v>
      </x:c>
      <x:c r="K741" s="40" t="n">
        <x:v>1</x:v>
      </x:c>
      <x:c r="L741" s="40" t="n">
        <x:v>1</x:v>
      </x:c>
    </x:row>
    <x:row r="742" ht="23" customHeight="1">
      <x:c r="B742" s="17" t="str">
        <x:v>Round1</x:v>
      </x:c>
      <x:c r="C742" s="17" t="str">
        <x:v>line</x:v>
      </x:c>
      <x:c r="D742" s="17" t="str">
        <x:v>Math_10</x:v>
      </x:c>
      <x:c r="E742" s="32" t="n">
        <x:v>0.8065000000000001</x:v>
      </x:c>
      <x:c r="F742" s="32" t="n">
        <x:v>0.2948</x:v>
      </x:c>
      <x:c r="G742" s="32" t="n">
        <x:v>0.8170000000000001</x:v>
      </x:c>
      <x:c r="H742" s="32" t="n">
        <x:v>0.0018</x:v>
      </x:c>
      <x:c r="I742" s="40" t="n">
        <x:v>1</x:v>
      </x:c>
      <x:c r="J742" s="40" t="n">
        <x:v>1</x:v>
      </x:c>
      <x:c r="K742" s="40" t="n">
        <x:v>1</x:v>
      </x:c>
      <x:c r="L742" s="40" t="n">
        <x:v>1</x:v>
      </x:c>
    </x:row>
    <x:row r="743" ht="23" customHeight="1">
      <x:c r="B743" s="17" t="str">
        <x:v>Round1</x:v>
      </x:c>
      <x:c r="C743" s="17" t="str">
        <x:v>line</x:v>
      </x:c>
      <x:c r="D743" s="17" t="str">
        <x:v>Math_101</x:v>
      </x:c>
      <x:c r="E743" s="32" t="n">
        <x:v>0.993</x:v>
      </x:c>
      <x:c r="F743" s="32" t="n">
        <x:v>0.7413</x:v>
      </x:c>
      <x:c r="G743" s="32" t="n">
        <x:v>0.951</x:v>
      </x:c>
      <x:c r="H743" s="32" t="n">
        <x:v>0</x:v>
      </x:c>
      <x:c r="I743" s="40" t="n">
        <x:v>1</x:v>
      </x:c>
      <x:c r="J743" s="40" t="n">
        <x:v>1</x:v>
      </x:c>
      <x:c r="K743" s="40" t="n">
        <x:v>1</x:v>
      </x:c>
      <x:c r="L743" s="40" t="n">
        <x:v>1</x:v>
      </x:c>
    </x:row>
    <x:row r="744" ht="23" customHeight="1">
      <x:c r="B744" s="17" t="str">
        <x:v>Round1</x:v>
      </x:c>
      <x:c r="C744" s="17" t="str">
        <x:v>line</x:v>
      </x:c>
      <x:c r="D744" s="17" t="str">
        <x:v>Math_104</x:v>
      </x:c>
      <x:c r="E744" s="32" t="n">
        <x:v>0.9573999999999999</x:v>
      </x:c>
      <x:c r="F744" s="32" t="n">
        <x:v>0.9573999999999999</x:v>
      </x:c>
      <x:c r="G744" s="32" t="n">
        <x:v>0.8936</x:v>
      </x:c>
      <x:c r="H744" s="32" t="n">
        <x:v>0.7659999999999999</x:v>
      </x:c>
      <x:c r="I744" s="40" t="n">
        <x:v>1</x:v>
      </x:c>
      <x:c r="J744" s="40" t="n">
        <x:v>1</x:v>
      </x:c>
      <x:c r="K744" s="40" t="n">
        <x:v>1</x:v>
      </x:c>
      <x:c r="L744" s="40" t="n">
        <x:v>1</x:v>
      </x:c>
    </x:row>
    <x:row r="745" ht="23" customHeight="1">
      <x:c r="B745" s="17" t="str">
        <x:v>Round1</x:v>
      </x:c>
      <x:c r="C745" s="17" t="str">
        <x:v>line</x:v>
      </x:c>
      <x:c r="D745" s="17" t="str">
        <x:v>Math_105</x:v>
      </x:c>
      <x:c r="E745" s="32" t="n">
        <x:v>1</x:v>
      </x:c>
      <x:c r="F745" s="32" t="n">
        <x:v>0.9577</x:v>
      </x:c>
      <x:c r="G745" s="32" t="n">
        <x:v>1</x:v>
      </x:c>
      <x:c r="H745" s="32" t="n">
        <x:v>0.7323999999999999</x:v>
      </x:c>
      <x:c r="I745" s="40" t="n">
        <x:v>1</x:v>
      </x:c>
      <x:c r="J745" s="40" t="n">
        <x:v>1</x:v>
      </x:c>
      <x:c r="K745" s="40" t="n">
        <x:v>1</x:v>
      </x:c>
      <x:c r="L745" s="40" t="n">
        <x:v>1</x:v>
      </x:c>
    </x:row>
    <x:row r="746" ht="23" customHeight="1">
      <x:c r="B746" s="17" t="str">
        <x:v>Round1</x:v>
      </x:c>
      <x:c r="C746" s="17" t="str">
        <x:v>line</x:v>
      </x:c>
      <x:c r="D746" s="17" t="str">
        <x:v>Math_106</x:v>
      </x:c>
      <x:c r="E746" s="32" t="n">
        <x:v>1</x:v>
      </x:c>
      <x:c r="F746" s="32" t="n">
        <x:v>0.8595999999999999</x:v>
      </x:c>
      <x:c r="G746" s="32" t="n">
        <x:v>0.8946999999999999</x:v>
      </x:c>
      <x:c r="H746" s="32" t="n">
        <x:v>0.807</x:v>
      </x:c>
      <x:c r="I746" s="40" t="n">
        <x:v>1</x:v>
      </x:c>
      <x:c r="J746" s="40" t="n">
        <x:v>1</x:v>
      </x:c>
      <x:c r="K746" s="40" t="n">
        <x:v>1</x:v>
      </x:c>
      <x:c r="L746" s="40" t="n">
        <x:v>1</x:v>
      </x:c>
    </x:row>
    <x:row r="747" ht="23" customHeight="1">
      <x:c r="B747" s="17" t="str">
        <x:v>Round1</x:v>
      </x:c>
      <x:c r="C747" s="17" t="str">
        <x:v>line</x:v>
      </x:c>
      <x:c r="D747" s="17" t="str">
        <x:v>Math_12</x:v>
      </x:c>
      <x:c r="E747" s="32" t="n">
        <x:v>1</x:v>
      </x:c>
      <x:c r="F747" s="32" t="n">
        <x:v>0</x:v>
      </x:c>
      <x:c r="G747" s="32" t="n">
        <x:v>0.9582999999999999</x:v>
      </x:c>
      <x:c r="H747" s="32" t="n">
        <x:v>1</x:v>
      </x:c>
      <x:c r="I747" s="40" t="n">
        <x:v>1</x:v>
      </x:c>
      <x:c r="J747" s="40" t="n">
        <x:v>1</x:v>
      </x:c>
      <x:c r="K747" s="40" t="n">
        <x:v>1</x:v>
      </x:c>
      <x:c r="L747" s="40" t="n">
        <x:v>1</x:v>
      </x:c>
    </x:row>
    <x:row r="748" ht="23" customHeight="1">
      <x:c r="B748" s="17" t="str">
        <x:v>Round1</x:v>
      </x:c>
      <x:c r="C748" s="17" t="str">
        <x:v>line</x:v>
      </x:c>
      <x:c r="D748" s="17" t="str">
        <x:v>Math_15</x:v>
      </x:c>
      <x:c r="E748" s="32" t="n">
        <x:v>0.9299</x:v>
      </x:c>
      <x:c r="F748" s="32" t="n">
        <x:v>0.9118</x:v>
      </x:c>
      <x:c r="G748" s="32" t="n">
        <x:v>0.5317000000000001</x:v>
      </x:c>
      <x:c r="H748" s="32" t="n">
        <x:v>0.0087</x:v>
      </x:c>
      <x:c r="I748" s="40" t="n">
        <x:v>1</x:v>
      </x:c>
      <x:c r="J748" s="40" t="n">
        <x:v>1</x:v>
      </x:c>
      <x:c r="K748" s="40" t="n">
        <x:v>1</x:v>
      </x:c>
      <x:c r="L748" s="40" t="n">
        <x:v>1</x:v>
      </x:c>
    </x:row>
    <x:row r="749" ht="23" customHeight="1">
      <x:c r="B749" s="17" t="str">
        <x:v>Round1</x:v>
      </x:c>
      <x:c r="C749" s="17" t="str">
        <x:v>line</x:v>
      </x:c>
      <x:c r="D749" s="17" t="str">
        <x:v>Math_16</x:v>
      </x:c>
      <x:c r="E749" s="32" t="n">
        <x:v>0.9245</x:v>
      </x:c>
      <x:c r="F749" s="32" t="n">
        <x:v>0.2965</x:v>
      </x:c>
      <x:c r="G749" s="32" t="n">
        <x:v>0.564</x:v>
      </x:c>
      <x:c r="H749" s="32" t="n">
        <x:v>0.008100000000000001</x:v>
      </x:c>
      <x:c r="I749" s="40" t="n">
        <x:v>1</x:v>
      </x:c>
      <x:c r="J749" s="40" t="n">
        <x:v>1</x:v>
      </x:c>
      <x:c r="K749" s="40" t="n">
        <x:v>1</x:v>
      </x:c>
      <x:c r="L749" s="40" t="n">
        <x:v>1</x:v>
      </x:c>
    </x:row>
    <x:row r="750" ht="23" customHeight="1">
      <x:c r="B750" s="17" t="str">
        <x:v>Round1</x:v>
      </x:c>
      <x:c r="C750" s="17" t="str">
        <x:v>line</x:v>
      </x:c>
      <x:c r="D750" s="17" t="str">
        <x:v>Math_2</x:v>
      </x:c>
      <x:c r="E750" s="32" t="n">
        <x:v>1</x:v>
      </x:c>
      <x:c r="F750" s="32" t="n">
        <x:v>1</x:v>
      </x:c>
      <x:c r="G750" s="32" t="n">
        <x:v>0.9865</x:v>
      </x:c>
      <x:c r="H750" s="32" t="n">
        <x:v>0.7027</x:v>
      </x:c>
      <x:c r="I750" s="40" t="n">
        <x:v>1</x:v>
      </x:c>
      <x:c r="J750" s="40" t="n">
        <x:v>1</x:v>
      </x:c>
      <x:c r="K750" s="40" t="n">
        <x:v>1</x:v>
      </x:c>
      <x:c r="L750" s="40" t="n">
        <x:v>1</x:v>
      </x:c>
    </x:row>
    <x:row r="751" ht="23" customHeight="1">
      <x:c r="B751" s="17" t="str">
        <x:v>Round1</x:v>
      </x:c>
      <x:c r="C751" s="17" t="str">
        <x:v>line</x:v>
      </x:c>
      <x:c r="D751" s="17" t="str">
        <x:v>Math_21</x:v>
      </x:c>
      <x:c r="E751" s="32" t="n">
        <x:v>1</x:v>
      </x:c>
      <x:c r="F751" s="32" t="n">
        <x:v>0.0385</x:v>
      </x:c>
      <x:c r="G751" s="32" t="n">
        <x:v>1</x:v>
      </x:c>
      <x:c r="H751" s="32" t="n">
        <x:v>1</x:v>
      </x:c>
      <x:c r="I751" s="40" t="n">
        <x:v>1</x:v>
      </x:c>
      <x:c r="J751" s="40" t="n">
        <x:v>1</x:v>
      </x:c>
      <x:c r="K751" s="40" t="n">
        <x:v>1</x:v>
      </x:c>
      <x:c r="L751" s="40" t="n">
        <x:v>1</x:v>
      </x:c>
    </x:row>
    <x:row r="752" ht="23" customHeight="1">
      <x:c r="B752" s="17" t="str">
        <x:v>Round1</x:v>
      </x:c>
      <x:c r="C752" s="17" t="str">
        <x:v>line</x:v>
      </x:c>
      <x:c r="D752" s="17" t="str">
        <x:v>Math_40</x:v>
      </x:c>
      <x:c r="E752" s="32" t="n">
        <x:v>0.9921</x:v>
      </x:c>
      <x:c r="F752" s="32" t="n">
        <x:v>0.24600000000000002</x:v>
      </x:c>
      <x:c r="G752" s="32" t="n">
        <x:v>0.8016</x:v>
      </x:c>
      <x:c r="H752" s="32" t="n">
        <x:v>0</x:v>
      </x:c>
      <x:c r="I752" s="40" t="n">
        <x:v>1</x:v>
      </x:c>
      <x:c r="J752" s="40" t="n">
        <x:v>1</x:v>
      </x:c>
      <x:c r="K752" s="40" t="n">
        <x:v>1</x:v>
      </x:c>
      <x:c r="L752" s="40" t="n">
        <x:v>1</x:v>
      </x:c>
    </x:row>
    <x:row r="753" ht="23" customHeight="1">
      <x:c r="B753" s="17" t="str">
        <x:v>Round1</x:v>
      </x:c>
      <x:c r="C753" s="17" t="str">
        <x:v>line</x:v>
      </x:c>
      <x:c r="D753" s="17" t="str">
        <x:v>Math_41</x:v>
      </x:c>
      <x:c r="E753" s="32" t="n">
        <x:v>0.9911</x:v>
      </x:c>
      <x:c r="F753" s="32" t="n">
        <x:v>0.8036</x:v>
      </x:c>
      <x:c r="G753" s="32" t="n">
        <x:v>0.9196</x:v>
      </x:c>
      <x:c r="H753" s="32" t="n">
        <x:v>0</x:v>
      </x:c>
      <x:c r="I753" s="40" t="n">
        <x:v>1</x:v>
      </x:c>
      <x:c r="J753" s="40" t="n">
        <x:v>1</x:v>
      </x:c>
      <x:c r="K753" s="40" t="n">
        <x:v>1</x:v>
      </x:c>
      <x:c r="L753" s="40" t="n">
        <x:v>1</x:v>
      </x:c>
    </x:row>
    <x:row r="754" ht="23" customHeight="1">
      <x:c r="B754" s="17" t="str">
        <x:v>Round1</x:v>
      </x:c>
      <x:c r="C754" s="17" t="str">
        <x:v>line</x:v>
      </x:c>
      <x:c r="D754" s="17" t="str">
        <x:v>Math_42</x:v>
      </x:c>
      <x:c r="E754" s="32" t="n">
        <x:v>0.9508</x:v>
      </x:c>
      <x:c r="F754" s="32" t="n">
        <x:v>0.0765</x:v>
      </x:c>
      <x:c r="G754" s="32" t="n">
        <x:v>0.7143</x:v>
      </x:c>
      <x:c r="H754" s="32" t="n">
        <x:v>0</x:v>
      </x:c>
      <x:c r="I754" s="40" t="n">
        <x:v>1</x:v>
      </x:c>
      <x:c r="J754" s="40" t="n">
        <x:v>1</x:v>
      </x:c>
      <x:c r="K754" s="40" t="n">
        <x:v>1</x:v>
      </x:c>
      <x:c r="L754" s="40" t="n">
        <x:v>1</x:v>
      </x:c>
    </x:row>
    <x:row r="755" ht="23" customHeight="1">
      <x:c r="B755" s="17" t="str">
        <x:v>Round1</x:v>
      </x:c>
      <x:c r="C755" s="17" t="str">
        <x:v>line</x:v>
      </x:c>
      <x:c r="D755" s="17" t="str">
        <x:v>Math_43</x:v>
      </x:c>
      <x:c r="E755" s="32" t="n">
        <x:v>1</x:v>
      </x:c>
      <x:c r="F755" s="32" t="n">
        <x:v>0.9427</x:v>
      </x:c>
      <x:c r="G755" s="32" t="n">
        <x:v>0.8957999999999999</x:v>
      </x:c>
      <x:c r="H755" s="32" t="n">
        <x:v>0</x:v>
      </x:c>
      <x:c r="I755" s="40" t="n">
        <x:v>1</x:v>
      </x:c>
      <x:c r="J755" s="40" t="n">
        <x:v>1</x:v>
      </x:c>
      <x:c r="K755" s="40" t="n">
        <x:v>1</x:v>
      </x:c>
      <x:c r="L755" s="40" t="n">
        <x:v>1</x:v>
      </x:c>
    </x:row>
    <x:row r="756" ht="23" customHeight="1">
      <x:c r="B756" s="17" t="str">
        <x:v>Round1</x:v>
      </x:c>
      <x:c r="C756" s="17" t="str">
        <x:v>line</x:v>
      </x:c>
      <x:c r="D756" s="17" t="str">
        <x:v>Math_45</x:v>
      </x:c>
      <x:c r="E756" s="32" t="n">
        <x:v>0.6701</x:v>
      </x:c>
      <x:c r="F756" s="32" t="n">
        <x:v>0.8247</x:v>
      </x:c>
      <x:c r="G756" s="32" t="n">
        <x:v>0.9588</x:v>
      </x:c>
      <x:c r="H756" s="32" t="n">
        <x:v>0</x:v>
      </x:c>
      <x:c r="I756" s="40" t="n">
        <x:v>1</x:v>
      </x:c>
      <x:c r="J756" s="40" t="n">
        <x:v>1</x:v>
      </x:c>
      <x:c r="K756" s="40" t="n">
        <x:v>1</x:v>
      </x:c>
      <x:c r="L756" s="40" t="n">
        <x:v>1</x:v>
      </x:c>
    </x:row>
    <x:row r="757" ht="23" customHeight="1">
      <x:c r="B757" s="17" t="str">
        <x:v>Round1</x:v>
      </x:c>
      <x:c r="C757" s="17" t="str">
        <x:v>line</x:v>
      </x:c>
      <x:c r="D757" s="17" t="str">
        <x:v>Math_56</x:v>
      </x:c>
      <x:c r="E757" s="32" t="n">
        <x:v>1</x:v>
      </x:c>
      <x:c r="F757" s="32" t="n">
        <x:v>0.9732999999999999</x:v>
      </x:c>
      <x:c r="G757" s="32" t="n">
        <x:v>0.9867</x:v>
      </x:c>
      <x:c r="H757" s="32" t="n">
        <x:v>0</x:v>
      </x:c>
      <x:c r="I757" s="40" t="n">
        <x:v>1</x:v>
      </x:c>
      <x:c r="J757" s="40" t="n">
        <x:v>1</x:v>
      </x:c>
      <x:c r="K757" s="40" t="n">
        <x:v>1</x:v>
      </x:c>
      <x:c r="L757" s="40" t="n">
        <x:v>1</x:v>
      </x:c>
    </x:row>
    <x:row r="758" ht="23" customHeight="1">
      <x:c r="B758" s="17" t="str">
        <x:v>Round1</x:v>
      </x:c>
      <x:c r="C758" s="17" t="str">
        <x:v>line</x:v>
      </x:c>
      <x:c r="D758" s="17" t="str">
        <x:v>Math_59</x:v>
      </x:c>
      <x:c r="E758" s="32" t="n">
        <x:v>0.9425</x:v>
      </x:c>
      <x:c r="F758" s="32" t="n">
        <x:v>0.9342</x:v>
      </x:c>
      <x:c r="G758" s="32" t="n">
        <x:v>0.7037</x:v>
      </x:c>
      <x:c r="H758" s="32" t="n">
        <x:v>0.184</x:v>
      </x:c>
      <x:c r="I758" s="40" t="n">
        <x:v>1</x:v>
      </x:c>
      <x:c r="J758" s="40" t="n">
        <x:v>1</x:v>
      </x:c>
      <x:c r="K758" s="40" t="n">
        <x:v>1</x:v>
      </x:c>
      <x:c r="L758" s="40" t="n">
        <x:v>1</x:v>
      </x:c>
    </x:row>
    <x:row r="759" ht="23" customHeight="1">
      <x:c r="B759" s="17" t="str">
        <x:v>Round1</x:v>
      </x:c>
      <x:c r="C759" s="17" t="str">
        <x:v>line</x:v>
      </x:c>
      <x:c r="D759" s="17" t="str">
        <x:v>Math_61</x:v>
      </x:c>
      <x:c r="E759" s="32" t="n">
        <x:v>1</x:v>
      </x:c>
      <x:c r="F759" s="32" t="n">
        <x:v>0.9118</x:v>
      </x:c>
      <x:c r="G759" s="32" t="n">
        <x:v>0.8234999999999999</x:v>
      </x:c>
      <x:c r="H759" s="32" t="n">
        <x:v>0</x:v>
      </x:c>
      <x:c r="I759" s="40" t="n">
        <x:v>1</x:v>
      </x:c>
      <x:c r="J759" s="40" t="n">
        <x:v>1</x:v>
      </x:c>
      <x:c r="K759" s="40" t="n">
        <x:v>1</x:v>
      </x:c>
      <x:c r="L759" s="40" t="n">
        <x:v>1</x:v>
      </x:c>
    </x:row>
    <x:row r="760" ht="23" customHeight="1">
      <x:c r="B760" s="17" t="str">
        <x:v>Round1</x:v>
      </x:c>
      <x:c r="C760" s="17" t="str">
        <x:v>line</x:v>
      </x:c>
      <x:c r="D760" s="17" t="str">
        <x:v>Math_63</x:v>
      </x:c>
      <x:c r="E760" s="32" t="n">
        <x:v>0.9131</x:v>
      </x:c>
      <x:c r="F760" s="32" t="n">
        <x:v>0.8089</x:v>
      </x:c>
      <x:c r="G760" s="32" t="n">
        <x:v>0.6139</x:v>
      </x:c>
      <x:c r="H760" s="32" t="n">
        <x:v>0.0039000000000000003</x:v>
      </x:c>
      <x:c r="I760" s="40" t="n">
        <x:v>1</x:v>
      </x:c>
      <x:c r="J760" s="40" t="n">
        <x:v>1</x:v>
      </x:c>
      <x:c r="K760" s="40" t="n">
        <x:v>1</x:v>
      </x:c>
      <x:c r="L760" s="40" t="n">
        <x:v>1</x:v>
      </x:c>
    </x:row>
    <x:row r="761" ht="23" customHeight="1">
      <x:c r="B761" s="17" t="str">
        <x:v>Round1</x:v>
      </x:c>
      <x:c r="C761" s="17" t="str">
        <x:v>line</x:v>
      </x:c>
      <x:c r="D761" s="17" t="str">
        <x:v>Math_66</x:v>
      </x:c>
      <x:c r="E761" s="32" t="n">
        <x:v>1</x:v>
      </x:c>
      <x:c r="F761" s="32" t="n">
        <x:v>0.2647</x:v>
      </x:c>
      <x:c r="G761" s="32" t="n">
        <x:v>1</x:v>
      </x:c>
      <x:c r="H761" s="32" t="n">
        <x:v>0.0098</x:v>
      </x:c>
      <x:c r="I761" s="40" t="n">
        <x:v>1</x:v>
      </x:c>
      <x:c r="J761" s="40" t="n">
        <x:v>1</x:v>
      </x:c>
      <x:c r="K761" s="40" t="n">
        <x:v>1</x:v>
      </x:c>
      <x:c r="L761" s="40" t="n">
        <x:v>1</x:v>
      </x:c>
    </x:row>
    <x:row r="762" ht="23" customHeight="1">
      <x:c r="B762" s="17" t="str">
        <x:v>Round1</x:v>
      </x:c>
      <x:c r="C762" s="17" t="str">
        <x:v>line</x:v>
      </x:c>
      <x:c r="D762" s="17" t="str">
        <x:v>Math_67</x:v>
      </x:c>
      <x:c r="E762" s="32" t="n">
        <x:v>0.871</x:v>
      </x:c>
      <x:c r="F762" s="32" t="n">
        <x:v>0.4946</x:v>
      </x:c>
      <x:c r="G762" s="32" t="n">
        <x:v>0.8172</x:v>
      </x:c>
      <x:c r="H762" s="32" t="n">
        <x:v>0</x:v>
      </x:c>
      <x:c r="I762" s="40" t="n">
        <x:v>1</x:v>
      </x:c>
      <x:c r="J762" s="40" t="n">
        <x:v>1</x:v>
      </x:c>
      <x:c r="K762" s="40" t="n">
        <x:v>1</x:v>
      </x:c>
      <x:c r="L762" s="40" t="n">
        <x:v>1</x:v>
      </x:c>
    </x:row>
    <x:row r="763" ht="23" customHeight="1">
      <x:c r="B763" s="17" t="str">
        <x:v>Round1</x:v>
      </x:c>
      <x:c r="C763" s="17" t="str">
        <x:v>line</x:v>
      </x:c>
      <x:c r="D763" s="17" t="str">
        <x:v>Math_69</x:v>
      </x:c>
      <x:c r="E763" s="32" t="n">
        <x:v>1</x:v>
      </x:c>
      <x:c r="F763" s="32" t="n">
        <x:v>0.9333</x:v>
      </x:c>
      <x:c r="G763" s="32" t="n">
        <x:v>0.92</x:v>
      </x:c>
      <x:c r="H763" s="32" t="n">
        <x:v>0</x:v>
      </x:c>
      <x:c r="I763" s="40" t="n">
        <x:v>1</x:v>
      </x:c>
      <x:c r="J763" s="40" t="n">
        <x:v>1</x:v>
      </x:c>
      <x:c r="K763" s="40" t="n">
        <x:v>1</x:v>
      </x:c>
      <x:c r="L763" s="40" t="n">
        <x:v>1</x:v>
      </x:c>
    </x:row>
    <x:row r="764" ht="23" customHeight="1">
      <x:c r="B764" s="17" t="str">
        <x:v>Round1</x:v>
      </x:c>
      <x:c r="C764" s="17" t="str">
        <x:v>line</x:v>
      </x:c>
      <x:c r="D764" s="17" t="str">
        <x:v>Math_72</x:v>
      </x:c>
      <x:c r="E764" s="32" t="n">
        <x:v>1</x:v>
      </x:c>
      <x:c r="F764" s="32" t="n">
        <x:v>0.1121</x:v>
      </x:c>
      <x:c r="G764" s="32" t="n">
        <x:v>0.8598</x:v>
      </x:c>
      <x:c r="H764" s="32" t="n">
        <x:v>0</x:v>
      </x:c>
      <x:c r="I764" s="40" t="n">
        <x:v>1</x:v>
      </x:c>
      <x:c r="J764" s="40" t="n">
        <x:v>1</x:v>
      </x:c>
      <x:c r="K764" s="40" t="n">
        <x:v>1</x:v>
      </x:c>
      <x:c r="L764" s="40" t="n">
        <x:v>1</x:v>
      </x:c>
    </x:row>
    <x:row r="765" ht="23" customHeight="1">
      <x:c r="B765" s="17" t="str">
        <x:v>Round1</x:v>
      </x:c>
      <x:c r="C765" s="17" t="str">
        <x:v>line</x:v>
      </x:c>
      <x:c r="D765" s="17" t="str">
        <x:v>Math_73</x:v>
      </x:c>
      <x:c r="E765" s="32" t="n">
        <x:v>1</x:v>
      </x:c>
      <x:c r="F765" s="32" t="n">
        <x:v>0.11539999999999999</x:v>
      </x:c>
      <x:c r="G765" s="32" t="n">
        <x:v>0.8462000000000001</x:v>
      </x:c>
      <x:c r="H765" s="32" t="n">
        <x:v>0</x:v>
      </x:c>
      <x:c r="I765" s="40" t="n">
        <x:v>1</x:v>
      </x:c>
      <x:c r="J765" s="40" t="n">
        <x:v>1</x:v>
      </x:c>
      <x:c r="K765" s="40" t="n">
        <x:v>1</x:v>
      </x:c>
      <x:c r="L765" s="40" t="n">
        <x:v>1</x:v>
      </x:c>
    </x:row>
    <x:row r="766" ht="23" customHeight="1">
      <x:c r="B766" s="17" t="str">
        <x:v>Round1</x:v>
      </x:c>
      <x:c r="C766" s="17" t="str">
        <x:v>line</x:v>
      </x:c>
      <x:c r="D766" s="17" t="str">
        <x:v>Math_75</x:v>
      </x:c>
      <x:c r="E766" s="32" t="n">
        <x:v>0.9776</x:v>
      </x:c>
      <x:c r="F766" s="32" t="n">
        <x:v>0.9104000000000001</x:v>
      </x:c>
      <x:c r="G766" s="32" t="n">
        <x:v>0.8506999999999999</x:v>
      </x:c>
      <x:c r="H766" s="32" t="n">
        <x:v>0</x:v>
      </x:c>
      <x:c r="I766" s="40" t="n">
        <x:v>1</x:v>
      </x:c>
      <x:c r="J766" s="40" t="n">
        <x:v>1</x:v>
      </x:c>
      <x:c r="K766" s="40" t="n">
        <x:v>1</x:v>
      </x:c>
      <x:c r="L766" s="40" t="n">
        <x:v>1</x:v>
      </x:c>
    </x:row>
    <x:row r="767" ht="23" customHeight="1">
      <x:c r="B767" s="17" t="str">
        <x:v>Round1</x:v>
      </x:c>
      <x:c r="C767" s="17" t="str">
        <x:v>line</x:v>
      </x:c>
      <x:c r="D767" s="17" t="str">
        <x:v>Math_76</x:v>
      </x:c>
      <x:c r="E767" s="32" t="n">
        <x:v>0.9701000000000001</x:v>
      </x:c>
      <x:c r="F767" s="32" t="n">
        <x:v>0.022400000000000003</x:v>
      </x:c>
      <x:c r="G767" s="32" t="n">
        <x:v>0.7985</x:v>
      </x:c>
      <x:c r="H767" s="32" t="n">
        <x:v>0</x:v>
      </x:c>
      <x:c r="I767" s="40" t="n">
        <x:v>1</x:v>
      </x:c>
      <x:c r="J767" s="40" t="n">
        <x:v>1</x:v>
      </x:c>
      <x:c r="K767" s="40" t="n">
        <x:v>1</x:v>
      </x:c>
      <x:c r="L767" s="40" t="n">
        <x:v>1</x:v>
      </x:c>
    </x:row>
    <x:row r="768" ht="23" customHeight="1">
      <x:c r="B768" s="17" t="str">
        <x:v>Round1</x:v>
      </x:c>
      <x:c r="C768" s="17" t="str">
        <x:v>line</x:v>
      </x:c>
      <x:c r="D768" s="17" t="str">
        <x:v>Math_79</x:v>
      </x:c>
      <x:c r="E768" s="32" t="n">
        <x:v>0.9405</x:v>
      </x:c>
      <x:c r="F768" s="32" t="n">
        <x:v>0.35950000000000004</x:v>
      </x:c>
      <x:c r="G768" s="32" t="n">
        <x:v>0.6333</x:v>
      </x:c>
      <x:c r="H768" s="32" t="n">
        <x:v>0.0048</x:v>
      </x:c>
      <x:c r="I768" s="40" t="n">
        <x:v>1</x:v>
      </x:c>
      <x:c r="J768" s="40" t="n">
        <x:v>1</x:v>
      </x:c>
      <x:c r="K768" s="40" t="n">
        <x:v>1</x:v>
      </x:c>
      <x:c r="L768" s="40" t="n">
        <x:v>1</x:v>
      </x:c>
    </x:row>
    <x:row r="769" ht="23" customHeight="1">
      <x:c r="B769" s="17" t="str">
        <x:v>Round1</x:v>
      </x:c>
      <x:c r="C769" s="17" t="str">
        <x:v>line</x:v>
      </x:c>
      <x:c r="D769" s="17" t="str">
        <x:v>Math_8</x:v>
      </x:c>
      <x:c r="E769" s="32" t="n">
        <x:v>0.975</x:v>
      </x:c>
      <x:c r="F769" s="32" t="n">
        <x:v>0.175</x:v>
      </x:c>
      <x:c r="G769" s="32" t="n">
        <x:v>0.975</x:v>
      </x:c>
      <x:c r="H769" s="32" t="n">
        <x:v>0</x:v>
      </x:c>
      <x:c r="I769" s="40" t="n">
        <x:v>1</x:v>
      </x:c>
      <x:c r="J769" s="40" t="n">
        <x:v>1</x:v>
      </x:c>
      <x:c r="K769" s="40" t="n">
        <x:v>1</x:v>
      </x:c>
      <x:c r="L769" s="40" t="n">
        <x:v>1</x:v>
      </x:c>
    </x:row>
    <x:row r="770" ht="23" customHeight="1">
      <x:c r="B770" s="17" t="str">
        <x:v>Round1</x:v>
      </x:c>
      <x:c r="C770" s="17" t="str">
        <x:v>line</x:v>
      </x:c>
      <x:c r="D770" s="17" t="str">
        <x:v>Math_80</x:v>
      </x:c>
      <x:c r="E770" s="32" t="n">
        <x:v>0.8327</x:v>
      </x:c>
      <x:c r="F770" s="32" t="n">
        <x:v>0.2082</x:v>
      </x:c>
      <x:c r="G770" s="32" t="n">
        <x:v>0.33020000000000005</x:v>
      </x:c>
      <x:c r="H770" s="32" t="n">
        <x:v>0</x:v>
      </x:c>
      <x:c r="I770" s="40" t="n">
        <x:v>1</x:v>
      </x:c>
      <x:c r="J770" s="40" t="n">
        <x:v>1</x:v>
      </x:c>
      <x:c r="K770" s="40" t="n">
        <x:v>1</x:v>
      </x:c>
      <x:c r="L770" s="40" t="n">
        <x:v>1</x:v>
      </x:c>
    </x:row>
    <x:row r="771" ht="23" customHeight="1">
      <x:c r="B771" s="17" t="str">
        <x:v>Round1</x:v>
      </x:c>
      <x:c r="C771" s="17" t="str">
        <x:v>line</x:v>
      </x:c>
      <x:c r="D771" s="17" t="str">
        <x:v>Math_81</x:v>
      </x:c>
      <x:c r="E771" s="32" t="n">
        <x:v>0.8419</x:v>
      </x:c>
      <x:c r="F771" s="32" t="n">
        <x:v>0.2073</x:v>
      </x:c>
      <x:c r="G771" s="32" t="n">
        <x:v>0.3353</x:v>
      </x:c>
      <x:c r="H771" s="32" t="n">
        <x:v>0</x:v>
      </x:c>
      <x:c r="I771" s="40" t="n">
        <x:v>1</x:v>
      </x:c>
      <x:c r="J771" s="40" t="n">
        <x:v>1</x:v>
      </x:c>
      <x:c r="K771" s="40" t="n">
        <x:v>1</x:v>
      </x:c>
      <x:c r="L771" s="40" t="n">
        <x:v>1</x:v>
      </x:c>
    </x:row>
    <x:row r="772" ht="23" customHeight="1">
      <x:c r="B772" s="17" t="str">
        <x:v>Round1</x:v>
      </x:c>
      <x:c r="C772" s="17" t="str">
        <x:v>line</x:v>
      </x:c>
      <x:c r="D772" s="17" t="str">
        <x:v>Math_85</x:v>
      </x:c>
      <x:c r="E772" s="32" t="n">
        <x:v>0.9473999999999999</x:v>
      </x:c>
      <x:c r="F772" s="32" t="n">
        <x:v>0.21050000000000002</x:v>
      </x:c>
      <x:c r="G772" s="32" t="n">
        <x:v>0.9211</x:v>
      </x:c>
      <x:c r="H772" s="32" t="n">
        <x:v>0</x:v>
      </x:c>
      <x:c r="I772" s="40" t="n">
        <x:v>1</x:v>
      </x:c>
      <x:c r="J772" s="40" t="n">
        <x:v>1</x:v>
      </x:c>
      <x:c r="K772" s="40" t="n">
        <x:v>1</x:v>
      </x:c>
      <x:c r="L772" s="40" t="n">
        <x:v>1</x:v>
      </x:c>
    </x:row>
    <x:row r="773" ht="23" customHeight="1">
      <x:c r="B773" s="17" t="str">
        <x:v>Round1</x:v>
      </x:c>
      <x:c r="C773" s="17" t="str">
        <x:v>line</x:v>
      </x:c>
      <x:c r="D773" s="17" t="str">
        <x:v>Math_87</x:v>
      </x:c>
      <x:c r="E773" s="32" t="n">
        <x:v>0.0724</x:v>
      </x:c>
      <x:c r="F773" s="32" t="n">
        <x:v>0.0395</x:v>
      </x:c>
      <x:c r="G773" s="32" t="n">
        <x:v>0.0724</x:v>
      </x:c>
      <x:c r="H773" s="32" t="n">
        <x:v>0</x:v>
      </x:c>
      <x:c r="I773" s="40" t="n">
        <x:v>1</x:v>
      </x:c>
      <x:c r="J773" s="40" t="n">
        <x:v>1</x:v>
      </x:c>
      <x:c r="K773" s="40" t="n">
        <x:v>1</x:v>
      </x:c>
      <x:c r="L773" s="40" t="n">
        <x:v>1</x:v>
      </x:c>
    </x:row>
    <x:row r="774" ht="23" customHeight="1">
      <x:c r="B774" s="17" t="str">
        <x:v>Round1</x:v>
      </x:c>
      <x:c r="C774" s="17" t="str">
        <x:v>line</x:v>
      </x:c>
      <x:c r="D774" s="17" t="str">
        <x:v>Math_89</x:v>
      </x:c>
      <x:c r="E774" s="32" t="n">
        <x:v>1</x:v>
      </x:c>
      <x:c r="F774" s="32" t="n">
        <x:v>0.9906999999999999</x:v>
      </x:c>
      <x:c r="G774" s="32" t="n">
        <x:v>0.8981</x:v>
      </x:c>
      <x:c r="H774" s="32" t="n">
        <x:v>0</x:v>
      </x:c>
      <x:c r="I774" s="40" t="n">
        <x:v>1</x:v>
      </x:c>
      <x:c r="J774" s="40" t="n">
        <x:v>1</x:v>
      </x:c>
      <x:c r="K774" s="40" t="n">
        <x:v>1</x:v>
      </x:c>
      <x:c r="L774" s="40" t="n">
        <x:v>1</x:v>
      </x:c>
    </x:row>
    <x:row r="775" ht="23" customHeight="1">
      <x:c r="B775" s="17" t="str">
        <x:v>Round1</x:v>
      </x:c>
      <x:c r="C775" s="17" t="str">
        <x:v>line</x:v>
      </x:c>
      <x:c r="D775" s="17" t="str">
        <x:v>Math_90</x:v>
      </x:c>
      <x:c r="E775" s="32" t="n">
        <x:v>0.9906</x:v>
      </x:c>
      <x:c r="F775" s="32" t="n">
        <x:v>0.9906</x:v>
      </x:c>
      <x:c r="G775" s="32" t="n">
        <x:v>0.8208</x:v>
      </x:c>
      <x:c r="H775" s="32" t="n">
        <x:v>0</x:v>
      </x:c>
      <x:c r="I775" s="40" t="n">
        <x:v>1</x:v>
      </x:c>
      <x:c r="J775" s="40" t="n">
        <x:v>1</x:v>
      </x:c>
      <x:c r="K775" s="40" t="n">
        <x:v>1</x:v>
      </x:c>
      <x:c r="L775" s="40" t="n">
        <x:v>1</x:v>
      </x:c>
    </x:row>
    <x:row r="776" ht="23" customHeight="1">
      <x:c r="B776" s="17" t="str">
        <x:v>Round1</x:v>
      </x:c>
      <x:c r="C776" s="17" t="str">
        <x:v>line</x:v>
      </x:c>
      <x:c r="D776" s="17" t="str">
        <x:v>Math_92</x:v>
      </x:c>
      <x:c r="E776" s="32" t="n">
        <x:v>0.8658</x:v>
      </x:c>
      <x:c r="F776" s="32" t="n">
        <x:v>0.6277</x:v>
      </x:c>
      <x:c r="G776" s="32" t="n">
        <x:v>0.7965000000000001</x:v>
      </x:c>
      <x:c r="H776" s="32" t="n">
        <x:v>0.0043</x:v>
      </x:c>
      <x:c r="I776" s="40" t="n">
        <x:v>1</x:v>
      </x:c>
      <x:c r="J776" s="40" t="n">
        <x:v>1</x:v>
      </x:c>
      <x:c r="K776" s="40" t="n">
        <x:v>1</x:v>
      </x:c>
      <x:c r="L776" s="40" t="n">
        <x:v>1</x:v>
      </x:c>
    </x:row>
    <x:row r="777" ht="23" customHeight="1">
      <x:c r="B777" s="17" t="str">
        <x:v>Round1</x:v>
      </x:c>
      <x:c r="C777" s="17" t="str">
        <x:v>line</x:v>
      </x:c>
      <x:c r="D777" s="17" t="str">
        <x:v>Math_93</x:v>
      </x:c>
      <x:c r="E777" s="32" t="n">
        <x:v>0.8673000000000001</x:v>
      </x:c>
      <x:c r="F777" s="32" t="n">
        <x:v>0.6239</x:v>
      </x:c>
      <x:c r="G777" s="32" t="n">
        <x:v>0.9336</x:v>
      </x:c>
      <x:c r="H777" s="32" t="n">
        <x:v>0.0044</x:v>
      </x:c>
      <x:c r="I777" s="40" t="n">
        <x:v>1</x:v>
      </x:c>
      <x:c r="J777" s="40" t="n">
        <x:v>1</x:v>
      </x:c>
      <x:c r="K777" s="40" t="n">
        <x:v>1</x:v>
      </x:c>
      <x:c r="L777" s="40" t="n">
        <x:v>1</x:v>
      </x:c>
    </x:row>
    <x:row r="778" ht="23" customHeight="1">
      <x:c r="B778" s="17" t="str">
        <x:v>Round1</x:v>
      </x:c>
      <x:c r="C778" s="17" t="str">
        <x:v>line</x:v>
      </x:c>
      <x:c r="D778" s="17" t="str">
        <x:v>Math_94</x:v>
      </x:c>
      <x:c r="E778" s="32" t="n">
        <x:v>0.9111</x:v>
      </x:c>
      <x:c r="F778" s="32" t="n">
        <x:v>0.6222</x:v>
      </x:c>
      <x:c r="G778" s="32" t="n">
        <x:v>0.8</x:v>
      </x:c>
      <x:c r="H778" s="32" t="n">
        <x:v>0</x:v>
      </x:c>
      <x:c r="I778" s="40" t="n">
        <x:v>1</x:v>
      </x:c>
      <x:c r="J778" s="40" t="n">
        <x:v>1</x:v>
      </x:c>
      <x:c r="K778" s="40" t="n">
        <x:v>1</x:v>
      </x:c>
      <x:c r="L778" s="40" t="n">
        <x:v>1</x:v>
      </x:c>
    </x:row>
    <x:row r="779" ht="23" customHeight="1">
      <x:c r="B779" s="17" t="str">
        <x:v>Round1</x:v>
      </x:c>
      <x:c r="C779" s="17" t="str">
        <x:v>line</x:v>
      </x:c>
      <x:c r="D779" s="17" t="str">
        <x:v>Math_95</x:v>
      </x:c>
      <x:c r="E779" s="32" t="n">
        <x:v>1</x:v>
      </x:c>
      <x:c r="F779" s="32" t="n">
        <x:v>1</x:v>
      </x:c>
      <x:c r="G779" s="32" t="n">
        <x:v>1</x:v>
      </x:c>
      <x:c r="H779" s="32" t="n">
        <x:v>1</x:v>
      </x:c>
      <x:c r="I779" s="40" t="n">
        <x:v>1</x:v>
      </x:c>
      <x:c r="J779" s="40" t="n">
        <x:v>1</x:v>
      </x:c>
      <x:c r="K779" s="40" t="n">
        <x:v>1</x:v>
      </x:c>
      <x:c r="L779" s="40" t="n">
        <x:v>1</x:v>
      </x:c>
    </x:row>
    <x:row r="780" ht="23" customHeight="1">
      <x:c r="B780" s="17" t="str">
        <x:v>Round1</x:v>
      </x:c>
      <x:c r="C780" s="17" t="str">
        <x:v>line</x:v>
      </x:c>
      <x:c r="D780" s="17" t="str">
        <x:v>Math_96</x:v>
      </x:c>
      <x:c r="E780" s="32" t="n">
        <x:v>0.9648</x:v>
      </x:c>
      <x:c r="F780" s="32" t="n">
        <x:v>0.9506999999999999</x:v>
      </x:c>
      <x:c r="G780" s="32" t="n">
        <x:v>0.9789</x:v>
      </x:c>
      <x:c r="H780" s="32" t="n">
        <x:v>0.0634</x:v>
      </x:c>
      <x:c r="I780" s="40" t="n">
        <x:v>1</x:v>
      </x:c>
      <x:c r="J780" s="40" t="n">
        <x:v>1</x:v>
      </x:c>
      <x:c r="K780" s="40" t="n">
        <x:v>1</x:v>
      </x:c>
      <x:c r="L780" s="40" t="n">
        <x:v>1</x:v>
      </x:c>
    </x:row>
    <x:row r="781" ht="23" customHeight="1">
      <x:c r="B781" s="17" t="str">
        <x:v>Round1</x:v>
      </x:c>
      <x:c r="C781" s="17" t="str">
        <x:v>line</x:v>
      </x:c>
      <x:c r="D781" s="17" t="str">
        <x:v>Math_97</x:v>
      </x:c>
      <x:c r="E781" s="32" t="n">
        <x:v>1</x:v>
      </x:c>
      <x:c r="F781" s="32" t="n">
        <x:v>0.011200000000000002</x:v>
      </x:c>
      <x:c r="G781" s="32" t="n">
        <x:v>0.9775</x:v>
      </x:c>
      <x:c r="H781" s="32" t="n">
        <x:v>0</x:v>
      </x:c>
      <x:c r="I781" s="40" t="n">
        <x:v>1</x:v>
      </x:c>
      <x:c r="J781" s="40" t="n">
        <x:v>1</x:v>
      </x:c>
      <x:c r="K781" s="40" t="n">
        <x:v>1</x:v>
      </x:c>
      <x:c r="L781" s="40" t="n">
        <x:v>1</x:v>
      </x:c>
    </x:row>
    <x:row r="782" ht="23" customHeight="1">
      <x:c r="B782" s="17" t="str">
        <x:v>Round1</x:v>
      </x:c>
      <x:c r="C782" s="17" t="str">
        <x:v>line</x:v>
      </x:c>
      <x:c r="D782" s="17" t="str">
        <x:v>Math_98</x:v>
      </x:c>
      <x:c r="E782" s="32" t="n">
        <x:v>0.8758</x:v>
      </x:c>
      <x:c r="F782" s="32" t="n">
        <x:v>0.7996</x:v>
      </x:c>
      <x:c r="G782" s="32" t="n">
        <x:v>0.8420000000000001</x:v>
      </x:c>
      <x:c r="H782" s="32" t="n">
        <x:v>0.0033</x:v>
      </x:c>
      <x:c r="I782" s="40" t="n">
        <x:v>1</x:v>
      </x:c>
      <x:c r="J782" s="40" t="n">
        <x:v>1</x:v>
      </x:c>
      <x:c r="K782" s="40" t="n">
        <x:v>1</x:v>
      </x:c>
      <x:c r="L782" s="40" t="n">
        <x:v>1</x:v>
      </x:c>
    </x:row>
    <x:row r="783" ht="23" customHeight="1">
      <x:c r="B783" s="17" t="str">
        <x:v>Round1</x:v>
      </x:c>
      <x:c r="C783" s="17" t="str">
        <x:v>line</x:v>
      </x:c>
      <x:c r="D783" s="17" t="str">
        <x:v>Math_99</x:v>
      </x:c>
      <x:c r="E783" s="32" t="n">
        <x:v>0.9218999999999999</x:v>
      </x:c>
      <x:c r="F783" s="32" t="n">
        <x:v>0.7807</x:v>
      </x:c>
      <x:c r="G783" s="32" t="n">
        <x:v>0.9257</x:v>
      </x:c>
      <x:c r="H783" s="32" t="n">
        <x:v>0.0037</x:v>
      </x:c>
      <x:c r="I783" s="40" t="n">
        <x:v>1</x:v>
      </x:c>
      <x:c r="J783" s="40" t="n">
        <x:v>1</x:v>
      </x:c>
      <x:c r="K783" s="40" t="n">
        <x:v>1</x:v>
      </x:c>
      <x:c r="L783" s="40" t="n">
        <x:v>1</x:v>
      </x:c>
    </x:row>
    <x:row r="784" ht="23" customHeight="1">
      <x:c r="B784" s="17" t="str">
        <x:v>Round1</x:v>
      </x:c>
      <x:c r="C784" s="17" t="str">
        <x:v>line</x:v>
      </x:c>
      <x:c r="D784" s="17" t="str">
        <x:v>Mockito_11</x:v>
      </x:c>
      <x:c r="E784" s="32" t="n">
        <x:v>0.35710000000000003</x:v>
      </x:c>
      <x:c r="F784" s="32" t="n">
        <x:v>0</x:v>
      </x:c>
      <x:c r="G784" s="32" t="n">
        <x:v>1</x:v>
      </x:c>
      <x:c r="H784" s="32" t="n">
        <x:v>1</x:v>
      </x:c>
      <x:c r="I784" s="40" t="n">
        <x:v>1</x:v>
      </x:c>
      <x:c r="J784" s="40" t="n">
        <x:v>1</x:v>
      </x:c>
      <x:c r="K784" s="40" t="n">
        <x:v>1</x:v>
      </x:c>
      <x:c r="L784" s="40" t="n">
        <x:v>1</x:v>
      </x:c>
    </x:row>
    <x:row r="785" ht="23" customHeight="1">
      <x:c r="B785" s="17" t="str">
        <x:v>Round1</x:v>
      </x:c>
      <x:c r="C785" s="17" t="str">
        <x:v>line</x:v>
      </x:c>
      <x:c r="D785" s="17" t="str">
        <x:v>Mockito_12</x:v>
      </x:c>
      <x:c r="E785" s="32" t="n">
        <x:v>0.3333</x:v>
      </x:c>
      <x:c r="F785" s="32" t="n">
        <x:v>0.3333</x:v>
      </x:c>
      <x:c r="G785" s="32" t="n">
        <x:v>1</x:v>
      </x:c>
      <x:c r="H785" s="32" t="n">
        <x:v>1</x:v>
      </x:c>
      <x:c r="I785" s="40" t="n">
        <x:v>1</x:v>
      </x:c>
      <x:c r="J785" s="40" t="n">
        <x:v>1</x:v>
      </x:c>
      <x:c r="K785" s="40" t="n">
        <x:v>1</x:v>
      </x:c>
      <x:c r="L785" s="40" t="n">
        <x:v>1</x:v>
      </x:c>
    </x:row>
    <x:row r="786" ht="23" customHeight="1">
      <x:c r="B786" s="17" t="str">
        <x:v>Round1</x:v>
      </x:c>
      <x:c r="C786" s="17" t="str">
        <x:v>line</x:v>
      </x:c>
      <x:c r="D786" s="17" t="str">
        <x:v>Mockito_15</x:v>
      </x:c>
      <x:c r="E786" s="32" t="n">
        <x:v>0.5385</x:v>
      </x:c>
      <x:c r="F786" s="32" t="n">
        <x:v>0.3077</x:v>
      </x:c>
      <x:c r="G786" s="32" t="n">
        <x:v>1</x:v>
      </x:c>
      <x:c r="H786" s="32" t="n">
        <x:v>1</x:v>
      </x:c>
      <x:c r="I786" s="40" t="n">
        <x:v>1</x:v>
      </x:c>
      <x:c r="J786" s="40" t="n">
        <x:v>1</x:v>
      </x:c>
      <x:c r="K786" s="40" t="n">
        <x:v>1</x:v>
      </x:c>
      <x:c r="L786" s="40" t="n">
        <x:v>1</x:v>
      </x:c>
    </x:row>
    <x:row r="787" ht="23" customHeight="1">
      <x:c r="B787" s="17" t="str">
        <x:v>Round1</x:v>
      </x:c>
      <x:c r="C787" s="17" t="str">
        <x:v>line</x:v>
      </x:c>
      <x:c r="D787" s="17" t="str">
        <x:v>Mockito_21</x:v>
      </x:c>
      <x:c r="E787" s="32" t="n">
        <x:v>0.9375</x:v>
      </x:c>
      <x:c r="F787" s="32" t="n">
        <x:v>0.1875</x:v>
      </x:c>
      <x:c r="G787" s="32" t="n">
        <x:v>1</x:v>
      </x:c>
      <x:c r="H787" s="32" t="n">
        <x:v>1</x:v>
      </x:c>
      <x:c r="I787" s="40" t="n">
        <x:v>1</x:v>
      </x:c>
      <x:c r="J787" s="40" t="n">
        <x:v>1</x:v>
      </x:c>
      <x:c r="K787" s="40" t="n">
        <x:v>1</x:v>
      </x:c>
      <x:c r="L787" s="40" t="n">
        <x:v>1</x:v>
      </x:c>
    </x:row>
    <x:row r="788" ht="23" customHeight="1">
      <x:c r="B788" s="17" t="str">
        <x:v>Round1</x:v>
      </x:c>
      <x:c r="C788" s="17" t="str">
        <x:v>line</x:v>
      </x:c>
      <x:c r="D788" s="17" t="str">
        <x:v>Mockito_22</x:v>
      </x:c>
      <x:c r="E788" s="32" t="n">
        <x:v>0.6923</x:v>
      </x:c>
      <x:c r="F788" s="32" t="n">
        <x:v>0.6923</x:v>
      </x:c>
      <x:c r="G788" s="32" t="n">
        <x:v>0.9231</x:v>
      </x:c>
      <x:c r="H788" s="32" t="n">
        <x:v>1</x:v>
      </x:c>
      <x:c r="I788" s="40" t="n">
        <x:v>1</x:v>
      </x:c>
      <x:c r="J788" s="40" t="n">
        <x:v>1</x:v>
      </x:c>
      <x:c r="K788" s="40" t="n">
        <x:v>1</x:v>
      </x:c>
      <x:c r="L788" s="40" t="n">
        <x:v>1</x:v>
      </x:c>
    </x:row>
    <x:row r="789" ht="23" customHeight="1">
      <x:c r="B789" s="17" t="str">
        <x:v>Round1</x:v>
      </x:c>
      <x:c r="C789" s="17" t="str">
        <x:v>line</x:v>
      </x:c>
      <x:c r="D789" s="17" t="str">
        <x:v>Mockito_37</x:v>
      </x:c>
      <x:c r="E789" s="32" t="n">
        <x:v>0.6296</x:v>
      </x:c>
      <x:c r="F789" s="32" t="n">
        <x:v>0.0741</x:v>
      </x:c>
      <x:c r="G789" s="32" t="n">
        <x:v>1</x:v>
      </x:c>
      <x:c r="H789" s="32" t="n">
        <x:v>1</x:v>
      </x:c>
      <x:c r="I789" s="40" t="n">
        <x:v>1</x:v>
      </x:c>
      <x:c r="J789" s="40" t="n">
        <x:v>1</x:v>
      </x:c>
      <x:c r="K789" s="40" t="n">
        <x:v>1</x:v>
      </x:c>
      <x:c r="L789" s="40" t="n">
        <x:v>1</x:v>
      </x:c>
    </x:row>
    <x:row r="790" ht="23" customHeight="1">
      <x:c r="B790" s="17" t="str">
        <x:v>Round1</x:v>
      </x:c>
      <x:c r="C790" s="17" t="str">
        <x:v>condition</x:v>
      </x:c>
      <x:c r="D790" s="17" t="str">
        <x:v>Chart_18</x:v>
      </x:c>
      <x:c r="E790" s="32" t="n">
        <x:v>0.9672</x:v>
      </x:c>
      <x:c r="F790" s="32" t="n">
        <x:v>0.7212999999999999</x:v>
      </x:c>
      <x:c r="G790" s="32" t="n">
        <x:v>0.8361</x:v>
      </x:c>
      <x:c r="H790" s="32" t="n">
        <x:v>0.1311</x:v>
      </x:c>
      <x:c r="I790" s="40" t="n">
        <x:v>1</x:v>
      </x:c>
      <x:c r="J790" s="40" t="n">
        <x:v>1</x:v>
      </x:c>
      <x:c r="K790" s="40" t="n">
        <x:v>1</x:v>
      </x:c>
      <x:c r="L790" s="40" t="n">
        <x:v>1</x:v>
      </x:c>
    </x:row>
    <x:row r="791" ht="23" customHeight="1">
      <x:c r="B791" s="17" t="str">
        <x:v>Round1</x:v>
      </x:c>
      <x:c r="C791" s="17" t="str">
        <x:v>condition</x:v>
      </x:c>
      <x:c r="D791" s="17" t="str">
        <x:v>Chart_21</x:v>
      </x:c>
      <x:c r="E791" s="32" t="n">
        <x:v>0.7333</x:v>
      </x:c>
      <x:c r="F791" s="32" t="n">
        <x:v>0.15</x:v>
      </x:c>
      <x:c r="G791" s="32" t="n">
        <x:v>0.4</x:v>
      </x:c>
      <x:c r="H791" s="32" t="n">
        <x:v>0.1</x:v>
      </x:c>
      <x:c r="I791" s="40" t="n">
        <x:v>1</x:v>
      </x:c>
      <x:c r="J791" s="40" t="n">
        <x:v>1</x:v>
      </x:c>
      <x:c r="K791" s="40" t="n">
        <x:v>1</x:v>
      </x:c>
      <x:c r="L791" s="40" t="n">
        <x:v>1</x:v>
      </x:c>
    </x:row>
    <x:row r="792" ht="23" customHeight="1">
      <x:c r="B792" s="17" t="str">
        <x:v>Round1</x:v>
      </x:c>
      <x:c r="C792" s="17" t="str">
        <x:v>condition</x:v>
      </x:c>
      <x:c r="D792" s="17" t="str">
        <x:v>Chart_22</x:v>
      </x:c>
      <x:c r="E792" s="32" t="n">
        <x:v>0.8966</x:v>
      </x:c>
      <x:c r="F792" s="32" t="n">
        <x:v>0.8448</x:v>
      </x:c>
      <x:c r="G792" s="32" t="n">
        <x:v>0.8103</x:v>
      </x:c>
      <x:c r="H792" s="32" t="n">
        <x:v>0.1552</x:v>
      </x:c>
      <x:c r="I792" s="40" t="n">
        <x:v>1</x:v>
      </x:c>
      <x:c r="J792" s="40" t="n">
        <x:v>1</x:v>
      </x:c>
      <x:c r="K792" s="40" t="n">
        <x:v>1</x:v>
      </x:c>
      <x:c r="L792" s="40" t="n">
        <x:v>1</x:v>
      </x:c>
    </x:row>
    <x:row r="793" ht="23" customHeight="1">
      <x:c r="B793" s="17" t="str">
        <x:v>Round1</x:v>
      </x:c>
      <x:c r="C793" s="17" t="str">
        <x:v>condition</x:v>
      </x:c>
      <x:c r="D793" s="17" t="str">
        <x:v>Chart_24</x:v>
      </x:c>
      <x:c r="E793" s="32" t="n">
        <x:v>1</x:v>
      </x:c>
      <x:c r="F793" s="32" t="n">
        <x:v>0.9</x:v>
      </x:c>
      <x:c r="G793" s="32" t="n">
        <x:v>1</x:v>
      </x:c>
      <x:c r="H793" s="32" t="n">
        <x:v>1</x:v>
      </x:c>
      <x:c r="I793" s="40" t="n">
        <x:v>1</x:v>
      </x:c>
      <x:c r="J793" s="40" t="n">
        <x:v>1</x:v>
      </x:c>
      <x:c r="K793" s="40" t="n">
        <x:v>1</x:v>
      </x:c>
      <x:c r="L793" s="40" t="n">
        <x:v>1</x:v>
      </x:c>
    </x:row>
    <x:row r="794" ht="23" customHeight="1">
      <x:c r="B794" s="17" t="str">
        <x:v>Round1</x:v>
      </x:c>
      <x:c r="C794" s="17" t="str">
        <x:v>condition</x:v>
      </x:c>
      <x:c r="D794" s="17" t="str">
        <x:v>Chart_8</x:v>
      </x:c>
      <x:c r="E794" s="32" t="n">
        <x:v>0.8088</x:v>
      </x:c>
      <x:c r="F794" s="32" t="n">
        <x:v>0.7794</x:v>
      </x:c>
      <x:c r="G794" s="32" t="n">
        <x:v>0.5146999999999999</x:v>
      </x:c>
      <x:c r="H794" s="32" t="n">
        <x:v>0.0588</x:v>
      </x:c>
      <x:c r="I794" s="40" t="n">
        <x:v>1</x:v>
      </x:c>
      <x:c r="J794" s="40" t="n">
        <x:v>1</x:v>
      </x:c>
      <x:c r="K794" s="40" t="n">
        <x:v>1</x:v>
      </x:c>
      <x:c r="L794" s="40" t="n">
        <x:v>1</x:v>
      </x:c>
    </x:row>
    <x:row r="795" ht="23" customHeight="1">
      <x:c r="B795" s="17" t="str">
        <x:v>Round1</x:v>
      </x:c>
      <x:c r="C795" s="17" t="str">
        <x:v>condition</x:v>
      </x:c>
      <x:c r="D795" s="17" t="str">
        <x:v>Cli_18</x:v>
      </x:c>
      <x:c r="E795" s="32" t="n">
        <x:v>0</x:v>
      </x:c>
      <x:c r="F795" s="32" t="n">
        <x:v>0</x:v>
      </x:c>
      <x:c r="G795" s="32" t="n">
        <x:v>0</x:v>
      </x:c>
      <x:c r="H795" s="32" t="n">
        <x:v>0</x:v>
      </x:c>
      <x:c r="I795" s="40" t="n">
        <x:v>1</x:v>
      </x:c>
      <x:c r="J795" s="40" t="n">
        <x:v>1</x:v>
      </x:c>
      <x:c r="K795" s="40" t="n">
        <x:v>1</x:v>
      </x:c>
      <x:c r="L795" s="40" t="n">
        <x:v>1</x:v>
      </x:c>
    </x:row>
    <x:row r="796" ht="23" customHeight="1">
      <x:c r="B796" s="17" t="str">
        <x:v>Round1</x:v>
      </x:c>
      <x:c r="C796" s="17" t="str">
        <x:v>condition</x:v>
      </x:c>
      <x:c r="D796" s="17" t="str">
        <x:v>Cli_19</x:v>
      </x:c>
      <x:c r="E796" s="32" t="n">
        <x:v>0</x:v>
      </x:c>
      <x:c r="F796" s="32" t="n">
        <x:v>0</x:v>
      </x:c>
      <x:c r="G796" s="32" t="n">
        <x:v>0</x:v>
      </x:c>
      <x:c r="H796" s="32" t="n">
        <x:v>0</x:v>
      </x:c>
      <x:c r="I796" s="40" t="n">
        <x:v>1</x:v>
      </x:c>
      <x:c r="J796" s="40" t="n">
        <x:v>1</x:v>
      </x:c>
      <x:c r="K796" s="40" t="n">
        <x:v>1</x:v>
      </x:c>
      <x:c r="L796" s="40" t="n">
        <x:v>1</x:v>
      </x:c>
    </x:row>
    <x:row r="797" ht="23" customHeight="1">
      <x:c r="B797" s="17" t="str">
        <x:v>Round1</x:v>
      </x:c>
      <x:c r="C797" s="17" t="str">
        <x:v>condition</x:v>
      </x:c>
      <x:c r="D797" s="17" t="str">
        <x:v>Cli_2</x:v>
      </x:c>
      <x:c r="E797" s="32" t="n">
        <x:v>0</x:v>
      </x:c>
      <x:c r="F797" s="32" t="n">
        <x:v>0</x:v>
      </x:c>
      <x:c r="G797" s="32" t="n">
        <x:v>0</x:v>
      </x:c>
      <x:c r="H797" s="32" t="n">
        <x:v>0</x:v>
      </x:c>
      <x:c r="I797" s="40" t="n">
        <x:v>1</x:v>
      </x:c>
      <x:c r="J797" s="40" t="n">
        <x:v>1</x:v>
      </x:c>
      <x:c r="K797" s="40" t="n">
        <x:v>1</x:v>
      </x:c>
      <x:c r="L797" s="40" t="n">
        <x:v>1</x:v>
      </x:c>
    </x:row>
    <x:row r="798" ht="23" customHeight="1">
      <x:c r="B798" s="17" t="str">
        <x:v>Round1</x:v>
      </x:c>
      <x:c r="C798" s="17" t="str">
        <x:v>condition</x:v>
      </x:c>
      <x:c r="D798" s="17" t="str">
        <x:v>Cli_22</x:v>
      </x:c>
      <x:c r="E798" s="32" t="n">
        <x:v>0</x:v>
      </x:c>
      <x:c r="F798" s="32" t="n">
        <x:v>0</x:v>
      </x:c>
      <x:c r="G798" s="32" t="n">
        <x:v>0</x:v>
      </x:c>
      <x:c r="H798" s="32" t="n">
        <x:v>0</x:v>
      </x:c>
      <x:c r="I798" s="40" t="n">
        <x:v>1</x:v>
      </x:c>
      <x:c r="J798" s="40" t="n">
        <x:v>1</x:v>
      </x:c>
      <x:c r="K798" s="40" t="n">
        <x:v>1</x:v>
      </x:c>
      <x:c r="L798" s="40" t="n">
        <x:v>1</x:v>
      </x:c>
    </x:row>
    <x:row r="799" ht="23" customHeight="1">
      <x:c r="B799" s="17" t="str">
        <x:v>Round1</x:v>
      </x:c>
      <x:c r="C799" s="17" t="str">
        <x:v>condition</x:v>
      </x:c>
      <x:c r="D799" s="17" t="str">
        <x:v>Cli_24</x:v>
      </x:c>
      <x:c r="E799" s="32" t="n">
        <x:v>0</x:v>
      </x:c>
      <x:c r="F799" s="32" t="n">
        <x:v>0</x:v>
      </x:c>
      <x:c r="G799" s="32" t="n">
        <x:v>0</x:v>
      </x:c>
      <x:c r="H799" s="32" t="n">
        <x:v>0</x:v>
      </x:c>
      <x:c r="I799" s="40" t="n">
        <x:v>1</x:v>
      </x:c>
      <x:c r="J799" s="40" t="n">
        <x:v>1</x:v>
      </x:c>
      <x:c r="K799" s="40" t="n">
        <x:v>1</x:v>
      </x:c>
      <x:c r="L799" s="40" t="n">
        <x:v>1</x:v>
      </x:c>
    </x:row>
    <x:row r="800" ht="23" customHeight="1">
      <x:c r="B800" s="17" t="str">
        <x:v>Round1</x:v>
      </x:c>
      <x:c r="C800" s="17" t="str">
        <x:v>condition</x:v>
      </x:c>
      <x:c r="D800" s="17" t="str">
        <x:v>Cli_27</x:v>
      </x:c>
      <x:c r="E800" s="32" t="n">
        <x:v>0</x:v>
      </x:c>
      <x:c r="F800" s="32" t="n">
        <x:v>0</x:v>
      </x:c>
      <x:c r="G800" s="32" t="n">
        <x:v>0</x:v>
      </x:c>
      <x:c r="H800" s="32" t="n">
        <x:v>0</x:v>
      </x:c>
      <x:c r="I800" s="40" t="n">
        <x:v>1</x:v>
      </x:c>
      <x:c r="J800" s="40" t="n">
        <x:v>1</x:v>
      </x:c>
      <x:c r="K800" s="40" t="n">
        <x:v>1</x:v>
      </x:c>
      <x:c r="L800" s="40" t="n">
        <x:v>1</x:v>
      </x:c>
    </x:row>
    <x:row r="801" ht="23" customHeight="1">
      <x:c r="B801" s="17" t="str">
        <x:v>Round1</x:v>
      </x:c>
      <x:c r="C801" s="17" t="str">
        <x:v>condition</x:v>
      </x:c>
      <x:c r="D801" s="17" t="str">
        <x:v>Cli_29</x:v>
      </x:c>
      <x:c r="E801" s="32" t="n">
        <x:v>0</x:v>
      </x:c>
      <x:c r="F801" s="32" t="n">
        <x:v>0</x:v>
      </x:c>
      <x:c r="G801" s="32" t="n">
        <x:v>0</x:v>
      </x:c>
      <x:c r="H801" s="32" t="n">
        <x:v>0</x:v>
      </x:c>
      <x:c r="I801" s="40" t="n">
        <x:v>1</x:v>
      </x:c>
      <x:c r="J801" s="40" t="n">
        <x:v>1</x:v>
      </x:c>
      <x:c r="K801" s="40" t="n">
        <x:v>1</x:v>
      </x:c>
      <x:c r="L801" s="40" t="n">
        <x:v>1</x:v>
      </x:c>
    </x:row>
    <x:row r="802" ht="23" customHeight="1">
      <x:c r="B802" s="17" t="str">
        <x:v>Round1</x:v>
      </x:c>
      <x:c r="C802" s="17" t="str">
        <x:v>condition</x:v>
      </x:c>
      <x:c r="D802" s="17" t="str">
        <x:v>Cli_3</x:v>
      </x:c>
      <x:c r="E802" s="32" t="n">
        <x:v>0</x:v>
      </x:c>
      <x:c r="F802" s="32" t="n">
        <x:v>0</x:v>
      </x:c>
      <x:c r="G802" s="32" t="n">
        <x:v>0</x:v>
      </x:c>
      <x:c r="H802" s="32" t="n">
        <x:v>0</x:v>
      </x:c>
      <x:c r="I802" s="40" t="n">
        <x:v>1</x:v>
      </x:c>
      <x:c r="J802" s="40" t="n">
        <x:v>1</x:v>
      </x:c>
      <x:c r="K802" s="40" t="n">
        <x:v>1</x:v>
      </x:c>
      <x:c r="L802" s="40" t="n">
        <x:v>1</x:v>
      </x:c>
    </x:row>
    <x:row r="803" ht="23" customHeight="1">
      <x:c r="B803" s="17" t="str">
        <x:v>Round1</x:v>
      </x:c>
      <x:c r="C803" s="17" t="str">
        <x:v>condition</x:v>
      </x:c>
      <x:c r="D803" s="17" t="str">
        <x:v>Cli_33</x:v>
      </x:c>
      <x:c r="E803" s="32" t="n">
        <x:v>0</x:v>
      </x:c>
      <x:c r="F803" s="32" t="n">
        <x:v>0</x:v>
      </x:c>
      <x:c r="G803" s="32" t="n">
        <x:v>0</x:v>
      </x:c>
      <x:c r="H803" s="32" t="n">
        <x:v>0</x:v>
      </x:c>
      <x:c r="I803" s="40" t="n">
        <x:v>1</x:v>
      </x:c>
      <x:c r="J803" s="40" t="n">
        <x:v>1</x:v>
      </x:c>
      <x:c r="K803" s="40" t="n">
        <x:v>1</x:v>
      </x:c>
      <x:c r="L803" s="40" t="n">
        <x:v>1</x:v>
      </x:c>
    </x:row>
    <x:row r="804" ht="23" customHeight="1">
      <x:c r="B804" s="17" t="str">
        <x:v>Round1</x:v>
      </x:c>
      <x:c r="C804" s="17" t="str">
        <x:v>condition</x:v>
      </x:c>
      <x:c r="D804" s="17" t="str">
        <x:v>Cli_35</x:v>
      </x:c>
      <x:c r="E804" s="32" t="n">
        <x:v>1</x:v>
      </x:c>
      <x:c r="F804" s="32" t="n">
        <x:v>0.65</x:v>
      </x:c>
      <x:c r="G804" s="32" t="n">
        <x:v>0.95</x:v>
      </x:c>
      <x:c r="H804" s="32" t="n">
        <x:v>1</x:v>
      </x:c>
      <x:c r="I804" s="40" t="n">
        <x:v>1</x:v>
      </x:c>
      <x:c r="J804" s="40" t="n">
        <x:v>1</x:v>
      </x:c>
      <x:c r="K804" s="40" t="n">
        <x:v>1</x:v>
      </x:c>
      <x:c r="L804" s="40" t="n">
        <x:v>1</x:v>
      </x:c>
    </x:row>
    <x:row r="805" ht="23" customHeight="1">
      <x:c r="B805" s="17" t="str">
        <x:v>Round1</x:v>
      </x:c>
      <x:c r="C805" s="17" t="str">
        <x:v>condition</x:v>
      </x:c>
      <x:c r="D805" s="17" t="str">
        <x:v>Cli_39</x:v>
      </x:c>
      <x:c r="E805" s="32" t="n">
        <x:v>1</x:v>
      </x:c>
      <x:c r="F805" s="32" t="n">
        <x:v>0.55</x:v>
      </x:c>
      <x:c r="G805" s="32" t="n">
        <x:v>0.8</x:v>
      </x:c>
      <x:c r="H805" s="32" t="n">
        <x:v>1</x:v>
      </x:c>
      <x:c r="I805" s="40" t="n">
        <x:v>1</x:v>
      </x:c>
      <x:c r="J805" s="40" t="n">
        <x:v>1</x:v>
      </x:c>
      <x:c r="K805" s="40" t="n">
        <x:v>1</x:v>
      </x:c>
      <x:c r="L805" s="40" t="n">
        <x:v>1</x:v>
      </x:c>
    </x:row>
    <x:row r="806" ht="23" customHeight="1">
      <x:c r="B806" s="17" t="str">
        <x:v>Round1</x:v>
      </x:c>
      <x:c r="C806" s="17" t="str">
        <x:v>condition</x:v>
      </x:c>
      <x:c r="D806" s="17" t="str">
        <x:v>Cli_4</x:v>
      </x:c>
      <x:c r="E806" s="32" t="n">
        <x:v>0</x:v>
      </x:c>
      <x:c r="F806" s="32" t="n">
        <x:v>0</x:v>
      </x:c>
      <x:c r="G806" s="32" t="n">
        <x:v>0</x:v>
      </x:c>
      <x:c r="H806" s="32" t="n">
        <x:v>0</x:v>
      </x:c>
      <x:c r="I806" s="40" t="n">
        <x:v>1</x:v>
      </x:c>
      <x:c r="J806" s="40" t="n">
        <x:v>1</x:v>
      </x:c>
      <x:c r="K806" s="40" t="n">
        <x:v>1</x:v>
      </x:c>
      <x:c r="L806" s="40" t="n">
        <x:v>1</x:v>
      </x:c>
    </x:row>
    <x:row r="807" ht="23" customHeight="1">
      <x:c r="B807" s="17" t="str">
        <x:v>Round1</x:v>
      </x:c>
      <x:c r="C807" s="17" t="str">
        <x:v>condition</x:v>
      </x:c>
      <x:c r="D807" s="17" t="str">
        <x:v>Cli_5</x:v>
      </x:c>
      <x:c r="E807" s="32" t="n">
        <x:v>0</x:v>
      </x:c>
      <x:c r="F807" s="32" t="n">
        <x:v>0</x:v>
      </x:c>
      <x:c r="G807" s="32" t="n">
        <x:v>0</x:v>
      </x:c>
      <x:c r="H807" s="32" t="n">
        <x:v>0</x:v>
      </x:c>
      <x:c r="I807" s="40" t="n">
        <x:v>1</x:v>
      </x:c>
      <x:c r="J807" s="40" t="n">
        <x:v>1</x:v>
      </x:c>
      <x:c r="K807" s="40" t="n">
        <x:v>1</x:v>
      </x:c>
      <x:c r="L807" s="40" t="n">
        <x:v>1</x:v>
      </x:c>
    </x:row>
    <x:row r="808" ht="23" customHeight="1">
      <x:c r="B808" s="17" t="str">
        <x:v>Round1</x:v>
      </x:c>
      <x:c r="C808" s="17" t="str">
        <x:v>condition</x:v>
      </x:c>
      <x:c r="D808" s="17" t="str">
        <x:v>Cli_8</x:v>
      </x:c>
      <x:c r="E808" s="32" t="n">
        <x:v>0</x:v>
      </x:c>
      <x:c r="F808" s="32" t="n">
        <x:v>0</x:v>
      </x:c>
      <x:c r="G808" s="32" t="n">
        <x:v>0</x:v>
      </x:c>
      <x:c r="H808" s="32" t="n">
        <x:v>0</x:v>
      </x:c>
      <x:c r="I808" s="40" t="n">
        <x:v>1</x:v>
      </x:c>
      <x:c r="J808" s="40" t="n">
        <x:v>1</x:v>
      </x:c>
      <x:c r="K808" s="40" t="n">
        <x:v>1</x:v>
      </x:c>
      <x:c r="L808" s="40" t="n">
        <x:v>1</x:v>
      </x:c>
    </x:row>
    <x:row r="809" ht="23" customHeight="1">
      <x:c r="B809" s="17" t="str">
        <x:v>Round1</x:v>
      </x:c>
      <x:c r="C809" s="17" t="str">
        <x:v>condition</x:v>
      </x:c>
      <x:c r="D809" s="17" t="str">
        <x:v>Closure_131</x:v>
      </x:c>
      <x:c r="E809" s="32" t="n">
        <x:v>0.6909000000000001</x:v>
      </x:c>
      <x:c r="F809" s="32" t="n">
        <x:v>0.060599999999999994</x:v>
      </x:c>
      <x:c r="G809" s="32" t="n">
        <x:v>0.8364</x:v>
      </x:c>
      <x:c r="H809" s="32" t="n">
        <x:v>0.8364</x:v>
      </x:c>
      <x:c r="I809" s="40" t="n">
        <x:v>1</x:v>
      </x:c>
      <x:c r="J809" s="40" t="n">
        <x:v>1</x:v>
      </x:c>
      <x:c r="K809" s="40" t="n">
        <x:v>1</x:v>
      </x:c>
      <x:c r="L809" s="40" t="n">
        <x:v>1</x:v>
      </x:c>
    </x:row>
    <x:row r="810" ht="23" customHeight="1">
      <x:c r="B810" s="17" t="str">
        <x:v>Round1</x:v>
      </x:c>
      <x:c r="C810" s="17" t="str">
        <x:v>condition</x:v>
      </x:c>
      <x:c r="D810" s="17" t="str">
        <x:v>Closure_172</x:v>
      </x:c>
      <x:c r="E810" s="32" t="n">
        <x:v>0.0381</x:v>
      </x:c>
      <x:c r="F810" s="32" t="n">
        <x:v>0</x:v>
      </x:c>
      <x:c r="G810" s="32" t="n">
        <x:v>0</x:v>
      </x:c>
      <x:c r="H810" s="32" t="n">
        <x:v>0</x:v>
      </x:c>
      <x:c r="I810" s="40" t="n">
        <x:v>1</x:v>
      </x:c>
      <x:c r="J810" s="40" t="n">
        <x:v>1</x:v>
      </x:c>
      <x:c r="K810" s="40" t="n">
        <x:v>1</x:v>
      </x:c>
      <x:c r="L810" s="40" t="n">
        <x:v>1</x:v>
      </x:c>
    </x:row>
    <x:row r="811" ht="23" customHeight="1">
      <x:c r="B811" s="17" t="str">
        <x:v>Round1</x:v>
      </x:c>
      <x:c r="C811" s="17" t="str">
        <x:v>condition</x:v>
      </x:c>
      <x:c r="D811" s="17" t="str">
        <x:v>Closure_20</x:v>
      </x:c>
      <x:c r="E811" s="32" t="n">
        <x:v>0.0665</x:v>
      </x:c>
      <x:c r="F811" s="32" t="n">
        <x:v>0.005699999999999999</x:v>
      </x:c>
      <x:c r="G811" s="32" t="n">
        <x:v>0.0608</x:v>
      </x:c>
      <x:c r="H811" s="32" t="n">
        <x:v>0.0608</x:v>
      </x:c>
      <x:c r="I811" s="40" t="n">
        <x:v>1</x:v>
      </x:c>
      <x:c r="J811" s="40" t="n">
        <x:v>1</x:v>
      </x:c>
      <x:c r="K811" s="40" t="n">
        <x:v>1</x:v>
      </x:c>
      <x:c r="L811" s="40" t="n">
        <x:v>1</x:v>
      </x:c>
    </x:row>
    <x:row r="812" ht="23" customHeight="1">
      <x:c r="B812" s="17" t="str">
        <x:v>Round1</x:v>
      </x:c>
      <x:c r="C812" s="17" t="str">
        <x:v>condition</x:v>
      </x:c>
      <x:c r="D812" s="17" t="str">
        <x:v>Closure_38</x:v>
      </x:c>
      <x:c r="E812" s="32" t="n">
        <x:v>0.1406</x:v>
      </x:c>
      <x:c r="F812" s="32" t="n">
        <x:v>0.1094</x:v>
      </x:c>
      <x:c r="G812" s="32" t="n">
        <x:v>0.6718999999999999</x:v>
      </x:c>
      <x:c r="H812" s="32" t="n">
        <x:v>0.6718999999999999</x:v>
      </x:c>
      <x:c r="I812" s="40" t="n">
        <x:v>1</x:v>
      </x:c>
      <x:c r="J812" s="40" t="n">
        <x:v>1</x:v>
      </x:c>
      <x:c r="K812" s="40" t="n">
        <x:v>1</x:v>
      </x:c>
      <x:c r="L812" s="40" t="n">
        <x:v>1</x:v>
      </x:c>
    </x:row>
    <x:row r="813" ht="23" customHeight="1">
      <x:c r="B813" s="17" t="str">
        <x:v>Round1</x:v>
      </x:c>
      <x:c r="C813" s="17" t="str">
        <x:v>condition</x:v>
      </x:c>
      <x:c r="D813" s="17" t="str">
        <x:v>Closure_44</x:v>
      </x:c>
      <x:c r="E813" s="32" t="n">
        <x:v>0.15</x:v>
      </x:c>
      <x:c r="F813" s="32" t="n">
        <x:v>0.1167</x:v>
      </x:c>
      <x:c r="G813" s="32" t="n">
        <x:v>0.8833</x:v>
      </x:c>
      <x:c r="H813" s="32" t="n">
        <x:v>0.8833</x:v>
      </x:c>
      <x:c r="I813" s="40" t="n">
        <x:v>1</x:v>
      </x:c>
      <x:c r="J813" s="40" t="n">
        <x:v>1</x:v>
      </x:c>
      <x:c r="K813" s="40" t="n">
        <x:v>1</x:v>
      </x:c>
      <x:c r="L813" s="40" t="n">
        <x:v>1</x:v>
      </x:c>
    </x:row>
    <x:row r="814" ht="23" customHeight="1">
      <x:c r="B814" s="17" t="str">
        <x:v>Round1</x:v>
      </x:c>
      <x:c r="C814" s="17" t="str">
        <x:v>condition</x:v>
      </x:c>
      <x:c r="D814" s="17" t="str">
        <x:v>Codec_10</x:v>
      </x:c>
      <x:c r="E814" s="32" t="n">
        <x:v>1</x:v>
      </x:c>
      <x:c r="F814" s="32" t="n">
        <x:v>0.8332999999999999</x:v>
      </x:c>
      <x:c r="G814" s="32" t="n">
        <x:v>0.8332999999999999</x:v>
      </x:c>
      <x:c r="H814" s="32" t="n">
        <x:v>1</x:v>
      </x:c>
      <x:c r="I814" s="40" t="n">
        <x:v>1</x:v>
      </x:c>
      <x:c r="J814" s="40" t="n">
        <x:v>1</x:v>
      </x:c>
      <x:c r="K814" s="40" t="n">
        <x:v>1</x:v>
      </x:c>
      <x:c r="L814" s="40" t="n">
        <x:v>1</x:v>
      </x:c>
    </x:row>
    <x:row r="815" ht="23" customHeight="1">
      <x:c r="B815" s="17" t="str">
        <x:v>Round1</x:v>
      </x:c>
      <x:c r="C815" s="17" t="str">
        <x:v>condition</x:v>
      </x:c>
      <x:c r="D815" s="17" t="str">
        <x:v>Collections_10</x:v>
      </x:c>
      <x:c r="E815" s="32" t="n">
        <x:v>0.875</x:v>
      </x:c>
      <x:c r="F815" s="32" t="n">
        <x:v>0.22920000000000001</x:v>
      </x:c>
      <x:c r="G815" s="32" t="n">
        <x:v>0.8332999999999999</x:v>
      </x:c>
      <x:c r="H815" s="32" t="n">
        <x:v>0.375</x:v>
      </x:c>
      <x:c r="I815" s="40" t="n">
        <x:v>1</x:v>
      </x:c>
      <x:c r="J815" s="40" t="n">
        <x:v>1</x:v>
      </x:c>
      <x:c r="K815" s="40" t="n">
        <x:v>1</x:v>
      </x:c>
      <x:c r="L815" s="40" t="n">
        <x:v>1</x:v>
      </x:c>
    </x:row>
    <x:row r="816" ht="23" customHeight="1">
      <x:c r="B816" s="17" t="str">
        <x:v>Round1</x:v>
      </x:c>
      <x:c r="C816" s="17" t="str">
        <x:v>condition</x:v>
      </x:c>
      <x:c r="D816" s="17" t="str">
        <x:v>Collections_11</x:v>
      </x:c>
      <x:c r="E816" s="32" t="n">
        <x:v>1</x:v>
      </x:c>
      <x:c r="F816" s="32" t="n">
        <x:v>0.9167000000000001</x:v>
      </x:c>
      <x:c r="G816" s="32" t="n">
        <x:v>1</x:v>
      </x:c>
      <x:c r="H816" s="32" t="n">
        <x:v>0.75</x:v>
      </x:c>
      <x:c r="I816" s="40" t="n">
        <x:v>1</x:v>
      </x:c>
      <x:c r="J816" s="40" t="n">
        <x:v>1</x:v>
      </x:c>
      <x:c r="K816" s="40" t="n">
        <x:v>1</x:v>
      </x:c>
      <x:c r="L816" s="40" t="n">
        <x:v>1</x:v>
      </x:c>
    </x:row>
    <x:row r="817" ht="23" customHeight="1">
      <x:c r="B817" s="17" t="str">
        <x:v>Round1</x:v>
      </x:c>
      <x:c r="C817" s="17" t="str">
        <x:v>condition</x:v>
      </x:c>
      <x:c r="D817" s="17" t="str">
        <x:v>Collections_20</x:v>
      </x:c>
      <x:c r="E817" s="32" t="n">
        <x:v>0.8896</x:v>
      </x:c>
      <x:c r="F817" s="32" t="n">
        <x:v>0.3506</x:v>
      </x:c>
      <x:c r="G817" s="32" t="n">
        <x:v>0.6883</x:v>
      </x:c>
      <x:c r="H817" s="32" t="n">
        <x:v>0.8831</x:v>
      </x:c>
      <x:c r="I817" s="40" t="n">
        <x:v>1</x:v>
      </x:c>
      <x:c r="J817" s="40" t="n">
        <x:v>1</x:v>
      </x:c>
      <x:c r="K817" s="40" t="n">
        <x:v>1</x:v>
      </x:c>
      <x:c r="L817" s="40" t="n">
        <x:v>1</x:v>
      </x:c>
    </x:row>
    <x:row r="818" ht="23" customHeight="1">
      <x:c r="B818" s="17" t="str">
        <x:v>Round1</x:v>
      </x:c>
      <x:c r="C818" s="17" t="str">
        <x:v>condition</x:v>
      </x:c>
      <x:c r="D818" s="17" t="str">
        <x:v>Collections_21</x:v>
      </x:c>
      <x:c r="E818" s="32" t="n">
        <x:v>0.9211</x:v>
      </x:c>
      <x:c r="F818" s="32" t="n">
        <x:v>0.4474</x:v>
      </x:c>
      <x:c r="G818" s="32" t="n">
        <x:v>0.9473999999999999</x:v>
      </x:c>
      <x:c r="H818" s="32" t="n">
        <x:v>1</x:v>
      </x:c>
      <x:c r="I818" s="40" t="n">
        <x:v>1</x:v>
      </x:c>
      <x:c r="J818" s="40" t="n">
        <x:v>1</x:v>
      </x:c>
      <x:c r="K818" s="40" t="n">
        <x:v>1</x:v>
      </x:c>
      <x:c r="L818" s="40" t="n">
        <x:v>1</x:v>
      </x:c>
    </x:row>
    <x:row r="819" ht="23" customHeight="1">
      <x:c r="B819" s="17" t="str">
        <x:v>Round1</x:v>
      </x:c>
      <x:c r="C819" s="17" t="str">
        <x:v>condition</x:v>
      </x:c>
      <x:c r="D819" s="17" t="str">
        <x:v>Collections_24</x:v>
      </x:c>
      <x:c r="E819" s="32" t="n">
        <x:v>1</x:v>
      </x:c>
      <x:c r="F819" s="32" t="n">
        <x:v>0</x:v>
      </x:c>
      <x:c r="G819" s="32" t="n">
        <x:v>1</x:v>
      </x:c>
      <x:c r="H819" s="32" t="n">
        <x:v>1</x:v>
      </x:c>
      <x:c r="I819" s="40" t="n">
        <x:v>1</x:v>
      </x:c>
      <x:c r="J819" s="40" t="n">
        <x:v>1</x:v>
      </x:c>
      <x:c r="K819" s="40" t="n">
        <x:v>1</x:v>
      </x:c>
      <x:c r="L819" s="40" t="n">
        <x:v>1</x:v>
      </x:c>
    </x:row>
    <x:row r="820" ht="23" customHeight="1">
      <x:c r="B820" s="17" t="str">
        <x:v>Round1</x:v>
      </x:c>
      <x:c r="C820" s="17" t="str">
        <x:v>condition</x:v>
      </x:c>
      <x:c r="D820" s="17" t="str">
        <x:v>Collections_26</x:v>
      </x:c>
      <x:c r="E820" s="32" t="n">
        <x:v>1</x:v>
      </x:c>
      <x:c r="F820" s="32" t="n">
        <x:v>0.9167000000000001</x:v>
      </x:c>
      <x:c r="G820" s="32" t="n">
        <x:v>1</x:v>
      </x:c>
      <x:c r="H820" s="32" t="n">
        <x:v>0.75</x:v>
      </x:c>
      <x:c r="I820" s="40" t="n">
        <x:v>1</x:v>
      </x:c>
      <x:c r="J820" s="40" t="n">
        <x:v>1</x:v>
      </x:c>
      <x:c r="K820" s="40" t="n">
        <x:v>1</x:v>
      </x:c>
      <x:c r="L820" s="40" t="n">
        <x:v>1</x:v>
      </x:c>
    </x:row>
    <x:row r="821" ht="23" customHeight="1">
      <x:c r="B821" s="17" t="str">
        <x:v>Round1</x:v>
      </x:c>
      <x:c r="C821" s="17" t="str">
        <x:v>condition</x:v>
      </x:c>
      <x:c r="D821" s="17" t="str">
        <x:v>Collections_27</x:v>
      </x:c>
      <x:c r="E821" s="32" t="n">
        <x:v>0.78</x:v>
      </x:c>
      <x:c r="F821" s="32" t="n">
        <x:v>0.3</x:v>
      </x:c>
      <x:c r="G821" s="32" t="n">
        <x:v>0.82</x:v>
      </x:c>
      <x:c r="H821" s="32" t="n">
        <x:v>0.44</x:v>
      </x:c>
      <x:c r="I821" s="40" t="n">
        <x:v>1</x:v>
      </x:c>
      <x:c r="J821" s="40" t="n">
        <x:v>1</x:v>
      </x:c>
      <x:c r="K821" s="40" t="n">
        <x:v>1</x:v>
      </x:c>
      <x:c r="L821" s="40" t="n">
        <x:v>1</x:v>
      </x:c>
    </x:row>
    <x:row r="822" ht="23" customHeight="1">
      <x:c r="B822" s="17" t="str">
        <x:v>Round1</x:v>
      </x:c>
      <x:c r="C822" s="17" t="str">
        <x:v>condition</x:v>
      </x:c>
      <x:c r="D822" s="17" t="str">
        <x:v>Collections_5</x:v>
      </x:c>
      <x:c r="E822" s="32" t="n">
        <x:v>1</x:v>
      </x:c>
      <x:c r="F822" s="32" t="n">
        <x:v>0.05</x:v>
      </x:c>
      <x:c r="G822" s="32" t="n">
        <x:v>0.95</x:v>
      </x:c>
      <x:c r="H822" s="32" t="n">
        <x:v>0.6</x:v>
      </x:c>
      <x:c r="I822" s="40" t="n">
        <x:v>1</x:v>
      </x:c>
      <x:c r="J822" s="40" t="n">
        <x:v>1</x:v>
      </x:c>
      <x:c r="K822" s="40" t="n">
        <x:v>1</x:v>
      </x:c>
      <x:c r="L822" s="40" t="n">
        <x:v>1</x:v>
      </x:c>
    </x:row>
    <x:row r="823" ht="23" customHeight="1">
      <x:c r="B823" s="17" t="str">
        <x:v>Round1</x:v>
      </x:c>
      <x:c r="C823" s="17" t="str">
        <x:v>condition</x:v>
      </x:c>
      <x:c r="D823" s="17" t="str">
        <x:v>Collections_6</x:v>
      </x:c>
      <x:c r="E823" s="32" t="n">
        <x:v>0.5771000000000001</x:v>
      </x:c>
      <x:c r="F823" s="32" t="n">
        <x:v>0.053200000000000004</x:v>
      </x:c>
      <x:c r="G823" s="32" t="n">
        <x:v>0.5133</x:v>
      </x:c>
      <x:c r="H823" s="32" t="n">
        <x:v>0.2553</x:v>
      </x:c>
      <x:c r="I823" s="40" t="n">
        <x:v>1</x:v>
      </x:c>
      <x:c r="J823" s="40" t="n">
        <x:v>1</x:v>
      </x:c>
      <x:c r="K823" s="40" t="n">
        <x:v>1</x:v>
      </x:c>
      <x:c r="L823" s="40" t="n">
        <x:v>1</x:v>
      </x:c>
    </x:row>
    <x:row r="824" ht="23" customHeight="1">
      <x:c r="B824" s="17" t="str">
        <x:v>Round1</x:v>
      </x:c>
      <x:c r="C824" s="17" t="str">
        <x:v>condition</x:v>
      </x:c>
      <x:c r="D824" s="17" t="str">
        <x:v>Compress_14</x:v>
      </x:c>
      <x:c r="E824" s="32" t="n">
        <x:v>0.8939</x:v>
      </x:c>
      <x:c r="F824" s="32" t="n">
        <x:v>0.43939999999999996</x:v>
      </x:c>
      <x:c r="G824" s="32" t="n">
        <x:v>0.7121</x:v>
      </x:c>
      <x:c r="H824" s="32" t="n">
        <x:v>0.9545</x:v>
      </x:c>
      <x:c r="I824" s="40" t="n">
        <x:v>1</x:v>
      </x:c>
      <x:c r="J824" s="40" t="n">
        <x:v>1</x:v>
      </x:c>
      <x:c r="K824" s="40" t="n">
        <x:v>1</x:v>
      </x:c>
      <x:c r="L824" s="40" t="n">
        <x:v>1</x:v>
      </x:c>
    </x:row>
    <x:row r="825" ht="23" customHeight="1">
      <x:c r="B825" s="17" t="str">
        <x:v>Round1</x:v>
      </x:c>
      <x:c r="C825" s="17" t="str">
        <x:v>condition</x:v>
      </x:c>
      <x:c r="D825" s="17" t="str">
        <x:v>Compress_20</x:v>
      </x:c>
      <x:c r="E825" s="32" t="n">
        <x:v>0.386</x:v>
      </x:c>
      <x:c r="F825" s="32" t="n">
        <x:v>0.2018</x:v>
      </x:c>
      <x:c r="G825" s="32" t="n">
        <x:v>0.2895</x:v>
      </x:c>
      <x:c r="H825" s="32" t="n">
        <x:v>0.9211</x:v>
      </x:c>
      <x:c r="I825" s="40" t="n">
        <x:v>1</x:v>
      </x:c>
      <x:c r="J825" s="40" t="n">
        <x:v>1</x:v>
      </x:c>
      <x:c r="K825" s="40" t="n">
        <x:v>1</x:v>
      </x:c>
      <x:c r="L825" s="40" t="n">
        <x:v>1</x:v>
      </x:c>
    </x:row>
    <x:row r="826" ht="23" customHeight="1">
      <x:c r="B826" s="17" t="str">
        <x:v>Round1</x:v>
      </x:c>
      <x:c r="C826" s="17" t="str">
        <x:v>condition</x:v>
      </x:c>
      <x:c r="D826" s="17" t="str">
        <x:v>Compress_21</x:v>
      </x:c>
      <x:c r="E826" s="32" t="n">
        <x:v>0.6838</x:v>
      </x:c>
      <x:c r="F826" s="32" t="n">
        <x:v>0</x:v>
      </x:c>
      <x:c r="G826" s="32" t="n">
        <x:v>0.5956</x:v>
      </x:c>
      <x:c r="H826" s="32" t="n">
        <x:v>0.9044</x:v>
      </x:c>
      <x:c r="I826" s="40" t="n">
        <x:v>1</x:v>
      </x:c>
      <x:c r="J826" s="40" t="n">
        <x:v>1</x:v>
      </x:c>
      <x:c r="K826" s="40" t="n">
        <x:v>1</x:v>
      </x:c>
      <x:c r="L826" s="40" t="n">
        <x:v>1</x:v>
      </x:c>
    </x:row>
    <x:row r="827" ht="23" customHeight="1">
      <x:c r="B827" s="17" t="str">
        <x:v>Round1</x:v>
      </x:c>
      <x:c r="C827" s="17" t="str">
        <x:v>condition</x:v>
      </x:c>
      <x:c r="D827" s="17" t="str">
        <x:v>Compress_30</x:v>
      </x:c>
      <x:c r="E827" s="32" t="n">
        <x:v>0.0377</x:v>
      </x:c>
      <x:c r="F827" s="32" t="n">
        <x:v>0.0151</x:v>
      </x:c>
      <x:c r="G827" s="32" t="n">
        <x:v>0.0717</x:v>
      </x:c>
      <x:c r="H827" s="32" t="n">
        <x:v>0.24530000000000002</x:v>
      </x:c>
      <x:c r="I827" s="40" t="n">
        <x:v>1</x:v>
      </x:c>
      <x:c r="J827" s="40" t="n">
        <x:v>1</x:v>
      </x:c>
      <x:c r="K827" s="40" t="n">
        <x:v>1</x:v>
      </x:c>
      <x:c r="L827" s="40" t="n">
        <x:v>1</x:v>
      </x:c>
    </x:row>
    <x:row r="828" ht="23" customHeight="1">
      <x:c r="B828" s="17" t="str">
        <x:v>Round1</x:v>
      </x:c>
      <x:c r="C828" s="17" t="str">
        <x:v>condition</x:v>
      </x:c>
      <x:c r="D828" s="17" t="str">
        <x:v>Compress_32</x:v>
      </x:c>
      <x:c r="E828" s="32" t="n">
        <x:v>0.2937</x:v>
      </x:c>
      <x:c r="F828" s="32" t="n">
        <x:v>0.1429</x:v>
      </x:c>
      <x:c r="G828" s="32" t="n">
        <x:v>0.3016</x:v>
      </x:c>
      <x:c r="H828" s="32" t="n">
        <x:v>0.6349</x:v>
      </x:c>
      <x:c r="I828" s="40" t="n">
        <x:v>1</x:v>
      </x:c>
      <x:c r="J828" s="40" t="n">
        <x:v>1</x:v>
      </x:c>
      <x:c r="K828" s="40" t="n">
        <x:v>1</x:v>
      </x:c>
      <x:c r="L828" s="40" t="n">
        <x:v>1</x:v>
      </x:c>
    </x:row>
    <x:row r="829" ht="23" customHeight="1">
      <x:c r="B829" s="17" t="str">
        <x:v>Round1</x:v>
      </x:c>
      <x:c r="C829" s="17" t="str">
        <x:v>condition</x:v>
      </x:c>
      <x:c r="D829" s="17" t="str">
        <x:v>Compress_36</x:v>
      </x:c>
      <x:c r="E829" s="32" t="n">
        <x:v>0.019799999999999998</x:v>
      </x:c>
      <x:c r="F829" s="32" t="n">
        <x:v>0.019799999999999998</x:v>
      </x:c>
      <x:c r="G829" s="32" t="n">
        <x:v>0.033</x:v>
      </x:c>
      <x:c r="H829" s="32" t="n">
        <x:v>0.505</x:v>
      </x:c>
      <x:c r="I829" s="40" t="n">
        <x:v>1</x:v>
      </x:c>
      <x:c r="J829" s="40" t="n">
        <x:v>1</x:v>
      </x:c>
      <x:c r="K829" s="40" t="n">
        <x:v>1</x:v>
      </x:c>
      <x:c r="L829" s="40" t="n">
        <x:v>1</x:v>
      </x:c>
    </x:row>
    <x:row r="830" ht="23" customHeight="1">
      <x:c r="B830" s="17" t="str">
        <x:v>Round1</x:v>
      </x:c>
      <x:c r="C830" s="17" t="str">
        <x:v>condition</x:v>
      </x:c>
      <x:c r="D830" s="17" t="str">
        <x:v>Compress_45</x:v>
      </x:c>
      <x:c r="E830" s="32" t="n">
        <x:v>0.8056</x:v>
      </x:c>
      <x:c r="F830" s="32" t="n">
        <x:v>0.287</x:v>
      </x:c>
      <x:c r="G830" s="32" t="n">
        <x:v>0.6111</x:v>
      </x:c>
      <x:c r="H830" s="32" t="n">
        <x:v>0.6667000000000001</x:v>
      </x:c>
      <x:c r="I830" s="40" t="n">
        <x:v>1</x:v>
      </x:c>
      <x:c r="J830" s="40" t="n">
        <x:v>1</x:v>
      </x:c>
      <x:c r="K830" s="40" t="n">
        <x:v>1</x:v>
      </x:c>
      <x:c r="L830" s="40" t="n">
        <x:v>1</x:v>
      </x:c>
    </x:row>
    <x:row r="831" ht="23" customHeight="1">
      <x:c r="B831" s="17" t="str">
        <x:v>Round1</x:v>
      </x:c>
      <x:c r="C831" s="17" t="str">
        <x:v>condition</x:v>
      </x:c>
      <x:c r="D831" s="17" t="str">
        <x:v>Compress_47</x:v>
      </x:c>
      <x:c r="E831" s="32" t="n">
        <x:v>0.10619999999999999</x:v>
      </x:c>
      <x:c r="F831" s="32" t="n">
        <x:v>0.0659</x:v>
      </x:c>
      <x:c r="G831" s="32" t="n">
        <x:v>0.4725</x:v>
      </x:c>
      <x:c r="H831" s="32" t="n">
        <x:v>0.37</x:v>
      </x:c>
      <x:c r="I831" s="40" t="n">
        <x:v>1</x:v>
      </x:c>
      <x:c r="J831" s="40" t="n">
        <x:v>1</x:v>
      </x:c>
      <x:c r="K831" s="40" t="n">
        <x:v>1</x:v>
      </x:c>
      <x:c r="L831" s="40" t="n">
        <x:v>1</x:v>
      </x:c>
    </x:row>
    <x:row r="832" ht="23" customHeight="1">
      <x:c r="B832" s="17" t="str">
        <x:v>Round1</x:v>
      </x:c>
      <x:c r="C832" s="17" t="str">
        <x:v>condition</x:v>
      </x:c>
      <x:c r="D832" s="17" t="str">
        <x:v>Compress_8</x:v>
      </x:c>
      <x:c r="E832" s="32" t="n">
        <x:v>0.9473999999999999</x:v>
      </x:c>
      <x:c r="F832" s="32" t="n">
        <x:v>0.7631999999999999</x:v>
      </x:c>
      <x:c r="G832" s="32" t="n">
        <x:v>0.9211</x:v>
      </x:c>
      <x:c r="H832" s="32" t="n">
        <x:v>0.9737</x:v>
      </x:c>
      <x:c r="I832" s="40" t="n">
        <x:v>1</x:v>
      </x:c>
      <x:c r="J832" s="40" t="n">
        <x:v>1</x:v>
      </x:c>
      <x:c r="K832" s="40" t="n">
        <x:v>1</x:v>
      </x:c>
      <x:c r="L832" s="40" t="n">
        <x:v>1</x:v>
      </x:c>
    </x:row>
    <x:row r="833" ht="23" customHeight="1">
      <x:c r="B833" s="17" t="str">
        <x:v>Round1</x:v>
      </x:c>
      <x:c r="C833" s="17" t="str">
        <x:v>condition</x:v>
      </x:c>
      <x:c r="D833" s="17" t="str">
        <x:v>Compress_9</x:v>
      </x:c>
      <x:c r="E833" s="32" t="n">
        <x:v>0.6667000000000001</x:v>
      </x:c>
      <x:c r="F833" s="32" t="n">
        <x:v>0.3095</x:v>
      </x:c>
      <x:c r="G833" s="32" t="n">
        <x:v>0.8332999999999999</x:v>
      </x:c>
      <x:c r="H833" s="32" t="n">
        <x:v>1</x:v>
      </x:c>
      <x:c r="I833" s="40" t="n">
        <x:v>1</x:v>
      </x:c>
      <x:c r="J833" s="40" t="n">
        <x:v>1</x:v>
      </x:c>
      <x:c r="K833" s="40" t="n">
        <x:v>1</x:v>
      </x:c>
      <x:c r="L833" s="40" t="n">
        <x:v>1</x:v>
      </x:c>
    </x:row>
    <x:row r="834" ht="23" customHeight="1">
      <x:c r="B834" s="17" t="str">
        <x:v>Round1</x:v>
      </x:c>
      <x:c r="C834" s="17" t="str">
        <x:v>condition</x:v>
      </x:c>
      <x:c r="D834" s="17" t="str">
        <x:v>Csv_1</x:v>
      </x:c>
      <x:c r="E834" s="32" t="n">
        <x:v>0.5909</x:v>
      </x:c>
      <x:c r="F834" s="32" t="n">
        <x:v>0</x:v>
      </x:c>
      <x:c r="G834" s="32" t="n">
        <x:v>0.9545</x:v>
      </x:c>
      <x:c r="H834" s="32" t="n">
        <x:v>0.9545</x:v>
      </x:c>
      <x:c r="I834" s="40" t="n">
        <x:v>1</x:v>
      </x:c>
      <x:c r="J834" s="40" t="n">
        <x:v>1</x:v>
      </x:c>
      <x:c r="K834" s="40" t="n">
        <x:v>1</x:v>
      </x:c>
      <x:c r="L834" s="40" t="n">
        <x:v>1</x:v>
      </x:c>
    </x:row>
    <x:row r="835" ht="23" customHeight="1">
      <x:c r="B835" s="17" t="str">
        <x:v>Round1</x:v>
      </x:c>
      <x:c r="C835" s="17" t="str">
        <x:v>condition</x:v>
      </x:c>
      <x:c r="D835" s="17" t="str">
        <x:v>Csv_2</x:v>
      </x:c>
      <x:c r="E835" s="32" t="n">
        <x:v>1</x:v>
      </x:c>
      <x:c r="F835" s="32" t="n">
        <x:v>0.3125</x:v>
      </x:c>
      <x:c r="G835" s="32" t="n">
        <x:v>1</x:v>
      </x:c>
      <x:c r="H835" s="32" t="n">
        <x:v>1</x:v>
      </x:c>
      <x:c r="I835" s="40" t="n">
        <x:v>1</x:v>
      </x:c>
      <x:c r="J835" s="40" t="n">
        <x:v>1</x:v>
      </x:c>
      <x:c r="K835" s="40" t="n">
        <x:v>1</x:v>
      </x:c>
      <x:c r="L835" s="40" t="n">
        <x:v>1</x:v>
      </x:c>
    </x:row>
    <x:row r="836" ht="23" customHeight="1">
      <x:c r="B836" s="17" t="str">
        <x:v>Round1</x:v>
      </x:c>
      <x:c r="C836" s="17" t="str">
        <x:v>condition</x:v>
      </x:c>
      <x:c r="D836" s="17" t="str">
        <x:v>Csv_6</x:v>
      </x:c>
      <x:c r="E836" s="32" t="n">
        <x:v>1</x:v>
      </x:c>
      <x:c r="F836" s="32" t="n">
        <x:v>0.3333</x:v>
      </x:c>
      <x:c r="G836" s="32" t="n">
        <x:v>0.8332999999999999</x:v>
      </x:c>
      <x:c r="H836" s="32" t="n">
        <x:v>1</x:v>
      </x:c>
      <x:c r="I836" s="40" t="n">
        <x:v>1</x:v>
      </x:c>
      <x:c r="J836" s="40" t="n">
        <x:v>1</x:v>
      </x:c>
      <x:c r="K836" s="40" t="n">
        <x:v>1</x:v>
      </x:c>
      <x:c r="L836" s="40" t="n">
        <x:v>1</x:v>
      </x:c>
    </x:row>
    <x:row r="837" ht="23" customHeight="1">
      <x:c r="B837" s="17" t="str">
        <x:v>Round1</x:v>
      </x:c>
      <x:c r="C837" s="17" t="str">
        <x:v>condition</x:v>
      </x:c>
      <x:c r="D837" s="17" t="str">
        <x:v>Csv_7</x:v>
      </x:c>
      <x:c r="E837" s="32" t="n">
        <x:v>0.76</x:v>
      </x:c>
      <x:c r="F837" s="32" t="n">
        <x:v>0</x:v>
      </x:c>
      <x:c r="G837" s="32" t="n">
        <x:v>0.68</x:v>
      </x:c>
      <x:c r="H837" s="32" t="n">
        <x:v>0.56</x:v>
      </x:c>
      <x:c r="I837" s="40" t="n">
        <x:v>1</x:v>
      </x:c>
      <x:c r="J837" s="40" t="n">
        <x:v>1</x:v>
      </x:c>
      <x:c r="K837" s="40" t="n">
        <x:v>1</x:v>
      </x:c>
      <x:c r="L837" s="40" t="n">
        <x:v>1</x:v>
      </x:c>
    </x:row>
    <x:row r="838" ht="23" customHeight="1">
      <x:c r="B838" s="17" t="str">
        <x:v>Round1</x:v>
      </x:c>
      <x:c r="C838" s="17" t="str">
        <x:v>condition</x:v>
      </x:c>
      <x:c r="D838" s="17" t="str">
        <x:v>Csv_9</x:v>
      </x:c>
      <x:c r="E838" s="32" t="n">
        <x:v>1</x:v>
      </x:c>
      <x:c r="F838" s="32" t="n">
        <x:v>0.2727</x:v>
      </x:c>
      <x:c r="G838" s="32" t="n">
        <x:v>0.9545</x:v>
      </x:c>
      <x:c r="H838" s="32" t="n">
        <x:v>1</x:v>
      </x:c>
      <x:c r="I838" s="40" t="n">
        <x:v>1</x:v>
      </x:c>
      <x:c r="J838" s="40" t="n">
        <x:v>1</x:v>
      </x:c>
      <x:c r="K838" s="40" t="n">
        <x:v>1</x:v>
      </x:c>
      <x:c r="L838" s="40" t="n">
        <x:v>1</x:v>
      </x:c>
    </x:row>
    <x:row r="839" ht="23" customHeight="1">
      <x:c r="B839" s="17" t="str">
        <x:v>Round1</x:v>
      </x:c>
      <x:c r="C839" s="17" t="str">
        <x:v>condition</x:v>
      </x:c>
      <x:c r="D839" s="17" t="str">
        <x:v>Gson_1</x:v>
      </x:c>
      <x:c r="E839" s="32" t="n">
        <x:v>0</x:v>
      </x:c>
      <x:c r="F839" s="32" t="n">
        <x:v>0</x:v>
      </x:c>
      <x:c r="G839" s="32" t="n">
        <x:v>0.5455</x:v>
      </x:c>
      <x:c r="H839" s="32" t="n">
        <x:v>0.9545</x:v>
      </x:c>
      <x:c r="I839" s="40" t="n">
        <x:v>1</x:v>
      </x:c>
      <x:c r="J839" s="40" t="n">
        <x:v>1</x:v>
      </x:c>
      <x:c r="K839" s="40" t="n">
        <x:v>1</x:v>
      </x:c>
      <x:c r="L839" s="40" t="n">
        <x:v>1</x:v>
      </x:c>
    </x:row>
    <x:row r="840" ht="23" customHeight="1">
      <x:c r="B840" s="17" t="str">
        <x:v>Round1</x:v>
      </x:c>
      <x:c r="C840" s="17" t="str">
        <x:v>condition</x:v>
      </x:c>
      <x:c r="D840" s="17" t="str">
        <x:v>Gson_3</x:v>
      </x:c>
      <x:c r="E840" s="32" t="n">
        <x:v>0</x:v>
      </x:c>
      <x:c r="F840" s="32" t="n">
        <x:v>0</x:v>
      </x:c>
      <x:c r="G840" s="32" t="n">
        <x:v>0.6562</x:v>
      </x:c>
      <x:c r="H840" s="32" t="n">
        <x:v>0.9688</x:v>
      </x:c>
      <x:c r="I840" s="40" t="n">
        <x:v>1</x:v>
      </x:c>
      <x:c r="J840" s="40" t="n">
        <x:v>1</x:v>
      </x:c>
      <x:c r="K840" s="40" t="n">
        <x:v>1</x:v>
      </x:c>
      <x:c r="L840" s="40" t="n">
        <x:v>1</x:v>
      </x:c>
    </x:row>
    <x:row r="841" ht="23" customHeight="1">
      <x:c r="B841" s="17" t="str">
        <x:v>Round1</x:v>
      </x:c>
      <x:c r="C841" s="17" t="str">
        <x:v>condition</x:v>
      </x:c>
      <x:c r="D841" s="17" t="str">
        <x:v>Gson_5</x:v>
      </x:c>
      <x:c r="E841" s="32" t="n">
        <x:v>0.7079000000000001</x:v>
      </x:c>
      <x:c r="F841" s="32" t="n">
        <x:v>0</x:v>
      </x:c>
      <x:c r="G841" s="32" t="n">
        <x:v>0.7528</x:v>
      </x:c>
      <x:c r="H841" s="32" t="n">
        <x:v>0.8764</x:v>
      </x:c>
      <x:c r="I841" s="40" t="n">
        <x:v>1</x:v>
      </x:c>
      <x:c r="J841" s="40" t="n">
        <x:v>1</x:v>
      </x:c>
      <x:c r="K841" s="40" t="n">
        <x:v>1</x:v>
      </x:c>
      <x:c r="L841" s="40" t="n">
        <x:v>1</x:v>
      </x:c>
    </x:row>
    <x:row r="842" ht="23" customHeight="1">
      <x:c r="B842" s="17" t="str">
        <x:v>Round1</x:v>
      </x:c>
      <x:c r="C842" s="17" t="str">
        <x:v>condition</x:v>
      </x:c>
      <x:c r="D842" s="17" t="str">
        <x:v>JacksonCore_26</x:v>
      </x:c>
      <x:c r="E842" s="32" t="n">
        <x:v>0.122</x:v>
      </x:c>
      <x:c r="F842" s="32" t="n">
        <x:v>0</x:v>
      </x:c>
      <x:c r="G842" s="32" t="n">
        <x:v>0.10619999999999999</x:v>
      </x:c>
      <x:c r="H842" s="32" t="n">
        <x:v>0.0873</x:v>
      </x:c>
      <x:c r="I842" s="40" t="n">
        <x:v>1</x:v>
      </x:c>
      <x:c r="J842" s="40" t="n">
        <x:v>1</x:v>
      </x:c>
      <x:c r="K842" s="40" t="n">
        <x:v>1</x:v>
      </x:c>
      <x:c r="L842" s="40" t="n">
        <x:v>1</x:v>
      </x:c>
    </x:row>
    <x:row r="843" ht="23" customHeight="1">
      <x:c r="B843" s="17" t="str">
        <x:v>Round1</x:v>
      </x:c>
      <x:c r="C843" s="17" t="str">
        <x:v>condition</x:v>
      </x:c>
      <x:c r="D843" s="17" t="str">
        <x:v>JacksonCore_6</x:v>
      </x:c>
      <x:c r="E843" s="32" t="n">
        <x:v>0.9355</x:v>
      </x:c>
      <x:c r="F843" s="32" t="n">
        <x:v>0.4677</x:v>
      </x:c>
      <x:c r="G843" s="32" t="n">
        <x:v>0.871</x:v>
      </x:c>
      <x:c r="H843" s="32" t="n">
        <x:v>0.7581</x:v>
      </x:c>
      <x:c r="I843" s="40" t="n">
        <x:v>1</x:v>
      </x:c>
      <x:c r="J843" s="40" t="n">
        <x:v>1</x:v>
      </x:c>
      <x:c r="K843" s="40" t="n">
        <x:v>1</x:v>
      </x:c>
      <x:c r="L843" s="40" t="n">
        <x:v>1</x:v>
      </x:c>
    </x:row>
    <x:row r="844" ht="23" customHeight="1">
      <x:c r="B844" s="17" t="str">
        <x:v>Round1</x:v>
      </x:c>
      <x:c r="C844" s="17" t="str">
        <x:v>condition</x:v>
      </x:c>
      <x:c r="D844" s="17" t="str">
        <x:v>JacksonCore_8</x:v>
      </x:c>
      <x:c r="E844" s="32" t="n">
        <x:v>0.971</x:v>
      </x:c>
      <x:c r="F844" s="32" t="n">
        <x:v>0.3406</x:v>
      </x:c>
      <x:c r="G844" s="32" t="n">
        <x:v>0.4855</x:v>
      </x:c>
      <x:c r="H844" s="32" t="n">
        <x:v>0.8913</x:v>
      </x:c>
      <x:c r="I844" s="40" t="n">
        <x:v>1</x:v>
      </x:c>
      <x:c r="J844" s="40" t="n">
        <x:v>1</x:v>
      </x:c>
      <x:c r="K844" s="40" t="n">
        <x:v>1</x:v>
      </x:c>
      <x:c r="L844" s="40" t="n">
        <x:v>1</x:v>
      </x:c>
    </x:row>
    <x:row r="845" ht="23" customHeight="1">
      <x:c r="B845" s="17" t="str">
        <x:v>Round1</x:v>
      </x:c>
      <x:c r="C845" s="17" t="str">
        <x:v>condition</x:v>
      </x:c>
      <x:c r="D845" s="17" t="str">
        <x:v>JacksonDatabind_105</x:v>
      </x:c>
      <x:c r="E845" s="32" t="n">
        <x:v>0.6667000000000001</x:v>
      </x:c>
      <x:c r="F845" s="32" t="n">
        <x:v>0</x:v>
      </x:c>
      <x:c r="G845" s="32" t="n">
        <x:v>0.8332999999999999</x:v>
      </x:c>
      <x:c r="H845" s="32" t="n">
        <x:v>1</x:v>
      </x:c>
      <x:c r="I845" s="40" t="n">
        <x:v>1</x:v>
      </x:c>
      <x:c r="J845" s="40" t="n">
        <x:v>1</x:v>
      </x:c>
      <x:c r="K845" s="40" t="n">
        <x:v>1</x:v>
      </x:c>
      <x:c r="L845" s="40" t="n">
        <x:v>1</x:v>
      </x:c>
    </x:row>
    <x:row r="846" ht="23" customHeight="1">
      <x:c r="B846" s="17" t="str">
        <x:v>Round1</x:v>
      </x:c>
      <x:c r="C846" s="17" t="str">
        <x:v>condition</x:v>
      </x:c>
      <x:c r="D846" s="17" t="str">
        <x:v>JacksonDatabind_16</x:v>
      </x:c>
      <x:c r="E846" s="32" t="n">
        <x:v>0.19440000000000002</x:v>
      </x:c>
      <x:c r="F846" s="32" t="n">
        <x:v>0.22219999999999998</x:v>
      </x:c>
      <x:c r="G846" s="32" t="n">
        <x:v>0.8611</x:v>
      </x:c>
      <x:c r="H846" s="32" t="n">
        <x:v>1</x:v>
      </x:c>
      <x:c r="I846" s="40" t="n">
        <x:v>1</x:v>
      </x:c>
      <x:c r="J846" s="40" t="n">
        <x:v>1</x:v>
      </x:c>
      <x:c r="K846" s="40" t="n">
        <x:v>1</x:v>
      </x:c>
      <x:c r="L846" s="40" t="n">
        <x:v>1</x:v>
      </x:c>
    </x:row>
    <x:row r="847" ht="23" customHeight="1">
      <x:c r="B847" s="17" t="str">
        <x:v>Round1</x:v>
      </x:c>
      <x:c r="C847" s="17" t="str">
        <x:v>condition</x:v>
      </x:c>
      <x:c r="D847" s="17" t="str">
        <x:v>JacksonDatabind_36</x:v>
      </x:c>
      <x:c r="E847" s="32" t="n">
        <x:v>0.8692</x:v>
      </x:c>
      <x:c r="F847" s="32" t="n">
        <x:v>0.6846</x:v>
      </x:c>
      <x:c r="G847" s="32" t="n">
        <x:v>0.7077</x:v>
      </x:c>
      <x:c r="H847" s="32" t="n">
        <x:v>0</x:v>
      </x:c>
      <x:c r="I847" s="40" t="n">
        <x:v>1</x:v>
      </x:c>
      <x:c r="J847" s="40" t="n">
        <x:v>1</x:v>
      </x:c>
      <x:c r="K847" s="40" t="n">
        <x:v>1</x:v>
      </x:c>
      <x:c r="L847" s="40" t="n">
        <x:v>1</x:v>
      </x:c>
    </x:row>
    <x:row r="848" ht="23" customHeight="1">
      <x:c r="B848" s="17" t="str">
        <x:v>Round1</x:v>
      </x:c>
      <x:c r="C848" s="17" t="str">
        <x:v>condition</x:v>
      </x:c>
      <x:c r="D848" s="17" t="str">
        <x:v>JacksonDatabind_39</x:v>
      </x:c>
      <x:c r="E848" s="32" t="n">
        <x:v>0.5</x:v>
      </x:c>
      <x:c r="F848" s="32" t="n">
        <x:v>0</x:v>
      </x:c>
      <x:c r="G848" s="32" t="n">
        <x:v>1</x:v>
      </x:c>
      <x:c r="H848" s="32" t="n">
        <x:v>1</x:v>
      </x:c>
      <x:c r="I848" s="40" t="n">
        <x:v>1</x:v>
      </x:c>
      <x:c r="J848" s="40" t="n">
        <x:v>1</x:v>
      </x:c>
      <x:c r="K848" s="40" t="n">
        <x:v>1</x:v>
      </x:c>
      <x:c r="L848" s="40" t="n">
        <x:v>1</x:v>
      </x:c>
    </x:row>
    <x:row r="849" ht="23" customHeight="1">
      <x:c r="B849" s="17" t="str">
        <x:v>Round1</x:v>
      </x:c>
      <x:c r="C849" s="17" t="str">
        <x:v>condition</x:v>
      </x:c>
      <x:c r="D849" s="17" t="str">
        <x:v>JacksonDatabind_40</x:v>
      </x:c>
      <x:c r="E849" s="32" t="n">
        <x:v>0.2615</x:v>
      </x:c>
      <x:c r="F849" s="32" t="n">
        <x:v>0.0154</x:v>
      </x:c>
      <x:c r="G849" s="32" t="n">
        <x:v>0.6385000000000001</x:v>
      </x:c>
      <x:c r="H849" s="32" t="n">
        <x:v>0</x:v>
      </x:c>
      <x:c r="I849" s="40" t="n">
        <x:v>1</x:v>
      </x:c>
      <x:c r="J849" s="40" t="n">
        <x:v>1</x:v>
      </x:c>
      <x:c r="K849" s="40" t="n">
        <x:v>1</x:v>
      </x:c>
      <x:c r="L849" s="40" t="n">
        <x:v>1</x:v>
      </x:c>
    </x:row>
    <x:row r="850" ht="23" customHeight="1">
      <x:c r="B850" s="17" t="str">
        <x:v>Round1</x:v>
      </x:c>
      <x:c r="C850" s="17" t="str">
        <x:v>condition</x:v>
      </x:c>
      <x:c r="D850" s="17" t="str">
        <x:v>JacksonDatabind_44</x:v>
      </x:c>
      <x:c r="E850" s="32" t="n">
        <x:v>0.9722</x:v>
      </x:c>
      <x:c r="F850" s="32" t="n">
        <x:v>0</x:v>
      </x:c>
      <x:c r="G850" s="32" t="n">
        <x:v>0.8889</x:v>
      </x:c>
      <x:c r="H850" s="32" t="n">
        <x:v>0</x:v>
      </x:c>
      <x:c r="I850" s="40" t="n">
        <x:v>1</x:v>
      </x:c>
      <x:c r="J850" s="40" t="n">
        <x:v>1</x:v>
      </x:c>
      <x:c r="K850" s="40" t="n">
        <x:v>1</x:v>
      </x:c>
      <x:c r="L850" s="40" t="n">
        <x:v>1</x:v>
      </x:c>
    </x:row>
    <x:row r="851" ht="23" customHeight="1">
      <x:c r="B851" s="17" t="str">
        <x:v>Round1</x:v>
      </x:c>
      <x:c r="C851" s="17" t="str">
        <x:v>condition</x:v>
      </x:c>
      <x:c r="D851" s="17" t="str">
        <x:v>JacksonDatabind_5</x:v>
      </x:c>
      <x:c r="E851" s="32" t="n">
        <x:v>0.7095999999999999</x:v>
      </x:c>
      <x:c r="F851" s="32" t="n">
        <x:v>0</x:v>
      </x:c>
      <x:c r="G851" s="32" t="n">
        <x:v>0.3897</x:v>
      </x:c>
      <x:c r="H851" s="32" t="n">
        <x:v>0</x:v>
      </x:c>
      <x:c r="I851" s="40" t="n">
        <x:v>1</x:v>
      </x:c>
      <x:c r="J851" s="40" t="n">
        <x:v>1</x:v>
      </x:c>
      <x:c r="K851" s="40" t="n">
        <x:v>1</x:v>
      </x:c>
      <x:c r="L851" s="40" t="n">
        <x:v>1</x:v>
      </x:c>
    </x:row>
    <x:row r="852" ht="23" customHeight="1">
      <x:c r="B852" s="17" t="str">
        <x:v>Round1</x:v>
      </x:c>
      <x:c r="C852" s="17" t="str">
        <x:v>condition</x:v>
      </x:c>
      <x:c r="D852" s="17" t="str">
        <x:v>JacksonDatabind_53</x:v>
      </x:c>
      <x:c r="E852" s="32" t="n">
        <x:v>0.7601</x:v>
      </x:c>
      <x:c r="F852" s="32" t="n">
        <x:v>0.2717</x:v>
      </x:c>
      <x:c r="G852" s="32" t="n">
        <x:v>0.6936</x:v>
      </x:c>
      <x:c r="H852" s="32" t="n">
        <x:v>0.0116</x:v>
      </x:c>
      <x:c r="I852" s="40" t="n">
        <x:v>1</x:v>
      </x:c>
      <x:c r="J852" s="40" t="n">
        <x:v>1</x:v>
      </x:c>
      <x:c r="K852" s="40" t="n">
        <x:v>1</x:v>
      </x:c>
      <x:c r="L852" s="40" t="n">
        <x:v>1</x:v>
      </x:c>
    </x:row>
    <x:row r="853" ht="23" customHeight="1">
      <x:c r="B853" s="17" t="str">
        <x:v>Round1</x:v>
      </x:c>
      <x:c r="C853" s="17" t="str">
        <x:v>condition</x:v>
      </x:c>
      <x:c r="D853" s="17" t="str">
        <x:v>JacksonDatabind_55</x:v>
      </x:c>
      <x:c r="E853" s="32" t="n">
        <x:v>0.7837999999999999</x:v>
      </x:c>
      <x:c r="F853" s="32" t="n">
        <x:v>0.027000000000000003</x:v>
      </x:c>
      <x:c r="G853" s="32" t="n">
        <x:v>0.8649</x:v>
      </x:c>
      <x:c r="H853" s="32" t="n">
        <x:v>0</x:v>
      </x:c>
      <x:c r="I853" s="40" t="n">
        <x:v>1</x:v>
      </x:c>
      <x:c r="J853" s="40" t="n">
        <x:v>1</x:v>
      </x:c>
      <x:c r="K853" s="40" t="n">
        <x:v>1</x:v>
      </x:c>
      <x:c r="L853" s="40" t="n">
        <x:v>1</x:v>
      </x:c>
    </x:row>
    <x:row r="854" ht="23" customHeight="1">
      <x:c r="B854" s="17" t="str">
        <x:v>Round1</x:v>
      </x:c>
      <x:c r="C854" s="17" t="str">
        <x:v>condition</x:v>
      </x:c>
      <x:c r="D854" s="17" t="str">
        <x:v>JacksonDatabind_57</x:v>
      </x:c>
      <x:c r="E854" s="32" t="n">
        <x:v>0.5064</x:v>
      </x:c>
      <x:c r="F854" s="32" t="n">
        <x:v>0</x:v>
      </x:c>
      <x:c r="G854" s="32" t="n">
        <x:v>0.42310000000000003</x:v>
      </x:c>
      <x:c r="H854" s="32" t="n">
        <x:v>0</x:v>
      </x:c>
      <x:c r="I854" s="40" t="n">
        <x:v>1</x:v>
      </x:c>
      <x:c r="J854" s="40" t="n">
        <x:v>1</x:v>
      </x:c>
      <x:c r="K854" s="40" t="n">
        <x:v>1</x:v>
      </x:c>
      <x:c r="L854" s="40" t="n">
        <x:v>1</x:v>
      </x:c>
    </x:row>
    <x:row r="855" ht="23" customHeight="1">
      <x:c r="B855" s="17" t="str">
        <x:v>Round1</x:v>
      </x:c>
      <x:c r="C855" s="17" t="str">
        <x:v>condition</x:v>
      </x:c>
      <x:c r="D855" s="17" t="str">
        <x:v>JacksonDatabind_6</x:v>
      </x:c>
      <x:c r="E855" s="32" t="n">
        <x:v>0.9148999999999999</x:v>
      </x:c>
      <x:c r="F855" s="32" t="n">
        <x:v>0.7872</x:v>
      </x:c>
      <x:c r="G855" s="32" t="n">
        <x:v>0.7553</x:v>
      </x:c>
      <x:c r="H855" s="32" t="n">
        <x:v>0</x:v>
      </x:c>
      <x:c r="I855" s="40" t="n">
        <x:v>1</x:v>
      </x:c>
      <x:c r="J855" s="40" t="n">
        <x:v>1</x:v>
      </x:c>
      <x:c r="K855" s="40" t="n">
        <x:v>1</x:v>
      </x:c>
      <x:c r="L855" s="40" t="n">
        <x:v>1</x:v>
      </x:c>
    </x:row>
    <x:row r="856" ht="23" customHeight="1">
      <x:c r="B856" s="17" t="str">
        <x:v>Round1</x:v>
      </x:c>
      <x:c r="C856" s="17" t="str">
        <x:v>condition</x:v>
      </x:c>
      <x:c r="D856" s="17" t="str">
        <x:v>JacksonDatabind_68</x:v>
      </x:c>
      <x:c r="E856" s="32" t="n">
        <x:v>0</x:v>
      </x:c>
      <x:c r="F856" s="32" t="n">
        <x:v>0</x:v>
      </x:c>
      <x:c r="G856" s="32" t="n">
        <x:v>0</x:v>
      </x:c>
      <x:c r="H856" s="32" t="n">
        <x:v>0</x:v>
      </x:c>
      <x:c r="I856" s="40" t="n">
        <x:v>1</x:v>
      </x:c>
      <x:c r="J856" s="40" t="n">
        <x:v>1</x:v>
      </x:c>
      <x:c r="K856" s="40" t="n">
        <x:v>1</x:v>
      </x:c>
      <x:c r="L856" s="40" t="n">
        <x:v>1</x:v>
      </x:c>
    </x:row>
    <x:row r="857" ht="23" customHeight="1">
      <x:c r="B857" s="17" t="str">
        <x:v>Round1</x:v>
      </x:c>
      <x:c r="C857" s="17" t="str">
        <x:v>condition</x:v>
      </x:c>
      <x:c r="D857" s="17" t="str">
        <x:v>JacksonDatabind_73</x:v>
      </x:c>
      <x:c r="E857" s="32" t="n">
        <x:v>0.0587</x:v>
      </x:c>
      <x:c r="F857" s="32" t="n">
        <x:v>0.0475</x:v>
      </x:c>
      <x:c r="G857" s="32" t="n">
        <x:v>0.5433</x:v>
      </x:c>
      <x:c r="H857" s="32" t="n">
        <x:v>0</x:v>
      </x:c>
      <x:c r="I857" s="40" t="n">
        <x:v>1</x:v>
      </x:c>
      <x:c r="J857" s="40" t="n">
        <x:v>1</x:v>
      </x:c>
      <x:c r="K857" s="40" t="n">
        <x:v>1</x:v>
      </x:c>
      <x:c r="L857" s="40" t="n">
        <x:v>1</x:v>
      </x:c>
    </x:row>
    <x:row r="858" ht="23" customHeight="1">
      <x:c r="B858" s="17" t="str">
        <x:v>Round1</x:v>
      </x:c>
      <x:c r="C858" s="17" t="str">
        <x:v>condition</x:v>
      </x:c>
      <x:c r="D858" s="17" t="str">
        <x:v>JacksonDatabind_83</x:v>
      </x:c>
      <x:c r="E858" s="32" t="n">
        <x:v>0.5682</x:v>
      </x:c>
      <x:c r="F858" s="32" t="n">
        <x:v>0</x:v>
      </x:c>
      <x:c r="G858" s="32" t="n">
        <x:v>0.7841</x:v>
      </x:c>
      <x:c r="H858" s="32" t="n">
        <x:v>0</x:v>
      </x:c>
      <x:c r="I858" s="40" t="n">
        <x:v>1</x:v>
      </x:c>
      <x:c r="J858" s="40" t="n">
        <x:v>1</x:v>
      </x:c>
      <x:c r="K858" s="40" t="n">
        <x:v>1</x:v>
      </x:c>
      <x:c r="L858" s="40" t="n">
        <x:v>1</x:v>
      </x:c>
    </x:row>
    <x:row r="859" ht="23" customHeight="1">
      <x:c r="B859" s="17" t="str">
        <x:v>Round1</x:v>
      </x:c>
      <x:c r="C859" s="17" t="str">
        <x:v>condition</x:v>
      </x:c>
      <x:c r="D859" s="17" t="str">
        <x:v>JacksonDatabind_84</x:v>
      </x:c>
      <x:c r="E859" s="32" t="n">
        <x:v>1</x:v>
      </x:c>
      <x:c r="F859" s="32" t="n">
        <x:v>0</x:v>
      </x:c>
      <x:c r="G859" s="32" t="n">
        <x:v>1</x:v>
      </x:c>
      <x:c r="H859" s="32" t="n">
        <x:v>1</x:v>
      </x:c>
      <x:c r="I859" s="40" t="n">
        <x:v>1</x:v>
      </x:c>
      <x:c r="J859" s="40" t="n">
        <x:v>1</x:v>
      </x:c>
      <x:c r="K859" s="40" t="n">
        <x:v>1</x:v>
      </x:c>
      <x:c r="L859" s="40" t="n">
        <x:v>1</x:v>
      </x:c>
    </x:row>
    <x:row r="860" ht="23" customHeight="1">
      <x:c r="B860" s="17" t="str">
        <x:v>Round1</x:v>
      </x:c>
      <x:c r="C860" s="17" t="str">
        <x:v>condition</x:v>
      </x:c>
      <x:c r="D860" s="17" t="str">
        <x:v>JacksonDatabind_86</x:v>
      </x:c>
      <x:c r="E860" s="32" t="n">
        <x:v>1</x:v>
      </x:c>
      <x:c r="F860" s="32" t="n">
        <x:v>0</x:v>
      </x:c>
      <x:c r="G860" s="32" t="n">
        <x:v>1</x:v>
      </x:c>
      <x:c r="H860" s="32" t="n">
        <x:v>1</x:v>
      </x:c>
      <x:c r="I860" s="40" t="n">
        <x:v>1</x:v>
      </x:c>
      <x:c r="J860" s="40" t="n">
        <x:v>1</x:v>
      </x:c>
      <x:c r="K860" s="40" t="n">
        <x:v>1</x:v>
      </x:c>
      <x:c r="L860" s="40" t="n">
        <x:v>1</x:v>
      </x:c>
    </x:row>
    <x:row r="861" ht="23" customHeight="1">
      <x:c r="B861" s="17" t="str">
        <x:v>Round1</x:v>
      </x:c>
      <x:c r="C861" s="17" t="str">
        <x:v>condition</x:v>
      </x:c>
      <x:c r="D861" s="17" t="str">
        <x:v>JacksonDatabind_87</x:v>
      </x:c>
      <x:c r="E861" s="32" t="n">
        <x:v>0.8970999999999999</x:v>
      </x:c>
      <x:c r="F861" s="32" t="n">
        <x:v>0.5882000000000001</x:v>
      </x:c>
      <x:c r="G861" s="32" t="n">
        <x:v>0.6544</x:v>
      </x:c>
      <x:c r="H861" s="32" t="n">
        <x:v>0</x:v>
      </x:c>
      <x:c r="I861" s="40" t="n">
        <x:v>1</x:v>
      </x:c>
      <x:c r="J861" s="40" t="n">
        <x:v>1</x:v>
      </x:c>
      <x:c r="K861" s="40" t="n">
        <x:v>1</x:v>
      </x:c>
      <x:c r="L861" s="40" t="n">
        <x:v>1</x:v>
      </x:c>
    </x:row>
    <x:row r="862" ht="23" customHeight="1">
      <x:c r="B862" s="17" t="str">
        <x:v>Round1</x:v>
      </x:c>
      <x:c r="C862" s="17" t="str">
        <x:v>condition</x:v>
      </x:c>
      <x:c r="D862" s="17" t="str">
        <x:v>JacksonDatabind_94</x:v>
      </x:c>
      <x:c r="E862" s="32" t="n">
        <x:v>0.2857</x:v>
      </x:c>
      <x:c r="F862" s="32" t="n">
        <x:v>0</x:v>
      </x:c>
      <x:c r="G862" s="32" t="n">
        <x:v>0.35710000000000003</x:v>
      </x:c>
      <x:c r="H862" s="32" t="n">
        <x:v>0.9286</x:v>
      </x:c>
      <x:c r="I862" s="40" t="n">
        <x:v>1</x:v>
      </x:c>
      <x:c r="J862" s="40" t="n">
        <x:v>1</x:v>
      </x:c>
      <x:c r="K862" s="40" t="n">
        <x:v>1</x:v>
      </x:c>
      <x:c r="L862" s="40" t="n">
        <x:v>1</x:v>
      </x:c>
    </x:row>
    <x:row r="863" ht="23" customHeight="1">
      <x:c r="B863" s="17" t="str">
        <x:v>Round1</x:v>
      </x:c>
      <x:c r="C863" s="17" t="str">
        <x:v>condition</x:v>
      </x:c>
      <x:c r="D863" s="17" t="str">
        <x:v>Jsoup_1</x:v>
      </x:c>
      <x:c r="E863" s="32" t="n">
        <x:v>1</x:v>
      </x:c>
      <x:c r="F863" s="32" t="n">
        <x:v>1</x:v>
      </x:c>
      <x:c r="G863" s="32" t="n">
        <x:v>0.9444</x:v>
      </x:c>
      <x:c r="H863" s="32" t="n">
        <x:v>1</x:v>
      </x:c>
      <x:c r="I863" s="40" t="n">
        <x:v>1</x:v>
      </x:c>
      <x:c r="J863" s="40" t="n">
        <x:v>1</x:v>
      </x:c>
      <x:c r="K863" s="40" t="n">
        <x:v>1</x:v>
      </x:c>
      <x:c r="L863" s="40" t="n">
        <x:v>1</x:v>
      </x:c>
    </x:row>
    <x:row r="864" ht="23" customHeight="1">
      <x:c r="B864" s="17" t="str">
        <x:v>Round1</x:v>
      </x:c>
      <x:c r="C864" s="17" t="str">
        <x:v>condition</x:v>
      </x:c>
      <x:c r="D864" s="17" t="str">
        <x:v>Jsoup_11</x:v>
      </x:c>
      <x:c r="E864" s="32" t="n">
        <x:v>0.4833</x:v>
      </x:c>
      <x:c r="F864" s="32" t="n">
        <x:v>0</x:v>
      </x:c>
      <x:c r="G864" s="32" t="n">
        <x:v>0.6917</x:v>
      </x:c>
      <x:c r="H864" s="32" t="n">
        <x:v>0.95</x:v>
      </x:c>
      <x:c r="I864" s="40" t="n">
        <x:v>1</x:v>
      </x:c>
      <x:c r="J864" s="40" t="n">
        <x:v>1</x:v>
      </x:c>
      <x:c r="K864" s="40" t="n">
        <x:v>1</x:v>
      </x:c>
      <x:c r="L864" s="40" t="n">
        <x:v>1</x:v>
      </x:c>
    </x:row>
    <x:row r="865" ht="23" customHeight="1">
      <x:c r="B865" s="17" t="str">
        <x:v>Round1</x:v>
      </x:c>
      <x:c r="C865" s="17" t="str">
        <x:v>condition</x:v>
      </x:c>
      <x:c r="D865" s="17" t="str">
        <x:v>Jsoup_12</x:v>
      </x:c>
      <x:c r="E865" s="32" t="n">
        <x:v>0.5606</x:v>
      </x:c>
      <x:c r="F865" s="32" t="n">
        <x:v>0.0152</x:v>
      </x:c>
      <x:c r="G865" s="32" t="n">
        <x:v>0.8939</x:v>
      </x:c>
      <x:c r="H865" s="32" t="n">
        <x:v>0.9545</x:v>
      </x:c>
      <x:c r="I865" s="40" t="n">
        <x:v>1</x:v>
      </x:c>
      <x:c r="J865" s="40" t="n">
        <x:v>1</x:v>
      </x:c>
      <x:c r="K865" s="40" t="n">
        <x:v>1</x:v>
      </x:c>
      <x:c r="L865" s="40" t="n">
        <x:v>1</x:v>
      </x:c>
    </x:row>
    <x:row r="866" ht="23" customHeight="1">
      <x:c r="B866" s="17" t="str">
        <x:v>Round1</x:v>
      </x:c>
      <x:c r="C866" s="17" t="str">
        <x:v>condition</x:v>
      </x:c>
      <x:c r="D866" s="17" t="str">
        <x:v>Jsoup_16</x:v>
      </x:c>
      <x:c r="E866" s="32" t="n">
        <x:v>1</x:v>
      </x:c>
      <x:c r="F866" s="32" t="n">
        <x:v>0.5</x:v>
      </x:c>
      <x:c r="G866" s="32" t="n">
        <x:v>1</x:v>
      </x:c>
      <x:c r="H866" s="32" t="n">
        <x:v>1</x:v>
      </x:c>
      <x:c r="I866" s="40" t="n">
        <x:v>1</x:v>
      </x:c>
      <x:c r="J866" s="40" t="n">
        <x:v>1</x:v>
      </x:c>
      <x:c r="K866" s="40" t="n">
        <x:v>1</x:v>
      </x:c>
      <x:c r="L866" s="40" t="n">
        <x:v>1</x:v>
      </x:c>
    </x:row>
    <x:row r="867" ht="23" customHeight="1">
      <x:c r="B867" s="17" t="str">
        <x:v>Round1</x:v>
      </x:c>
      <x:c r="C867" s="17" t="str">
        <x:v>condition</x:v>
      </x:c>
      <x:c r="D867" s="17" t="str">
        <x:v>Jsoup_18</x:v>
      </x:c>
      <x:c r="E867" s="32" t="n">
        <x:v>1</x:v>
      </x:c>
      <x:c r="F867" s="32" t="n">
        <x:v>0.8659</x:v>
      </x:c>
      <x:c r="G867" s="32" t="n">
        <x:v>0.8293</x:v>
      </x:c>
      <x:c r="H867" s="32" t="n">
        <x:v>0.9390000000000001</x:v>
      </x:c>
      <x:c r="I867" s="40" t="n">
        <x:v>1</x:v>
      </x:c>
      <x:c r="J867" s="40" t="n">
        <x:v>1</x:v>
      </x:c>
      <x:c r="K867" s="40" t="n">
        <x:v>1</x:v>
      </x:c>
      <x:c r="L867" s="40" t="n">
        <x:v>1</x:v>
      </x:c>
    </x:row>
    <x:row r="868" ht="23" customHeight="1">
      <x:c r="B868" s="17" t="str">
        <x:v>Round1</x:v>
      </x:c>
      <x:c r="C868" s="17" t="str">
        <x:v>condition</x:v>
      </x:c>
      <x:c r="D868" s="17" t="str">
        <x:v>Jsoup_20</x:v>
      </x:c>
      <x:c r="E868" s="32" t="n">
        <x:v>0.4545</x:v>
      </x:c>
      <x:c r="F868" s="32" t="n">
        <x:v>0.1364</x:v>
      </x:c>
      <x:c r="G868" s="32" t="n">
        <x:v>0.8636</x:v>
      </x:c>
      <x:c r="H868" s="32" t="n">
        <x:v>0.9545</x:v>
      </x:c>
      <x:c r="I868" s="40" t="n">
        <x:v>1</x:v>
      </x:c>
      <x:c r="J868" s="40" t="n">
        <x:v>1</x:v>
      </x:c>
      <x:c r="K868" s="40" t="n">
        <x:v>1</x:v>
      </x:c>
      <x:c r="L868" s="40" t="n">
        <x:v>1</x:v>
      </x:c>
    </x:row>
    <x:row r="869" ht="23" customHeight="1">
      <x:c r="B869" s="17" t="str">
        <x:v>Round1</x:v>
      </x:c>
      <x:c r="C869" s="17" t="str">
        <x:v>condition</x:v>
      </x:c>
      <x:c r="D869" s="17" t="str">
        <x:v>Jsoup_39</x:v>
      </x:c>
      <x:c r="E869" s="32" t="n">
        <x:v>0.5217</x:v>
      </x:c>
      <x:c r="F869" s="32" t="n">
        <x:v>0.1522</x:v>
      </x:c>
      <x:c r="G869" s="32" t="n">
        <x:v>0.7173999999999999</x:v>
      </x:c>
      <x:c r="H869" s="32" t="n">
        <x:v>0.8913</x:v>
      </x:c>
      <x:c r="I869" s="40" t="n">
        <x:v>1</x:v>
      </x:c>
      <x:c r="J869" s="40" t="n">
        <x:v>1</x:v>
      </x:c>
      <x:c r="K869" s="40" t="n">
        <x:v>1</x:v>
      </x:c>
      <x:c r="L869" s="40" t="n">
        <x:v>1</x:v>
      </x:c>
    </x:row>
    <x:row r="870" ht="23" customHeight="1">
      <x:c r="B870" s="17" t="str">
        <x:v>Round1</x:v>
      </x:c>
      <x:c r="C870" s="17" t="str">
        <x:v>condition</x:v>
      </x:c>
      <x:c r="D870" s="17" t="str">
        <x:v>Jsoup_40</x:v>
      </x:c>
      <x:c r="E870" s="32" t="n">
        <x:v>1</x:v>
      </x:c>
      <x:c r="F870" s="32" t="n">
        <x:v>0.5</x:v>
      </x:c>
      <x:c r="G870" s="32" t="n">
        <x:v>1</x:v>
      </x:c>
      <x:c r="H870" s="32" t="n">
        <x:v>1</x:v>
      </x:c>
      <x:c r="I870" s="40" t="n">
        <x:v>1</x:v>
      </x:c>
      <x:c r="J870" s="40" t="n">
        <x:v>1</x:v>
      </x:c>
      <x:c r="K870" s="40" t="n">
        <x:v>1</x:v>
      </x:c>
      <x:c r="L870" s="40" t="n">
        <x:v>1</x:v>
      </x:c>
    </x:row>
    <x:row r="871" ht="23" customHeight="1">
      <x:c r="B871" s="17" t="str">
        <x:v>Round1</x:v>
      </x:c>
      <x:c r="C871" s="17" t="str">
        <x:v>condition</x:v>
      </x:c>
      <x:c r="D871" s="17" t="str">
        <x:v>Jsoup_46</x:v>
      </x:c>
      <x:c r="E871" s="32" t="n">
        <x:v>0.8431000000000001</x:v>
      </x:c>
      <x:c r="F871" s="32" t="n">
        <x:v>0.15689999999999998</x:v>
      </x:c>
      <x:c r="G871" s="32" t="n">
        <x:v>0.6275</x:v>
      </x:c>
      <x:c r="H871" s="32" t="n">
        <x:v>0.9804</x:v>
      </x:c>
      <x:c r="I871" s="40" t="n">
        <x:v>1</x:v>
      </x:c>
      <x:c r="J871" s="40" t="n">
        <x:v>1</x:v>
      </x:c>
      <x:c r="K871" s="40" t="n">
        <x:v>1</x:v>
      </x:c>
      <x:c r="L871" s="40" t="n">
        <x:v>1</x:v>
      </x:c>
    </x:row>
    <x:row r="872" ht="23" customHeight="1">
      <x:c r="B872" s="17" t="str">
        <x:v>Round1</x:v>
      </x:c>
      <x:c r="C872" s="17" t="str">
        <x:v>condition</x:v>
      </x:c>
      <x:c r="D872" s="17" t="str">
        <x:v>Jsoup_5</x:v>
      </x:c>
      <x:c r="E872" s="32" t="n">
        <x:v>0.7065</x:v>
      </x:c>
      <x:c r="F872" s="32" t="n">
        <x:v>0.11960000000000001</x:v>
      </x:c>
      <x:c r="G872" s="32" t="n">
        <x:v>0.4891</x:v>
      </x:c>
      <x:c r="H872" s="32" t="n">
        <x:v>0.9239</x:v>
      </x:c>
      <x:c r="I872" s="40" t="n">
        <x:v>1</x:v>
      </x:c>
      <x:c r="J872" s="40" t="n">
        <x:v>1</x:v>
      </x:c>
      <x:c r="K872" s="40" t="n">
        <x:v>1</x:v>
      </x:c>
      <x:c r="L872" s="40" t="n">
        <x:v>1</x:v>
      </x:c>
    </x:row>
    <x:row r="873" ht="23" customHeight="1">
      <x:c r="B873" s="17" t="str">
        <x:v>Round1</x:v>
      </x:c>
      <x:c r="C873" s="17" t="str">
        <x:v>condition</x:v>
      </x:c>
      <x:c r="D873" s="17" t="str">
        <x:v>Jsoup_51</x:v>
      </x:c>
      <x:c r="E873" s="32" t="n">
        <x:v>0.9677</x:v>
      </x:c>
      <x:c r="F873" s="32" t="n">
        <x:v>0.8226</x:v>
      </x:c>
      <x:c r="G873" s="32" t="n">
        <x:v>0.8011</x:v>
      </x:c>
      <x:c r="H873" s="32" t="n">
        <x:v>0.9194</x:v>
      </x:c>
      <x:c r="I873" s="40" t="n">
        <x:v>1</x:v>
      </x:c>
      <x:c r="J873" s="40" t="n">
        <x:v>1</x:v>
      </x:c>
      <x:c r="K873" s="40" t="n">
        <x:v>1</x:v>
      </x:c>
      <x:c r="L873" s="40" t="n">
        <x:v>1</x:v>
      </x:c>
    </x:row>
    <x:row r="874" ht="23" customHeight="1">
      <x:c r="B874" s="17" t="str">
        <x:v>Round1</x:v>
      </x:c>
      <x:c r="C874" s="17" t="str">
        <x:v>condition</x:v>
      </x:c>
      <x:c r="D874" s="17" t="str">
        <x:v>Jsoup_53</x:v>
      </x:c>
      <x:c r="E874" s="32" t="n">
        <x:v>0.9722</x:v>
      </x:c>
      <x:c r="F874" s="32" t="n">
        <x:v>0.8519</x:v>
      </x:c>
      <x:c r="G874" s="32" t="n">
        <x:v>0.8148000000000001</x:v>
      </x:c>
      <x:c r="H874" s="32" t="n">
        <x:v>0.9444</x:v>
      </x:c>
      <x:c r="I874" s="40" t="n">
        <x:v>1</x:v>
      </x:c>
      <x:c r="J874" s="40" t="n">
        <x:v>1</x:v>
      </x:c>
      <x:c r="K874" s="40" t="n">
        <x:v>1</x:v>
      </x:c>
      <x:c r="L874" s="40" t="n">
        <x:v>1</x:v>
      </x:c>
    </x:row>
    <x:row r="875" ht="23" customHeight="1">
      <x:c r="B875" s="17" t="str">
        <x:v>Round1</x:v>
      </x:c>
      <x:c r="C875" s="17" t="str">
        <x:v>condition</x:v>
      </x:c>
      <x:c r="D875" s="17" t="str">
        <x:v>Jsoup_57</x:v>
      </x:c>
      <x:c r="E875" s="32" t="n">
        <x:v>0.9473999999999999</x:v>
      </x:c>
      <x:c r="F875" s="32" t="n">
        <x:v>0.8421</x:v>
      </x:c>
      <x:c r="G875" s="32" t="n">
        <x:v>0.9342</x:v>
      </x:c>
      <x:c r="H875" s="32" t="n">
        <x:v>0.9868000000000001</x:v>
      </x:c>
      <x:c r="I875" s="40" t="n">
        <x:v>1</x:v>
      </x:c>
      <x:c r="J875" s="40" t="n">
        <x:v>1</x:v>
      </x:c>
      <x:c r="K875" s="40" t="n">
        <x:v>1</x:v>
      </x:c>
      <x:c r="L875" s="40" t="n">
        <x:v>1</x:v>
      </x:c>
    </x:row>
    <x:row r="876" ht="23" customHeight="1">
      <x:c r="B876" s="17" t="str">
        <x:v>Round1</x:v>
      </x:c>
      <x:c r="C876" s="17" t="str">
        <x:v>condition</x:v>
      </x:c>
      <x:c r="D876" s="17" t="str">
        <x:v>Jsoup_58</x:v>
      </x:c>
      <x:c r="E876" s="32" t="n">
        <x:v>0.5938</x:v>
      </x:c>
      <x:c r="F876" s="32" t="n">
        <x:v>0.2188</x:v>
      </x:c>
      <x:c r="G876" s="32" t="n">
        <x:v>1</x:v>
      </x:c>
      <x:c r="H876" s="32" t="n">
        <x:v>1</x:v>
      </x:c>
      <x:c r="I876" s="40" t="n">
        <x:v>1</x:v>
      </x:c>
      <x:c r="J876" s="40" t="n">
        <x:v>1</x:v>
      </x:c>
      <x:c r="K876" s="40" t="n">
        <x:v>1</x:v>
      </x:c>
      <x:c r="L876" s="40" t="n">
        <x:v>1</x:v>
      </x:c>
    </x:row>
    <x:row r="877" ht="23" customHeight="1">
      <x:c r="B877" s="17" t="str">
        <x:v>Round1</x:v>
      </x:c>
      <x:c r="C877" s="17" t="str">
        <x:v>condition</x:v>
      </x:c>
      <x:c r="D877" s="17" t="str">
        <x:v>Jsoup_69</x:v>
      </x:c>
      <x:c r="E877" s="32" t="n">
        <x:v>0.3214</x:v>
      </x:c>
      <x:c r="F877" s="32" t="n">
        <x:v>0</x:v>
      </x:c>
      <x:c r="G877" s="32" t="n">
        <x:v>0.8571</x:v>
      </x:c>
      <x:c r="H877" s="32" t="n">
        <x:v>1</x:v>
      </x:c>
      <x:c r="I877" s="40" t="n">
        <x:v>1</x:v>
      </x:c>
      <x:c r="J877" s="40" t="n">
        <x:v>1</x:v>
      </x:c>
      <x:c r="K877" s="40" t="n">
        <x:v>1</x:v>
      </x:c>
      <x:c r="L877" s="40" t="n">
        <x:v>1</x:v>
      </x:c>
    </x:row>
    <x:row r="878" ht="23" customHeight="1">
      <x:c r="B878" s="17" t="str">
        <x:v>Round1</x:v>
      </x:c>
      <x:c r="C878" s="17" t="str">
        <x:v>condition</x:v>
      </x:c>
      <x:c r="D878" s="17" t="str">
        <x:v>Jsoup_72</x:v>
      </x:c>
      <x:c r="E878" s="32" t="n">
        <x:v>0.9495</x:v>
      </x:c>
      <x:c r="F878" s="32" t="n">
        <x:v>0.8231999999999999</x:v>
      </x:c>
      <x:c r="G878" s="32" t="n">
        <x:v>0.8029999999999999</x:v>
      </x:c>
      <x:c r="H878" s="32" t="n">
        <x:v>0.899</x:v>
      </x:c>
      <x:c r="I878" s="40" t="n">
        <x:v>1</x:v>
      </x:c>
      <x:c r="J878" s="40" t="n">
        <x:v>1</x:v>
      </x:c>
      <x:c r="K878" s="40" t="n">
        <x:v>1</x:v>
      </x:c>
      <x:c r="L878" s="40" t="n">
        <x:v>1</x:v>
      </x:c>
    </x:row>
    <x:row r="879" ht="23" customHeight="1">
      <x:c r="B879" s="17" t="str">
        <x:v>Round1</x:v>
      </x:c>
      <x:c r="C879" s="17" t="str">
        <x:v>condition</x:v>
      </x:c>
      <x:c r="D879" s="17" t="str">
        <x:v>Jsoup_74</x:v>
      </x:c>
      <x:c r="E879" s="32" t="n">
        <x:v>0.9865</x:v>
      </x:c>
      <x:c r="F879" s="32" t="n">
        <x:v>0.7703</x:v>
      </x:c>
      <x:c r="G879" s="32" t="n">
        <x:v>0.9054000000000001</x:v>
      </x:c>
      <x:c r="H879" s="32" t="n">
        <x:v>0.9865</x:v>
      </x:c>
      <x:c r="I879" s="40" t="n">
        <x:v>1</x:v>
      </x:c>
      <x:c r="J879" s="40" t="n">
        <x:v>1</x:v>
      </x:c>
      <x:c r="K879" s="40" t="n">
        <x:v>1</x:v>
      </x:c>
      <x:c r="L879" s="40" t="n">
        <x:v>1</x:v>
      </x:c>
    </x:row>
    <x:row r="880" ht="23" customHeight="1">
      <x:c r="B880" s="17" t="str">
        <x:v>Round1</x:v>
      </x:c>
      <x:c r="C880" s="17" t="str">
        <x:v>condition</x:v>
      </x:c>
      <x:c r="D880" s="17" t="str">
        <x:v>Jsoup_75</x:v>
      </x:c>
      <x:c r="E880" s="32" t="n">
        <x:v>0.8690000000000001</x:v>
      </x:c>
      <x:c r="F880" s="32" t="n">
        <x:v>0.8214</x:v>
      </x:c>
      <x:c r="G880" s="32" t="n">
        <x:v>0.8929</x:v>
      </x:c>
      <x:c r="H880" s="32" t="n">
        <x:v>0.9523999999999999</x:v>
      </x:c>
      <x:c r="I880" s="40" t="n">
        <x:v>1</x:v>
      </x:c>
      <x:c r="J880" s="40" t="n">
        <x:v>1</x:v>
      </x:c>
      <x:c r="K880" s="40" t="n">
        <x:v>1</x:v>
      </x:c>
      <x:c r="L880" s="40" t="n">
        <x:v>1</x:v>
      </x:c>
    </x:row>
    <x:row r="881" ht="23" customHeight="1">
      <x:c r="B881" s="17" t="str">
        <x:v>Round1</x:v>
      </x:c>
      <x:c r="C881" s="17" t="str">
        <x:v>condition</x:v>
      </x:c>
      <x:c r="D881" s="17" t="str">
        <x:v>Jsoup_78</x:v>
      </x:c>
      <x:c r="E881" s="32" t="n">
        <x:v>0.4205</x:v>
      </x:c>
      <x:c r="F881" s="32" t="n">
        <x:v>0.0795</x:v>
      </x:c>
      <x:c r="G881" s="32" t="n">
        <x:v>0.4318</x:v>
      </x:c>
      <x:c r="H881" s="32" t="n">
        <x:v>0.8523000000000001</x:v>
      </x:c>
      <x:c r="I881" s="40" t="n">
        <x:v>1</x:v>
      </x:c>
      <x:c r="J881" s="40" t="n">
        <x:v>1</x:v>
      </x:c>
      <x:c r="K881" s="40" t="n">
        <x:v>1</x:v>
      </x:c>
      <x:c r="L881" s="40" t="n">
        <x:v>1</x:v>
      </x:c>
    </x:row>
    <x:row r="882" ht="23" customHeight="1">
      <x:c r="B882" s="17" t="str">
        <x:v>Round1</x:v>
      </x:c>
      <x:c r="C882" s="17" t="str">
        <x:v>condition</x:v>
      </x:c>
      <x:c r="D882" s="17" t="str">
        <x:v>Jsoup_82</x:v>
      </x:c>
      <x:c r="E882" s="32" t="n">
        <x:v>0.2812</x:v>
      </x:c>
      <x:c r="F882" s="32" t="n">
        <x:v>0.0729</x:v>
      </x:c>
      <x:c r="G882" s="32" t="n">
        <x:v>0.4583</x:v>
      </x:c>
      <x:c r="H882" s="32" t="n">
        <x:v>0.8125</x:v>
      </x:c>
      <x:c r="I882" s="40" t="n">
        <x:v>1</x:v>
      </x:c>
      <x:c r="J882" s="40" t="n">
        <x:v>1</x:v>
      </x:c>
      <x:c r="K882" s="40" t="n">
        <x:v>1</x:v>
      </x:c>
      <x:c r="L882" s="40" t="n">
        <x:v>1</x:v>
      </x:c>
    </x:row>
    <x:row r="883" ht="23" customHeight="1">
      <x:c r="B883" s="17" t="str">
        <x:v>Round1</x:v>
      </x:c>
      <x:c r="C883" s="17" t="str">
        <x:v>condition</x:v>
      </x:c>
      <x:c r="D883" s="17" t="str">
        <x:v>Jsoup_85</x:v>
      </x:c>
      <x:c r="E883" s="32" t="n">
        <x:v>0.9</x:v>
      </x:c>
      <x:c r="F883" s="32" t="n">
        <x:v>0.44</x:v>
      </x:c>
      <x:c r="G883" s="32" t="n">
        <x:v>0.74</x:v>
      </x:c>
      <x:c r="H883" s="32" t="n">
        <x:v>0.58</x:v>
      </x:c>
      <x:c r="I883" s="40" t="n">
        <x:v>1</x:v>
      </x:c>
      <x:c r="J883" s="40" t="n">
        <x:v>1</x:v>
      </x:c>
      <x:c r="K883" s="40" t="n">
        <x:v>1</x:v>
      </x:c>
      <x:c r="L883" s="40" t="n">
        <x:v>1</x:v>
      </x:c>
    </x:row>
    <x:row r="884" ht="23" customHeight="1">
      <x:c r="B884" s="17" t="str">
        <x:v>Round1</x:v>
      </x:c>
      <x:c r="C884" s="17" t="str">
        <x:v>condition</x:v>
      </x:c>
      <x:c r="D884" s="17" t="str">
        <x:v>Jsoup_88</x:v>
      </x:c>
      <x:c r="E884" s="32" t="n">
        <x:v>0.9</x:v>
      </x:c>
      <x:c r="F884" s="32" t="n">
        <x:v>0.44</x:v>
      </x:c>
      <x:c r="G884" s="32" t="n">
        <x:v>0.72</x:v>
      </x:c>
      <x:c r="H884" s="32" t="n">
        <x:v>0.58</x:v>
      </x:c>
      <x:c r="I884" s="40" t="n">
        <x:v>1</x:v>
      </x:c>
      <x:c r="J884" s="40" t="n">
        <x:v>1</x:v>
      </x:c>
      <x:c r="K884" s="40" t="n">
        <x:v>1</x:v>
      </x:c>
      <x:c r="L884" s="40" t="n">
        <x:v>1</x:v>
      </x:c>
    </x:row>
    <x:row r="885" ht="23" customHeight="1">
      <x:c r="B885" s="17" t="str">
        <x:v>Round1</x:v>
      </x:c>
      <x:c r="C885" s="17" t="str">
        <x:v>condition</x:v>
      </x:c>
      <x:c r="D885" s="17" t="str">
        <x:v>Jsoup_89</x:v>
      </x:c>
      <x:c r="E885" s="32" t="n">
        <x:v>0.9</x:v>
      </x:c>
      <x:c r="F885" s="32" t="n">
        <x:v>0.44</x:v>
      </x:c>
      <x:c r="G885" s="32" t="n">
        <x:v>0.76</x:v>
      </x:c>
      <x:c r="H885" s="32" t="n">
        <x:v>0.58</x:v>
      </x:c>
      <x:c r="I885" s="40" t="n">
        <x:v>1</x:v>
      </x:c>
      <x:c r="J885" s="40" t="n">
        <x:v>1</x:v>
      </x:c>
      <x:c r="K885" s="40" t="n">
        <x:v>1</x:v>
      </x:c>
      <x:c r="L885" s="40" t="n">
        <x:v>1</x:v>
      </x:c>
    </x:row>
    <x:row r="886" ht="23" customHeight="1">
      <x:c r="B886" s="17" t="str">
        <x:v>Round1</x:v>
      </x:c>
      <x:c r="C886" s="17" t="str">
        <x:v>condition</x:v>
      </x:c>
      <x:c r="D886" s="17" t="str">
        <x:v>Jsoup_91</x:v>
      </x:c>
      <x:c r="E886" s="32" t="n">
        <x:v>0.9632</x:v>
      </x:c>
      <x:c r="F886" s="32" t="n">
        <x:v>0.1684</x:v>
      </x:c>
      <x:c r="G886" s="32" t="n">
        <x:v>0.8053</x:v>
      </x:c>
      <x:c r="H886" s="32" t="n">
        <x:v>0.9316</x:v>
      </x:c>
      <x:c r="I886" s="40" t="n">
        <x:v>1</x:v>
      </x:c>
      <x:c r="J886" s="40" t="n">
        <x:v>1</x:v>
      </x:c>
      <x:c r="K886" s="40" t="n">
        <x:v>1</x:v>
      </x:c>
      <x:c r="L886" s="40" t="n">
        <x:v>1</x:v>
      </x:c>
    </x:row>
    <x:row r="887" ht="23" customHeight="1">
      <x:c r="B887" s="17" t="str">
        <x:v>Round1</x:v>
      </x:c>
      <x:c r="C887" s="17" t="str">
        <x:v>condition</x:v>
      </x:c>
      <x:c r="D887" s="17" t="str">
        <x:v>Lang_13</x:v>
      </x:c>
      <x:c r="E887" s="32" t="n">
        <x:v>0.9286</x:v>
      </x:c>
      <x:c r="F887" s="32" t="n">
        <x:v>0.8571</x:v>
      </x:c>
      <x:c r="G887" s="32" t="n">
        <x:v>0.8571</x:v>
      </x:c>
      <x:c r="H887" s="32" t="n">
        <x:v>0.9286</x:v>
      </x:c>
      <x:c r="I887" s="40" t="n">
        <x:v>1</x:v>
      </x:c>
      <x:c r="J887" s="40" t="n">
        <x:v>1</x:v>
      </x:c>
      <x:c r="K887" s="40" t="n">
        <x:v>1</x:v>
      </x:c>
      <x:c r="L887" s="40" t="n">
        <x:v>1</x:v>
      </x:c>
    </x:row>
    <x:row r="888" ht="23" customHeight="1">
      <x:c r="B888" s="17" t="str">
        <x:v>Round1</x:v>
      </x:c>
      <x:c r="C888" s="17" t="str">
        <x:v>condition</x:v>
      </x:c>
      <x:c r="D888" s="17" t="str">
        <x:v>Lang_19</x:v>
      </x:c>
      <x:c r="E888" s="32" t="n">
        <x:v>0.7222</x:v>
      </x:c>
      <x:c r="F888" s="32" t="n">
        <x:v>0.0556</x:v>
      </x:c>
      <x:c r="G888" s="32" t="n">
        <x:v>0.9444</x:v>
      </x:c>
      <x:c r="H888" s="32" t="n">
        <x:v>1</x:v>
      </x:c>
      <x:c r="I888" s="40" t="n">
        <x:v>1</x:v>
      </x:c>
      <x:c r="J888" s="40" t="n">
        <x:v>1</x:v>
      </x:c>
      <x:c r="K888" s="40" t="n">
        <x:v>1</x:v>
      </x:c>
      <x:c r="L888" s="40" t="n">
        <x:v>1</x:v>
      </x:c>
    </x:row>
    <x:row r="889" ht="23" customHeight="1">
      <x:c r="B889" s="17" t="str">
        <x:v>Round1</x:v>
      </x:c>
      <x:c r="C889" s="17" t="str">
        <x:v>condition</x:v>
      </x:c>
      <x:c r="D889" s="17" t="str">
        <x:v>Lang_23</x:v>
      </x:c>
      <x:c r="E889" s="32" t="n">
        <x:v>0.2929</x:v>
      </x:c>
      <x:c r="F889" s="32" t="n">
        <x:v>0.0101</x:v>
      </x:c>
      <x:c r="G889" s="32" t="n">
        <x:v>0.303</x:v>
      </x:c>
      <x:c r="H889" s="32" t="n">
        <x:v>0.7979999999999999</x:v>
      </x:c>
      <x:c r="I889" s="40" t="n">
        <x:v>1</x:v>
      </x:c>
      <x:c r="J889" s="40" t="n">
        <x:v>1</x:v>
      </x:c>
      <x:c r="K889" s="40" t="n">
        <x:v>1</x:v>
      </x:c>
      <x:c r="L889" s="40" t="n">
        <x:v>1</x:v>
      </x:c>
    </x:row>
    <x:row r="890" ht="23" customHeight="1">
      <x:c r="B890" s="17" t="str">
        <x:v>Round1</x:v>
      </x:c>
      <x:c r="C890" s="17" t="str">
        <x:v>condition</x:v>
      </x:c>
      <x:c r="D890" s="17" t="str">
        <x:v>Lang_24</x:v>
      </x:c>
      <x:c r="E890" s="32" t="n">
        <x:v>0.8258</x:v>
      </x:c>
      <x:c r="F890" s="32" t="n">
        <x:v>0.4916</x:v>
      </x:c>
      <x:c r="G890" s="32" t="n">
        <x:v>0.4522</x:v>
      </x:c>
      <x:c r="H890" s="32" t="n">
        <x:v>0.9298000000000001</x:v>
      </x:c>
      <x:c r="I890" s="40" t="n">
        <x:v>1</x:v>
      </x:c>
      <x:c r="J890" s="40" t="n">
        <x:v>1</x:v>
      </x:c>
      <x:c r="K890" s="40" t="n">
        <x:v>1</x:v>
      </x:c>
      <x:c r="L890" s="40" t="n">
        <x:v>1</x:v>
      </x:c>
    </x:row>
    <x:row r="891" ht="23" customHeight="1">
      <x:c r="B891" s="17" t="str">
        <x:v>Round1</x:v>
      </x:c>
      <x:c r="C891" s="17" t="str">
        <x:v>condition</x:v>
      </x:c>
      <x:c r="D891" s="17" t="str">
        <x:v>Lang_27</x:v>
      </x:c>
      <x:c r="E891" s="32" t="n">
        <x:v>0.8466</x:v>
      </x:c>
      <x:c r="F891" s="32" t="n">
        <x:v>0.4972</x:v>
      </x:c>
      <x:c r="G891" s="32" t="n">
        <x:v>0.5597</x:v>
      </x:c>
      <x:c r="H891" s="32" t="n">
        <x:v>0.9062</x:v>
      </x:c>
      <x:c r="I891" s="40" t="n">
        <x:v>1</x:v>
      </x:c>
      <x:c r="J891" s="40" t="n">
        <x:v>1</x:v>
      </x:c>
      <x:c r="K891" s="40" t="n">
        <x:v>1</x:v>
      </x:c>
      <x:c r="L891" s="40" t="n">
        <x:v>1</x:v>
      </x:c>
    </x:row>
    <x:row r="892" ht="23" customHeight="1">
      <x:c r="B892" s="17" t="str">
        <x:v>Round1</x:v>
      </x:c>
      <x:c r="C892" s="17" t="str">
        <x:v>condition</x:v>
      </x:c>
      <x:c r="D892" s="17" t="str">
        <x:v>Lang_28</x:v>
      </x:c>
      <x:c r="E892" s="32" t="n">
        <x:v>0.2143</x:v>
      </x:c>
      <x:c r="F892" s="32" t="n">
        <x:v>0.07139999999999999</x:v>
      </x:c>
      <x:c r="G892" s="32" t="n">
        <x:v>0.8571</x:v>
      </x:c>
      <x:c r="H892" s="32" t="n">
        <x:v>1</x:v>
      </x:c>
      <x:c r="I892" s="40" t="n">
        <x:v>1</x:v>
      </x:c>
      <x:c r="J892" s="40" t="n">
        <x:v>1</x:v>
      </x:c>
      <x:c r="K892" s="40" t="n">
        <x:v>1</x:v>
      </x:c>
      <x:c r="L892" s="40" t="n">
        <x:v>1</x:v>
      </x:c>
    </x:row>
    <x:row r="893" ht="23" customHeight="1">
      <x:c r="B893" s="17" t="str">
        <x:v>Round1</x:v>
      </x:c>
      <x:c r="C893" s="17" t="str">
        <x:v>condition</x:v>
      </x:c>
      <x:c r="D893" s="17" t="str">
        <x:v>Lang_4</x:v>
      </x:c>
      <x:c r="E893" s="32" t="n">
        <x:v>1</x:v>
      </x:c>
      <x:c r="F893" s="32" t="n">
        <x:v>1</x:v>
      </x:c>
      <x:c r="G893" s="32" t="n">
        <x:v>1</x:v>
      </x:c>
      <x:c r="H893" s="32" t="n">
        <x:v>1</x:v>
      </x:c>
      <x:c r="I893" s="40" t="n">
        <x:v>1</x:v>
      </x:c>
      <x:c r="J893" s="40" t="n">
        <x:v>1</x:v>
      </x:c>
      <x:c r="K893" s="40" t="n">
        <x:v>1</x:v>
      </x:c>
      <x:c r="L893" s="40" t="n">
        <x:v>1</x:v>
      </x:c>
    </x:row>
    <x:row r="894" ht="23" customHeight="1">
      <x:c r="B894" s="17" t="str">
        <x:v>Round1</x:v>
      </x:c>
      <x:c r="C894" s="17" t="str">
        <x:v>condition</x:v>
      </x:c>
      <x:c r="D894" s="17" t="str">
        <x:v>Lang_44</x:v>
      </x:c>
      <x:c r="E894" s="32" t="n">
        <x:v>0.7222</x:v>
      </x:c>
      <x:c r="F894" s="32" t="n">
        <x:v>0.2731</x:v>
      </x:c>
      <x:c r="G894" s="32" t="n">
        <x:v>0.43060000000000004</x:v>
      </x:c>
      <x:c r="H894" s="32" t="n">
        <x:v>0.287</x:v>
      </x:c>
      <x:c r="I894" s="40" t="n">
        <x:v>1</x:v>
      </x:c>
      <x:c r="J894" s="40" t="n">
        <x:v>1</x:v>
      </x:c>
      <x:c r="K894" s="40" t="n">
        <x:v>1</x:v>
      </x:c>
      <x:c r="L894" s="40" t="n">
        <x:v>1</x:v>
      </x:c>
    </x:row>
    <x:row r="895" ht="23" customHeight="1">
      <x:c r="B895" s="17" t="str">
        <x:v>Round1</x:v>
      </x:c>
      <x:c r="C895" s="17" t="str">
        <x:v>condition</x:v>
      </x:c>
      <x:c r="D895" s="17" t="str">
        <x:v>Lang_49</x:v>
      </x:c>
      <x:c r="E895" s="32" t="n">
        <x:v>0.9185</x:v>
      </x:c>
      <x:c r="F895" s="32" t="n">
        <x:v>0.8261</x:v>
      </x:c>
      <x:c r="G895" s="32" t="n">
        <x:v>0.8043</x:v>
      </x:c>
      <x:c r="H895" s="32" t="n">
        <x:v>0.2772</x:v>
      </x:c>
      <x:c r="I895" s="40" t="n">
        <x:v>1</x:v>
      </x:c>
      <x:c r="J895" s="40" t="n">
        <x:v>1</x:v>
      </x:c>
      <x:c r="K895" s="40" t="n">
        <x:v>1</x:v>
      </x:c>
      <x:c r="L895" s="40" t="n">
        <x:v>1</x:v>
      </x:c>
    </x:row>
    <x:row r="896" ht="23" customHeight="1">
      <x:c r="B896" s="17" t="str">
        <x:v>Round1</x:v>
      </x:c>
      <x:c r="C896" s="17" t="str">
        <x:v>condition</x:v>
      </x:c>
      <x:c r="D896" s="17" t="str">
        <x:v>Lang_5</x:v>
      </x:c>
      <x:c r="E896" s="32" t="n">
        <x:v>0.6607</x:v>
      </x:c>
      <x:c r="F896" s="32" t="n">
        <x:v>0.4286</x:v>
      </x:c>
      <x:c r="G896" s="32" t="n">
        <x:v>0.875</x:v>
      </x:c>
      <x:c r="H896" s="32" t="n">
        <x:v>1</x:v>
      </x:c>
      <x:c r="I896" s="40" t="n">
        <x:v>1</x:v>
      </x:c>
      <x:c r="J896" s="40" t="n">
        <x:v>1</x:v>
      </x:c>
      <x:c r="K896" s="40" t="n">
        <x:v>1</x:v>
      </x:c>
      <x:c r="L896" s="40" t="n">
        <x:v>1</x:v>
      </x:c>
    </x:row>
    <x:row r="897" ht="23" customHeight="1">
      <x:c r="B897" s="17" t="str">
        <x:v>Round1</x:v>
      </x:c>
      <x:c r="C897" s="17" t="str">
        <x:v>condition</x:v>
      </x:c>
      <x:c r="D897" s="17" t="str">
        <x:v>Lang_51</x:v>
      </x:c>
      <x:c r="E897" s="32" t="n">
        <x:v>0.8491</x:v>
      </x:c>
      <x:c r="F897" s="32" t="n">
        <x:v>0.6179</x:v>
      </x:c>
      <x:c r="G897" s="32" t="n">
        <x:v>0.7594</x:v>
      </x:c>
      <x:c r="H897" s="32" t="n">
        <x:v>0.1274</x:v>
      </x:c>
      <x:c r="I897" s="40" t="n">
        <x:v>1</x:v>
      </x:c>
      <x:c r="J897" s="40" t="n">
        <x:v>1</x:v>
      </x:c>
      <x:c r="K897" s="40" t="n">
        <x:v>1</x:v>
      </x:c>
      <x:c r="L897" s="40" t="n">
        <x:v>1</x:v>
      </x:c>
    </x:row>
    <x:row r="898" ht="23" customHeight="1">
      <x:c r="B898" s="17" t="str">
        <x:v>Round1</x:v>
      </x:c>
      <x:c r="C898" s="17" t="str">
        <x:v>condition</x:v>
      </x:c>
      <x:c r="D898" s="17" t="str">
        <x:v>Lang_54</x:v>
      </x:c>
      <x:c r="E898" s="32" t="n">
        <x:v>0.7656000000000001</x:v>
      </x:c>
      <x:c r="F898" s="32" t="n">
        <x:v>0.3594</x:v>
      </x:c>
      <x:c r="G898" s="32" t="n">
        <x:v>0.8125</x:v>
      </x:c>
      <x:c r="H898" s="32" t="n">
        <x:v>0.3906</x:v>
      </x:c>
      <x:c r="I898" s="40" t="n">
        <x:v>1</x:v>
      </x:c>
      <x:c r="J898" s="40" t="n">
        <x:v>1</x:v>
      </x:c>
      <x:c r="K898" s="40" t="n">
        <x:v>1</x:v>
      </x:c>
      <x:c r="L898" s="40" t="n">
        <x:v>1</x:v>
      </x:c>
    </x:row>
    <x:row r="899" ht="23" customHeight="1">
      <x:c r="B899" s="17" t="str">
        <x:v>Round1</x:v>
      </x:c>
      <x:c r="C899" s="17" t="str">
        <x:v>condition</x:v>
      </x:c>
      <x:c r="D899" s="17" t="str">
        <x:v>Lang_55</x:v>
      </x:c>
      <x:c r="E899" s="32" t="n">
        <x:v>0.9615</x:v>
      </x:c>
      <x:c r="F899" s="32" t="n">
        <x:v>0.9615</x:v>
      </x:c>
      <x:c r="G899" s="32" t="n">
        <x:v>0.8845999999999999</x:v>
      </x:c>
      <x:c r="H899" s="32" t="n">
        <x:v>0.46149999999999997</x:v>
      </x:c>
      <x:c r="I899" s="40" t="n">
        <x:v>1</x:v>
      </x:c>
      <x:c r="J899" s="40" t="n">
        <x:v>1</x:v>
      </x:c>
      <x:c r="K899" s="40" t="n">
        <x:v>1</x:v>
      </x:c>
      <x:c r="L899" s="40" t="n">
        <x:v>1</x:v>
      </x:c>
    </x:row>
    <x:row r="900" ht="23" customHeight="1">
      <x:c r="B900" s="17" t="str">
        <x:v>Round1</x:v>
      </x:c>
      <x:c r="C900" s="17" t="str">
        <x:v>condition</x:v>
      </x:c>
      <x:c r="D900" s="17" t="str">
        <x:v>Lang_57</x:v>
      </x:c>
      <x:c r="E900" s="32" t="n">
        <x:v>0.75</x:v>
      </x:c>
      <x:c r="F900" s="32" t="n">
        <x:v>0.3594</x:v>
      </x:c>
      <x:c r="G900" s="32" t="n">
        <x:v>0.8281000000000001</x:v>
      </x:c>
      <x:c r="H900" s="32" t="n">
        <x:v>0.3906</x:v>
      </x:c>
      <x:c r="I900" s="40" t="n">
        <x:v>1</x:v>
      </x:c>
      <x:c r="J900" s="40" t="n">
        <x:v>1</x:v>
      </x:c>
      <x:c r="K900" s="40" t="n">
        <x:v>1</x:v>
      </x:c>
      <x:c r="L900" s="40" t="n">
        <x:v>1</x:v>
      </x:c>
    </x:row>
    <x:row r="901" ht="23" customHeight="1">
      <x:c r="B901" s="17" t="str">
        <x:v>Round1</x:v>
      </x:c>
      <x:c r="C901" s="17" t="str">
        <x:v>condition</x:v>
      </x:c>
      <x:c r="D901" s="17" t="str">
        <x:v>Lang_58</x:v>
      </x:c>
      <x:c r="E901" s="32" t="n">
        <x:v>0.8332999999999999</x:v>
      </x:c>
      <x:c r="F901" s="32" t="n">
        <x:v>0.5738</x:v>
      </x:c>
      <x:c r="G901" s="32" t="n">
        <x:v>0.6881</x:v>
      </x:c>
      <x:c r="H901" s="32" t="n">
        <x:v>0.1476</x:v>
      </x:c>
      <x:c r="I901" s="40" t="n">
        <x:v>1</x:v>
      </x:c>
      <x:c r="J901" s="40" t="n">
        <x:v>1</x:v>
      </x:c>
      <x:c r="K901" s="40" t="n">
        <x:v>1</x:v>
      </x:c>
      <x:c r="L901" s="40" t="n">
        <x:v>1</x:v>
      </x:c>
    </x:row>
    <x:row r="902" ht="23" customHeight="1">
      <x:c r="B902" s="17" t="str">
        <x:v>Round1</x:v>
      </x:c>
      <x:c r="C902" s="17" t="str">
        <x:v>condition</x:v>
      </x:c>
      <x:c r="D902" s="17" t="str">
        <x:v>Lang_6</x:v>
      </x:c>
      <x:c r="E902" s="32" t="n">
        <x:v>1</x:v>
      </x:c>
      <x:c r="F902" s="32" t="n">
        <x:v>0</x:v>
      </x:c>
      <x:c r="G902" s="32" t="n">
        <x:v>1</x:v>
      </x:c>
      <x:c r="H902" s="32" t="n">
        <x:v>1</x:v>
      </x:c>
      <x:c r="I902" s="40" t="n">
        <x:v>1</x:v>
      </x:c>
      <x:c r="J902" s="40" t="n">
        <x:v>1</x:v>
      </x:c>
      <x:c r="K902" s="40" t="n">
        <x:v>1</x:v>
      </x:c>
      <x:c r="L902" s="40" t="n">
        <x:v>1</x:v>
      </x:c>
    </x:row>
    <x:row r="903" ht="23" customHeight="1">
      <x:c r="B903" s="17" t="str">
        <x:v>Round1</x:v>
      </x:c>
      <x:c r="C903" s="17" t="str">
        <x:v>condition</x:v>
      </x:c>
      <x:c r="D903" s="17" t="str">
        <x:v>Lang_63</x:v>
      </x:c>
      <x:c r="E903" s="32" t="n">
        <x:v>0.8963</x:v>
      </x:c>
      <x:c r="F903" s="32" t="n">
        <x:v>0.7184999999999999</x:v>
      </x:c>
      <x:c r="G903" s="32" t="n">
        <x:v>0.6074</x:v>
      </x:c>
      <x:c r="H903" s="32" t="n">
        <x:v>0.45189999999999997</x:v>
      </x:c>
      <x:c r="I903" s="40" t="n">
        <x:v>1</x:v>
      </x:c>
      <x:c r="J903" s="40" t="n">
        <x:v>1</x:v>
      </x:c>
      <x:c r="K903" s="40" t="n">
        <x:v>1</x:v>
      </x:c>
      <x:c r="L903" s="40" t="n">
        <x:v>1</x:v>
      </x:c>
    </x:row>
    <x:row r="904" ht="23" customHeight="1">
      <x:c r="B904" s="17" t="str">
        <x:v>Round1</x:v>
      </x:c>
      <x:c r="C904" s="17" t="str">
        <x:v>condition</x:v>
      </x:c>
      <x:c r="D904" s="17" t="str">
        <x:v>Lang_64</x:v>
      </x:c>
      <x:c r="E904" s="32" t="n">
        <x:v>0.25</x:v>
      </x:c>
      <x:c r="F904" s="32" t="n">
        <x:v>0.25</x:v>
      </x:c>
      <x:c r="G904" s="32" t="n">
        <x:v>0</x:v>
      </x:c>
      <x:c r="H904" s="32" t="n">
        <x:v>0.625</x:v>
      </x:c>
      <x:c r="I904" s="40" t="n">
        <x:v>1</x:v>
      </x:c>
      <x:c r="J904" s="40" t="n">
        <x:v>1</x:v>
      </x:c>
      <x:c r="K904" s="40" t="n">
        <x:v>1</x:v>
      </x:c>
      <x:c r="L904" s="40" t="n">
        <x:v>1</x:v>
      </x:c>
    </x:row>
    <x:row r="905" ht="23" customHeight="1">
      <x:c r="B905" s="17" t="str">
        <x:v>Round1</x:v>
      </x:c>
      <x:c r="C905" s="17" t="str">
        <x:v>condition</x:v>
      </x:c>
      <x:c r="D905" s="17" t="str">
        <x:v>Lang_7</x:v>
      </x:c>
      <x:c r="E905" s="32" t="n">
        <x:v>0.847</x:v>
      </x:c>
      <x:c r="F905" s="32" t="n">
        <x:v>0.4836</x:v>
      </x:c>
      <x:c r="G905" s="32" t="n">
        <x:v>0.5464</x:v>
      </x:c>
      <x:c r="H905" s="32" t="n">
        <x:v>0.8634000000000001</x:v>
      </x:c>
      <x:c r="I905" s="40" t="n">
        <x:v>1</x:v>
      </x:c>
      <x:c r="J905" s="40" t="n">
        <x:v>1</x:v>
      </x:c>
      <x:c r="K905" s="40" t="n">
        <x:v>1</x:v>
      </x:c>
      <x:c r="L905" s="40" t="n">
        <x:v>1</x:v>
      </x:c>
    </x:row>
    <x:row r="906" ht="23" customHeight="1">
      <x:c r="B906" s="17" t="str">
        <x:v>Round1</x:v>
      </x:c>
      <x:c r="C906" s="17" t="str">
        <x:v>condition</x:v>
      </x:c>
      <x:c r="D906" s="17" t="str">
        <x:v>Lang_8</x:v>
      </x:c>
      <x:c r="E906" s="32" t="n">
        <x:v>0.7867000000000001</x:v>
      </x:c>
      <x:c r="F906" s="32" t="n">
        <x:v>0.013300000000000001</x:v>
      </x:c>
      <x:c r="G906" s="32" t="n">
        <x:v>0.5333</x:v>
      </x:c>
      <x:c r="H906" s="32" t="n">
        <x:v>0.9267</x:v>
      </x:c>
      <x:c r="I906" s="40" t="n">
        <x:v>1</x:v>
      </x:c>
      <x:c r="J906" s="40" t="n">
        <x:v>1</x:v>
      </x:c>
      <x:c r="K906" s="40" t="n">
        <x:v>1</x:v>
      </x:c>
      <x:c r="L906" s="40" t="n">
        <x:v>1</x:v>
      </x:c>
    </x:row>
    <x:row r="907" ht="23" customHeight="1">
      <x:c r="B907" s="17" t="str">
        <x:v>Round1</x:v>
      </x:c>
      <x:c r="C907" s="17" t="str">
        <x:v>condition</x:v>
      </x:c>
      <x:c r="D907" s="17" t="str">
        <x:v>Math_1</x:v>
      </x:c>
      <x:c r="E907" s="32" t="n">
        <x:v>0.9688</x:v>
      </x:c>
      <x:c r="F907" s="32" t="n">
        <x:v>0.8802</x:v>
      </x:c>
      <x:c r="G907" s="32" t="n">
        <x:v>0.7865000000000001</x:v>
      </x:c>
      <x:c r="H907" s="32" t="n">
        <x:v>0.3125</x:v>
      </x:c>
      <x:c r="I907" s="40" t="n">
        <x:v>1</x:v>
      </x:c>
      <x:c r="J907" s="40" t="n">
        <x:v>1</x:v>
      </x:c>
      <x:c r="K907" s="40" t="n">
        <x:v>1</x:v>
      </x:c>
      <x:c r="L907" s="40" t="n">
        <x:v>1</x:v>
      </x:c>
    </x:row>
    <x:row r="908" ht="23" customHeight="1">
      <x:c r="B908" s="17" t="str">
        <x:v>Round1</x:v>
      </x:c>
      <x:c r="C908" s="17" t="str">
        <x:v>condition</x:v>
      </x:c>
      <x:c r="D908" s="17" t="str">
        <x:v>Math_10</x:v>
      </x:c>
      <x:c r="E908" s="32" t="n">
        <x:v>0.6993</x:v>
      </x:c>
      <x:c r="F908" s="32" t="n">
        <x:v>0.2378</x:v>
      </x:c>
      <x:c r="G908" s="32" t="n">
        <x:v>0.6607999999999999</x:v>
      </x:c>
      <x:c r="H908" s="32" t="n">
        <x:v>0</x:v>
      </x:c>
      <x:c r="I908" s="40" t="n">
        <x:v>1</x:v>
      </x:c>
      <x:c r="J908" s="40" t="n">
        <x:v>1</x:v>
      </x:c>
      <x:c r="K908" s="40" t="n">
        <x:v>1</x:v>
      </x:c>
      <x:c r="L908" s="40" t="n">
        <x:v>1</x:v>
      </x:c>
    </x:row>
    <x:row r="909" ht="23" customHeight="1">
      <x:c r="B909" s="17" t="str">
        <x:v>Round1</x:v>
      </x:c>
      <x:c r="C909" s="17" t="str">
        <x:v>condition</x:v>
      </x:c>
      <x:c r="D909" s="17" t="str">
        <x:v>Math_101</x:v>
      </x:c>
      <x:c r="E909" s="32" t="n">
        <x:v>1</x:v>
      </x:c>
      <x:c r="F909" s="32" t="n">
        <x:v>0.6154</x:v>
      </x:c>
      <x:c r="G909" s="32" t="n">
        <x:v>0.9423</x:v>
      </x:c>
      <x:c r="H909" s="32" t="n">
        <x:v>0</x:v>
      </x:c>
      <x:c r="I909" s="40" t="n">
        <x:v>1</x:v>
      </x:c>
      <x:c r="J909" s="40" t="n">
        <x:v>1</x:v>
      </x:c>
      <x:c r="K909" s="40" t="n">
        <x:v>1</x:v>
      </x:c>
      <x:c r="L909" s="40" t="n">
        <x:v>1</x:v>
      </x:c>
    </x:row>
    <x:row r="910" ht="23" customHeight="1">
      <x:c r="B910" s="17" t="str">
        <x:v>Round1</x:v>
      </x:c>
      <x:c r="C910" s="17" t="str">
        <x:v>condition</x:v>
      </x:c>
      <x:c r="D910" s="17" t="str">
        <x:v>Math_104</x:v>
      </x:c>
      <x:c r="E910" s="32" t="n">
        <x:v>1</x:v>
      </x:c>
      <x:c r="F910" s="32" t="n">
        <x:v>1</x:v>
      </x:c>
      <x:c r="G910" s="32" t="n">
        <x:v>0.9</x:v>
      </x:c>
      <x:c r="H910" s="32" t="n">
        <x:v>0.675</x:v>
      </x:c>
      <x:c r="I910" s="40" t="n">
        <x:v>1</x:v>
      </x:c>
      <x:c r="J910" s="40" t="n">
        <x:v>1</x:v>
      </x:c>
      <x:c r="K910" s="40" t="n">
        <x:v>1</x:v>
      </x:c>
      <x:c r="L910" s="40" t="n">
        <x:v>1</x:v>
      </x:c>
    </x:row>
    <x:row r="911" ht="23" customHeight="1">
      <x:c r="B911" s="17" t="str">
        <x:v>Round1</x:v>
      </x:c>
      <x:c r="C911" s="17" t="str">
        <x:v>condition</x:v>
      </x:c>
      <x:c r="D911" s="17" t="str">
        <x:v>Math_105</x:v>
      </x:c>
      <x:c r="E911" s="32" t="n">
        <x:v>1</x:v>
      </x:c>
      <x:c r="F911" s="32" t="n">
        <x:v>0.8889</x:v>
      </x:c>
      <x:c r="G911" s="32" t="n">
        <x:v>1</x:v>
      </x:c>
      <x:c r="H911" s="32" t="n">
        <x:v>0.5</x:v>
      </x:c>
      <x:c r="I911" s="40" t="n">
        <x:v>1</x:v>
      </x:c>
      <x:c r="J911" s="40" t="n">
        <x:v>1</x:v>
      </x:c>
      <x:c r="K911" s="40" t="n">
        <x:v>1</x:v>
      </x:c>
      <x:c r="L911" s="40" t="n">
        <x:v>1</x:v>
      </x:c>
    </x:row>
    <x:row r="912" ht="23" customHeight="1">
      <x:c r="B912" s="17" t="str">
        <x:v>Round1</x:v>
      </x:c>
      <x:c r="C912" s="17" t="str">
        <x:v>condition</x:v>
      </x:c>
      <x:c r="D912" s="17" t="str">
        <x:v>Math_106</x:v>
      </x:c>
      <x:c r="E912" s="32" t="n">
        <x:v>1</x:v>
      </x:c>
      <x:c r="F912" s="32" t="n">
        <x:v>0.7333</x:v>
      </x:c>
      <x:c r="G912" s="32" t="n">
        <x:v>0.8</x:v>
      </x:c>
      <x:c r="H912" s="32" t="n">
        <x:v>0.6</x:v>
      </x:c>
      <x:c r="I912" s="40" t="n">
        <x:v>1</x:v>
      </x:c>
      <x:c r="J912" s="40" t="n">
        <x:v>1</x:v>
      </x:c>
      <x:c r="K912" s="40" t="n">
        <x:v>1</x:v>
      </x:c>
      <x:c r="L912" s="40" t="n">
        <x:v>1</x:v>
      </x:c>
    </x:row>
    <x:row r="913" ht="23" customHeight="1">
      <x:c r="B913" s="17" t="str">
        <x:v>Round1</x:v>
      </x:c>
      <x:c r="C913" s="17" t="str">
        <x:v>condition</x:v>
      </x:c>
      <x:c r="D913" s="17" t="str">
        <x:v>Math_12</x:v>
      </x:c>
      <x:c r="E913" s="32" t="n">
        <x:v>1</x:v>
      </x:c>
      <x:c r="F913" s="32" t="n">
        <x:v>0</x:v>
      </x:c>
      <x:c r="G913" s="32" t="n">
        <x:v>0.8571</x:v>
      </x:c>
      <x:c r="H913" s="32" t="n">
        <x:v>1</x:v>
      </x:c>
      <x:c r="I913" s="40" t="n">
        <x:v>1</x:v>
      </x:c>
      <x:c r="J913" s="40" t="n">
        <x:v>1</x:v>
      </x:c>
      <x:c r="K913" s="40" t="n">
        <x:v>1</x:v>
      </x:c>
      <x:c r="L913" s="40" t="n">
        <x:v>1</x:v>
      </x:c>
    </x:row>
    <x:row r="914" ht="23" customHeight="1">
      <x:c r="B914" s="17" t="str">
        <x:v>Round1</x:v>
      </x:c>
      <x:c r="C914" s="17" t="str">
        <x:v>condition</x:v>
      </x:c>
      <x:c r="D914" s="17" t="str">
        <x:v>Math_15</x:v>
      </x:c>
      <x:c r="E914" s="32" t="n">
        <x:v>0.8509</x:v>
      </x:c>
      <x:c r="F914" s="32" t="n">
        <x:v>0.7845</x:v>
      </x:c>
      <x:c r="G914" s="32" t="n">
        <x:v>0.3346</x:v>
      </x:c>
      <x:c r="H914" s="32" t="n">
        <x:v>0</x:v>
      </x:c>
      <x:c r="I914" s="40" t="n">
        <x:v>1</x:v>
      </x:c>
      <x:c r="J914" s="40" t="n">
        <x:v>1</x:v>
      </x:c>
      <x:c r="K914" s="40" t="n">
        <x:v>1</x:v>
      </x:c>
      <x:c r="L914" s="40" t="n">
        <x:v>1</x:v>
      </x:c>
    </x:row>
    <x:row r="915" ht="23" customHeight="1">
      <x:c r="B915" s="17" t="str">
        <x:v>Round1</x:v>
      </x:c>
      <x:c r="C915" s="17" t="str">
        <x:v>condition</x:v>
      </x:c>
      <x:c r="D915" s="17" t="str">
        <x:v>Math_16</x:v>
      </x:c>
      <x:c r="E915" s="32" t="n">
        <x:v>0.838</x:v>
      </x:c>
      <x:c r="F915" s="32" t="n">
        <x:v>0.157</x:v>
      </x:c>
      <x:c r="G915" s="32" t="n">
        <x:v>0.36460000000000004</x:v>
      </x:c>
      <x:c r="H915" s="32" t="n">
        <x:v>0</x:v>
      </x:c>
      <x:c r="I915" s="40" t="n">
        <x:v>1</x:v>
      </x:c>
      <x:c r="J915" s="40" t="n">
        <x:v>1</x:v>
      </x:c>
      <x:c r="K915" s="40" t="n">
        <x:v>1</x:v>
      </x:c>
      <x:c r="L915" s="40" t="n">
        <x:v>1</x:v>
      </x:c>
    </x:row>
    <x:row r="916" ht="23" customHeight="1">
      <x:c r="B916" s="17" t="str">
        <x:v>Round1</x:v>
      </x:c>
      <x:c r="C916" s="17" t="str">
        <x:v>condition</x:v>
      </x:c>
      <x:c r="D916" s="17" t="str">
        <x:v>Math_2</x:v>
      </x:c>
      <x:c r="E916" s="32" t="n">
        <x:v>1</x:v>
      </x:c>
      <x:c r="F916" s="32" t="n">
        <x:v>1</x:v>
      </x:c>
      <x:c r="G916" s="32" t="n">
        <x:v>0.8845999999999999</x:v>
      </x:c>
      <x:c r="H916" s="32" t="n">
        <x:v>0.5769</x:v>
      </x:c>
      <x:c r="I916" s="40" t="n">
        <x:v>1</x:v>
      </x:c>
      <x:c r="J916" s="40" t="n">
        <x:v>1</x:v>
      </x:c>
      <x:c r="K916" s="40" t="n">
        <x:v>1</x:v>
      </x:c>
      <x:c r="L916" s="40" t="n">
        <x:v>1</x:v>
      </x:c>
    </x:row>
    <x:row r="917" ht="23" customHeight="1">
      <x:c r="B917" s="17" t="str">
        <x:v>Round1</x:v>
      </x:c>
      <x:c r="C917" s="17" t="str">
        <x:v>condition</x:v>
      </x:c>
      <x:c r="D917" s="17" t="str">
        <x:v>Math_21</x:v>
      </x:c>
      <x:c r="E917" s="32" t="n">
        <x:v>1</x:v>
      </x:c>
      <x:c r="F917" s="32" t="n">
        <x:v>0</x:v>
      </x:c>
      <x:c r="G917" s="32" t="n">
        <x:v>1</x:v>
      </x:c>
      <x:c r="H917" s="32" t="n">
        <x:v>1</x:v>
      </x:c>
      <x:c r="I917" s="40" t="n">
        <x:v>1</x:v>
      </x:c>
      <x:c r="J917" s="40" t="n">
        <x:v>1</x:v>
      </x:c>
      <x:c r="K917" s="40" t="n">
        <x:v>1</x:v>
      </x:c>
      <x:c r="L917" s="40" t="n">
        <x:v>1</x:v>
      </x:c>
    </x:row>
    <x:row r="918" ht="23" customHeight="1">
      <x:c r="B918" s="17" t="str">
        <x:v>Round1</x:v>
      </x:c>
      <x:c r="C918" s="17" t="str">
        <x:v>condition</x:v>
      </x:c>
      <x:c r="D918" s="17" t="str">
        <x:v>Math_40</x:v>
      </x:c>
      <x:c r="E918" s="32" t="n">
        <x:v>0.9848</x:v>
      </x:c>
      <x:c r="F918" s="32" t="n">
        <x:v>0.0909</x:v>
      </x:c>
      <x:c r="G918" s="32" t="n">
        <x:v>0.6818000000000001</x:v>
      </x:c>
      <x:c r="H918" s="32" t="n">
        <x:v>0</x:v>
      </x:c>
      <x:c r="I918" s="40" t="n">
        <x:v>1</x:v>
      </x:c>
      <x:c r="J918" s="40" t="n">
        <x:v>1</x:v>
      </x:c>
      <x:c r="K918" s="40" t="n">
        <x:v>1</x:v>
      </x:c>
      <x:c r="L918" s="40" t="n">
        <x:v>1</x:v>
      </x:c>
    </x:row>
    <x:row r="919" ht="23" customHeight="1">
      <x:c r="B919" s="17" t="str">
        <x:v>Round1</x:v>
      </x:c>
      <x:c r="C919" s="17" t="str">
        <x:v>condition</x:v>
      </x:c>
      <x:c r="D919" s="17" t="str">
        <x:v>Math_41</x:v>
      </x:c>
      <x:c r="E919" s="32" t="n">
        <x:v>0.8695999999999999</x:v>
      </x:c>
      <x:c r="F919" s="32" t="n">
        <x:v>0.6087</x:v>
      </x:c>
      <x:c r="G919" s="32" t="n">
        <x:v>0.7173999999999999</x:v>
      </x:c>
      <x:c r="H919" s="32" t="n">
        <x:v>0</x:v>
      </x:c>
      <x:c r="I919" s="40" t="n">
        <x:v>1</x:v>
      </x:c>
      <x:c r="J919" s="40" t="n">
        <x:v>1</x:v>
      </x:c>
      <x:c r="K919" s="40" t="n">
        <x:v>1</x:v>
      </x:c>
      <x:c r="L919" s="40" t="n">
        <x:v>1</x:v>
      </x:c>
    </x:row>
    <x:row r="920" ht="23" customHeight="1">
      <x:c r="B920" s="17" t="str">
        <x:v>Round1</x:v>
      </x:c>
      <x:c r="C920" s="17" t="str">
        <x:v>condition</x:v>
      </x:c>
      <x:c r="D920" s="17" t="str">
        <x:v>Math_42</x:v>
      </x:c>
      <x:c r="E920" s="32" t="n">
        <x:v>0.9333</x:v>
      </x:c>
      <x:c r="F920" s="32" t="n">
        <x:v>0.0083</x:v>
      </x:c>
      <x:c r="G920" s="32" t="n">
        <x:v>0.5667</x:v>
      </x:c>
      <x:c r="H920" s="32" t="n">
        <x:v>0</x:v>
      </x:c>
      <x:c r="I920" s="40" t="n">
        <x:v>1</x:v>
      </x:c>
      <x:c r="J920" s="40" t="n">
        <x:v>1</x:v>
      </x:c>
      <x:c r="K920" s="40" t="n">
        <x:v>1</x:v>
      </x:c>
      <x:c r="L920" s="40" t="n">
        <x:v>1</x:v>
      </x:c>
    </x:row>
    <x:row r="921" ht="23" customHeight="1">
      <x:c r="B921" s="17" t="str">
        <x:v>Round1</x:v>
      </x:c>
      <x:c r="C921" s="17" t="str">
        <x:v>condition</x:v>
      </x:c>
      <x:c r="D921" s="17" t="str">
        <x:v>Math_43</x:v>
      </x:c>
      <x:c r="E921" s="32" t="n">
        <x:v>1</x:v>
      </x:c>
      <x:c r="F921" s="32" t="n">
        <x:v>0.9655</x:v>
      </x:c>
      <x:c r="G921" s="32" t="n">
        <x:v>0.5861999999999999</x:v>
      </x:c>
      <x:c r="H921" s="32" t="n">
        <x:v>0</x:v>
      </x:c>
      <x:c r="I921" s="40" t="n">
        <x:v>1</x:v>
      </x:c>
      <x:c r="J921" s="40" t="n">
        <x:v>1</x:v>
      </x:c>
      <x:c r="K921" s="40" t="n">
        <x:v>1</x:v>
      </x:c>
      <x:c r="L921" s="40" t="n">
        <x:v>1</x:v>
      </x:c>
    </x:row>
    <x:row r="922" ht="23" customHeight="1">
      <x:c r="B922" s="17" t="str">
        <x:v>Round1</x:v>
      </x:c>
      <x:c r="C922" s="17" t="str">
        <x:v>condition</x:v>
      </x:c>
      <x:c r="D922" s="17" t="str">
        <x:v>Math_45</x:v>
      </x:c>
      <x:c r="E922" s="32" t="n">
        <x:v>0.4545</x:v>
      </x:c>
      <x:c r="F922" s="32" t="n">
        <x:v>0.6818000000000001</x:v>
      </x:c>
      <x:c r="G922" s="32" t="n">
        <x:v>0.9545</x:v>
      </x:c>
      <x:c r="H922" s="32" t="n">
        <x:v>0</x:v>
      </x:c>
      <x:c r="I922" s="40" t="n">
        <x:v>1</x:v>
      </x:c>
      <x:c r="J922" s="40" t="n">
        <x:v>1</x:v>
      </x:c>
      <x:c r="K922" s="40" t="n">
        <x:v>1</x:v>
      </x:c>
      <x:c r="L922" s="40" t="n">
        <x:v>1</x:v>
      </x:c>
    </x:row>
    <x:row r="923" ht="23" customHeight="1">
      <x:c r="B923" s="17" t="str">
        <x:v>Round1</x:v>
      </x:c>
      <x:c r="C923" s="17" t="str">
        <x:v>condition</x:v>
      </x:c>
      <x:c r="D923" s="17" t="str">
        <x:v>Math_56</x:v>
      </x:c>
      <x:c r="E923" s="32" t="n">
        <x:v>1</x:v>
      </x:c>
      <x:c r="F923" s="32" t="n">
        <x:v>0.9118</x:v>
      </x:c>
      <x:c r="G923" s="32" t="n">
        <x:v>0.9412</x:v>
      </x:c>
      <x:c r="H923" s="32" t="n">
        <x:v>0</x:v>
      </x:c>
      <x:c r="I923" s="40" t="n">
        <x:v>1</x:v>
      </x:c>
      <x:c r="J923" s="40" t="n">
        <x:v>1</x:v>
      </x:c>
      <x:c r="K923" s="40" t="n">
        <x:v>1</x:v>
      </x:c>
      <x:c r="L923" s="40" t="n">
        <x:v>1</x:v>
      </x:c>
    </x:row>
    <x:row r="924" ht="23" customHeight="1">
      <x:c r="B924" s="17" t="str">
        <x:v>Round1</x:v>
      </x:c>
      <x:c r="C924" s="17" t="str">
        <x:v>condition</x:v>
      </x:c>
      <x:c r="D924" s="17" t="str">
        <x:v>Math_59</x:v>
      </x:c>
      <x:c r="E924" s="32" t="n">
        <x:v>0.8067</x:v>
      </x:c>
      <x:c r="F924" s="32" t="n">
        <x:v>0.7837000000000001</x:v>
      </x:c>
      <x:c r="G924" s="32" t="n">
        <x:v>0.43560000000000004</x:v>
      </x:c>
      <x:c r="H924" s="32" t="n">
        <x:v>0.066</x:v>
      </x:c>
      <x:c r="I924" s="40" t="n">
        <x:v>1</x:v>
      </x:c>
      <x:c r="J924" s="40" t="n">
        <x:v>1</x:v>
      </x:c>
      <x:c r="K924" s="40" t="n">
        <x:v>1</x:v>
      </x:c>
      <x:c r="L924" s="40" t="n">
        <x:v>1</x:v>
      </x:c>
    </x:row>
    <x:row r="925" ht="23" customHeight="1">
      <x:c r="B925" s="17" t="str">
        <x:v>Round1</x:v>
      </x:c>
      <x:c r="C925" s="17" t="str">
        <x:v>condition</x:v>
      </x:c>
      <x:c r="D925" s="17" t="str">
        <x:v>Math_61</x:v>
      </x:c>
      <x:c r="E925" s="32" t="n">
        <x:v>1</x:v>
      </x:c>
      <x:c r="F925" s="32" t="n">
        <x:v>0.75</x:v>
      </x:c>
      <x:c r="G925" s="32" t="n">
        <x:v>1</x:v>
      </x:c>
      <x:c r="H925" s="32" t="n">
        <x:v>0</x:v>
      </x:c>
      <x:c r="I925" s="40" t="n">
        <x:v>1</x:v>
      </x:c>
      <x:c r="J925" s="40" t="n">
        <x:v>1</x:v>
      </x:c>
      <x:c r="K925" s="40" t="n">
        <x:v>1</x:v>
      </x:c>
      <x:c r="L925" s="40" t="n">
        <x:v>1</x:v>
      </x:c>
    </x:row>
    <x:row r="926" ht="23" customHeight="1">
      <x:c r="B926" s="17" t="str">
        <x:v>Round1</x:v>
      </x:c>
      <x:c r="C926" s="17" t="str">
        <x:v>condition</x:v>
      </x:c>
      <x:c r="D926" s="17" t="str">
        <x:v>Math_63</x:v>
      </x:c>
      <x:c r="E926" s="32" t="n">
        <x:v>0.8820999999999999</x:v>
      </x:c>
      <x:c r="F926" s="32" t="n">
        <x:v>0.7483</x:v>
      </x:c>
      <x:c r="G926" s="32" t="n">
        <x:v>0.5760000000000001</x:v>
      </x:c>
      <x:c r="H926" s="32" t="n">
        <x:v>0</x:v>
      </x:c>
      <x:c r="I926" s="40" t="n">
        <x:v>1</x:v>
      </x:c>
      <x:c r="J926" s="40" t="n">
        <x:v>1</x:v>
      </x:c>
      <x:c r="K926" s="40" t="n">
        <x:v>1</x:v>
      </x:c>
      <x:c r="L926" s="40" t="n">
        <x:v>1</x:v>
      </x:c>
    </x:row>
    <x:row r="927" ht="23" customHeight="1">
      <x:c r="B927" s="17" t="str">
        <x:v>Round1</x:v>
      </x:c>
      <x:c r="C927" s="17" t="str">
        <x:v>condition</x:v>
      </x:c>
      <x:c r="D927" s="17" t="str">
        <x:v>Math_66</x:v>
      </x:c>
      <x:c r="E927" s="32" t="n">
        <x:v>0.9828</x:v>
      </x:c>
      <x:c r="F927" s="32" t="n">
        <x:v>0.1207</x:v>
      </x:c>
      <x:c r="G927" s="32" t="n">
        <x:v>0.9483</x:v>
      </x:c>
      <x:c r="H927" s="32" t="n">
        <x:v>0</x:v>
      </x:c>
      <x:c r="I927" s="40" t="n">
        <x:v>1</x:v>
      </x:c>
      <x:c r="J927" s="40" t="n">
        <x:v>1</x:v>
      </x:c>
      <x:c r="K927" s="40" t="n">
        <x:v>1</x:v>
      </x:c>
      <x:c r="L927" s="40" t="n">
        <x:v>1</x:v>
      </x:c>
    </x:row>
    <x:row r="928" ht="23" customHeight="1">
      <x:c r="B928" s="17" t="str">
        <x:v>Round1</x:v>
      </x:c>
      <x:c r="C928" s="17" t="str">
        <x:v>condition</x:v>
      </x:c>
      <x:c r="D928" s="17" t="str">
        <x:v>Math_67</x:v>
      </x:c>
      <x:c r="E928" s="32" t="n">
        <x:v>0.9412</x:v>
      </x:c>
      <x:c r="F928" s="32" t="n">
        <x:v>0.2059</x:v>
      </x:c>
      <x:c r="G928" s="32" t="n">
        <x:v>0.8529000000000001</x:v>
      </x:c>
      <x:c r="H928" s="32" t="n">
        <x:v>0</x:v>
      </x:c>
      <x:c r="I928" s="40" t="n">
        <x:v>1</x:v>
      </x:c>
      <x:c r="J928" s="40" t="n">
        <x:v>1</x:v>
      </x:c>
      <x:c r="K928" s="40" t="n">
        <x:v>1</x:v>
      </x:c>
      <x:c r="L928" s="40" t="n">
        <x:v>1</x:v>
      </x:c>
    </x:row>
    <x:row r="929" ht="23" customHeight="1">
      <x:c r="B929" s="17" t="str">
        <x:v>Round1</x:v>
      </x:c>
      <x:c r="C929" s="17" t="str">
        <x:v>condition</x:v>
      </x:c>
      <x:c r="D929" s="17" t="str">
        <x:v>Math_69</x:v>
      </x:c>
      <x:c r="E929" s="32" t="n">
        <x:v>1</x:v>
      </x:c>
      <x:c r="F929" s="32" t="n">
        <x:v>0.9</x:v>
      </x:c>
      <x:c r="G929" s="32" t="n">
        <x:v>0.9667</x:v>
      </x:c>
      <x:c r="H929" s="32" t="n">
        <x:v>0</x:v>
      </x:c>
      <x:c r="I929" s="40" t="n">
        <x:v>1</x:v>
      </x:c>
      <x:c r="J929" s="40" t="n">
        <x:v>1</x:v>
      </x:c>
      <x:c r="K929" s="40" t="n">
        <x:v>1</x:v>
      </x:c>
      <x:c r="L929" s="40" t="n">
        <x:v>1</x:v>
      </x:c>
    </x:row>
    <x:row r="930" ht="23" customHeight="1">
      <x:c r="B930" s="17" t="str">
        <x:v>Round1</x:v>
      </x:c>
      <x:c r="C930" s="17" t="str">
        <x:v>condition</x:v>
      </x:c>
      <x:c r="D930" s="17" t="str">
        <x:v>Math_72</x:v>
      </x:c>
      <x:c r="E930" s="32" t="n">
        <x:v>1</x:v>
      </x:c>
      <x:c r="F930" s="32" t="n">
        <x:v>0</x:v>
      </x:c>
      <x:c r="G930" s="32" t="n">
        <x:v>0.8148000000000001</x:v>
      </x:c>
      <x:c r="H930" s="32" t="n">
        <x:v>0</x:v>
      </x:c>
      <x:c r="I930" s="40" t="n">
        <x:v>1</x:v>
      </x:c>
      <x:c r="J930" s="40" t="n">
        <x:v>1</x:v>
      </x:c>
      <x:c r="K930" s="40" t="n">
        <x:v>1</x:v>
      </x:c>
      <x:c r="L930" s="40" t="n">
        <x:v>1</x:v>
      </x:c>
    </x:row>
    <x:row r="931" ht="23" customHeight="1">
      <x:c r="B931" s="17" t="str">
        <x:v>Round1</x:v>
      </x:c>
      <x:c r="C931" s="17" t="str">
        <x:v>condition</x:v>
      </x:c>
      <x:c r="D931" s="17" t="str">
        <x:v>Math_73</x:v>
      </x:c>
      <x:c r="E931" s="32" t="n">
        <x:v>1</x:v>
      </x:c>
      <x:c r="F931" s="32" t="n">
        <x:v>0</x:v>
      </x:c>
      <x:c r="G931" s="32" t="n">
        <x:v>0.8077</x:v>
      </x:c>
      <x:c r="H931" s="32" t="n">
        <x:v>0</x:v>
      </x:c>
      <x:c r="I931" s="40" t="n">
        <x:v>1</x:v>
      </x:c>
      <x:c r="J931" s="40" t="n">
        <x:v>1</x:v>
      </x:c>
      <x:c r="K931" s="40" t="n">
        <x:v>1</x:v>
      </x:c>
      <x:c r="L931" s="40" t="n">
        <x:v>1</x:v>
      </x:c>
    </x:row>
    <x:row r="932" ht="23" customHeight="1">
      <x:c r="B932" s="17" t="str">
        <x:v>Round1</x:v>
      </x:c>
      <x:c r="C932" s="17" t="str">
        <x:v>condition</x:v>
      </x:c>
      <x:c r="D932" s="17" t="str">
        <x:v>Math_75</x:v>
      </x:c>
      <x:c r="E932" s="32" t="n">
        <x:v>0.9167000000000001</x:v>
      </x:c>
      <x:c r="F932" s="32" t="n">
        <x:v>0.8332999999999999</x:v>
      </x:c>
      <x:c r="G932" s="32" t="n">
        <x:v>0.7707999999999999</x:v>
      </x:c>
      <x:c r="H932" s="32" t="n">
        <x:v>0</x:v>
      </x:c>
      <x:c r="I932" s="40" t="n">
        <x:v>1</x:v>
      </x:c>
      <x:c r="J932" s="40" t="n">
        <x:v>1</x:v>
      </x:c>
      <x:c r="K932" s="40" t="n">
        <x:v>1</x:v>
      </x:c>
      <x:c r="L932" s="40" t="n">
        <x:v>1</x:v>
      </x:c>
    </x:row>
    <x:row r="933" ht="23" customHeight="1">
      <x:c r="B933" s="17" t="str">
        <x:v>Round1</x:v>
      </x:c>
      <x:c r="C933" s="17" t="str">
        <x:v>condition</x:v>
      </x:c>
      <x:c r="D933" s="17" t="str">
        <x:v>Math_76</x:v>
      </x:c>
      <x:c r="E933" s="32" t="n">
        <x:v>1</x:v>
      </x:c>
      <x:c r="F933" s="32" t="n">
        <x:v>0</x:v>
      </x:c>
      <x:c r="G933" s="32" t="n">
        <x:v>0.6667000000000001</x:v>
      </x:c>
      <x:c r="H933" s="32" t="n">
        <x:v>0</x:v>
      </x:c>
      <x:c r="I933" s="40" t="n">
        <x:v>1</x:v>
      </x:c>
      <x:c r="J933" s="40" t="n">
        <x:v>1</x:v>
      </x:c>
      <x:c r="K933" s="40" t="n">
        <x:v>1</x:v>
      </x:c>
      <x:c r="L933" s="40" t="n">
        <x:v>1</x:v>
      </x:c>
    </x:row>
    <x:row r="934" ht="23" customHeight="1">
      <x:c r="B934" s="17" t="str">
        <x:v>Round1</x:v>
      </x:c>
      <x:c r="C934" s="17" t="str">
        <x:v>condition</x:v>
      </x:c>
      <x:c r="D934" s="17" t="str">
        <x:v>Math_79</x:v>
      </x:c>
      <x:c r="E934" s="32" t="n">
        <x:v>0.9304000000000001</x:v>
      </x:c>
      <x:c r="F934" s="32" t="n">
        <x:v>0.2609</x:v>
      </x:c>
      <x:c r="G934" s="32" t="n">
        <x:v>0.6261</x:v>
      </x:c>
      <x:c r="H934" s="32" t="n">
        <x:v>0</x:v>
      </x:c>
      <x:c r="I934" s="40" t="n">
        <x:v>1</x:v>
      </x:c>
      <x:c r="J934" s="40" t="n">
        <x:v>1</x:v>
      </x:c>
      <x:c r="K934" s="40" t="n">
        <x:v>1</x:v>
      </x:c>
      <x:c r="L934" s="40" t="n">
        <x:v>1</x:v>
      </x:c>
    </x:row>
    <x:row r="935" ht="23" customHeight="1">
      <x:c r="B935" s="17" t="str">
        <x:v>Round1</x:v>
      </x:c>
      <x:c r="C935" s="17" t="str">
        <x:v>condition</x:v>
      </x:c>
      <x:c r="D935" s="17" t="str">
        <x:v>Math_8</x:v>
      </x:c>
      <x:c r="E935" s="32" t="n">
        <x:v>0.9582999999999999</x:v>
      </x:c>
      <x:c r="F935" s="32" t="n">
        <x:v>0.0417</x:v>
      </x:c>
      <x:c r="G935" s="32" t="n">
        <x:v>0.9582999999999999</x:v>
      </x:c>
      <x:c r="H935" s="32" t="n">
        <x:v>0</x:v>
      </x:c>
      <x:c r="I935" s="40" t="n">
        <x:v>1</x:v>
      </x:c>
      <x:c r="J935" s="40" t="n">
        <x:v>1</x:v>
      </x:c>
      <x:c r="K935" s="40" t="n">
        <x:v>1</x:v>
      </x:c>
      <x:c r="L935" s="40" t="n">
        <x:v>1</x:v>
      </x:c>
    </x:row>
    <x:row r="936" ht="23" customHeight="1">
      <x:c r="B936" s="17" t="str">
        <x:v>Round1</x:v>
      </x:c>
      <x:c r="C936" s="17" t="str">
        <x:v>condition</x:v>
      </x:c>
      <x:c r="D936" s="17" t="str">
        <x:v>Math_80</x:v>
      </x:c>
      <x:c r="E936" s="32" t="n">
        <x:v>0.7536</x:v>
      </x:c>
      <x:c r="F936" s="32" t="n">
        <x:v>0.12560000000000002</x:v>
      </x:c>
      <x:c r="G936" s="32" t="n">
        <x:v>0.1932</x:v>
      </x:c>
      <x:c r="H936" s="32" t="n">
        <x:v>0</x:v>
      </x:c>
      <x:c r="I936" s="40" t="n">
        <x:v>1</x:v>
      </x:c>
      <x:c r="J936" s="40" t="n">
        <x:v>1</x:v>
      </x:c>
      <x:c r="K936" s="40" t="n">
        <x:v>1</x:v>
      </x:c>
      <x:c r="L936" s="40" t="n">
        <x:v>1</x:v>
      </x:c>
    </x:row>
    <x:row r="937" ht="23" customHeight="1">
      <x:c r="B937" s="17" t="str">
        <x:v>Round1</x:v>
      </x:c>
      <x:c r="C937" s="17" t="str">
        <x:v>condition</x:v>
      </x:c>
      <x:c r="D937" s="17" t="str">
        <x:v>Math_81</x:v>
      </x:c>
      <x:c r="E937" s="32" t="n">
        <x:v>0.7585</x:v>
      </x:c>
      <x:c r="F937" s="32" t="n">
        <x:v>0.12560000000000002</x:v>
      </x:c>
      <x:c r="G937" s="32" t="n">
        <x:v>0.2029</x:v>
      </x:c>
      <x:c r="H937" s="32" t="n">
        <x:v>0</x:v>
      </x:c>
      <x:c r="I937" s="40" t="n">
        <x:v>1</x:v>
      </x:c>
      <x:c r="J937" s="40" t="n">
        <x:v>1</x:v>
      </x:c>
      <x:c r="K937" s="40" t="n">
        <x:v>1</x:v>
      </x:c>
      <x:c r="L937" s="40" t="n">
        <x:v>1</x:v>
      </x:c>
    </x:row>
    <x:row r="938" ht="23" customHeight="1">
      <x:c r="B938" s="17" t="str">
        <x:v>Round1</x:v>
      </x:c>
      <x:c r="C938" s="17" t="str">
        <x:v>condition</x:v>
      </x:c>
      <x:c r="D938" s="17" t="str">
        <x:v>Math_85</x:v>
      </x:c>
      <x:c r="E938" s="32" t="n">
        <x:v>1</x:v>
      </x:c>
      <x:c r="F938" s="32" t="n">
        <x:v>0.0909</x:v>
      </x:c>
      <x:c r="G938" s="32" t="n">
        <x:v>0.8636</x:v>
      </x:c>
      <x:c r="H938" s="32" t="n">
        <x:v>0</x:v>
      </x:c>
      <x:c r="I938" s="40" t="n">
        <x:v>1</x:v>
      </x:c>
      <x:c r="J938" s="40" t="n">
        <x:v>1</x:v>
      </x:c>
      <x:c r="K938" s="40" t="n">
        <x:v>1</x:v>
      </x:c>
      <x:c r="L938" s="40" t="n">
        <x:v>1</x:v>
      </x:c>
    </x:row>
    <x:row r="939" ht="23" customHeight="1">
      <x:c r="B939" s="17" t="str">
        <x:v>Round1</x:v>
      </x:c>
      <x:c r="C939" s="17" t="str">
        <x:v>condition</x:v>
      </x:c>
      <x:c r="D939" s="17" t="str">
        <x:v>Math_87</x:v>
      </x:c>
      <x:c r="E939" s="32" t="n">
        <x:v>0.07780000000000001</x:v>
      </x:c>
      <x:c r="F939" s="32" t="n">
        <x:v>0</x:v>
      </x:c>
      <x:c r="G939" s="32" t="n">
        <x:v>0.07780000000000001</x:v>
      </x:c>
      <x:c r="H939" s="32" t="n">
        <x:v>0</x:v>
      </x:c>
      <x:c r="I939" s="40" t="n">
        <x:v>1</x:v>
      </x:c>
      <x:c r="J939" s="40" t="n">
        <x:v>1</x:v>
      </x:c>
      <x:c r="K939" s="40" t="n">
        <x:v>1</x:v>
      </x:c>
      <x:c r="L939" s="40" t="n">
        <x:v>1</x:v>
      </x:c>
    </x:row>
    <x:row r="940" ht="23" customHeight="1">
      <x:c r="B940" s="17" t="str">
        <x:v>Round1</x:v>
      </x:c>
      <x:c r="C940" s="17" t="str">
        <x:v>condition</x:v>
      </x:c>
      <x:c r="D940" s="17" t="str">
        <x:v>Math_89</x:v>
      </x:c>
      <x:c r="E940" s="32" t="n">
        <x:v>1</x:v>
      </x:c>
      <x:c r="F940" s="32" t="n">
        <x:v>0.9375</x:v>
      </x:c>
      <x:c r="G940" s="32" t="n">
        <x:v>0.9375</x:v>
      </x:c>
      <x:c r="H940" s="32" t="n">
        <x:v>0</x:v>
      </x:c>
      <x:c r="I940" s="40" t="n">
        <x:v>1</x:v>
      </x:c>
      <x:c r="J940" s="40" t="n">
        <x:v>1</x:v>
      </x:c>
      <x:c r="K940" s="40" t="n">
        <x:v>1</x:v>
      </x:c>
      <x:c r="L940" s="40" t="n">
        <x:v>1</x:v>
      </x:c>
    </x:row>
    <x:row r="941" ht="23" customHeight="1">
      <x:c r="B941" s="17" t="str">
        <x:v>Round1</x:v>
      </x:c>
      <x:c r="C941" s="17" t="str">
        <x:v>condition</x:v>
      </x:c>
      <x:c r="D941" s="17" t="str">
        <x:v>Math_90</x:v>
      </x:c>
      <x:c r="E941" s="32" t="n">
        <x:v>1</x:v>
      </x:c>
      <x:c r="F941" s="32" t="n">
        <x:v>0.9375</x:v>
      </x:c>
      <x:c r="G941" s="32" t="n">
        <x:v>0.9062</x:v>
      </x:c>
      <x:c r="H941" s="32" t="n">
        <x:v>0</x:v>
      </x:c>
      <x:c r="I941" s="40" t="n">
        <x:v>1</x:v>
      </x:c>
      <x:c r="J941" s="40" t="n">
        <x:v>1</x:v>
      </x:c>
      <x:c r="K941" s="40" t="n">
        <x:v>1</x:v>
      </x:c>
      <x:c r="L941" s="40" t="n">
        <x:v>1</x:v>
      </x:c>
    </x:row>
    <x:row r="942" ht="23" customHeight="1">
      <x:c r="B942" s="17" t="str">
        <x:v>Round1</x:v>
      </x:c>
      <x:c r="C942" s="17" t="str">
        <x:v>condition</x:v>
      </x:c>
      <x:c r="D942" s="17" t="str">
        <x:v>Math_92</x:v>
      </x:c>
      <x:c r="E942" s="32" t="n">
        <x:v>0.8969</x:v>
      </x:c>
      <x:c r="F942" s="32" t="n">
        <x:v>0.5157</x:v>
      </x:c>
      <x:c r="G942" s="32" t="n">
        <x:v>0.8117</x:v>
      </x:c>
      <x:c r="H942" s="32" t="n">
        <x:v>0</x:v>
      </x:c>
      <x:c r="I942" s="40" t="n">
        <x:v>1</x:v>
      </x:c>
      <x:c r="J942" s="40" t="n">
        <x:v>1</x:v>
      </x:c>
      <x:c r="K942" s="40" t="n">
        <x:v>1</x:v>
      </x:c>
      <x:c r="L942" s="40" t="n">
        <x:v>1</x:v>
      </x:c>
    </x:row>
    <x:row r="943" ht="23" customHeight="1">
      <x:c r="B943" s="17" t="str">
        <x:v>Round1</x:v>
      </x:c>
      <x:c r="C943" s="17" t="str">
        <x:v>condition</x:v>
      </x:c>
      <x:c r="D943" s="17" t="str">
        <x:v>Math_93</x:v>
      </x:c>
      <x:c r="E943" s="32" t="n">
        <x:v>0.8986</x:v>
      </x:c>
      <x:c r="F943" s="32" t="n">
        <x:v>0.5069</x:v>
      </x:c>
      <x:c r="G943" s="32" t="n">
        <x:v>0.9309000000000001</x:v>
      </x:c>
      <x:c r="H943" s="32" t="n">
        <x:v>0</x:v>
      </x:c>
      <x:c r="I943" s="40" t="n">
        <x:v>1</x:v>
      </x:c>
      <x:c r="J943" s="40" t="n">
        <x:v>1</x:v>
      </x:c>
      <x:c r="K943" s="40" t="n">
        <x:v>1</x:v>
      </x:c>
      <x:c r="L943" s="40" t="n">
        <x:v>1</x:v>
      </x:c>
    </x:row>
    <x:row r="944" ht="23" customHeight="1">
      <x:c r="B944" s="17" t="str">
        <x:v>Round1</x:v>
      </x:c>
      <x:c r="C944" s="17" t="str">
        <x:v>condition</x:v>
      </x:c>
      <x:c r="D944" s="17" t="str">
        <x:v>Math_94</x:v>
      </x:c>
      <x:c r="E944" s="32" t="n">
        <x:v>0.9256</x:v>
      </x:c>
      <x:c r="F944" s="32" t="n">
        <x:v>0.507</x:v>
      </x:c>
      <x:c r="G944" s="32" t="n">
        <x:v>0.8140000000000001</x:v>
      </x:c>
      <x:c r="H944" s="32" t="n">
        <x:v>0</x:v>
      </x:c>
      <x:c r="I944" s="40" t="n">
        <x:v>1</x:v>
      </x:c>
      <x:c r="J944" s="40" t="n">
        <x:v>1</x:v>
      </x:c>
      <x:c r="K944" s="40" t="n">
        <x:v>1</x:v>
      </x:c>
      <x:c r="L944" s="40" t="n">
        <x:v>1</x:v>
      </x:c>
    </x:row>
    <x:row r="945" ht="23" customHeight="1">
      <x:c r="B945" s="17" t="str">
        <x:v>Round1</x:v>
      </x:c>
      <x:c r="C945" s="17" t="str">
        <x:v>condition</x:v>
      </x:c>
      <x:c r="D945" s="17" t="str">
        <x:v>Math_95</x:v>
      </x:c>
      <x:c r="E945" s="32" t="n">
        <x:v>1</x:v>
      </x:c>
      <x:c r="F945" s="32" t="n">
        <x:v>1</x:v>
      </x:c>
      <x:c r="G945" s="32" t="n">
        <x:v>1</x:v>
      </x:c>
      <x:c r="H945" s="32" t="n">
        <x:v>1</x:v>
      </x:c>
      <x:c r="I945" s="40" t="n">
        <x:v>1</x:v>
      </x:c>
      <x:c r="J945" s="40" t="n">
        <x:v>1</x:v>
      </x:c>
      <x:c r="K945" s="40" t="n">
        <x:v>1</x:v>
      </x:c>
      <x:c r="L945" s="40" t="n">
        <x:v>1</x:v>
      </x:c>
    </x:row>
    <x:row r="946" ht="23" customHeight="1">
      <x:c r="B946" s="17" t="str">
        <x:v>Round1</x:v>
      </x:c>
      <x:c r="C946" s="17" t="str">
        <x:v>condition</x:v>
      </x:c>
      <x:c r="D946" s="17" t="str">
        <x:v>Math_96</x:v>
      </x:c>
      <x:c r="E946" s="32" t="n">
        <x:v>0.9412</x:v>
      </x:c>
      <x:c r="F946" s="32" t="n">
        <x:v>0.8922</x:v>
      </x:c>
      <x:c r="G946" s="32" t="n">
        <x:v>0.8922</x:v>
      </x:c>
      <x:c r="H946" s="32" t="n">
        <x:v>0</x:v>
      </x:c>
      <x:c r="I946" s="40" t="n">
        <x:v>1</x:v>
      </x:c>
      <x:c r="J946" s="40" t="n">
        <x:v>1</x:v>
      </x:c>
      <x:c r="K946" s="40" t="n">
        <x:v>1</x:v>
      </x:c>
      <x:c r="L946" s="40" t="n">
        <x:v>1</x:v>
      </x:c>
    </x:row>
    <x:row r="947" ht="23" customHeight="1">
      <x:c r="B947" s="17" t="str">
        <x:v>Round1</x:v>
      </x:c>
      <x:c r="C947" s="17" t="str">
        <x:v>condition</x:v>
      </x:c>
      <x:c r="D947" s="17" t="str">
        <x:v>Math_97</x:v>
      </x:c>
      <x:c r="E947" s="32" t="n">
        <x:v>1</x:v>
      </x:c>
      <x:c r="F947" s="32" t="n">
        <x:v>0</x:v>
      </x:c>
      <x:c r="G947" s="32" t="n">
        <x:v>0.8913</x:v>
      </x:c>
      <x:c r="H947" s="32" t="n">
        <x:v>0</x:v>
      </x:c>
      <x:c r="I947" s="40" t="n">
        <x:v>1</x:v>
      </x:c>
      <x:c r="J947" s="40" t="n">
        <x:v>1</x:v>
      </x:c>
      <x:c r="K947" s="40" t="n">
        <x:v>1</x:v>
      </x:c>
      <x:c r="L947" s="40" t="n">
        <x:v>1</x:v>
      </x:c>
    </x:row>
    <x:row r="948" ht="23" customHeight="1">
      <x:c r="B948" s="17" t="str">
        <x:v>Round1</x:v>
      </x:c>
      <x:c r="C948" s="17" t="str">
        <x:v>condition</x:v>
      </x:c>
      <x:c r="D948" s="17" t="str">
        <x:v>Math_98</x:v>
      </x:c>
      <x:c r="E948" s="32" t="n">
        <x:v>0.8538</x:v>
      </x:c>
      <x:c r="F948" s="32" t="n">
        <x:v>0.7670999999999999</x:v>
      </x:c>
      <x:c r="G948" s="32" t="n">
        <x:v>0.7942</x:v>
      </x:c>
      <x:c r="H948" s="32" t="n">
        <x:v>0</x:v>
      </x:c>
      <x:c r="I948" s="40" t="n">
        <x:v>1</x:v>
      </x:c>
      <x:c r="J948" s="40" t="n">
        <x:v>1</x:v>
      </x:c>
      <x:c r="K948" s="40" t="n">
        <x:v>1</x:v>
      </x:c>
      <x:c r="L948" s="40" t="n">
        <x:v>1</x:v>
      </x:c>
    </x:row>
    <x:row r="949" ht="23" customHeight="1">
      <x:c r="B949" s="17" t="str">
        <x:v>Round1</x:v>
      </x:c>
      <x:c r="C949" s="17" t="str">
        <x:v>condition</x:v>
      </x:c>
      <x:c r="D949" s="17" t="str">
        <x:v>Math_99</x:v>
      </x:c>
      <x:c r="E949" s="32" t="n">
        <x:v>0.941</x:v>
      </x:c>
      <x:c r="F949" s="32" t="n">
        <x:v>0.7565000000000001</x:v>
      </x:c>
      <x:c r="G949" s="32" t="n">
        <x:v>0.9041</x:v>
      </x:c>
      <x:c r="H949" s="32" t="n">
        <x:v>0</x:v>
      </x:c>
      <x:c r="I949" s="40" t="n">
        <x:v>1</x:v>
      </x:c>
      <x:c r="J949" s="40" t="n">
        <x:v>1</x:v>
      </x:c>
      <x:c r="K949" s="40" t="n">
        <x:v>1</x:v>
      </x:c>
      <x:c r="L949" s="40" t="n">
        <x:v>1</x:v>
      </x:c>
    </x:row>
    <x:row r="950" ht="23" customHeight="1">
      <x:c r="B950" s="17" t="str">
        <x:v>Round1</x:v>
      </x:c>
      <x:c r="C950" s="17" t="str">
        <x:v>condition</x:v>
      </x:c>
      <x:c r="D950" s="17" t="str">
        <x:v>Mockito_11</x:v>
      </x:c>
      <x:c r="E950" s="32" t="n">
        <x:v>0.16670000000000001</x:v>
      </x:c>
      <x:c r="F950" s="32" t="n">
        <x:v>0</x:v>
      </x:c>
      <x:c r="G950" s="32" t="n">
        <x:v>0.5</x:v>
      </x:c>
      <x:c r="H950" s="32" t="n">
        <x:v>0.5</x:v>
      </x:c>
      <x:c r="I950" s="40" t="n">
        <x:v>1</x:v>
      </x:c>
      <x:c r="J950" s="40" t="n">
        <x:v>1</x:v>
      </x:c>
      <x:c r="K950" s="40" t="n">
        <x:v>1</x:v>
      </x:c>
      <x:c r="L950" s="40" t="n">
        <x:v>1</x:v>
      </x:c>
    </x:row>
    <x:row r="951" ht="23" customHeight="1">
      <x:c r="B951" s="17" t="str">
        <x:v>Round1</x:v>
      </x:c>
      <x:c r="C951" s="17" t="str">
        <x:v>condition</x:v>
      </x:c>
      <x:c r="D951" s="17" t="str">
        <x:v>Mockito_12</x:v>
      </x:c>
      <x:c r="E951" s="32" t="n">
        <x:v>0</x:v>
      </x:c>
      <x:c r="F951" s="32" t="n">
        <x:v>0</x:v>
      </x:c>
      <x:c r="G951" s="32" t="n">
        <x:v>0.75</x:v>
      </x:c>
      <x:c r="H951" s="32" t="n">
        <x:v>0.75</x:v>
      </x:c>
      <x:c r="I951" s="40" t="n">
        <x:v>1</x:v>
      </x:c>
      <x:c r="J951" s="40" t="n">
        <x:v>1</x:v>
      </x:c>
      <x:c r="K951" s="40" t="n">
        <x:v>1</x:v>
      </x:c>
      <x:c r="L951" s="40" t="n">
        <x:v>1</x:v>
      </x:c>
    </x:row>
    <x:row r="952" ht="23" customHeight="1">
      <x:c r="B952" s="17" t="str">
        <x:v>Round1</x:v>
      </x:c>
      <x:c r="C952" s="17" t="str">
        <x:v>condition</x:v>
      </x:c>
      <x:c r="D952" s="17" t="str">
        <x:v>Mockito_15</x:v>
      </x:c>
      <x:c r="E952" s="32" t="n">
        <x:v>1</x:v>
      </x:c>
      <x:c r="F952" s="32" t="n">
        <x:v>0.5</x:v>
      </x:c>
      <x:c r="G952" s="32" t="n">
        <x:v>1</x:v>
      </x:c>
      <x:c r="H952" s="32" t="n">
        <x:v>1</x:v>
      </x:c>
      <x:c r="I952" s="40" t="n">
        <x:v>1</x:v>
      </x:c>
      <x:c r="J952" s="40" t="n">
        <x:v>1</x:v>
      </x:c>
      <x:c r="K952" s="40" t="n">
        <x:v>1</x:v>
      </x:c>
      <x:c r="L952" s="40" t="n">
        <x:v>1</x:v>
      </x:c>
    </x:row>
    <x:row r="953" ht="23" customHeight="1">
      <x:c r="B953" s="17" t="str">
        <x:v>Round1</x:v>
      </x:c>
      <x:c r="C953" s="17" t="str">
        <x:v>condition</x:v>
      </x:c>
      <x:c r="D953" s="17" t="str">
        <x:v>Mockito_21</x:v>
      </x:c>
      <x:c r="E953" s="32" t="n">
        <x:v>1</x:v>
      </x:c>
      <x:c r="F953" s="32" t="n">
        <x:v>0</x:v>
      </x:c>
      <x:c r="G953" s="32" t="n">
        <x:v>1</x:v>
      </x:c>
      <x:c r="H953" s="32" t="n">
        <x:v>1</x:v>
      </x:c>
      <x:c r="I953" s="40" t="n">
        <x:v>1</x:v>
      </x:c>
      <x:c r="J953" s="40" t="n">
        <x:v>1</x:v>
      </x:c>
      <x:c r="K953" s="40" t="n">
        <x:v>1</x:v>
      </x:c>
      <x:c r="L953" s="40" t="n">
        <x:v>1</x:v>
      </x:c>
    </x:row>
    <x:row r="954" ht="23" customHeight="1">
      <x:c r="B954" s="17" t="str">
        <x:v>Round1</x:v>
      </x:c>
      <x:c r="C954" s="17" t="str">
        <x:v>condition</x:v>
      </x:c>
      <x:c r="D954" s="17" t="str">
        <x:v>Mockito_22</x:v>
      </x:c>
      <x:c r="E954" s="32" t="n">
        <x:v>0.375</x:v>
      </x:c>
      <x:c r="F954" s="32" t="n">
        <x:v>0.3333</x:v>
      </x:c>
      <x:c r="G954" s="32" t="n">
        <x:v>1</x:v>
      </x:c>
      <x:c r="H954" s="32" t="n">
        <x:v>1</x:v>
      </x:c>
      <x:c r="I954" s="40" t="n">
        <x:v>1</x:v>
      </x:c>
      <x:c r="J954" s="40" t="n">
        <x:v>1</x:v>
      </x:c>
      <x:c r="K954" s="40" t="n">
        <x:v>1</x:v>
      </x:c>
      <x:c r="L954" s="40" t="n">
        <x:v>1</x:v>
      </x:c>
    </x:row>
    <x:row r="955" ht="23" customHeight="1">
      <x:c r="B955" s="17" t="str">
        <x:v>Round1</x:v>
      </x:c>
      <x:c r="C955" s="17" t="str">
        <x:v>condition</x:v>
      </x:c>
      <x:c r="D955" s="17" t="str">
        <x:v>Mockito_37</x:v>
      </x:c>
      <x:c r="E955" s="32" t="n">
        <x:v>0.46149999999999997</x:v>
      </x:c>
      <x:c r="F955" s="32" t="n">
        <x:v>0</x:v>
      </x:c>
      <x:c r="G955" s="32" t="n">
        <x:v>0.9615</x:v>
      </x:c>
      <x:c r="H955" s="32" t="n">
        <x:v>1</x:v>
      </x:c>
      <x:c r="I955" s="40" t="n">
        <x:v>1</x:v>
      </x:c>
      <x:c r="J955" s="40" t="n">
        <x:v>1</x:v>
      </x:c>
      <x:c r="K955" s="40" t="n">
        <x:v>1</x:v>
      </x:c>
      <x:c r="L955" s="40" t="n">
        <x:v>1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2">
      <x:c r="B2" s="29" t="str">
        <x:v>Coverage and verdict definitions</x:v>
      </x:c>
    </x:row>
    <x:row r="4" ht="34" customHeight="1">
      <x:c r="B4" s="48" t="str">
        <x:v>One bug per round. Resource: 854 bugs; this workbook pools 854 results.</x:v>
      </x:c>
      <x:c r="C4" s="48"/>
      <x:c r="D4" s="48"/>
      <x:c r="E4" s="48"/>
      <x:c r="F4" s="48"/>
      <x:c r="G4" s="48"/>
      <x:c r="H4" s="48"/>
    </x:row>
    <x:row r="5" ht="34" customHeight="1">
      <x:c r="B5" s="48" t="str">
        <x:v>Recorded only: sum of applicable numeric coverage / numeric count, including 0%.</x:v>
      </x:c>
      <x:c r="C5" s="48"/>
      <x:c r="D5" s="48"/>
      <x:c r="E5" s="48"/>
      <x:c r="F5" s="48"/>
      <x:c r="G5" s="48"/>
      <x:c r="H5" s="48"/>
    </x:row>
    <x:row r="6" ht="34" customHeight="1">
      <x:c r="B6" s="48" t="str">
        <x:v>All applicable: same sum / (total minus successful zero-total N/A). Failed measurements count as 0%.</x:v>
      </x:c>
      <x:c r="C6" s="48"/>
      <x:c r="D6" s="48"/>
      <x:c r="E6" s="48"/>
      <x:c r="F6" s="48"/>
      <x:c r="G6" s="48"/>
      <x:c r="H6" s="48"/>
    </x:row>
    <x:row r="7" ht="34" customHeight="1">
      <x:c r="B7" s="48" t="str">
        <x:v>Coverage uses buggy measurements. Verdicts require both buggy/fixed runs; measured buggy coverage remains when fixed is unavailable.</x:v>
      </x:c>
      <x:c r="C7" s="48"/>
      <x:c r="D7" s="48"/>
      <x:c r="E7" s="48"/>
      <x:c r="F7" s="48"/>
      <x:c r="G7" s="48"/>
      <x:c r="H7" s="48"/>
    </x:row>
    <x:row r="8" ht="34" customHeight="1">
      <x:c r="B8" s="48" t="str">
        <x:v>FAIL: no usable tests or latest whole-bug generation failed. Partial class failures with usable tests follow execution evidence.</x:v>
      </x:c>
      <x:c r="C8" s="48"/>
      <x:c r="D8" s="48"/>
      <x:c r="E8" s="48"/>
      <x:c r="F8" s="48"/>
      <x:c r="G8" s="48"/>
      <x:c r="H8" s="48"/>
    </x:row>
    <x:row r="9" ht="34" customHeight="1">
      <x:c r="B9" s="48" t="str">
        <x:v>Combined intersection averages numeric rounds per method/bug first. Round2 has no four-method intersection because Gemini has no Round2.</x:v>
      </x:c>
      <x:c r="C9" s="48"/>
      <x:c r="D9" s="48"/>
      <x:c r="E9" s="48"/>
      <x:c r="F9" s="48"/>
      <x:c r="G9" s="48"/>
      <x:c r="H9" s="48"/>
    </x:row>
    <x:row r="12" ht="56" customHeight="1">
      <x:c r="B12" s="20" t="str">
        <x:v>Metric</x:v>
      </x:c>
      <x:c r="C12" s="20" t="str">
        <x:v>Coverage sum (percentage points)</x:v>
      </x:c>
      <x:c r="D12" s="20" t="str">
        <x:v>n numeric</x:v>
      </x:c>
      <x:c r="E12" s="20" t="str">
        <x:v>n applicable</x:v>
      </x:c>
      <x:c r="F12" s="20" t="str">
        <x:v>Recorded only</x:v>
      </x:c>
      <x:c r="G12" s="20" t="str">
        <x:v>All applicable</x:v>
      </x:c>
      <x:c r="H12" s="20" t="str">
        <x:v>Runnable</x:v>
      </x:c>
    </x:row>
    <x:row r="13" ht="23" customHeight="1">
      <x:c r="B13" s="17" t="str">
        <x:v>Line</x:v>
      </x:c>
      <x:c r="C13" s="49" t="n">
        <x:f>SUMIF('CoverageCases'!$E$2:$E1709,B13,'CoverageCases'!$O$2:$O1709)</x:f>
        <x:v>24107.690000000017</x:v>
      </x:c>
      <x:c r="D13" s="40" t="n">
        <x:f>'Coverage'!F7</x:f>
        <x:v>492</x:v>
      </x:c>
      <x:c r="E13" s="40" t="n">
        <x:f>'Coverage'!M7</x:f>
        <x:v>854</x:v>
      </x:c>
      <x:c r="F13" s="32" t="n">
        <x:f>IF(D13=0,"—",C13/D13/100)</x:f>
        <x:v>0.4899936991869922</x:v>
      </x:c>
      <x:c r="G13" s="32" t="n">
        <x:f>IF(ISNUMBER(E13),IF(E13=0,"—",C13/E13/100),"Pending")</x:f>
        <x:v>0.2822914519906325</x:v>
      </x:c>
      <x:c r="H13" s="32" t="n">
        <x:f>'Coverage'!L7</x:f>
        <x:v>0.5761124121779859</x:v>
      </x:c>
    </x:row>
    <x:row r="14" ht="23" customHeight="1">
      <x:c r="B14" s="17" t="str">
        <x:v>Condition</x:v>
      </x:c>
      <x:c r="C14" s="49" t="n">
        <x:f>SUMIF('CoverageCases'!$E$2:$E1709,B14,'CoverageCases'!$O$2:$O1709)</x:f>
        <x:v>21354.639999999992</x:v>
      </x:c>
      <x:c r="D14" s="40" t="n">
        <x:f>'Coverage'!F8</x:f>
        <x:v>488</x:v>
      </x:c>
      <x:c r="E14" s="40" t="n">
        <x:f>'Coverage'!M8</x:f>
        <x:v>850</x:v>
      </x:c>
      <x:c r="F14" s="32" t="n">
        <x:f>IF(D14=0,"—",C14/D14/100)</x:f>
        <x:v>0.4375950819672129</x:v>
      </x:c>
      <x:c r="G14" s="32" t="n">
        <x:f>IF(ISNUMBER(E14),IF(E14=0,"—",C14/E14/100),"Pending")</x:f>
        <x:v>0.2512310588235293</x:v>
      </x:c>
      <x:c r="H14" s="32" t="n">
        <x:f>'Coverage'!L8</x:f>
        <x:v>0.5761124121779859</x:v>
      </x:c>
    </x:row>
    <x:row r="17" ht="34" customHeight="1">
      <x:c r="B17" s="31" t="str">
        <x:v>Previous coverage rules counted missing values as 0% without excluding N/A. These are rule comparisons, not a reconstruction of the old slide cohort.</x:v>
      </x:c>
      <x:c r="C17" s="31"/>
      <x:c r="D17" s="31"/>
      <x:c r="E17" s="31"/>
      <x:c r="F17" s="31"/>
      <x:c r="G17" s="31"/>
      <x:c r="H17" s="31"/>
    </x:row>
    <x:row r="19" ht="42" customHeight="1">
      <x:c r="B19" s="20" t="str">
        <x:v>Metric</x:v>
      </x:c>
      <x:c r="C19" s="20" t="str">
        <x:v>Previous recorded</x:v>
      </x:c>
      <x:c r="D19" s="20" t="str">
        <x:v>Current recorded</x:v>
      </x:c>
      <x:c r="E19" s="20" t="str">
        <x:v>Previous all results</x:v>
      </x:c>
      <x:c r="F19" s="20" t="str">
        <x:v>Current applicable</x:v>
      </x:c>
    </x:row>
    <x:row r="20" ht="23" customHeight="1">
      <x:c r="B20" s="17" t="str">
        <x:v>Line</x:v>
      </x:c>
      <x:c r="C20" s="32" t="n">
        <x:v>0.48999369918699187</x:v>
      </x:c>
      <x:c r="D20" s="32" t="n">
        <x:f>'Coverage'!J7</x:f>
        <x:v>0.4899936991869922</x:v>
      </x:c>
      <x:c r="E20" s="32" t="n">
        <x:v>0.28229145199063227</x:v>
      </x:c>
      <x:c r="F20" s="32" t="n">
        <x:f>'Coverage'!K7</x:f>
        <x:v>0.2822914519906325</x:v>
      </x:c>
    </x:row>
    <x:row r="21" ht="23" customHeight="1">
      <x:c r="B21" s="17" t="str">
        <x:v>Condition</x:v>
      </x:c>
      <x:c r="C21" s="32" t="n">
        <x:v>0.43759508196721314</x:v>
      </x:c>
      <x:c r="D21" s="32" t="n">
        <x:f>'Coverage'!J8</x:f>
        <x:v>0.4375950819672129</x:v>
      </x:c>
      <x:c r="E21" s="32" t="n">
        <x:v>0.2500543325526932</x:v>
      </x:c>
      <x:c r="F21" s="32" t="n">
        <x:f>'Coverage'!K8</x:f>
        <x:v>0.2512310588235293</x:v>
      </x:c>
    </x:row>
    <x:row r="25" ht="42" customHeight="1">
      <x:c r="B25" s="20" t="str">
        <x:v>Verdict</x:v>
      </x:c>
      <x:c r="C25" s="20" t="str">
        <x:v>Scope</x:v>
      </x:c>
      <x:c r="D25" s="20" t="str">
        <x:v>Slide (%)</x:v>
      </x:c>
      <x:c r="E25" s="20" t="str">
        <x:v>Current count</x:v>
      </x:c>
      <x:c r="F25" s="20" t="str">
        <x:v>n results</x:v>
      </x:c>
      <x:c r="G25" s="20" t="str">
        <x:v>Current (%)</x:v>
      </x:c>
      <x:c r="H25" s="20" t="str">
        <x:v>Change (pp)</x:v>
      </x:c>
    </x:row>
    <x:row r="26" ht="23" customHeight="1">
      <x:c r="B26" s="17" t="str">
        <x:v>NOT_AVAILABLE</x:v>
      </x:c>
      <x:c r="C26" s="17" t="str">
        <x:v>Round1</x:v>
      </x:c>
      <x:c r="D26" s="32" t="n">
        <x:v>0.4274</x:v>
      </x:c>
      <x:c r="E26" s="40" t="n">
        <x:f>COUNTIFS('BugResults'!$D$2:$D855,B26,'BugResults'!$C$2:$C855,C26)</x:f>
        <x:v>363</x:v>
      </x:c>
      <x:c r="F26" s="40" t="n">
        <x:f>COUNTIF('BugResults'!$C$2:$C855,C26)</x:f>
        <x:v>854</x:v>
      </x:c>
      <x:c r="G26" s="32" t="n">
        <x:f>E26/F26</x:f>
        <x:v>0.42505854800936765</x:v>
      </x:c>
      <x:c r="H26" s="50" t="n">
        <x:f>(G26-D26)*100</x:f>
        <x:v>-0.23414519906323483</x:v>
      </x:c>
    </x:row>
  </x:sheetData>
  <x:mergeCells>
    <x:mergeCell ref="B4:H4"/>
    <x:mergeCell ref="B5:H5"/>
    <x:mergeCell ref="B6:H6"/>
    <x:mergeCell ref="B7:H7"/>
    <x:mergeCell ref="B8:H8"/>
    <x:mergeCell ref="B9:H9"/>
    <x:mergeCell ref="B17:H1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24" hidden="0" customWidth="1"/>
    <x:col min="6" max="6" width="24" hidden="0" customWidth="1"/>
    <x:col min="7" max="7" width="70" hidden="0" customWidth="1"/>
    <x:col min="8" max="8" width="70" hidden="0" customWidth="1"/>
    <x:col min="9" max="9" width="70" hidden="0" customWidth="1"/>
    <x:col min="10" max="10" width="70" hidden="0" customWidth="1"/>
  </x:cols>
  <x:sheetData>
    <x:row r="2">
      <x:c r="B2" t="str">
        <x:v>Saved versus derived verdict changes</x:v>
      </x:c>
    </x:row>
    <x:row r="3" ht="32" customHeight="1">
      <x:c r="B3" s="31" t="str">
        <x:v>2 changed bug/rounds. Generation failures, stale suites and missing class evidence are filterable in BugResults.</x:v>
      </x:c>
      <x:c r="C3" s="31"/>
      <x:c r="D3" s="31"/>
      <x:c r="E3" s="31"/>
      <x:c r="F3" s="31"/>
      <x:c r="G3" s="31"/>
      <x:c r="H3" s="31"/>
      <x:c r="I3" s="31"/>
      <x:c r="J3" s="31"/>
    </x:row>
    <x:row r="6" ht="42" customHeight="1">
      <x:c r="B6" s="20" t="str">
        <x:v>Project</x:v>
      </x:c>
      <x:c r="C6" s="20" t="str">
        <x:v>Bug</x:v>
      </x:c>
      <x:c r="D6" s="20" t="str">
        <x:v>Round</x:v>
      </x:c>
      <x:c r="E6" s="20" t="str">
        <x:v>Saved verdict</x:v>
      </x:c>
      <x:c r="F6" s="20" t="str">
        <x:v>Current verdict</x:v>
      </x:c>
      <x:c r="G6" s="20" t="str">
        <x:v>Reason</x:v>
      </x:c>
      <x:c r="H6" s="20" t="str">
        <x:v>Generation source</x:v>
      </x:c>
      <x:c r="I6" s="20" t="str">
        <x:v>Validation source</x:v>
      </x:c>
      <x:c r="J6" s="20" t="str">
        <x:v>Coverage source</x:v>
      </x:c>
    </x:row>
    <x:row r="7" ht="80" customHeight="1">
      <x:c r="B7" s="17" t="str">
        <x:v>Compress</x:v>
      </x:c>
      <x:c r="C7" s="17" t="n">
        <x:v>16</x:v>
      </x:c>
      <x:c r="D7" s="17" t="str">
        <x:v>Round1</x:v>
      </x:c>
      <x:c r="E7" s="17" t="str">
        <x:v>NOT_AVAILABLE</x:v>
      </x:c>
      <x:c r="F7" s="17" t="str">
        <x:v>FAIL</x:v>
      </x:c>
      <x:c r="G7" s="21" t="str">
        <x:v>No saved Java source containing a JUnit test method</x:v>
      </x:c>
      <x:c r="H7" s="21" t="str">
        <x:v>Gemini-3.8-flash/generation_state.json</x:v>
      </x:c>
      <x:c r="I7" s="21" t="str">
        <x:v>Gemini-3.8-flash/Result/Compress_16/result.json</x:v>
      </x:c>
      <x:c r="J7" s="21" t="str">
        <x:v>Gemini-3.8-flash/Result/Compress_16/result.json</x:v>
      </x:c>
    </x:row>
    <x:row r="8" ht="80" customHeight="1">
      <x:c r="B8" s="17" t="str">
        <x:v>Jsoup</x:v>
      </x:c>
      <x:c r="C8" s="17" t="n">
        <x:v>67</x:v>
      </x:c>
      <x:c r="D8" s="17" t="str">
        <x:v>Round1</x:v>
      </x:c>
      <x:c r="E8" s="17" t="str">
        <x:v>NOT_AVAILABLE</x:v>
      </x:c>
      <x:c r="F8" s="17" t="str">
        <x:v>FAIL</x:v>
      </x:c>
      <x:c r="G8" s="21" t="str">
        <x:v>No saved Java source containing a JUnit test method</x:v>
      </x:c>
      <x:c r="H8" s="21" t="str">
        <x:v>Gemini-3.8-flash/generation_state.json</x:v>
      </x:c>
      <x:c r="I8" s="21" t="str">
        <x:v>Gemini-3.8-flash/Result/Jsoup_67/result.json</x:v>
      </x:c>
      <x:c r="J8" s="21" t="str">
        <x:v>Gemini-3.8-flash/Result/Jsoup_67/result.json</x:v>
      </x:c>
    </x:row>
  </x:sheetData>
  <x:mergeCells>
    <x:mergeCell ref="B3:J3"/>
  </x:mergeCells>
  <x:pageMargins left="0.7" right="0.7" top="0.75" bottom="0.75" header="0.3" footer="0.3"/>
  <x:tableParts count="1">
    <x:tablePart xmlns:r="http://schemas.openxmlformats.org/officeDocument/2006/relationships" r:id="Rc8e7527fce2849b4"/>
  </x:tableParts>
</x:worksheet>
</file>