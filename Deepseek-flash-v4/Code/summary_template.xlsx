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9cabd9c5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64e3a905e743f9"/>
    <x:sheet xmlns:r="http://schemas.openxmlformats.org/officeDocument/2006/relationships" name="Data" sheetId="2" r:id="R6fc9053988ab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0"/>
    <x:numFmt numFmtId="203" formatCode="0"/>
  </x:numFmts>
  <x:fonts count="6">
    <x:font>
      <x:sz val="11"/>
      <x:name val="Carlito"/>
    </x:font>
    <x:font>
      <x:sz val="11"/>
      <x:color rgb="FF20334D"/>
      <x:name val="Arial"/>
    </x:font>
    <x:font>
      <x:b/>
      <x:sz val="19"/>
      <x:color rgb="FF143552"/>
      <x:name val="Arial"/>
    </x:font>
    <x:font>
      <x:sz val="10"/>
      <x:color rgb="FF607389"/>
      <x:name val="Arial"/>
    </x:font>
    <x:font>
      <x:b/>
      <x:sz val="11"/>
      <x:color rgb="FFFFFFFF"/>
      <x:name val="Arial"/>
    </x:font>
    <x:font>
      <x:b/>
      <x:sz val="11"/>
      <x:color rgb="FF2033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552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81b399e464242" /><Relationship Type="http://schemas.openxmlformats.org/officeDocument/2006/relationships/theme" Target="/xl/theme/theme1.xml" Id="R9adad3d1707f469a" /><Relationship Type="http://schemas.openxmlformats.org/officeDocument/2006/relationships/sharedStrings" Target="/xl/sharedStrings.xml" Id="Radd76ce8b39b4950" /><Relationship Type="http://schemas.openxmlformats.org/officeDocument/2006/relationships/worksheet" Target="/xl/worksheets/sheet1.xml" Id="Rfc64e3a905e743f9" /><Relationship Type="http://schemas.openxmlformats.org/officeDocument/2006/relationships/worksheet" Target="/xl/worksheets/sheet2.xml" Id="R6fc9053988ab42f6" /></Relationships>
</file>

<file path=xl/tables/table1.xml><?xml version="1.0" encoding="utf-8"?>
<x:table xmlns:x="http://schemas.openxmlformats.org/spreadsheetml/2006/main" id="1" name="ResultsData" displayName="ResultsData" ref="A1:I2" headerRowCount="1" totalsRowCount="0" totalsRowShown="0">
  <x:tableColumns count="9">
    <x:tableColumn id="1" name="row_type"/>
    <x:tableColumn id="2" name="round"/>
    <x:tableColumn id="3" name="target"/>
    <x:tableColumn id="4" name="verdict"/>
    <x:tableColumn id="5" name="line_coverage"/>
    <x:tableColumn id="6" name="revealed_count"/>
    <x:tableColumn id="7" name="total_tokens"/>
    <x:tableColumn id="8" name="generation_seconds"/>
    <x:tableColumn id="9" name="result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b56d35b51a42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8" customHeight="1">
      <x:c r="A2" s="1"/>
      <x:c r="B2" s="2" t="str">
        <x:v>DeepSeek | Results dashboard</x:v>
      </x:c>
      <x:c r="C2" s="2"/>
      <x:c r="D2" s="2"/>
      <x:c r="E2" s="2"/>
      <x:c r="F2" s="1"/>
      <x:c r="G2" s="1"/>
      <x:c r="H2" s="1"/>
      <x:c r="I2" s="1"/>
      <x:c r="J2" s="1"/>
    </x:row>
    <x:row r="3">
      <x:c r="A3" s="1"/>
      <x:c r="B3" s="3" t="str">
        <x:v>Round 1 without dependencies · Round 2 with dependencies</x:v>
      </x:c>
      <x:c r="C3" s="3"/>
      <x:c r="D3" s="3"/>
      <x:c r="E3" s="3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/>
      <x:c r="B5" s="8" t="str">
        <x:v>Metric</x:v>
      </x:c>
      <x:c r="C5" s="8" t="str">
        <x:v>Round1</x:v>
      </x:c>
      <x:c r="D5" s="8" t="str">
        <x:v>Round2</x:v>
      </x:c>
      <x:c r="E5" s="8" t="str">
        <x:v>All rounds</x:v>
      </x:c>
      <x:c r="F5" s="1"/>
      <x:c r="G5" s="1"/>
      <x:c r="H5" s="1"/>
      <x:c r="I5" s="1"/>
      <x:c r="J5" s="1"/>
    </x:row>
    <x:row r="6" ht="26" customHeight="1">
      <x:c r="A6" s="1"/>
      <x:c r="B6" s="9" t="str">
        <x:v>Results</x:v>
      </x:c>
      <x:c r="C6" s="10" t="n">
        <x:f>COUNTIF(Data!$B$2:$B$2,"Round1")</x:f>
        <x:v>0</x:v>
      </x:c>
      <x:c r="D6" s="10" t="n">
        <x:f>COUNTIF(Data!$B$2:$B$2,"Round2")</x:f>
        <x:v>0</x:v>
      </x:c>
      <x:c r="E6" s="11" t="n">
        <x:f>COUNTA(Data!$C$2:$C$2)</x:f>
        <x:v>0</x:v>
      </x:c>
      <x:c r="F6" s="1"/>
      <x:c r="G6" s="1"/>
      <x:c r="H6" s="1"/>
      <x:c r="I6" s="1"/>
      <x:c r="J6" s="1"/>
    </x:row>
    <x:row r="7" ht="26" customHeight="1">
      <x:c r="A7" s="1"/>
      <x:c r="B7" s="1" t="str">
        <x:v>Average line coverage</x:v>
      </x:c>
      <x:c r="C7" s="5" t="str">
        <x:f>IF(COUNTIFS(Data!$B$2:$B$2,"Round1",Data!$E$2:$E$2,"&lt;&gt;")=0,"",AVERAGEIF(Data!$B$2:$B$2,"Round1",Data!$E$2:$E$2))</x:f>
      </x:c>
      <x:c r="D7" s="5" t="str">
        <x:f>IF(COUNTIFS(Data!$B$2:$B$2,"Round2",Data!$E$2:$E$2,"&lt;&gt;")=0,"",AVERAGEIF(Data!$B$2:$B$2,"Round2",Data!$E$2:$E$2))</x:f>
      </x:c>
      <x:c r="E7" s="12" t="str">
        <x:f>IF(COUNT(Data!$E$2:$E$2)=0,"",AVERAGE(Data!$E$2:$E$2))</x:f>
      </x:c>
      <x:c r="F7" s="1"/>
      <x:c r="G7" s="1"/>
      <x:c r="H7" s="1"/>
      <x:c r="I7" s="1"/>
      <x:c r="J7" s="1"/>
    </x:row>
    <x:row r="8" ht="26" customHeight="1">
      <x:c r="A8" s="1"/>
      <x:c r="B8" s="9" t="str">
        <x:v>Revealing results</x:v>
      </x:c>
      <x:c r="C8" s="10" t="n">
        <x:f>SUMIF(Data!$B$2:$B$2,"Round1",Data!$F$2:$F$2)</x:f>
        <x:v>0</x:v>
      </x:c>
      <x:c r="D8" s="10" t="n">
        <x:f>SUMIF(Data!$B$2:$B$2,"Round2",Data!$F$2:$F$2)</x:f>
        <x:v>0</x:v>
      </x:c>
      <x:c r="E8" s="11" t="n">
        <x:f>SUM(Data!$F$2:$F$2)</x:f>
        <x:v>0</x:v>
      </x:c>
      <x:c r="F8" s="1"/>
      <x:c r="G8" s="1"/>
      <x:c r="H8" s="1"/>
      <x:c r="I8" s="1"/>
      <x:c r="J8" s="1"/>
    </x:row>
    <x:row r="9" ht="26" customHeight="1">
      <x:c r="A9" s="1"/>
      <x:c r="B9" s="1" t="str">
        <x:v>Revealing rate</x:v>
      </x:c>
      <x:c r="C9" s="5" t="str">
        <x:f>IF(C6=0,"",C8/C6)</x:f>
      </x:c>
      <x:c r="D9" s="5" t="str">
        <x:f>IF(D6=0,"",D8/D6)</x:f>
      </x:c>
      <x:c r="E9" s="12" t="str">
        <x:f>IF(E6=0,"",E8/E6)</x:f>
      </x:c>
      <x:c r="F9" s="1"/>
      <x:c r="G9" s="1"/>
      <x:c r="H9" s="1"/>
      <x:c r="I9" s="1"/>
      <x:c r="J9" s="1"/>
    </x:row>
    <x:row r="10" ht="26" customHeight="1">
      <x:c r="A10" s="1"/>
      <x:c r="B10" s="9" t="str">
        <x:v>Total tokens</x:v>
      </x:c>
      <x:c r="C10" s="10" t="str">
        <x:f>IF(COUNTIFS(Data!$B$2:$B$2,"Round1",Data!$G$2:$G$2,"&lt;&gt;")=0,"",SUMIF(Data!$B$2:$B$2,"Round1",Data!$G$2:$G$2))</x:f>
      </x:c>
      <x:c r="D10" s="10" t="str">
        <x:f>IF(COUNTIFS(Data!$B$2:$B$2,"Round2",Data!$G$2:$G$2,"&lt;&gt;")=0,"",SUMIF(Data!$B$2:$B$2,"Round2",Data!$G$2:$G$2))</x:f>
      </x:c>
      <x:c r="E10" s="11" t="str">
        <x:f>IF(COUNT(Data!$G$2:$G$2)=0,"",SUM(Data!$G$2:$G$2))</x:f>
      </x:c>
      <x:c r="F10" s="1"/>
      <x:c r="G10" s="1"/>
      <x:c r="H10" s="1"/>
      <x:c r="I10" s="1"/>
      <x:c r="J10" s="1"/>
    </x:row>
    <x:row r="11" ht="26" customHeight="1">
      <x:c r="A11" s="1"/>
      <x:c r="B11" s="1" t="str">
        <x:v>Generation time (seconds)</x:v>
      </x:c>
      <x:c r="C11" s="6" t="str">
        <x:f>IF(COUNTIFS(Data!$B$2:$B$2,"Round1",Data!$H$2:$H$2,"&lt;&gt;")=0,"",SUMIF(Data!$B$2:$B$2,"Round1",Data!$H$2:$H$2))</x:f>
      </x:c>
      <x:c r="D11" s="6" t="str">
        <x:f>IF(COUNTIFS(Data!$B$2:$B$2,"Round2",Data!$H$2:$H$2,"&lt;&gt;")=0,"",SUMIF(Data!$B$2:$B$2,"Round2",Data!$H$2:$H$2))</x:f>
      </x:c>
      <x:c r="E11" s="13" t="str">
        <x:f>IF(COUNT(Data!$H$2:$H$2)=0,"",SUM(Data!$H$2:$H$2))</x:f>
      </x:c>
      <x:c r="F11" s="1"/>
      <x:c r="G11" s="1"/>
      <x:c r="H11" s="1"/>
      <x:c r="I11" s="1"/>
      <x:c r="J11" s="1"/>
    </x:row>
    <x:row r="12" ht="26" customHeight="1">
      <x:c r="A12" s="1"/>
      <x:c r="B12" s="1" t="str">
        <x:v>Coverage records</x:v>
      </x:c>
      <x:c r="C12" s="4" t="n">
        <x:f>COUNTIFS(Data!$B$2:$B$2,"Round1",Data!$E$2:$E$2,"&lt;&gt;")</x:f>
        <x:v>0</x:v>
      </x:c>
      <x:c r="D12" s="4" t="n">
        <x:f>COUNTIFS(Data!$B$2:$B$2,"Round2",Data!$E$2:$E$2,"&lt;&gt;")</x:f>
        <x:v>0</x:v>
      </x:c>
      <x:c r="E12" s="14" t="n">
        <x:f>COUNT(Data!$E$2:$E$2)</x:f>
        <x:v>0</x:v>
      </x:c>
      <x:c r="F12" s="1"/>
      <x:c r="G12" s="1"/>
      <x:c r="H12" s="1"/>
      <x:c r="I12" s="1"/>
      <x:c r="J12" s="1"/>
    </x:row>
    <x:row r="13" ht="26" customHeight="1">
      <x:c r="A13" s="1"/>
      <x:c r="B13"/>
      <x:c r="C13"/>
      <x:c r="D13"/>
      <x:c r="E13"/>
      <x:c r="F13" s="1"/>
      <x:c r="G13" s="1"/>
      <x:c r="H13" s="1"/>
      <x:c r="I13" s="1"/>
      <x:c r="J13" s="1"/>
    </x:row>
    <x:row r="14" ht="26" customHeight="1">
      <x:c r="A14" s="1"/>
      <x:c r="B14"/>
      <x:c r="C14"/>
      <x:c r="D14"/>
      <x:c r="E14"/>
      <x:c r="F14" s="1"/>
      <x:c r="G14" s="1"/>
      <x:c r="H14" s="1"/>
      <x:c r="I14" s="1"/>
      <x:c r="J14" s="1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6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6" customHeight="1">
      <x:c r="A17" s="1"/>
      <x:c r="B17" s="8" t="str">
        <x:v>Verdict</x:v>
      </x:c>
      <x:c r="C17" s="8" t="str">
        <x:v>Round1</x:v>
      </x:c>
      <x:c r="D17" s="8" t="str">
        <x:v>Round2</x:v>
      </x:c>
      <x:c r="E17" s="8" t="str">
        <x:v>All rounds</x:v>
      </x:c>
      <x:c r="F17" s="1"/>
      <x:c r="G17" s="1"/>
      <x:c r="H17" s="1"/>
      <x:c r="I17" s="1"/>
      <x:c r="J17" s="1"/>
    </x:row>
    <x:row r="18" ht="26" customHeight="1">
      <x:c r="A18" s="1"/>
      <x:c r="B18" s="9" t="str">
        <x:v>REVEALING</x:v>
      </x:c>
      <x:c r="C18" s="9" t="n">
        <x:f>COUNTIFS(Data!$B$2:$B$2,"Round1",Data!$D$2:$D$2,"REVEALING")</x:f>
        <x:v>0</x:v>
      </x:c>
      <x:c r="D18" s="9" t="n">
        <x:f>COUNTIFS(Data!$B$2:$B$2,"Round2",Data!$D$2:$D$2,"REVEALING")</x:f>
        <x:v>0</x:v>
      </x:c>
      <x:c r="E18" s="9" t="n">
        <x:f>COUNTIF(Data!$D$2:$D$2,"REVEALING")</x:f>
        <x:v>0</x:v>
      </x:c>
      <x:c r="F18" s="1"/>
      <x:c r="G18" s="1"/>
      <x:c r="H18" s="1"/>
      <x:c r="I18" s="1"/>
      <x:c r="J18" s="1"/>
    </x:row>
    <x:row r="19" ht="26" customHeight="1">
      <x:c r="A19" s="1"/>
      <x:c r="B19" s="1" t="str">
        <x:v>NOT_REVEALING</x:v>
      </x:c>
      <x:c r="C19" s="1" t="n">
        <x:f>COUNTIFS(Data!$B$2:$B$2,"Round1",Data!$D$2:$D$2,"NOT_REVEALING")</x:f>
        <x:v>0</x:v>
      </x:c>
      <x:c r="D19" s="1" t="n">
        <x:f>COUNTIFS(Data!$B$2:$B$2,"Round2",Data!$D$2:$D$2,"NOT_REVEALING")</x:f>
        <x:v>0</x:v>
      </x:c>
      <x:c r="E19" s="1" t="n">
        <x:f>COUNTIF(Data!$D$2:$D$2,"NOT_REVEALING")</x:f>
        <x:v>0</x:v>
      </x:c>
      <x:c r="F19" s="1"/>
      <x:c r="G19" s="1"/>
      <x:c r="H19" s="1"/>
      <x:c r="I19" s="1"/>
      <x:c r="J19" s="1"/>
    </x:row>
    <x:row r="20" ht="26" customHeight="1">
      <x:c r="A20" s="1"/>
      <x:c r="B20" s="9" t="str">
        <x:v>NOT_AVAILABLE</x:v>
      </x:c>
      <x:c r="C20" s="9" t="n">
        <x:f>COUNTIFS(Data!$B$2:$B$2,"Round1",Data!$D$2:$D$2,"NOT_AVAILABLE")</x:f>
        <x:v>0</x:v>
      </x:c>
      <x:c r="D20" s="9" t="n">
        <x:f>COUNTIFS(Data!$B$2:$B$2,"Round2",Data!$D$2:$D$2,"NOT_AVAILABLE")</x:f>
        <x:v>0</x:v>
      </x:c>
      <x:c r="E20" s="9" t="n">
        <x:f>COUNTIF(Data!$D$2:$D$2,"NOT_AVAILABLE")</x:f>
        <x:v>0</x:v>
      </x:c>
      <x:c r="F20" s="1"/>
      <x:c r="G20" s="1"/>
      <x:c r="H20" s="1"/>
      <x:c r="I20" s="1"/>
      <x:c r="J20" s="1"/>
    </x:row>
    <x:row r="21" ht="26" customHeight="1">
      <x:c r="A21" s="1"/>
      <x:c r="B21" s="1" t="str">
        <x:v>INCONCLUSIVE</x:v>
      </x:c>
      <x:c r="C21" s="1" t="n">
        <x:f>COUNTIFS(Data!$B$2:$B$2,"Round1",Data!$D$2:$D$2,"INCONCLUSIVE")</x:f>
        <x:v>0</x:v>
      </x:c>
      <x:c r="D21" s="1" t="n">
        <x:f>COUNTIFS(Data!$B$2:$B$2,"Round2",Data!$D$2:$D$2,"INCONCLUSIVE")</x:f>
        <x:v>0</x:v>
      </x:c>
      <x:c r="E21" s="1" t="n">
        <x:f>COUNTIF(Data!$D$2:$D$2,"INCONCLUSIVE")</x:f>
        <x:v>0</x:v>
      </x:c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3" t="str">
        <x:v>Blank = unavailable. Coverage average uses only recorded coverage.</x:v>
      </x:c>
      <x:c r="C23" s="3"/>
      <x:c r="D23" s="3"/>
      <x:c r="E23" s="3"/>
      <x:c r="F23" s="1"/>
      <x:c r="G23" s="1"/>
      <x:c r="H23" s="1"/>
      <x:c r="I23" s="1"/>
      <x:c r="J23" s="1"/>
    </x:row>
    <x:row r="24">
      <x:c r="A24" s="1"/>
      <x:c r="B24" s="3" t="str">
        <x:v>Source: saved generation state and test results for both rounds.</x:v>
      </x:c>
      <x:c r="C24" s="3"/>
      <x:c r="D24" s="3"/>
      <x:c r="E24" s="3"/>
      <x:c r="F24" s="1"/>
      <x:c r="G24" s="1"/>
      <x:c r="H24" s="1"/>
      <x:c r="I24" s="1"/>
      <x:c r="J24" s="1"/>
    </x:row>
    <x:row r="25">
      <x:c r="A25" s="1"/>
      <x:c r="B25" s="3" t="str">
        <x:v>Updated:</x:v>
      </x:c>
      <x:c r="C25" s="3"/>
      <x:c r="D25" s="3"/>
      <x:c r="E25" s="3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B2:E2"/>
    <x:mergeCell ref="B3:E3"/>
    <x:mergeCell ref="B23:E23"/>
    <x:mergeCell ref="B24:E24"/>
    <x:mergeCell ref="B25:E25"/>
  </x:mergeCells>
  <x:conditionalFormatting sqref="C7:E7">
    <x:cfRule type="dataBar" priority="1">
      <x:dataBar>
        <x:cfvo type="min"/>
        <x:cfvo type="max"/>
        <x:color rgb="FF2B9294"/>
      </x:dataBar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4" customHeight="1">
      <x:c r="A1" s="15" t="str">
        <x:v>row_type</x:v>
      </x:c>
      <x:c r="B1" s="15" t="str">
        <x:v>round</x:v>
      </x:c>
      <x:c r="C1" s="15" t="str">
        <x:v>target</x:v>
      </x:c>
      <x:c r="D1" s="15" t="str">
        <x:v>verdict</x:v>
      </x:c>
      <x:c r="E1" s="15" t="str">
        <x:v>line_coverage</x:v>
      </x:c>
      <x:c r="F1" s="15" t="str">
        <x:v>revealed_count</x:v>
      </x:c>
      <x:c r="G1" s="15" t="str">
        <x:v>total_tokens</x:v>
      </x:c>
      <x:c r="H1" s="15" t="str">
        <x:v>generation_seconds</x:v>
      </x:c>
      <x:c r="I1" s="15" t="str">
        <x:v>result_count</x:v>
      </x:c>
      <x:c r="J1"/>
    </x:row>
    <x:row r="2" ht="24" customHeight="1">
      <x:c r="A2" s="1" t="str">
        <x:v>RESULT</x:v>
      </x:c>
      <x:c r="B2" s="1"/>
      <x:c r="C2" s="1"/>
      <x:c r="D2" s="1"/>
      <x:c r="E2" s="5"/>
      <x:c r="F2" s="4"/>
      <x:c r="G2" s="4"/>
      <x:c r="H2" s="6"/>
      <x:c r="I2" s="16"/>
      <x:c r="J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/>
    </x:row>
  </x:sheetData>
  <x:pageMargins left="0.7" right="0.7" top="0.75" bottom="0.75" header="0.3" footer="0.3"/>
  <x:tableParts count="1">
    <x:tablePart xmlns:r="http://schemas.openxmlformats.org/officeDocument/2006/relationships" r:id="Rcab56d35b51a4212"/>
  </x:tableParts>
</x:worksheet>
</file>